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filterPrivacy="1" codeName="현재_통합_문서" defaultThemeVersion="124226"/>
  <xr:revisionPtr revIDLastSave="0" documentId="13_ncr:1_{A43EBC4B-FA44-4C2B-B58A-7EA473E880BD}" xr6:coauthVersionLast="47" xr6:coauthVersionMax="47" xr10:uidLastSave="{00000000-0000-0000-0000-000000000000}"/>
  <bookViews>
    <workbookView xWindow="-27975" yWindow="-120" windowWidth="28095" windowHeight="16440" xr2:uid="{00000000-000D-0000-FFFF-FFFF00000000}"/>
  </bookViews>
  <sheets>
    <sheet name="CampaignDungeonTable" sheetId="5" r:id="rId1"/>
  </sheets>
  <definedNames>
    <definedName name="_xlnm._FilterDatabase" localSheetId="0" hidden="1">CampaignDungeonTable!$A$1:$DB$2364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82" i="5" l="1"/>
  <c r="C2079" i="5"/>
  <c r="C2081" i="5"/>
  <c r="C2080" i="5"/>
  <c r="C2078" i="5"/>
  <c r="C2077" i="5"/>
  <c r="C2076" i="5"/>
  <c r="C2075" i="5"/>
  <c r="C2074" i="5"/>
  <c r="C2073" i="5"/>
  <c r="C2072" i="5"/>
  <c r="C1466" i="5"/>
  <c r="C1465" i="5"/>
  <c r="C1464" i="5"/>
  <c r="C1463" i="5"/>
  <c r="C1462" i="5"/>
  <c r="C965" i="5"/>
  <c r="C964" i="5"/>
  <c r="C963" i="5"/>
  <c r="C962" i="5"/>
  <c r="C961" i="5"/>
  <c r="C2056" i="5"/>
  <c r="C2055" i="5"/>
  <c r="C2054" i="5"/>
  <c r="C2053" i="5"/>
  <c r="C2052" i="5"/>
  <c r="C2051" i="5"/>
  <c r="C2050" i="5"/>
  <c r="C2049" i="5" l="1"/>
  <c r="C2048" i="5"/>
  <c r="C2047" i="5"/>
  <c r="C2046" i="5"/>
  <c r="C2045" i="5"/>
  <c r="C2044" i="5"/>
  <c r="C2043" i="5"/>
  <c r="C2042" i="5"/>
  <c r="C2041" i="5"/>
  <c r="C2040" i="5"/>
  <c r="C391" i="5" l="1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67" i="5"/>
  <c r="C366" i="5"/>
  <c r="C365" i="5"/>
  <c r="C364" i="5"/>
  <c r="C334" i="5"/>
  <c r="C333" i="5"/>
  <c r="C332" i="5"/>
  <c r="C331" i="5"/>
  <c r="C363" i="5" l="1"/>
  <c r="C362" i="5"/>
  <c r="C361" i="5"/>
  <c r="C360" i="5"/>
  <c r="C330" i="5"/>
  <c r="C329" i="5"/>
  <c r="C328" i="5"/>
  <c r="C327" i="5"/>
  <c r="C325" i="5" l="1"/>
  <c r="C324" i="5"/>
  <c r="C323" i="5"/>
  <c r="C321" i="5"/>
  <c r="C320" i="5"/>
  <c r="C319" i="5"/>
  <c r="C317" i="5"/>
  <c r="C316" i="5"/>
  <c r="C315" i="5"/>
  <c r="C313" i="5"/>
  <c r="C312" i="5"/>
  <c r="C311" i="5"/>
  <c r="C309" i="5"/>
  <c r="C308" i="5"/>
  <c r="C307" i="5"/>
  <c r="C305" i="5"/>
  <c r="C304" i="5"/>
  <c r="C303" i="5"/>
  <c r="C301" i="5"/>
  <c r="C300" i="5"/>
  <c r="C299" i="5"/>
  <c r="C297" i="5"/>
  <c r="C296" i="5"/>
  <c r="C295" i="5"/>
  <c r="C293" i="5"/>
  <c r="C292" i="5"/>
  <c r="C291" i="5"/>
  <c r="C289" i="5"/>
  <c r="C288" i="5"/>
  <c r="C287" i="5"/>
  <c r="C2241" i="5"/>
  <c r="C2240" i="5"/>
  <c r="C2239" i="5"/>
  <c r="C2238" i="5"/>
  <c r="C2237" i="5"/>
  <c r="C2236" i="5"/>
  <c r="C2235" i="5"/>
  <c r="C2234" i="5"/>
  <c r="C2233" i="5"/>
  <c r="C2243" i="5"/>
  <c r="C2244" i="5"/>
  <c r="C2245" i="5"/>
  <c r="C2246" i="5"/>
  <c r="C2247" i="5"/>
  <c r="C2248" i="5"/>
  <c r="C2249" i="5"/>
  <c r="C2250" i="5"/>
  <c r="CS1771" i="5" l="1"/>
  <c r="CR1771" i="5"/>
  <c r="DB1771" i="5" s="1"/>
  <c r="C1771" i="5"/>
  <c r="CS1770" i="5"/>
  <c r="CR1770" i="5"/>
  <c r="CW1770" i="5" s="1"/>
  <c r="C1770" i="5"/>
  <c r="CS1769" i="5"/>
  <c r="CR1769" i="5"/>
  <c r="CX1769" i="5" s="1"/>
  <c r="C1769" i="5"/>
  <c r="CS1768" i="5"/>
  <c r="CR1768" i="5"/>
  <c r="CY1768" i="5" s="1"/>
  <c r="C1768" i="5"/>
  <c r="CS1767" i="5"/>
  <c r="CR1767" i="5"/>
  <c r="CX1767" i="5" s="1"/>
  <c r="C1767" i="5"/>
  <c r="CS1766" i="5"/>
  <c r="CR1766" i="5"/>
  <c r="DA1766" i="5" s="1"/>
  <c r="C1766" i="5"/>
  <c r="CS1765" i="5"/>
  <c r="CR1765" i="5"/>
  <c r="DB1765" i="5" s="1"/>
  <c r="C1765" i="5"/>
  <c r="CS1764" i="5"/>
  <c r="CR1764" i="5"/>
  <c r="CW1764" i="5" s="1"/>
  <c r="C1764" i="5"/>
  <c r="C1461" i="5"/>
  <c r="C1460" i="5"/>
  <c r="C1459" i="5"/>
  <c r="C1458" i="5"/>
  <c r="C1457" i="5"/>
  <c r="C960" i="5"/>
  <c r="C959" i="5"/>
  <c r="C958" i="5"/>
  <c r="C957" i="5"/>
  <c r="C956" i="5"/>
  <c r="C2039" i="5"/>
  <c r="C2038" i="5"/>
  <c r="C2037" i="5"/>
  <c r="C2232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2231" i="5"/>
  <c r="C2230" i="5"/>
  <c r="C2229" i="5"/>
  <c r="C2228" i="5"/>
  <c r="C2227" i="5"/>
  <c r="C2226" i="5"/>
  <c r="C2225" i="5"/>
  <c r="C2224" i="5"/>
  <c r="C2028" i="5"/>
  <c r="CZ1770" i="5" l="1"/>
  <c r="CY1764" i="5"/>
  <c r="CU1768" i="5"/>
  <c r="DA1768" i="5"/>
  <c r="CW1766" i="5"/>
  <c r="CT1769" i="5"/>
  <c r="CU1769" i="5"/>
  <c r="CV1767" i="5"/>
  <c r="DA1767" i="5"/>
  <c r="DB1767" i="5"/>
  <c r="CT1764" i="5"/>
  <c r="CV1764" i="5"/>
  <c r="CT1767" i="5"/>
  <c r="CU1767" i="5"/>
  <c r="CW1769" i="5"/>
  <c r="CZ1764" i="5"/>
  <c r="CW1767" i="5"/>
  <c r="CZ1769" i="5"/>
  <c r="CT1770" i="5"/>
  <c r="DB1770" i="5"/>
  <c r="DB1764" i="5"/>
  <c r="CY1767" i="5"/>
  <c r="DA1769" i="5"/>
  <c r="CV1770" i="5"/>
  <c r="CZ1767" i="5"/>
  <c r="CY1770" i="5"/>
  <c r="CX1771" i="5"/>
  <c r="CU1765" i="5"/>
  <c r="CZ1766" i="5"/>
  <c r="CX1764" i="5"/>
  <c r="CW1765" i="5"/>
  <c r="CV1766" i="5"/>
  <c r="DB1766" i="5"/>
  <c r="CT1768" i="5"/>
  <c r="CZ1768" i="5"/>
  <c r="CY1769" i="5"/>
  <c r="CX1770" i="5"/>
  <c r="CW1771" i="5"/>
  <c r="CX1765" i="5"/>
  <c r="CY1765" i="5"/>
  <c r="CX1766" i="5"/>
  <c r="CV1768" i="5"/>
  <c r="DB1768" i="5"/>
  <c r="CY1771" i="5"/>
  <c r="CU1764" i="5"/>
  <c r="DA1764" i="5"/>
  <c r="CT1765" i="5"/>
  <c r="CZ1765" i="5"/>
  <c r="CY1766" i="5"/>
  <c r="CW1768" i="5"/>
  <c r="CV1769" i="5"/>
  <c r="DB1769" i="5"/>
  <c r="CU1770" i="5"/>
  <c r="DA1770" i="5"/>
  <c r="CT1771" i="5"/>
  <c r="CZ1771" i="5"/>
  <c r="DA1765" i="5"/>
  <c r="CT1766" i="5"/>
  <c r="CX1768" i="5"/>
  <c r="CU1771" i="5"/>
  <c r="DA1771" i="5"/>
  <c r="CV1765" i="5"/>
  <c r="CU1766" i="5"/>
  <c r="CV1771" i="5"/>
  <c r="U2358" i="5"/>
  <c r="U2357" i="5"/>
  <c r="U2356" i="5"/>
  <c r="U2355" i="5"/>
  <c r="U2354" i="5"/>
  <c r="U2353" i="5"/>
  <c r="U2352" i="5"/>
  <c r="U2351" i="5"/>
  <c r="U2350" i="5"/>
  <c r="U2349" i="5"/>
  <c r="U2348" i="5"/>
  <c r="U2347" i="5"/>
  <c r="U2346" i="5"/>
  <c r="U2345" i="5"/>
  <c r="U2344" i="5"/>
  <c r="U2343" i="5"/>
  <c r="U2342" i="5"/>
  <c r="U2341" i="5"/>
  <c r="U2340" i="5"/>
  <c r="U2339" i="5"/>
  <c r="U2338" i="5"/>
  <c r="U2337" i="5"/>
  <c r="U2336" i="5"/>
  <c r="U2335" i="5"/>
  <c r="U2334" i="5"/>
  <c r="U2333" i="5"/>
  <c r="U2332" i="5"/>
  <c r="U2331" i="5"/>
  <c r="U2330" i="5"/>
  <c r="U2329" i="5"/>
  <c r="U2328" i="5"/>
  <c r="U2327" i="5"/>
  <c r="U2326" i="5"/>
  <c r="U2325" i="5"/>
  <c r="U2324" i="5"/>
  <c r="U2323" i="5"/>
  <c r="U2322" i="5"/>
  <c r="U2321" i="5"/>
  <c r="U2320" i="5"/>
  <c r="U2319" i="5"/>
  <c r="U2318" i="5"/>
  <c r="CS1821" i="5" l="1"/>
  <c r="CR1821" i="5"/>
  <c r="DB1821" i="5" s="1"/>
  <c r="C1821" i="5"/>
  <c r="CS1820" i="5"/>
  <c r="CR1820" i="5"/>
  <c r="DB1820" i="5" s="1"/>
  <c r="C1820" i="5"/>
  <c r="CS1819" i="5"/>
  <c r="CR1819" i="5"/>
  <c r="DB1819" i="5" s="1"/>
  <c r="C1819" i="5"/>
  <c r="CS1818" i="5"/>
  <c r="CR1818" i="5"/>
  <c r="DB1818" i="5" s="1"/>
  <c r="C1818" i="5"/>
  <c r="CS1817" i="5"/>
  <c r="CR1817" i="5"/>
  <c r="DB1817" i="5" s="1"/>
  <c r="C1817" i="5"/>
  <c r="CW1819" i="5" l="1"/>
  <c r="CW1817" i="5"/>
  <c r="CW1820" i="5"/>
  <c r="CW1818" i="5"/>
  <c r="CW1821" i="5"/>
  <c r="CX1817" i="5"/>
  <c r="CX1818" i="5"/>
  <c r="CX1819" i="5"/>
  <c r="CX1821" i="5"/>
  <c r="CY1817" i="5"/>
  <c r="CT1817" i="5"/>
  <c r="CZ1818" i="5"/>
  <c r="DA1821" i="5"/>
  <c r="CX1820" i="5"/>
  <c r="CY1818" i="5"/>
  <c r="CY1819" i="5"/>
  <c r="CY1820" i="5"/>
  <c r="CY1821" i="5"/>
  <c r="CZ1817" i="5"/>
  <c r="CT1818" i="5"/>
  <c r="CT1819" i="5"/>
  <c r="CZ1819" i="5"/>
  <c r="CT1820" i="5"/>
  <c r="CZ1820" i="5"/>
  <c r="CT1821" i="5"/>
  <c r="CZ1821" i="5"/>
  <c r="CU1817" i="5"/>
  <c r="DA1817" i="5"/>
  <c r="CU1818" i="5"/>
  <c r="DA1818" i="5"/>
  <c r="CU1819" i="5"/>
  <c r="DA1819" i="5"/>
  <c r="CU1820" i="5"/>
  <c r="DA1820" i="5"/>
  <c r="CU1821" i="5"/>
  <c r="CV1817" i="5"/>
  <c r="CV1818" i="5"/>
  <c r="CV1819" i="5"/>
  <c r="CV1820" i="5"/>
  <c r="CV1821" i="5"/>
  <c r="C1456" i="5"/>
  <c r="C1455" i="5"/>
  <c r="C1454" i="5"/>
  <c r="C1453" i="5"/>
  <c r="C1452" i="5"/>
  <c r="C945" i="5"/>
  <c r="C955" i="5"/>
  <c r="C954" i="5"/>
  <c r="C953" i="5"/>
  <c r="C952" i="5"/>
  <c r="C951" i="5"/>
  <c r="C2034" i="5" l="1"/>
  <c r="C2035" i="5"/>
  <c r="C2036" i="5"/>
  <c r="C444" i="5" l="1"/>
  <c r="C2033" i="5"/>
  <c r="C2032" i="5"/>
  <c r="C2031" i="5"/>
  <c r="C2030" i="5"/>
  <c r="C2029" i="5"/>
  <c r="CS1823" i="5" l="1"/>
  <c r="CR1823" i="5"/>
  <c r="DB1823" i="5" s="1"/>
  <c r="C1823" i="5"/>
  <c r="CS1822" i="5"/>
  <c r="CR1822" i="5"/>
  <c r="DB1822" i="5" s="1"/>
  <c r="C1822" i="5"/>
  <c r="CS1816" i="5"/>
  <c r="CR1816" i="5"/>
  <c r="DB1816" i="5" s="1"/>
  <c r="C1816" i="5"/>
  <c r="CS1815" i="5"/>
  <c r="CR1815" i="5"/>
  <c r="DB1815" i="5" s="1"/>
  <c r="C1815" i="5"/>
  <c r="CS1814" i="5"/>
  <c r="CR1814" i="5"/>
  <c r="DB1814" i="5" s="1"/>
  <c r="C1814" i="5"/>
  <c r="CS1813" i="5"/>
  <c r="CR1813" i="5"/>
  <c r="DB1813" i="5" s="1"/>
  <c r="C1813" i="5"/>
  <c r="CS1812" i="5"/>
  <c r="CR1812" i="5"/>
  <c r="DB1812" i="5" s="1"/>
  <c r="C1812" i="5"/>
  <c r="CS1811" i="5"/>
  <c r="CR1811" i="5"/>
  <c r="DB1811" i="5" s="1"/>
  <c r="C1811" i="5"/>
  <c r="CS1810" i="5"/>
  <c r="CR1810" i="5"/>
  <c r="DB1810" i="5" s="1"/>
  <c r="C1810" i="5"/>
  <c r="CS1809" i="5"/>
  <c r="CR1809" i="5"/>
  <c r="DB1809" i="5" s="1"/>
  <c r="C1809" i="5"/>
  <c r="CS1808" i="5"/>
  <c r="CR1808" i="5"/>
  <c r="DB1808" i="5" s="1"/>
  <c r="C1808" i="5"/>
  <c r="CS1807" i="5"/>
  <c r="CR1807" i="5"/>
  <c r="DB1807" i="5" s="1"/>
  <c r="C1807" i="5"/>
  <c r="CS1806" i="5"/>
  <c r="CR1806" i="5"/>
  <c r="DB1806" i="5" s="1"/>
  <c r="C1806" i="5"/>
  <c r="CS1805" i="5"/>
  <c r="CR1805" i="5"/>
  <c r="C1805" i="5"/>
  <c r="CS1804" i="5"/>
  <c r="CR1804" i="5"/>
  <c r="DB1804" i="5" s="1"/>
  <c r="C1804" i="5"/>
  <c r="CS1803" i="5"/>
  <c r="CR1803" i="5"/>
  <c r="DB1803" i="5" s="1"/>
  <c r="C1803" i="5"/>
  <c r="CS1802" i="5"/>
  <c r="CR1802" i="5"/>
  <c r="DB1802" i="5" s="1"/>
  <c r="C1802" i="5"/>
  <c r="CS1801" i="5"/>
  <c r="CR1801" i="5"/>
  <c r="DB1801" i="5" s="1"/>
  <c r="C1801" i="5"/>
  <c r="CS1800" i="5"/>
  <c r="CR1800" i="5"/>
  <c r="C1800" i="5"/>
  <c r="CS1799" i="5"/>
  <c r="CR1799" i="5"/>
  <c r="CX1799" i="5" s="1"/>
  <c r="C1799" i="5"/>
  <c r="CS1798" i="5"/>
  <c r="CR1798" i="5"/>
  <c r="C1798" i="5"/>
  <c r="CS1797" i="5"/>
  <c r="CR1797" i="5"/>
  <c r="CX1797" i="5" s="1"/>
  <c r="C1797" i="5"/>
  <c r="CS1796" i="5"/>
  <c r="CR1796" i="5"/>
  <c r="CX1796" i="5" s="1"/>
  <c r="C1796" i="5"/>
  <c r="CS1795" i="5"/>
  <c r="CR1795" i="5"/>
  <c r="C1795" i="5"/>
  <c r="CS1794" i="5"/>
  <c r="CR1794" i="5"/>
  <c r="CX1794" i="5" s="1"/>
  <c r="C1794" i="5"/>
  <c r="CS1793" i="5"/>
  <c r="CR1793" i="5"/>
  <c r="CX1793" i="5" s="1"/>
  <c r="C1793" i="5"/>
  <c r="CS1792" i="5"/>
  <c r="CR1792" i="5"/>
  <c r="C1792" i="5"/>
  <c r="CS1791" i="5"/>
  <c r="CR1791" i="5"/>
  <c r="CX1791" i="5" s="1"/>
  <c r="C1791" i="5"/>
  <c r="CS1790" i="5"/>
  <c r="CR1790" i="5"/>
  <c r="CX1790" i="5" s="1"/>
  <c r="C1790" i="5"/>
  <c r="CS1789" i="5"/>
  <c r="CR1789" i="5"/>
  <c r="C1789" i="5"/>
  <c r="CS1788" i="5"/>
  <c r="CR1788" i="5"/>
  <c r="C1788" i="5"/>
  <c r="CS1787" i="5"/>
  <c r="CR1787" i="5"/>
  <c r="CX1787" i="5" s="1"/>
  <c r="C1787" i="5"/>
  <c r="CS1786" i="5"/>
  <c r="CR1786" i="5"/>
  <c r="CW1786" i="5" s="1"/>
  <c r="C1786" i="5"/>
  <c r="CS1785" i="5"/>
  <c r="CR1785" i="5"/>
  <c r="CX1785" i="5" s="1"/>
  <c r="C1785" i="5"/>
  <c r="CS1784" i="5"/>
  <c r="CR1784" i="5"/>
  <c r="CX1784" i="5" s="1"/>
  <c r="C1784" i="5"/>
  <c r="CS1783" i="5"/>
  <c r="CR1783" i="5"/>
  <c r="C1783" i="5"/>
  <c r="CS1782" i="5"/>
  <c r="CR1782" i="5"/>
  <c r="C1782" i="5"/>
  <c r="C1781" i="5"/>
  <c r="CX1786" i="5" l="1"/>
  <c r="CW1787" i="5"/>
  <c r="CW1785" i="5"/>
  <c r="CW1784" i="5"/>
  <c r="DB1783" i="5"/>
  <c r="CV1783" i="5"/>
  <c r="DA1783" i="5"/>
  <c r="CU1783" i="5"/>
  <c r="CZ1783" i="5"/>
  <c r="CT1783" i="5"/>
  <c r="CY1783" i="5"/>
  <c r="DB1789" i="5"/>
  <c r="CV1789" i="5"/>
  <c r="DA1789" i="5"/>
  <c r="CU1789" i="5"/>
  <c r="CZ1789" i="5"/>
  <c r="CT1789" i="5"/>
  <c r="CY1789" i="5"/>
  <c r="DB1805" i="5"/>
  <c r="CV1805" i="5"/>
  <c r="DA1805" i="5"/>
  <c r="CU1805" i="5"/>
  <c r="CX1805" i="5"/>
  <c r="CZ1805" i="5"/>
  <c r="CT1805" i="5"/>
  <c r="CY1805" i="5"/>
  <c r="CW1805" i="5"/>
  <c r="DB1782" i="5"/>
  <c r="CV1782" i="5"/>
  <c r="DA1782" i="5"/>
  <c r="CU1782" i="5"/>
  <c r="CZ1782" i="5"/>
  <c r="CT1782" i="5"/>
  <c r="CY1782" i="5"/>
  <c r="DB1788" i="5"/>
  <c r="CV1788" i="5"/>
  <c r="DA1788" i="5"/>
  <c r="CU1788" i="5"/>
  <c r="CZ1788" i="5"/>
  <c r="CT1788" i="5"/>
  <c r="CY1788" i="5"/>
  <c r="DB1792" i="5"/>
  <c r="CV1792" i="5"/>
  <c r="DA1792" i="5"/>
  <c r="CU1792" i="5"/>
  <c r="CZ1792" i="5"/>
  <c r="CT1792" i="5"/>
  <c r="CY1792" i="5"/>
  <c r="CW1792" i="5"/>
  <c r="DB1795" i="5"/>
  <c r="CV1795" i="5"/>
  <c r="DA1795" i="5"/>
  <c r="CU1795" i="5"/>
  <c r="CZ1795" i="5"/>
  <c r="CT1795" i="5"/>
  <c r="CY1795" i="5"/>
  <c r="CW1795" i="5"/>
  <c r="DB1798" i="5"/>
  <c r="CV1798" i="5"/>
  <c r="DA1798" i="5"/>
  <c r="CU1798" i="5"/>
  <c r="CZ1798" i="5"/>
  <c r="CT1798" i="5"/>
  <c r="CY1798" i="5"/>
  <c r="CW1798" i="5"/>
  <c r="CW1783" i="5"/>
  <c r="CW1782" i="5"/>
  <c r="CX1783" i="5"/>
  <c r="CX1782" i="5"/>
  <c r="DB1785" i="5"/>
  <c r="CV1785" i="5"/>
  <c r="DA1785" i="5"/>
  <c r="CU1785" i="5"/>
  <c r="CZ1785" i="5"/>
  <c r="CT1785" i="5"/>
  <c r="CY1785" i="5"/>
  <c r="CX1788" i="5"/>
  <c r="DB1784" i="5"/>
  <c r="CV1784" i="5"/>
  <c r="DA1784" i="5"/>
  <c r="CU1784" i="5"/>
  <c r="CZ1784" i="5"/>
  <c r="CT1784" i="5"/>
  <c r="CY1784" i="5"/>
  <c r="DB1790" i="5"/>
  <c r="CV1790" i="5"/>
  <c r="DA1790" i="5"/>
  <c r="CU1790" i="5"/>
  <c r="CZ1790" i="5"/>
  <c r="CT1790" i="5"/>
  <c r="CY1790" i="5"/>
  <c r="CW1790" i="5"/>
  <c r="DB1793" i="5"/>
  <c r="CV1793" i="5"/>
  <c r="DA1793" i="5"/>
  <c r="CU1793" i="5"/>
  <c r="CZ1793" i="5"/>
  <c r="CT1793" i="5"/>
  <c r="CY1793" i="5"/>
  <c r="CW1793" i="5"/>
  <c r="DB1796" i="5"/>
  <c r="CV1796" i="5"/>
  <c r="DA1796" i="5"/>
  <c r="CU1796" i="5"/>
  <c r="CZ1796" i="5"/>
  <c r="CT1796" i="5"/>
  <c r="CY1796" i="5"/>
  <c r="CW1796" i="5"/>
  <c r="DB1799" i="5"/>
  <c r="CV1799" i="5"/>
  <c r="DA1799" i="5"/>
  <c r="CU1799" i="5"/>
  <c r="CZ1799" i="5"/>
  <c r="CT1799" i="5"/>
  <c r="CY1799" i="5"/>
  <c r="CW1799" i="5"/>
  <c r="DB1787" i="5"/>
  <c r="CV1787" i="5"/>
  <c r="DA1787" i="5"/>
  <c r="CU1787" i="5"/>
  <c r="CZ1787" i="5"/>
  <c r="CT1787" i="5"/>
  <c r="CY1787" i="5"/>
  <c r="CW1789" i="5"/>
  <c r="DB1786" i="5"/>
  <c r="CV1786" i="5"/>
  <c r="DA1786" i="5"/>
  <c r="CU1786" i="5"/>
  <c r="CZ1786" i="5"/>
  <c r="CT1786" i="5"/>
  <c r="CY1786" i="5"/>
  <c r="CW1788" i="5"/>
  <c r="CX1789" i="5"/>
  <c r="DB1791" i="5"/>
  <c r="CV1791" i="5"/>
  <c r="DA1791" i="5"/>
  <c r="CU1791" i="5"/>
  <c r="CZ1791" i="5"/>
  <c r="CT1791" i="5"/>
  <c r="CY1791" i="5"/>
  <c r="CW1791" i="5"/>
  <c r="CX1792" i="5"/>
  <c r="DB1794" i="5"/>
  <c r="CV1794" i="5"/>
  <c r="DA1794" i="5"/>
  <c r="CU1794" i="5"/>
  <c r="CZ1794" i="5"/>
  <c r="CT1794" i="5"/>
  <c r="CY1794" i="5"/>
  <c r="CW1794" i="5"/>
  <c r="CX1795" i="5"/>
  <c r="DB1797" i="5"/>
  <c r="CV1797" i="5"/>
  <c r="DA1797" i="5"/>
  <c r="CU1797" i="5"/>
  <c r="CZ1797" i="5"/>
  <c r="CT1797" i="5"/>
  <c r="CY1797" i="5"/>
  <c r="CW1797" i="5"/>
  <c r="CX1798" i="5"/>
  <c r="DB1800" i="5"/>
  <c r="CV1800" i="5"/>
  <c r="DA1800" i="5"/>
  <c r="CU1800" i="5"/>
  <c r="CZ1800" i="5"/>
  <c r="CT1800" i="5"/>
  <c r="CX1800" i="5"/>
  <c r="CY1800" i="5"/>
  <c r="CW1800" i="5"/>
  <c r="CW1801" i="5"/>
  <c r="CW1802" i="5"/>
  <c r="CW1803" i="5"/>
  <c r="CW1804" i="5"/>
  <c r="CW1806" i="5"/>
  <c r="CW1807" i="5"/>
  <c r="CW1808" i="5"/>
  <c r="CW1809" i="5"/>
  <c r="CW1810" i="5"/>
  <c r="CW1811" i="5"/>
  <c r="CW1812" i="5"/>
  <c r="CW1813" i="5"/>
  <c r="CW1814" i="5"/>
  <c r="CW1815" i="5"/>
  <c r="CW1816" i="5"/>
  <c r="CW1822" i="5"/>
  <c r="CW1823" i="5"/>
  <c r="CX1802" i="5"/>
  <c r="CX1807" i="5"/>
  <c r="CX1810" i="5"/>
  <c r="CX1813" i="5"/>
  <c r="CX1814" i="5"/>
  <c r="CY1801" i="5"/>
  <c r="CY1802" i="5"/>
  <c r="CY1803" i="5"/>
  <c r="CY1804" i="5"/>
  <c r="CY1806" i="5"/>
  <c r="CY1807" i="5"/>
  <c r="CY1808" i="5"/>
  <c r="CY1809" i="5"/>
  <c r="CY1810" i="5"/>
  <c r="CY1811" i="5"/>
  <c r="CY1812" i="5"/>
  <c r="CY1813" i="5"/>
  <c r="CY1814" i="5"/>
  <c r="CY1815" i="5"/>
  <c r="CY1816" i="5"/>
  <c r="CY1822" i="5"/>
  <c r="CY1823" i="5"/>
  <c r="CX1801" i="5"/>
  <c r="CX1804" i="5"/>
  <c r="CX1806" i="5"/>
  <c r="CX1809" i="5"/>
  <c r="CX1812" i="5"/>
  <c r="CX1815" i="5"/>
  <c r="CX1816" i="5"/>
  <c r="CX1823" i="5"/>
  <c r="CT1801" i="5"/>
  <c r="CZ1801" i="5"/>
  <c r="CT1802" i="5"/>
  <c r="CZ1802" i="5"/>
  <c r="CT1803" i="5"/>
  <c r="CZ1803" i="5"/>
  <c r="CT1804" i="5"/>
  <c r="CZ1804" i="5"/>
  <c r="CT1806" i="5"/>
  <c r="CZ1806" i="5"/>
  <c r="CT1807" i="5"/>
  <c r="CZ1807" i="5"/>
  <c r="CT1808" i="5"/>
  <c r="CZ1808" i="5"/>
  <c r="CT1809" i="5"/>
  <c r="CZ1809" i="5"/>
  <c r="CT1810" i="5"/>
  <c r="CZ1810" i="5"/>
  <c r="CT1811" i="5"/>
  <c r="CZ1811" i="5"/>
  <c r="CT1812" i="5"/>
  <c r="CZ1812" i="5"/>
  <c r="CT1813" i="5"/>
  <c r="CZ1813" i="5"/>
  <c r="CT1814" i="5"/>
  <c r="CZ1814" i="5"/>
  <c r="CT1815" i="5"/>
  <c r="CZ1815" i="5"/>
  <c r="CT1816" i="5"/>
  <c r="CZ1816" i="5"/>
  <c r="CT1822" i="5"/>
  <c r="CZ1822" i="5"/>
  <c r="CT1823" i="5"/>
  <c r="CZ1823" i="5"/>
  <c r="CX1803" i="5"/>
  <c r="CX1808" i="5"/>
  <c r="CX1811" i="5"/>
  <c r="CX1822" i="5"/>
  <c r="CU1801" i="5"/>
  <c r="DA1801" i="5"/>
  <c r="CU1802" i="5"/>
  <c r="DA1802" i="5"/>
  <c r="CU1803" i="5"/>
  <c r="DA1803" i="5"/>
  <c r="CU1804" i="5"/>
  <c r="DA1804" i="5"/>
  <c r="CU1806" i="5"/>
  <c r="DA1806" i="5"/>
  <c r="CU1807" i="5"/>
  <c r="DA1807" i="5"/>
  <c r="CU1808" i="5"/>
  <c r="DA1808" i="5"/>
  <c r="CU1809" i="5"/>
  <c r="DA1809" i="5"/>
  <c r="CU1810" i="5"/>
  <c r="DA1810" i="5"/>
  <c r="CU1811" i="5"/>
  <c r="DA1811" i="5"/>
  <c r="CU1812" i="5"/>
  <c r="DA1812" i="5"/>
  <c r="CU1813" i="5"/>
  <c r="DA1813" i="5"/>
  <c r="CU1814" i="5"/>
  <c r="DA1814" i="5"/>
  <c r="CU1815" i="5"/>
  <c r="DA1815" i="5"/>
  <c r="CU1816" i="5"/>
  <c r="DA1816" i="5"/>
  <c r="CU1822" i="5"/>
  <c r="DA1822" i="5"/>
  <c r="CU1823" i="5"/>
  <c r="DA1823" i="5"/>
  <c r="CV1801" i="5"/>
  <c r="CV1802" i="5"/>
  <c r="CV1803" i="5"/>
  <c r="CV1804" i="5"/>
  <c r="CV1806" i="5"/>
  <c r="CV1807" i="5"/>
  <c r="CV1808" i="5"/>
  <c r="CV1809" i="5"/>
  <c r="CV1810" i="5"/>
  <c r="CV1811" i="5"/>
  <c r="CV1812" i="5"/>
  <c r="CV1813" i="5"/>
  <c r="CV1814" i="5"/>
  <c r="CV1815" i="5"/>
  <c r="CV1816" i="5"/>
  <c r="CV1822" i="5"/>
  <c r="CV1823" i="5"/>
  <c r="C2027" i="5" l="1"/>
  <c r="C2026" i="5"/>
  <c r="C2025" i="5"/>
  <c r="C2024" i="5"/>
  <c r="C2023" i="5"/>
  <c r="C1366" i="5" l="1"/>
  <c r="C1365" i="5"/>
  <c r="C1364" i="5"/>
  <c r="C1363" i="5"/>
  <c r="C1362" i="5"/>
  <c r="C865" i="5"/>
  <c r="C864" i="5"/>
  <c r="C863" i="5"/>
  <c r="C862" i="5"/>
  <c r="C861" i="5"/>
  <c r="C2022" i="5" l="1"/>
  <c r="C2021" i="5"/>
  <c r="C1980" i="5"/>
  <c r="C946" i="5" l="1"/>
  <c r="C947" i="5"/>
  <c r="C1451" i="5" l="1"/>
  <c r="C1450" i="5"/>
  <c r="C1449" i="5"/>
  <c r="C1448" i="5"/>
  <c r="C1447" i="5"/>
  <c r="C950" i="5" l="1"/>
  <c r="C949" i="5"/>
  <c r="C948" i="5"/>
  <c r="C2020" i="5" l="1"/>
  <c r="C2019" i="5"/>
  <c r="C2018" i="5" l="1"/>
  <c r="C2017" i="5"/>
  <c r="C2016" i="5"/>
  <c r="C2015" i="5"/>
  <c r="C2014" i="5"/>
  <c r="C2013" i="5"/>
  <c r="C2012" i="5" l="1"/>
  <c r="C2011" i="5"/>
  <c r="C2010" i="5"/>
  <c r="C2009" i="5"/>
  <c r="C2008" i="5"/>
  <c r="C2007" i="5"/>
  <c r="C2006" i="5"/>
  <c r="C2005" i="5"/>
  <c r="C890" i="5" l="1"/>
  <c r="C895" i="5"/>
  <c r="C894" i="5"/>
  <c r="C893" i="5"/>
  <c r="C892" i="5"/>
  <c r="C891" i="5"/>
  <c r="C889" i="5"/>
  <c r="C888" i="5"/>
  <c r="C887" i="5"/>
  <c r="C886" i="5"/>
  <c r="C1396" i="5"/>
  <c r="C1395" i="5"/>
  <c r="C1394" i="5"/>
  <c r="C1393" i="5"/>
  <c r="C1392" i="5"/>
  <c r="C1391" i="5"/>
  <c r="C1390" i="5"/>
  <c r="C1389" i="5"/>
  <c r="C1388" i="5"/>
  <c r="C1387" i="5"/>
  <c r="C1381" i="5" l="1"/>
  <c r="C1380" i="5"/>
  <c r="C1379" i="5"/>
  <c r="C1378" i="5"/>
  <c r="C1377" i="5"/>
  <c r="C880" i="5"/>
  <c r="C879" i="5"/>
  <c r="C878" i="5"/>
  <c r="C877" i="5"/>
  <c r="C876" i="5"/>
  <c r="C2004" i="5" l="1"/>
  <c r="C2003" i="5" l="1"/>
  <c r="C2002" i="5"/>
  <c r="C2001" i="5"/>
  <c r="C1960" i="5" l="1"/>
  <c r="C1959" i="5" l="1"/>
  <c r="C2089" i="5" l="1"/>
  <c r="C2000" i="5" l="1"/>
  <c r="C1999" i="5"/>
  <c r="C1998" i="5"/>
  <c r="C1997" i="5"/>
  <c r="C1996" i="5"/>
  <c r="C1995" i="5" l="1"/>
  <c r="C1994" i="5" l="1"/>
  <c r="C1993" i="5"/>
  <c r="C1992" i="5"/>
  <c r="C1991" i="5"/>
  <c r="C1376" i="5" l="1"/>
  <c r="C1375" i="5"/>
  <c r="C1374" i="5"/>
  <c r="C1373" i="5"/>
  <c r="C1372" i="5"/>
  <c r="C875" i="5"/>
  <c r="C874" i="5"/>
  <c r="C873" i="5"/>
  <c r="C872" i="5"/>
  <c r="C871" i="5"/>
  <c r="C2316" i="5" l="1"/>
  <c r="C2315" i="5"/>
  <c r="C2307" i="5" l="1"/>
  <c r="C2306" i="5"/>
  <c r="C2272" i="5" l="1"/>
  <c r="C2271" i="5"/>
  <c r="C2262" i="5"/>
  <c r="C2261" i="5"/>
  <c r="C2252" i="5"/>
  <c r="C2251" i="5"/>
  <c r="C1446" i="5" l="1"/>
  <c r="C1445" i="5"/>
  <c r="C1444" i="5"/>
  <c r="C1443" i="5"/>
  <c r="C1442" i="5"/>
  <c r="C944" i="5"/>
  <c r="C943" i="5"/>
  <c r="C942" i="5"/>
  <c r="C941" i="5"/>
  <c r="C1990" i="5" l="1"/>
  <c r="C1989" i="5"/>
  <c r="C1988" i="5"/>
  <c r="C1987" i="5" l="1"/>
  <c r="C1986" i="5"/>
  <c r="C1985" i="5"/>
  <c r="C1984" i="5"/>
  <c r="C1983" i="5"/>
  <c r="C1982" i="5"/>
  <c r="C1981" i="5"/>
  <c r="C1979" i="5" l="1"/>
  <c r="C1978" i="5"/>
  <c r="C1977" i="5"/>
  <c r="C1976" i="5" l="1"/>
  <c r="C1975" i="5"/>
  <c r="C1974" i="5"/>
  <c r="C1973" i="5"/>
  <c r="C1371" i="5" l="1"/>
  <c r="C1370" i="5"/>
  <c r="C1369" i="5"/>
  <c r="C1368" i="5"/>
  <c r="C1367" i="5"/>
  <c r="C870" i="5"/>
  <c r="C869" i="5"/>
  <c r="C868" i="5"/>
  <c r="C867" i="5"/>
  <c r="C866" i="5"/>
  <c r="C1935" i="5" l="1"/>
  <c r="C1972" i="5"/>
  <c r="C470" i="5" l="1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1971" i="5" l="1"/>
  <c r="C1970" i="5"/>
  <c r="C1969" i="5"/>
  <c r="C1968" i="5" l="1"/>
  <c r="C1967" i="5"/>
  <c r="C1966" i="5"/>
  <c r="C1965" i="5"/>
  <c r="C1964" i="5"/>
  <c r="C1963" i="5"/>
  <c r="C1962" i="5" l="1"/>
  <c r="C322" i="5" l="1"/>
  <c r="C1961" i="5" l="1"/>
  <c r="C284" i="5" l="1"/>
  <c r="C283" i="5"/>
  <c r="C282" i="5"/>
  <c r="C281" i="5"/>
  <c r="C1361" i="5" l="1"/>
  <c r="C1360" i="5"/>
  <c r="C1359" i="5"/>
  <c r="C1358" i="5"/>
  <c r="C1357" i="5"/>
  <c r="C860" i="5"/>
  <c r="C859" i="5"/>
  <c r="C858" i="5"/>
  <c r="C857" i="5"/>
  <c r="C856" i="5"/>
  <c r="C2286" i="5" l="1"/>
  <c r="C2298" i="5" l="1"/>
  <c r="C2297" i="5"/>
  <c r="C2296" i="5"/>
  <c r="C2295" i="5"/>
  <c r="C2294" i="5"/>
  <c r="C2293" i="5"/>
  <c r="C2292" i="5"/>
  <c r="C2291" i="5"/>
  <c r="C2290" i="5"/>
  <c r="C2289" i="5"/>
  <c r="C2288" i="5"/>
  <c r="C2287" i="5"/>
  <c r="C1351" i="5" l="1"/>
  <c r="C1350" i="5"/>
  <c r="C1349" i="5"/>
  <c r="C1348" i="5"/>
  <c r="C1347" i="5"/>
  <c r="C850" i="5"/>
  <c r="C849" i="5"/>
  <c r="C848" i="5"/>
  <c r="C847" i="5"/>
  <c r="C846" i="5"/>
  <c r="C1958" i="5" l="1"/>
  <c r="C1957" i="5"/>
  <c r="C1956" i="5"/>
  <c r="C1955" i="5"/>
  <c r="C1954" i="5"/>
  <c r="C1953" i="5"/>
  <c r="C1952" i="5"/>
  <c r="C2314" i="5" l="1"/>
  <c r="C2313" i="5"/>
  <c r="C2312" i="5"/>
  <c r="C2311" i="5"/>
  <c r="C2310" i="5"/>
  <c r="C2309" i="5"/>
  <c r="C2308" i="5"/>
  <c r="C2305" i="5"/>
  <c r="C2304" i="5"/>
  <c r="C2303" i="5"/>
  <c r="C2302" i="5"/>
  <c r="C2301" i="5"/>
  <c r="C2300" i="5"/>
  <c r="C2299" i="5"/>
  <c r="C2285" i="5"/>
  <c r="C2284" i="5"/>
  <c r="C2283" i="5"/>
  <c r="C2282" i="5"/>
  <c r="C2281" i="5"/>
  <c r="C2280" i="5"/>
  <c r="C2279" i="5"/>
  <c r="C2278" i="5"/>
  <c r="C2277" i="5"/>
  <c r="C2276" i="5"/>
  <c r="C2275" i="5"/>
  <c r="C2274" i="5"/>
  <c r="C1346" i="5" l="1"/>
  <c r="C1345" i="5"/>
  <c r="C1344" i="5"/>
  <c r="C1343" i="5"/>
  <c r="C1342" i="5"/>
  <c r="C845" i="5"/>
  <c r="C844" i="5"/>
  <c r="C843" i="5"/>
  <c r="C842" i="5"/>
  <c r="C841" i="5"/>
  <c r="C1484" i="5" l="1"/>
  <c r="C1473" i="5"/>
  <c r="C1479" i="5"/>
  <c r="C1491" i="5"/>
  <c r="C1951" i="5" l="1"/>
  <c r="C1950" i="5"/>
  <c r="C1949" i="5" l="1"/>
  <c r="C1948" i="5"/>
  <c r="C1947" i="5"/>
  <c r="C2223" i="5" l="1"/>
  <c r="C2222" i="5"/>
  <c r="C2221" i="5"/>
  <c r="C2220" i="5"/>
  <c r="C2219" i="5"/>
  <c r="C2218" i="5"/>
  <c r="C2217" i="5"/>
  <c r="C2216" i="5"/>
  <c r="C2215" i="5"/>
  <c r="C2214" i="5"/>
  <c r="C2213" i="5"/>
  <c r="C2212" i="5"/>
  <c r="C2211" i="5"/>
  <c r="C2210" i="5"/>
  <c r="C2209" i="5"/>
  <c r="C2208" i="5"/>
  <c r="C2207" i="5"/>
  <c r="C1336" i="5" l="1"/>
  <c r="C1335" i="5"/>
  <c r="C1334" i="5"/>
  <c r="C1333" i="5"/>
  <c r="C1332" i="5"/>
  <c r="C835" i="5"/>
  <c r="C834" i="5"/>
  <c r="C833" i="5"/>
  <c r="C832" i="5"/>
  <c r="C831" i="5"/>
  <c r="C1945" i="5" l="1"/>
  <c r="C1946" i="5"/>
  <c r="C1944" i="5"/>
  <c r="C1943" i="5"/>
  <c r="C1942" i="5"/>
  <c r="C1941" i="5"/>
  <c r="C1940" i="5"/>
  <c r="C1939" i="5"/>
  <c r="C1938" i="5"/>
  <c r="C1937" i="5"/>
  <c r="C1936" i="5"/>
  <c r="C1326" i="5" l="1"/>
  <c r="C1325" i="5"/>
  <c r="C1324" i="5"/>
  <c r="C1323" i="5"/>
  <c r="C1322" i="5"/>
  <c r="C820" i="5"/>
  <c r="C821" i="5"/>
  <c r="C822" i="5"/>
  <c r="C823" i="5"/>
  <c r="C824" i="5"/>
  <c r="C825" i="5"/>
  <c r="C1934" i="5" l="1"/>
  <c r="C1933" i="5"/>
  <c r="C1932" i="5"/>
  <c r="C1931" i="5"/>
  <c r="C1930" i="5"/>
  <c r="C1929" i="5" l="1"/>
  <c r="C1928" i="5"/>
  <c r="C1927" i="5"/>
  <c r="C1926" i="5"/>
  <c r="C1925" i="5"/>
  <c r="C1924" i="5"/>
  <c r="C1923" i="5"/>
  <c r="C1922" i="5"/>
  <c r="C1829" i="5" l="1"/>
  <c r="C1914" i="5" l="1"/>
  <c r="C1915" i="5"/>
  <c r="C1916" i="5"/>
  <c r="C1917" i="5"/>
  <c r="C1918" i="5"/>
  <c r="C1919" i="5"/>
  <c r="C1920" i="5"/>
  <c r="C1921" i="5"/>
  <c r="C1913" i="5"/>
  <c r="C2270" i="5" l="1"/>
  <c r="C2259" i="5"/>
  <c r="C1912" i="5" l="1"/>
  <c r="C1911" i="5"/>
  <c r="C1910" i="5"/>
  <c r="C1909" i="5"/>
  <c r="C1908" i="5"/>
  <c r="C1907" i="5"/>
  <c r="C1906" i="5"/>
  <c r="C1905" i="5"/>
  <c r="C1904" i="5"/>
  <c r="C1903" i="5"/>
  <c r="C710" i="5" l="1"/>
  <c r="C709" i="5"/>
  <c r="C708" i="5"/>
  <c r="C707" i="5"/>
  <c r="C706" i="5"/>
  <c r="C1206" i="5"/>
  <c r="C1205" i="5"/>
  <c r="C1204" i="5"/>
  <c r="C1203" i="5"/>
  <c r="C1202" i="5"/>
  <c r="C571" i="5" l="1"/>
  <c r="C566" i="5"/>
  <c r="C561" i="5"/>
  <c r="C562" i="5"/>
  <c r="C546" i="5"/>
  <c r="C547" i="5"/>
  <c r="C536" i="5"/>
  <c r="C537" i="5"/>
  <c r="C531" i="5"/>
  <c r="C526" i="5"/>
  <c r="C521" i="5"/>
  <c r="C522" i="5"/>
  <c r="C511" i="5"/>
  <c r="C506" i="5"/>
  <c r="C496" i="5"/>
  <c r="C497" i="5"/>
  <c r="C491" i="5"/>
  <c r="C2269" i="5" l="1"/>
  <c r="C2268" i="5"/>
  <c r="C2260" i="5"/>
  <c r="C2258" i="5"/>
  <c r="C2267" i="5" l="1"/>
  <c r="C2266" i="5"/>
  <c r="C2265" i="5"/>
  <c r="C2264" i="5"/>
  <c r="C2263" i="5"/>
  <c r="C2257" i="5"/>
  <c r="C2256" i="5"/>
  <c r="C2255" i="5"/>
  <c r="C2254" i="5"/>
  <c r="C2253" i="5"/>
  <c r="C1441" i="5" l="1"/>
  <c r="C1440" i="5"/>
  <c r="C1439" i="5"/>
  <c r="C1438" i="5"/>
  <c r="C1437" i="5"/>
  <c r="C940" i="5"/>
  <c r="C939" i="5"/>
  <c r="C938" i="5"/>
  <c r="C937" i="5"/>
  <c r="C936" i="5"/>
  <c r="C1898" i="5" l="1"/>
  <c r="C1899" i="5"/>
  <c r="C1900" i="5"/>
  <c r="C1901" i="5"/>
  <c r="C1902" i="5"/>
  <c r="C1897" i="5"/>
  <c r="C1761" i="5" l="1"/>
  <c r="C1760" i="5"/>
  <c r="C1759" i="5"/>
  <c r="C1758" i="5"/>
  <c r="C1757" i="5"/>
  <c r="C1896" i="5" l="1"/>
  <c r="C1895" i="5"/>
  <c r="C1894" i="5"/>
  <c r="C1893" i="5"/>
  <c r="C1436" i="5" l="1"/>
  <c r="C1435" i="5"/>
  <c r="C1434" i="5"/>
  <c r="C1433" i="5"/>
  <c r="C1432" i="5"/>
  <c r="C935" i="5"/>
  <c r="C934" i="5"/>
  <c r="C933" i="5"/>
  <c r="C932" i="5"/>
  <c r="C931" i="5"/>
  <c r="C1886" i="5" l="1"/>
  <c r="C1887" i="5"/>
  <c r="C1888" i="5"/>
  <c r="C1889" i="5"/>
  <c r="C1890" i="5"/>
  <c r="C1891" i="5"/>
  <c r="C1892" i="5"/>
  <c r="C1885" i="5"/>
  <c r="C1884" i="5"/>
  <c r="C1883" i="5"/>
  <c r="C5" i="5" l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77" i="5"/>
  <c r="C187" i="5"/>
  <c r="C197" i="5"/>
  <c r="C207" i="5"/>
  <c r="C208" i="5"/>
  <c r="C218" i="5"/>
  <c r="C228" i="5"/>
  <c r="C238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5" i="5"/>
  <c r="C286" i="5"/>
  <c r="C290" i="5"/>
  <c r="C294" i="5"/>
  <c r="C298" i="5"/>
  <c r="C302" i="5"/>
  <c r="C306" i="5"/>
  <c r="C310" i="5"/>
  <c r="C314" i="5"/>
  <c r="C318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5" i="5"/>
  <c r="C446" i="5"/>
  <c r="C447" i="5"/>
  <c r="C448" i="5"/>
  <c r="C449" i="5"/>
  <c r="C450" i="5"/>
  <c r="C451" i="5"/>
  <c r="C484" i="5"/>
  <c r="C485" i="5"/>
  <c r="C486" i="5"/>
  <c r="C487" i="5"/>
  <c r="C488" i="5"/>
  <c r="C489" i="5"/>
  <c r="C490" i="5"/>
  <c r="C492" i="5"/>
  <c r="C493" i="5"/>
  <c r="C494" i="5"/>
  <c r="C495" i="5"/>
  <c r="C498" i="5"/>
  <c r="C499" i="5"/>
  <c r="C500" i="5"/>
  <c r="C501" i="5"/>
  <c r="C502" i="5"/>
  <c r="C503" i="5"/>
  <c r="C504" i="5"/>
  <c r="C505" i="5"/>
  <c r="C507" i="5"/>
  <c r="C508" i="5"/>
  <c r="C509" i="5"/>
  <c r="C510" i="5"/>
  <c r="C512" i="5"/>
  <c r="C513" i="5"/>
  <c r="C514" i="5"/>
  <c r="C515" i="5"/>
  <c r="C516" i="5"/>
  <c r="C517" i="5"/>
  <c r="C518" i="5"/>
  <c r="C519" i="5"/>
  <c r="C520" i="5"/>
  <c r="C523" i="5"/>
  <c r="C524" i="5"/>
  <c r="C525" i="5"/>
  <c r="C527" i="5"/>
  <c r="C528" i="5"/>
  <c r="C529" i="5"/>
  <c r="C530" i="5"/>
  <c r="C532" i="5"/>
  <c r="C533" i="5"/>
  <c r="C534" i="5"/>
  <c r="C535" i="5"/>
  <c r="C538" i="5"/>
  <c r="C539" i="5"/>
  <c r="C540" i="5"/>
  <c r="C541" i="5"/>
  <c r="C542" i="5"/>
  <c r="C543" i="5"/>
  <c r="C544" i="5"/>
  <c r="C545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3" i="5"/>
  <c r="C564" i="5"/>
  <c r="C565" i="5"/>
  <c r="C567" i="5"/>
  <c r="C568" i="5"/>
  <c r="C569" i="5"/>
  <c r="C570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6" i="5"/>
  <c r="C827" i="5"/>
  <c r="C828" i="5"/>
  <c r="C829" i="5"/>
  <c r="C830" i="5"/>
  <c r="C836" i="5"/>
  <c r="C837" i="5"/>
  <c r="C838" i="5"/>
  <c r="C839" i="5"/>
  <c r="C840" i="5"/>
  <c r="C851" i="5"/>
  <c r="C852" i="5"/>
  <c r="C853" i="5"/>
  <c r="C854" i="5"/>
  <c r="C855" i="5"/>
  <c r="C881" i="5"/>
  <c r="C882" i="5"/>
  <c r="C883" i="5"/>
  <c r="C884" i="5"/>
  <c r="C88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7" i="5"/>
  <c r="C1328" i="5"/>
  <c r="C1329" i="5"/>
  <c r="C1330" i="5"/>
  <c r="C1331" i="5"/>
  <c r="C1337" i="5"/>
  <c r="C1338" i="5"/>
  <c r="C1339" i="5"/>
  <c r="C1340" i="5"/>
  <c r="C1341" i="5"/>
  <c r="C1352" i="5"/>
  <c r="C1353" i="5"/>
  <c r="C1354" i="5"/>
  <c r="C1355" i="5"/>
  <c r="C1356" i="5"/>
  <c r="C1382" i="5"/>
  <c r="C1383" i="5"/>
  <c r="C1384" i="5"/>
  <c r="C1385" i="5"/>
  <c r="C138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67" i="5"/>
  <c r="C1468" i="5"/>
  <c r="C1469" i="5"/>
  <c r="C1470" i="5"/>
  <c r="C1471" i="5"/>
  <c r="C1472" i="5"/>
  <c r="C1474" i="5"/>
  <c r="C1475" i="5"/>
  <c r="C1476" i="5"/>
  <c r="C1477" i="5"/>
  <c r="C1478" i="5"/>
  <c r="C1480" i="5"/>
  <c r="C1481" i="5"/>
  <c r="C1482" i="5"/>
  <c r="C1483" i="5"/>
  <c r="C1485" i="5"/>
  <c r="C1486" i="5"/>
  <c r="C1487" i="5"/>
  <c r="C1488" i="5"/>
  <c r="C1489" i="5"/>
  <c r="C1490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62" i="5"/>
  <c r="C1763" i="5"/>
  <c r="C1772" i="5"/>
  <c r="C1773" i="5"/>
  <c r="C1774" i="5"/>
  <c r="C1775" i="5"/>
  <c r="C1776" i="5"/>
  <c r="C1777" i="5"/>
  <c r="C1778" i="5"/>
  <c r="C1779" i="5"/>
  <c r="C1780" i="5"/>
  <c r="C1824" i="5"/>
  <c r="C1825" i="5"/>
  <c r="C1826" i="5"/>
  <c r="C1827" i="5"/>
  <c r="C1828" i="5"/>
  <c r="C1831" i="5"/>
  <c r="C1830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2083" i="5"/>
  <c r="C2084" i="5"/>
  <c r="C2085" i="5"/>
  <c r="C2086" i="5"/>
  <c r="C2087" i="5"/>
  <c r="C2088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4" i="5"/>
  <c r="B239" i="5" l="1"/>
  <c r="B229" i="5"/>
  <c r="B219" i="5"/>
  <c r="B209" i="5"/>
  <c r="B198" i="5"/>
  <c r="B188" i="5"/>
  <c r="B178" i="5"/>
  <c r="B189" i="5" l="1"/>
  <c r="B190" i="5" s="1"/>
  <c r="D190" i="5" s="1"/>
  <c r="C188" i="5"/>
  <c r="B199" i="5"/>
  <c r="B200" i="5" s="1"/>
  <c r="D200" i="5" s="1"/>
  <c r="C198" i="5"/>
  <c r="B210" i="5"/>
  <c r="D210" i="5" s="1"/>
  <c r="C209" i="5"/>
  <c r="B220" i="5"/>
  <c r="B221" i="5" s="1"/>
  <c r="D221" i="5" s="1"/>
  <c r="C219" i="5"/>
  <c r="B230" i="5"/>
  <c r="B231" i="5" s="1"/>
  <c r="D231" i="5" s="1"/>
  <c r="C229" i="5"/>
  <c r="B179" i="5"/>
  <c r="B180" i="5" s="1"/>
  <c r="D180" i="5" s="1"/>
  <c r="C178" i="5"/>
  <c r="B240" i="5"/>
  <c r="C240" i="5" s="1"/>
  <c r="C239" i="5"/>
  <c r="D239" i="5"/>
  <c r="D238" i="5"/>
  <c r="D229" i="5"/>
  <c r="D228" i="5"/>
  <c r="D219" i="5"/>
  <c r="D218" i="5"/>
  <c r="D209" i="5"/>
  <c r="D208" i="5"/>
  <c r="D198" i="5"/>
  <c r="D197" i="5"/>
  <c r="D188" i="5"/>
  <c r="D187" i="5"/>
  <c r="D178" i="5"/>
  <c r="D177" i="5"/>
  <c r="D167" i="5"/>
  <c r="B168" i="5"/>
  <c r="D199" i="5" l="1"/>
  <c r="D189" i="5"/>
  <c r="D179" i="5"/>
  <c r="D220" i="5"/>
  <c r="C220" i="5"/>
  <c r="B241" i="5"/>
  <c r="D241" i="5" s="1"/>
  <c r="D240" i="5"/>
  <c r="C230" i="5"/>
  <c r="D230" i="5"/>
  <c r="C210" i="5"/>
  <c r="B211" i="5"/>
  <c r="D211" i="5" s="1"/>
  <c r="D168" i="5"/>
  <c r="C168" i="5"/>
  <c r="B201" i="5"/>
  <c r="B191" i="5"/>
  <c r="B181" i="5"/>
  <c r="B232" i="5"/>
  <c r="C231" i="5"/>
  <c r="B222" i="5"/>
  <c r="C221" i="5"/>
  <c r="B169" i="5"/>
  <c r="A199" i="5"/>
  <c r="A189" i="5"/>
  <c r="A179" i="5"/>
  <c r="A169" i="5"/>
  <c r="A170" i="5" s="1"/>
  <c r="A171" i="5" s="1"/>
  <c r="C211" i="5" l="1"/>
  <c r="B212" i="5"/>
  <c r="B213" i="5" s="1"/>
  <c r="C241" i="5"/>
  <c r="B242" i="5"/>
  <c r="D242" i="5" s="1"/>
  <c r="A180" i="5"/>
  <c r="C179" i="5"/>
  <c r="A190" i="5"/>
  <c r="C189" i="5"/>
  <c r="A200" i="5"/>
  <c r="C199" i="5"/>
  <c r="D169" i="5"/>
  <c r="C169" i="5"/>
  <c r="B223" i="5"/>
  <c r="C222" i="5"/>
  <c r="D222" i="5"/>
  <c r="B192" i="5"/>
  <c r="D191" i="5"/>
  <c r="A172" i="5"/>
  <c r="B233" i="5"/>
  <c r="C232" i="5"/>
  <c r="D232" i="5"/>
  <c r="B182" i="5"/>
  <c r="D181" i="5"/>
  <c r="B202" i="5"/>
  <c r="D201" i="5"/>
  <c r="B170" i="5"/>
  <c r="AX1870" i="5"/>
  <c r="BX1870" i="5"/>
  <c r="C242" i="5" l="1"/>
  <c r="B243" i="5"/>
  <c r="D243" i="5" s="1"/>
  <c r="D212" i="5"/>
  <c r="C212" i="5"/>
  <c r="A201" i="5"/>
  <c r="C200" i="5"/>
  <c r="A191" i="5"/>
  <c r="C190" i="5"/>
  <c r="A181" i="5"/>
  <c r="C180" i="5"/>
  <c r="B203" i="5"/>
  <c r="D202" i="5"/>
  <c r="B214" i="5"/>
  <c r="C213" i="5"/>
  <c r="D213" i="5"/>
  <c r="B234" i="5"/>
  <c r="C233" i="5"/>
  <c r="D233" i="5"/>
  <c r="B224" i="5"/>
  <c r="C223" i="5"/>
  <c r="D223" i="5"/>
  <c r="B171" i="5"/>
  <c r="C170" i="5"/>
  <c r="B183" i="5"/>
  <c r="D182" i="5"/>
  <c r="A173" i="5"/>
  <c r="B193" i="5"/>
  <c r="D192" i="5"/>
  <c r="D170" i="5"/>
  <c r="CS1780" i="5"/>
  <c r="CR1780" i="5"/>
  <c r="DA1780" i="5" s="1"/>
  <c r="C243" i="5" l="1"/>
  <c r="B244" i="5"/>
  <c r="B245" i="5" s="1"/>
  <c r="A192" i="5"/>
  <c r="C191" i="5"/>
  <c r="A182" i="5"/>
  <c r="C181" i="5"/>
  <c r="A202" i="5"/>
  <c r="C201" i="5"/>
  <c r="B204" i="5"/>
  <c r="D203" i="5"/>
  <c r="A174" i="5"/>
  <c r="B194" i="5"/>
  <c r="D193" i="5"/>
  <c r="B184" i="5"/>
  <c r="D183" i="5"/>
  <c r="B235" i="5"/>
  <c r="C234" i="5"/>
  <c r="D234" i="5"/>
  <c r="B172" i="5"/>
  <c r="C171" i="5"/>
  <c r="D171" i="5"/>
  <c r="B225" i="5"/>
  <c r="C224" i="5"/>
  <c r="D224" i="5"/>
  <c r="B215" i="5"/>
  <c r="C214" i="5"/>
  <c r="D214" i="5"/>
  <c r="CT1780" i="5"/>
  <c r="CU1780" i="5"/>
  <c r="DB1780" i="5"/>
  <c r="CZ1780" i="5"/>
  <c r="CV1780" i="5"/>
  <c r="CW1780" i="5"/>
  <c r="CX1780" i="5"/>
  <c r="CY1780" i="5"/>
  <c r="D244" i="5" l="1"/>
  <c r="C244" i="5"/>
  <c r="A183" i="5"/>
  <c r="C182" i="5"/>
  <c r="A203" i="5"/>
  <c r="C202" i="5"/>
  <c r="A193" i="5"/>
  <c r="C192" i="5"/>
  <c r="B185" i="5"/>
  <c r="D184" i="5"/>
  <c r="C225" i="5"/>
  <c r="B226" i="5"/>
  <c r="D225" i="5"/>
  <c r="C235" i="5"/>
  <c r="D235" i="5"/>
  <c r="B236" i="5"/>
  <c r="D194" i="5"/>
  <c r="B195" i="5"/>
  <c r="D204" i="5"/>
  <c r="B205" i="5"/>
  <c r="A175" i="5"/>
  <c r="D215" i="5"/>
  <c r="C215" i="5"/>
  <c r="B216" i="5"/>
  <c r="B173" i="5"/>
  <c r="C172" i="5"/>
  <c r="D172" i="5"/>
  <c r="C245" i="5"/>
  <c r="B246" i="5"/>
  <c r="D245" i="5"/>
  <c r="CS1763" i="5"/>
  <c r="CR1763" i="5"/>
  <c r="DB1763" i="5" s="1"/>
  <c r="C203" i="5" l="1"/>
  <c r="A204" i="5"/>
  <c r="A194" i="5"/>
  <c r="C193" i="5"/>
  <c r="A184" i="5"/>
  <c r="C183" i="5"/>
  <c r="C246" i="5"/>
  <c r="D246" i="5"/>
  <c r="B247" i="5"/>
  <c r="C236" i="5"/>
  <c r="B237" i="5"/>
  <c r="D236" i="5"/>
  <c r="C226" i="5"/>
  <c r="D226" i="5"/>
  <c r="B227" i="5"/>
  <c r="A176" i="5"/>
  <c r="B196" i="5"/>
  <c r="D196" i="5" s="1"/>
  <c r="D195" i="5"/>
  <c r="D173" i="5"/>
  <c r="B174" i="5"/>
  <c r="C173" i="5"/>
  <c r="D205" i="5"/>
  <c r="B206" i="5"/>
  <c r="D206" i="5" s="1"/>
  <c r="C216" i="5"/>
  <c r="D216" i="5"/>
  <c r="B217" i="5"/>
  <c r="D185" i="5"/>
  <c r="B186" i="5"/>
  <c r="D186" i="5" s="1"/>
  <c r="CU1763" i="5"/>
  <c r="CY1763" i="5"/>
  <c r="CZ1763" i="5"/>
  <c r="CW1763" i="5"/>
  <c r="DA1763" i="5"/>
  <c r="CV1763" i="5"/>
  <c r="CT1763" i="5"/>
  <c r="CX1763" i="5"/>
  <c r="A195" i="5" l="1"/>
  <c r="C194" i="5"/>
  <c r="A185" i="5"/>
  <c r="C184" i="5"/>
  <c r="A205" i="5"/>
  <c r="C204" i="5"/>
  <c r="D227" i="5"/>
  <c r="C227" i="5"/>
  <c r="D217" i="5"/>
  <c r="C217" i="5"/>
  <c r="D237" i="5"/>
  <c r="C237" i="5"/>
  <c r="B175" i="5"/>
  <c r="D174" i="5"/>
  <c r="C174" i="5"/>
  <c r="D247" i="5"/>
  <c r="C247" i="5"/>
  <c r="A206" i="5" l="1"/>
  <c r="C206" i="5" s="1"/>
  <c r="C205" i="5"/>
  <c r="A186" i="5"/>
  <c r="C186" i="5" s="1"/>
  <c r="C185" i="5"/>
  <c r="A196" i="5"/>
  <c r="C196" i="5" s="1"/>
  <c r="C195" i="5"/>
  <c r="B176" i="5"/>
  <c r="D175" i="5"/>
  <c r="C175" i="5"/>
  <c r="D176" i="5" l="1"/>
  <c r="C176" i="5"/>
  <c r="CS1835" i="5" l="1"/>
  <c r="CR1835" i="5"/>
  <c r="DB1835" i="5" s="1"/>
  <c r="CU1835" i="5" l="1"/>
  <c r="CY1835" i="5"/>
  <c r="CV1835" i="5"/>
  <c r="CZ1835" i="5"/>
  <c r="CW1835" i="5"/>
  <c r="DA1835" i="5"/>
  <c r="CT1835" i="5"/>
  <c r="CX1835" i="5"/>
  <c r="CR1826" i="5" l="1"/>
  <c r="CY1826" i="5" s="1"/>
  <c r="CS1826" i="5"/>
  <c r="CS1825" i="5"/>
  <c r="CR1825" i="5"/>
  <c r="CY1825" i="5" s="1"/>
  <c r="CS1779" i="5"/>
  <c r="CR1779" i="5"/>
  <c r="CX1779" i="5" s="1"/>
  <c r="CS1778" i="5"/>
  <c r="CR1778" i="5"/>
  <c r="CS1777" i="5"/>
  <c r="CR1777" i="5"/>
  <c r="CT1777" i="5" s="1"/>
  <c r="CR1776" i="5"/>
  <c r="CS1776" i="5"/>
  <c r="CS1775" i="5"/>
  <c r="CR1775" i="5"/>
  <c r="CS1774" i="5"/>
  <c r="CR1774" i="5"/>
  <c r="DB1774" i="5" s="1"/>
  <c r="DB1779" i="5" l="1"/>
  <c r="CU1779" i="5"/>
  <c r="CY1779" i="5"/>
  <c r="CX1777" i="5"/>
  <c r="CZ1779" i="5"/>
  <c r="CW1777" i="5"/>
  <c r="CT1774" i="5"/>
  <c r="DA1774" i="5"/>
  <c r="CY1774" i="5"/>
  <c r="DA1777" i="5"/>
  <c r="DA1779" i="5"/>
  <c r="DB1777" i="5"/>
  <c r="CW1774" i="5"/>
  <c r="CW1779" i="5"/>
  <c r="CV1777" i="5"/>
  <c r="CY1776" i="5"/>
  <c r="CT1776" i="5"/>
  <c r="CW1776" i="5"/>
  <c r="CV1774" i="5"/>
  <c r="CU1774" i="5"/>
  <c r="CZ1777" i="5"/>
  <c r="CX1774" i="5"/>
  <c r="CZ1774" i="5"/>
  <c r="CY1777" i="5"/>
  <c r="CU1777" i="5"/>
  <c r="CV1779" i="5"/>
  <c r="CT1779" i="5"/>
  <c r="DA1778" i="5"/>
  <c r="CX1778" i="5"/>
  <c r="CU1778" i="5"/>
  <c r="DA1825" i="5"/>
  <c r="CW1825" i="5"/>
  <c r="DB1825" i="5"/>
  <c r="CV1825" i="5"/>
  <c r="CT1825" i="5"/>
  <c r="CU1825" i="5"/>
  <c r="CZ1825" i="5"/>
  <c r="CX1825" i="5"/>
  <c r="CX1775" i="5"/>
  <c r="CZ1775" i="5"/>
  <c r="CY1775" i="5"/>
  <c r="CU1775" i="5"/>
  <c r="DB1775" i="5"/>
  <c r="CV1775" i="5"/>
  <c r="CT1775" i="5"/>
  <c r="CW1775" i="5"/>
  <c r="DA1775" i="5"/>
  <c r="CW1778" i="5"/>
  <c r="DB1778" i="5"/>
  <c r="CT1778" i="5"/>
  <c r="CV1778" i="5"/>
  <c r="CY1778" i="5"/>
  <c r="CZ1778" i="5"/>
  <c r="DB1776" i="5"/>
  <c r="CZ1776" i="5"/>
  <c r="CU1776" i="5"/>
  <c r="DA1776" i="5"/>
  <c r="CV1776" i="5"/>
  <c r="CX1776" i="5"/>
  <c r="CX1826" i="5"/>
  <c r="CZ1826" i="5"/>
  <c r="DB1826" i="5"/>
  <c r="CW1826" i="5"/>
  <c r="CU1826" i="5"/>
  <c r="DA1826" i="5"/>
  <c r="CT1826" i="5"/>
  <c r="CV182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tc={5AD76E38-850A-43D0-8DFF-A2748874D429}</author>
    <author>tc={0C464FA7-8FB7-4F05-B693-1C1A7161DACE}</author>
    <author>tc={A4088D54-EDC8-43C6-97C2-800D81395A6A}</author>
    <author>tc={57615FDB-BD2A-42F3-9A2E-E029C41434FF}</author>
  </authors>
  <commentList>
    <comment ref="G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True : </t>
        </r>
        <r>
          <rPr>
            <b/>
            <sz val="9"/>
            <color indexed="81"/>
            <rFont val="돋움"/>
            <family val="3"/>
            <charset val="129"/>
          </rPr>
          <t>챕터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제한</t>
        </r>
        <r>
          <rPr>
            <b/>
            <sz val="9"/>
            <color indexed="81"/>
            <rFont val="Tahoma"/>
            <family val="2"/>
          </rPr>
          <t xml:space="preserve"> (CampaignChapterTable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관리</t>
        </r>
        <r>
          <rPr>
            <b/>
            <sz val="9"/>
            <color indexed="81"/>
            <rFont val="Tahoma"/>
            <family val="2"/>
          </rPr>
          <t xml:space="preserve">)
False : </t>
        </r>
        <r>
          <rPr>
            <b/>
            <sz val="9"/>
            <color indexed="81"/>
            <rFont val="돋움"/>
            <family val="3"/>
            <charset val="129"/>
          </rPr>
          <t>던전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제한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비워두면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자동</t>
        </r>
        <r>
          <rPr>
            <b/>
            <sz val="9"/>
            <color indexed="81"/>
            <rFont val="Tahoma"/>
            <family val="2"/>
          </rPr>
          <t xml:space="preserve"> false)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돋움"/>
            <family val="3"/>
            <charset val="129"/>
          </rPr>
          <t>입장시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티켓을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돌려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못하도록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기능</t>
        </r>
      </text>
    </comment>
    <comment ref="P1" authorId="1" shapeId="0" xr:uid="{5AD76E38-850A-43D0-8DFF-A2748874D42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값이 없으면 시나리오에 맞는 기본 값</t>
      </text>
    </comment>
    <comment ref="Q1" authorId="2" shapeId="0" xr:uid="{0C464FA7-8FB7-4F05-B693-1C1A7161DACE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소탕 타입 정의 
None - 소탕 비활성화 
ChallengeTower: 도전의탑
Maze~ : 지하미궁
MiddleShakmeh: 짭크메
Shakmeh: 찐크메
Eclipse: 이클립스</t>
      </text>
    </comment>
    <comment ref="R1" authorId="3" shapeId="0" xr:uid="{A4088D54-EDC8-43C6-97C2-800D81395A6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1회 소탕시 소탕권 소모량</t>
      </text>
    </comment>
    <comment ref="S1" authorId="4" shapeId="0" xr:uid="{57615FDB-BD2A-42F3-9A2E-E029C41434F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한 번에 소탕할 수 있는 최대 횟수 지정</t>
      </text>
    </comment>
    <comment ref="CJ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Steven: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승리시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깎이는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스태미나</t>
        </r>
      </text>
    </comment>
    <comment ref="CK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Steven: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깎이고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스태미나</t>
        </r>
      </text>
    </comment>
  </commentList>
</comments>
</file>

<file path=xl/sharedStrings.xml><?xml version="1.0" encoding="utf-8"?>
<sst xmlns="http://schemas.openxmlformats.org/spreadsheetml/2006/main" count="34851" uniqueCount="4871">
  <si>
    <t>1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</si>
  <si>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</si>
  <si>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</si>
  <si>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</si>
  <si>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</si>
  <si>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</si>
  <si>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</si>
  <si>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</si>
  <si>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</si>
  <si>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</si>
  <si>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</si>
  <si>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</si>
  <si>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</si>
  <si>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</si>
  <si>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</si>
  <si>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</si>
  <si>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</si>
  <si>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</si>
  <si>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</si>
  <si>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</si>
  <si>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</si>
  <si>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</si>
  <si>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</t>
    <phoneticPr fontId="7" type="noConversion"/>
  </si>
  <si>
    <t>4</t>
    <phoneticPr fontId="7" type="noConversion"/>
  </si>
  <si>
    <t>ChapterIndex</t>
  </si>
  <si>
    <t>DungeonIndex</t>
  </si>
  <si>
    <t>2</t>
  </si>
  <si>
    <t>3</t>
  </si>
  <si>
    <t>BattleField</t>
  </si>
  <si>
    <t>1000</t>
  </si>
  <si>
    <t>BgmCode</t>
  </si>
  <si>
    <t>DeckCount</t>
  </si>
  <si>
    <t>Battle.Arena01</t>
  </si>
  <si>
    <t>1001</t>
  </si>
  <si>
    <t>&lt;시련의 방&gt;</t>
  </si>
  <si>
    <t>Battle.Trial01</t>
  </si>
  <si>
    <t>100011</t>
  </si>
  <si>
    <t>100012</t>
  </si>
  <si>
    <t>100013</t>
  </si>
  <si>
    <t>100014</t>
  </si>
  <si>
    <t>100015</t>
  </si>
  <si>
    <t>100021</t>
  </si>
  <si>
    <t>100022</t>
  </si>
  <si>
    <t>100023</t>
  </si>
  <si>
    <t>100024</t>
  </si>
  <si>
    <t>100025</t>
  </si>
  <si>
    <t>100031</t>
  </si>
  <si>
    <t>100032</t>
  </si>
  <si>
    <t>100033</t>
  </si>
  <si>
    <t>100034</t>
  </si>
  <si>
    <t>100035</t>
  </si>
  <si>
    <t>100041</t>
  </si>
  <si>
    <t>100042</t>
  </si>
  <si>
    <t>100043</t>
  </si>
  <si>
    <t>100044</t>
  </si>
  <si>
    <t>100045</t>
  </si>
  <si>
    <t>100052</t>
  </si>
  <si>
    <t>100053</t>
  </si>
  <si>
    <t>100054</t>
  </si>
  <si>
    <t>100055</t>
  </si>
  <si>
    <t>100071</t>
  </si>
  <si>
    <t>100072</t>
  </si>
  <si>
    <t>100073</t>
  </si>
  <si>
    <t>100074</t>
  </si>
  <si>
    <t>100075</t>
  </si>
  <si>
    <t>100082</t>
  </si>
  <si>
    <t>100083</t>
  </si>
  <si>
    <t>100084</t>
  </si>
  <si>
    <t>100085</t>
  </si>
  <si>
    <t>100092</t>
  </si>
  <si>
    <t>100093</t>
  </si>
  <si>
    <t>100094</t>
  </si>
  <si>
    <t>100095</t>
  </si>
  <si>
    <t>100101</t>
  </si>
  <si>
    <t>100102</t>
  </si>
  <si>
    <t>100103</t>
  </si>
  <si>
    <t>100104</t>
  </si>
  <si>
    <t>100105</t>
  </si>
  <si>
    <t>100113</t>
  </si>
  <si>
    <t>100114</t>
  </si>
  <si>
    <t>100115</t>
  </si>
  <si>
    <t>100122</t>
  </si>
  <si>
    <t>100123</t>
  </si>
  <si>
    <t>100124</t>
  </si>
  <si>
    <t>100125</t>
  </si>
  <si>
    <t>100132</t>
  </si>
  <si>
    <t>100133</t>
  </si>
  <si>
    <t>100134</t>
  </si>
  <si>
    <t>100135</t>
  </si>
  <si>
    <t>100143</t>
  </si>
  <si>
    <t>100144</t>
  </si>
  <si>
    <t>100145</t>
  </si>
  <si>
    <t>100151</t>
  </si>
  <si>
    <t>100152</t>
  </si>
  <si>
    <t>100153</t>
  </si>
  <si>
    <t>100154</t>
  </si>
  <si>
    <t>100155</t>
  </si>
  <si>
    <t>20001</t>
  </si>
  <si>
    <t>Battle.DOW01</t>
  </si>
  <si>
    <t>20002</t>
  </si>
  <si>
    <t>20003</t>
  </si>
  <si>
    <t>20004</t>
  </si>
  <si>
    <t>3020</t>
  </si>
  <si>
    <t>2210</t>
  </si>
  <si>
    <t>Pit.Field1</t>
  </si>
  <si>
    <t>FirstDungeonIndex</t>
  </si>
  <si>
    <t>1002</t>
  </si>
  <si>
    <t>&lt;테스트챕터&gt;</t>
  </si>
  <si>
    <t>999</t>
  </si>
  <si>
    <t>Tower.Ordeal</t>
  </si>
  <si>
    <t>100181</t>
  </si>
  <si>
    <t>100182</t>
  </si>
  <si>
    <t>100183</t>
  </si>
  <si>
    <t>100184</t>
  </si>
  <si>
    <t>100185</t>
  </si>
  <si>
    <t>100202</t>
  </si>
  <si>
    <t>100203</t>
  </si>
  <si>
    <t>100204</t>
  </si>
  <si>
    <t>100205</t>
  </si>
  <si>
    <t>&lt;시련의탑&gt;</t>
  </si>
  <si>
    <t>6</t>
    <phoneticPr fontId="7" type="noConversion"/>
  </si>
  <si>
    <t>&lt;아레나,튜토리얼 허수아비&gt;</t>
    <phoneticPr fontId="7" type="noConversion"/>
  </si>
  <si>
    <t>3</t>
    <phoneticPr fontId="7" type="noConversion"/>
  </si>
  <si>
    <t>5</t>
    <phoneticPr fontId="7" type="noConversion"/>
  </si>
  <si>
    <t>100172</t>
    <phoneticPr fontId="7" type="noConversion"/>
  </si>
  <si>
    <t>100173</t>
    <phoneticPr fontId="7" type="noConversion"/>
  </si>
  <si>
    <t>100174</t>
    <phoneticPr fontId="7" type="noConversion"/>
  </si>
  <si>
    <t>100175</t>
    <phoneticPr fontId="7" type="noConversion"/>
  </si>
  <si>
    <t>Constant[]</t>
    <phoneticPr fontId="7" type="noConversion"/>
  </si>
  <si>
    <t>20</t>
    <phoneticPr fontId="7" type="noConversion"/>
  </si>
  <si>
    <t>21</t>
    <phoneticPr fontId="7" type="noConversion"/>
  </si>
  <si>
    <t>22</t>
    <phoneticPr fontId="7" type="noConversion"/>
  </si>
  <si>
    <t>23</t>
    <phoneticPr fontId="7" type="noConversion"/>
  </si>
  <si>
    <t>InfiniteTime=true</t>
    <phoneticPr fontId="7" type="noConversion"/>
  </si>
  <si>
    <t>Cutscene.Urgent</t>
  </si>
  <si>
    <t>Cutscene.Dark</t>
    <phoneticPr fontId="7" type="noConversion"/>
  </si>
  <si>
    <t>150</t>
    <phoneticPr fontId="7" type="noConversion"/>
  </si>
  <si>
    <t>8</t>
    <phoneticPr fontId="7" type="noConversion"/>
  </si>
  <si>
    <t>16</t>
    <phoneticPr fontId="7" type="noConversion"/>
  </si>
  <si>
    <t>400</t>
    <phoneticPr fontId="7" type="noConversion"/>
  </si>
  <si>
    <t>1050</t>
    <phoneticPr fontId="7" type="noConversion"/>
  </si>
  <si>
    <t>1225</t>
    <phoneticPr fontId="7" type="noConversion"/>
  </si>
  <si>
    <t>1400</t>
  </si>
  <si>
    <t>1575</t>
  </si>
  <si>
    <t>1750</t>
  </si>
  <si>
    <t>9</t>
    <phoneticPr fontId="7" type="noConversion"/>
  </si>
  <si>
    <t>10</t>
    <phoneticPr fontId="7" type="noConversion"/>
  </si>
  <si>
    <t>12</t>
    <phoneticPr fontId="7" type="noConversion"/>
  </si>
  <si>
    <t>13</t>
    <phoneticPr fontId="7" type="noConversion"/>
  </si>
  <si>
    <t>2120</t>
  </si>
  <si>
    <t>3110</t>
  </si>
  <si>
    <t>CreatureExp_Easy</t>
    <phoneticPr fontId="7" type="noConversion"/>
  </si>
  <si>
    <t>DropRewardIndex_Normal</t>
    <phoneticPr fontId="7" type="noConversion"/>
  </si>
  <si>
    <t>CreatureExp_Normal</t>
    <phoneticPr fontId="7" type="noConversion"/>
  </si>
  <si>
    <t>DropRewardIndex_Hard</t>
    <phoneticPr fontId="7" type="noConversion"/>
  </si>
  <si>
    <t>CreatureExp_Hard</t>
    <phoneticPr fontId="7" type="noConversion"/>
  </si>
  <si>
    <t>2</t>
    <phoneticPr fontId="7" type="noConversion"/>
  </si>
  <si>
    <t>BattleBGM.1_2</t>
  </si>
  <si>
    <t>Campaign</t>
  </si>
  <si>
    <t>CustomCampaign</t>
    <phoneticPr fontId="7" type="noConversion"/>
  </si>
  <si>
    <t>Pit</t>
    <phoneticPr fontId="7" type="noConversion"/>
  </si>
  <si>
    <t>Labyrinth</t>
    <phoneticPr fontId="7" type="noConversion"/>
  </si>
  <si>
    <t>Arena</t>
    <phoneticPr fontId="7" type="noConversion"/>
  </si>
  <si>
    <t>Trial</t>
    <phoneticPr fontId="7" type="noConversion"/>
  </si>
  <si>
    <t>BattleType</t>
    <phoneticPr fontId="7" type="noConversion"/>
  </si>
  <si>
    <t>Tutorial</t>
    <phoneticPr fontId="7" type="noConversion"/>
  </si>
  <si>
    <t>Test</t>
    <phoneticPr fontId="7" type="noConversion"/>
  </si>
  <si>
    <t>MpRegenM=6000,InfiniteTime=true</t>
    <phoneticPr fontId="7" type="noConversion"/>
  </si>
  <si>
    <t>4</t>
    <phoneticPr fontId="7" type="noConversion"/>
  </si>
  <si>
    <t>(Desc)</t>
    <phoneticPr fontId="7" type="noConversion"/>
  </si>
  <si>
    <t>14</t>
    <phoneticPr fontId="7" type="noConversion"/>
  </si>
  <si>
    <t>7</t>
    <phoneticPr fontId="7" type="noConversion"/>
  </si>
  <si>
    <t>NextDungeonIndex</t>
    <phoneticPr fontId="7" type="noConversion"/>
  </si>
  <si>
    <t>2</t>
    <phoneticPr fontId="7" type="noConversion"/>
  </si>
  <si>
    <t>8</t>
    <phoneticPr fontId="7" type="noConversion"/>
  </si>
  <si>
    <t>11</t>
    <phoneticPr fontId="7" type="noConversion"/>
  </si>
  <si>
    <t>15</t>
    <phoneticPr fontId="7" type="noConversion"/>
  </si>
  <si>
    <t>19</t>
    <phoneticPr fontId="7" type="noConversion"/>
  </si>
  <si>
    <t>17</t>
    <phoneticPr fontId="7" type="noConversion"/>
  </si>
  <si>
    <t>18</t>
    <phoneticPr fontId="7" type="noConversion"/>
  </si>
  <si>
    <t>21</t>
    <phoneticPr fontId="7" type="noConversion"/>
  </si>
  <si>
    <t>1</t>
    <phoneticPr fontId="7" type="noConversion"/>
  </si>
  <si>
    <t>27</t>
    <phoneticPr fontId="7" type="noConversion"/>
  </si>
  <si>
    <t>100163</t>
    <phoneticPr fontId="7" type="noConversion"/>
  </si>
  <si>
    <t>100164</t>
    <phoneticPr fontId="7" type="noConversion"/>
  </si>
  <si>
    <t>100165</t>
    <phoneticPr fontId="7" type="noConversion"/>
  </si>
  <si>
    <t>100193</t>
    <phoneticPr fontId="7" type="noConversion"/>
  </si>
  <si>
    <t>100194</t>
    <phoneticPr fontId="7" type="noConversion"/>
  </si>
  <si>
    <t>100195</t>
    <phoneticPr fontId="7" type="noConversion"/>
  </si>
  <si>
    <t>100213</t>
    <phoneticPr fontId="7" type="noConversion"/>
  </si>
  <si>
    <t>100214</t>
    <phoneticPr fontId="7" type="noConversion"/>
  </si>
  <si>
    <t>100215</t>
    <phoneticPr fontId="7" type="noConversion"/>
  </si>
  <si>
    <t>100233</t>
    <phoneticPr fontId="7" type="noConversion"/>
  </si>
  <si>
    <t>100234</t>
    <phoneticPr fontId="7" type="noConversion"/>
  </si>
  <si>
    <t>100235</t>
    <phoneticPr fontId="7" type="noConversion"/>
  </si>
  <si>
    <t>100223</t>
    <phoneticPr fontId="7" type="noConversion"/>
  </si>
  <si>
    <t>100224</t>
    <phoneticPr fontId="7" type="noConversion"/>
  </si>
  <si>
    <t>100225</t>
    <phoneticPr fontId="7" type="noConversion"/>
  </si>
  <si>
    <t>100243</t>
  </si>
  <si>
    <t>100244</t>
  </si>
  <si>
    <t>100245</t>
  </si>
  <si>
    <t>100253</t>
  </si>
  <si>
    <t>100254</t>
  </si>
  <si>
    <t>100255</t>
  </si>
  <si>
    <t>15</t>
    <phoneticPr fontId="7" type="noConversion"/>
  </si>
  <si>
    <t>BattleBGM.3_2</t>
    <phoneticPr fontId="7" type="noConversion"/>
  </si>
  <si>
    <t>Cutscene.Chaos</t>
  </si>
  <si>
    <t>BattleBGM.2_1</t>
    <phoneticPr fontId="7" type="noConversion"/>
  </si>
  <si>
    <t>BattleBGM.2_2</t>
    <phoneticPr fontId="7" type="noConversion"/>
  </si>
  <si>
    <t>CheckClearChapter</t>
    <phoneticPr fontId="7" type="noConversion"/>
  </si>
  <si>
    <t>7챕터 피트</t>
    <phoneticPr fontId="7" type="noConversion"/>
  </si>
  <si>
    <t>400102</t>
  </si>
  <si>
    <t>400103</t>
  </si>
  <si>
    <t>400104</t>
  </si>
  <si>
    <t>400105</t>
  </si>
  <si>
    <t>400106</t>
  </si>
  <si>
    <t>400107</t>
  </si>
  <si>
    <t>400108</t>
  </si>
  <si>
    <t>400109</t>
  </si>
  <si>
    <t>400110</t>
  </si>
  <si>
    <t>400111</t>
  </si>
  <si>
    <t>400112</t>
  </si>
  <si>
    <t>400113</t>
  </si>
  <si>
    <t>400114</t>
  </si>
  <si>
    <t>400115</t>
  </si>
  <si>
    <t>400116</t>
  </si>
  <si>
    <t>400117</t>
  </si>
  <si>
    <t>400118</t>
  </si>
  <si>
    <t>400119</t>
  </si>
  <si>
    <t>400120</t>
  </si>
  <si>
    <t>400121</t>
  </si>
  <si>
    <t>400122</t>
  </si>
  <si>
    <t>400123</t>
  </si>
  <si>
    <t>400124</t>
  </si>
  <si>
    <t>400125</t>
  </si>
  <si>
    <t>400126</t>
  </si>
  <si>
    <t>400127</t>
  </si>
  <si>
    <t>400128</t>
  </si>
  <si>
    <t>400129</t>
  </si>
  <si>
    <t>400130</t>
  </si>
  <si>
    <t>75</t>
  </si>
  <si>
    <t>125</t>
  </si>
  <si>
    <t>FirstClearGem_Easy</t>
    <phoneticPr fontId="7" type="noConversion"/>
  </si>
  <si>
    <t>FirstClearGem_Normal</t>
    <phoneticPr fontId="7" type="noConversion"/>
  </si>
  <si>
    <t>FirstClearGem_Hard</t>
    <phoneticPr fontId="7" type="noConversion"/>
  </si>
  <si>
    <t>(경험치 물약 1)</t>
    <phoneticPr fontId="7" type="noConversion"/>
  </si>
  <si>
    <t>(경험치 물약 2)</t>
    <phoneticPr fontId="7" type="noConversion"/>
  </si>
  <si>
    <t>(경험치 물약 3)</t>
    <phoneticPr fontId="7" type="noConversion"/>
  </si>
  <si>
    <t>(경험치 물약 1.5)</t>
    <phoneticPr fontId="7" type="noConversion"/>
  </si>
  <si>
    <t>(경험치 물약 2.5)</t>
    <phoneticPr fontId="7" type="noConversion"/>
  </si>
  <si>
    <t>(경험치 물약 3.5)</t>
    <phoneticPr fontId="7" type="noConversion"/>
  </si>
  <si>
    <t>(경험치 물약 4)</t>
    <phoneticPr fontId="7" type="noConversion"/>
  </si>
  <si>
    <t>(경험치 물약 4.5)</t>
    <phoneticPr fontId="7" type="noConversion"/>
  </si>
  <si>
    <t>(경험치 물약 5)</t>
    <phoneticPr fontId="7" type="noConversion"/>
  </si>
  <si>
    <t>(노멀)</t>
    <phoneticPr fontId="7" type="noConversion"/>
  </si>
  <si>
    <t>(하드)</t>
    <phoneticPr fontId="7" type="noConversion"/>
  </si>
  <si>
    <t>(EasyLevel)</t>
    <phoneticPr fontId="7" type="noConversion"/>
  </si>
  <si>
    <t>(NormalLevel)</t>
    <phoneticPr fontId="7" type="noConversion"/>
  </si>
  <si>
    <t>(HardLevel)</t>
    <phoneticPr fontId="7" type="noConversion"/>
  </si>
  <si>
    <t>24</t>
    <phoneticPr fontId="7" type="noConversion"/>
  </si>
  <si>
    <t>25</t>
    <phoneticPr fontId="7" type="noConversion"/>
  </si>
  <si>
    <t>28</t>
    <phoneticPr fontId="7" type="noConversion"/>
  </si>
  <si>
    <t>29</t>
    <phoneticPr fontId="7" type="noConversion"/>
  </si>
  <si>
    <t>30</t>
    <phoneticPr fontId="7" type="noConversion"/>
  </si>
  <si>
    <t>35</t>
    <phoneticPr fontId="7" type="noConversion"/>
  </si>
  <si>
    <t>45</t>
    <phoneticPr fontId="7" type="noConversion"/>
  </si>
  <si>
    <t>55</t>
    <phoneticPr fontId="7" type="noConversion"/>
  </si>
  <si>
    <t>60</t>
    <phoneticPr fontId="7" type="noConversion"/>
  </si>
  <si>
    <t>65</t>
    <phoneticPr fontId="7" type="noConversion"/>
  </si>
  <si>
    <t>ForcedHeroIndex[]</t>
    <phoneticPr fontId="7" type="noConversion"/>
  </si>
  <si>
    <t>Raid.FireField1</t>
    <phoneticPr fontId="7" type="noConversion"/>
  </si>
  <si>
    <t>Raid</t>
    <phoneticPr fontId="7" type="noConversion"/>
  </si>
  <si>
    <t>ReqStaminaType</t>
    <phoneticPr fontId="7" type="noConversion"/>
  </si>
  <si>
    <t>(EasyExp/Stamina)</t>
    <phoneticPr fontId="7" type="noConversion"/>
  </si>
  <si>
    <t>(NormalExp/Stamina)</t>
    <phoneticPr fontId="7" type="noConversion"/>
  </si>
  <si>
    <t>(HardExp/Stamina)</t>
    <phoneticPr fontId="7" type="noConversion"/>
  </si>
  <si>
    <t>인트로 튜토리얼 전투</t>
    <phoneticPr fontId="7" type="noConversion"/>
  </si>
  <si>
    <t>웃는가면 튜토리얼 전투</t>
    <phoneticPr fontId="7" type="noConversion"/>
  </si>
  <si>
    <t>세계수 마리아 튜토리얼 전투</t>
    <phoneticPr fontId="7" type="noConversion"/>
  </si>
  <si>
    <t>레이나 튜토리얼 전투</t>
    <phoneticPr fontId="7" type="noConversion"/>
  </si>
  <si>
    <t>바랄라이카 튜토리얼 전투</t>
    <phoneticPr fontId="7" type="noConversion"/>
  </si>
  <si>
    <t>내면의 어둠 튜토리얼 전투</t>
    <phoneticPr fontId="7" type="noConversion"/>
  </si>
  <si>
    <t>허수아비</t>
    <phoneticPr fontId="7" type="noConversion"/>
  </si>
  <si>
    <t>클레오 시련의 방</t>
  </si>
  <si>
    <t>로이 시련의 방</t>
  </si>
  <si>
    <t>가우 시련의 방</t>
  </si>
  <si>
    <t>필롭 시련의 방</t>
  </si>
  <si>
    <t>라크락 시련의 방</t>
  </si>
  <si>
    <t>카울라 시련의 방</t>
  </si>
  <si>
    <t>에피스 시련의 방</t>
  </si>
  <si>
    <t>셀레네 시련의 방</t>
  </si>
  <si>
    <t>마리아 시련의 방</t>
  </si>
  <si>
    <t>미르르 시련의 방</t>
  </si>
  <si>
    <t>로레인 시련의 방</t>
  </si>
  <si>
    <t>마야 시련의 방</t>
  </si>
  <si>
    <t>클라우스 시련의 방</t>
  </si>
  <si>
    <t>레피 시련의 방</t>
    <phoneticPr fontId="7" type="noConversion"/>
  </si>
  <si>
    <t>디마엘 시련의 방</t>
    <phoneticPr fontId="7" type="noConversion"/>
  </si>
  <si>
    <t>레이나 시련의 방</t>
    <phoneticPr fontId="7" type="noConversion"/>
  </si>
  <si>
    <t>파벨 시련의 방</t>
    <phoneticPr fontId="7" type="noConversion"/>
  </si>
  <si>
    <t>데미아 시련의 방</t>
    <phoneticPr fontId="7" type="noConversion"/>
  </si>
  <si>
    <t>네일라 시련의 방</t>
    <phoneticPr fontId="7" type="noConversion"/>
  </si>
  <si>
    <t>로지나 시련의 방</t>
    <phoneticPr fontId="7" type="noConversion"/>
  </si>
  <si>
    <t>모라 시련의 방</t>
    <phoneticPr fontId="7" type="noConversion"/>
  </si>
  <si>
    <t>보두앵 시련의 방</t>
    <phoneticPr fontId="7" type="noConversion"/>
  </si>
  <si>
    <t>제인 시련의 방</t>
    <phoneticPr fontId="7" type="noConversion"/>
  </si>
  <si>
    <t>시련의 탑 1층</t>
    <phoneticPr fontId="7" type="noConversion"/>
  </si>
  <si>
    <t>고대 왕실 금고 1층</t>
    <phoneticPr fontId="7" type="noConversion"/>
  </si>
  <si>
    <t>고대 왕실 금고 2층</t>
  </si>
  <si>
    <t>고대 왕실 금고 3층</t>
  </si>
  <si>
    <t>고대 왕실 금고 4층</t>
  </si>
  <si>
    <t>고대 왕실 금고 5층</t>
  </si>
  <si>
    <t>고대 왕실 금고 6층</t>
  </si>
  <si>
    <t>고대 왕실 금고 7층</t>
  </si>
  <si>
    <t>고대 왕실 금고 8층</t>
  </si>
  <si>
    <t>고대 왕실 금고 9층</t>
  </si>
  <si>
    <t>고대 왕실 금고 10층</t>
  </si>
  <si>
    <t>고대 왕실 금고 11층</t>
  </si>
  <si>
    <t>고대 왕실 금고 12층</t>
  </si>
  <si>
    <t>고대 왕실 금고 13층</t>
  </si>
  <si>
    <t>고대 왕실 금고 14층</t>
  </si>
  <si>
    <t>고대 왕실 금고 15층</t>
  </si>
  <si>
    <t>고대 왕실 금고 16층</t>
  </si>
  <si>
    <t>고대 왕실 금고 17층</t>
  </si>
  <si>
    <t>고대 왕실 금고 18층</t>
  </si>
  <si>
    <t>고대 왕실 금고 19층</t>
  </si>
  <si>
    <t>고대 왕실 금고 20층</t>
  </si>
  <si>
    <t>고대 왕실 금고 21층</t>
  </si>
  <si>
    <t>고대 왕실 금고 22층</t>
  </si>
  <si>
    <t>고대 왕실 금고 23층</t>
  </si>
  <si>
    <t>고대 왕실 금고 24층</t>
  </si>
  <si>
    <t>고대 왕실 금고 25층</t>
  </si>
  <si>
    <t>고대 왕실 금고 26층</t>
  </si>
  <si>
    <t>고대 왕실 금고 27층</t>
  </si>
  <si>
    <t>고대 왕실 금고 28층</t>
  </si>
  <si>
    <t>고대 왕실 금고 29층</t>
  </si>
  <si>
    <t>고대 왕실 금고 30층</t>
  </si>
  <si>
    <t>&lt;고대 왕실 금고&gt;</t>
    <phoneticPr fontId="7" type="noConversion"/>
  </si>
  <si>
    <t>UndergroundLabyrinthKey</t>
    <phoneticPr fontId="7" type="noConversion"/>
  </si>
  <si>
    <t>1</t>
    <phoneticPr fontId="7" type="noConversion"/>
  </si>
  <si>
    <t>15</t>
    <phoneticPr fontId="7" type="noConversion"/>
  </si>
  <si>
    <t>5</t>
    <phoneticPr fontId="7" type="noConversion"/>
  </si>
  <si>
    <t>30</t>
  </si>
  <si>
    <t>30</t>
    <phoneticPr fontId="7" type="noConversion"/>
  </si>
  <si>
    <t>50</t>
  </si>
  <si>
    <t>45</t>
    <phoneticPr fontId="7" type="noConversion"/>
  </si>
  <si>
    <t>55</t>
    <phoneticPr fontId="7" type="noConversion"/>
  </si>
  <si>
    <t>35</t>
    <phoneticPr fontId="7" type="noConversion"/>
  </si>
  <si>
    <t>40</t>
  </si>
  <si>
    <t>15</t>
    <phoneticPr fontId="7" type="noConversion"/>
  </si>
  <si>
    <t>25</t>
    <phoneticPr fontId="7" type="noConversion"/>
  </si>
  <si>
    <t>85</t>
  </si>
  <si>
    <t>95</t>
  </si>
  <si>
    <t>105</t>
  </si>
  <si>
    <t>115</t>
  </si>
  <si>
    <t>135</t>
  </si>
  <si>
    <t>2</t>
    <phoneticPr fontId="7" type="noConversion"/>
  </si>
  <si>
    <t>4</t>
    <phoneticPr fontId="7" type="noConversion"/>
  </si>
  <si>
    <t>26</t>
  </si>
  <si>
    <t>28</t>
  </si>
  <si>
    <t>32</t>
  </si>
  <si>
    <t>34</t>
  </si>
  <si>
    <t>36</t>
  </si>
  <si>
    <t>38</t>
  </si>
  <si>
    <t>42</t>
  </si>
  <si>
    <t>44</t>
  </si>
  <si>
    <t>46</t>
  </si>
  <si>
    <t>48</t>
  </si>
  <si>
    <t>52</t>
  </si>
  <si>
    <t>54</t>
  </si>
  <si>
    <t>56</t>
  </si>
  <si>
    <t>58</t>
  </si>
  <si>
    <t>60</t>
  </si>
  <si>
    <t>750</t>
    <phoneticPr fontId="7" type="noConversion"/>
  </si>
  <si>
    <t>1270</t>
    <phoneticPr fontId="7" type="noConversion"/>
  </si>
  <si>
    <t>1950</t>
    <phoneticPr fontId="7" type="noConversion"/>
  </si>
  <si>
    <t>330</t>
    <phoneticPr fontId="7" type="noConversion"/>
  </si>
  <si>
    <t>650</t>
    <phoneticPr fontId="7" type="noConversion"/>
  </si>
  <si>
    <t>300</t>
    <phoneticPr fontId="7" type="noConversion"/>
  </si>
  <si>
    <t>360</t>
    <phoneticPr fontId="7" type="noConversion"/>
  </si>
  <si>
    <t>390</t>
    <phoneticPr fontId="7" type="noConversion"/>
  </si>
  <si>
    <t>420</t>
    <phoneticPr fontId="7" type="noConversion"/>
  </si>
  <si>
    <t>680</t>
    <phoneticPr fontId="7" type="noConversion"/>
  </si>
  <si>
    <t>710</t>
    <phoneticPr fontId="7" type="noConversion"/>
  </si>
  <si>
    <t>740</t>
    <phoneticPr fontId="7" type="noConversion"/>
  </si>
  <si>
    <t>770</t>
    <phoneticPr fontId="7" type="noConversion"/>
  </si>
  <si>
    <t>1170</t>
    <phoneticPr fontId="7" type="noConversion"/>
  </si>
  <si>
    <t>1200</t>
    <phoneticPr fontId="7" type="noConversion"/>
  </si>
  <si>
    <t>1230</t>
    <phoneticPr fontId="7" type="noConversion"/>
  </si>
  <si>
    <t>1260</t>
    <phoneticPr fontId="7" type="noConversion"/>
  </si>
  <si>
    <t>1290</t>
    <phoneticPr fontId="7" type="noConversion"/>
  </si>
  <si>
    <t>1850</t>
    <phoneticPr fontId="7" type="noConversion"/>
  </si>
  <si>
    <t>1880</t>
    <phoneticPr fontId="7" type="noConversion"/>
  </si>
  <si>
    <t>1910</t>
    <phoneticPr fontId="7" type="noConversion"/>
  </si>
  <si>
    <t>1940</t>
    <phoneticPr fontId="7" type="noConversion"/>
  </si>
  <si>
    <t>1970</t>
    <phoneticPr fontId="7" type="noConversion"/>
  </si>
  <si>
    <t>2000</t>
    <phoneticPr fontId="7" type="noConversion"/>
  </si>
  <si>
    <t>Chicken</t>
  </si>
  <si>
    <t>Chicken</t>
    <phoneticPr fontId="7" type="noConversion"/>
  </si>
  <si>
    <t>4</t>
    <phoneticPr fontId="7" type="noConversion"/>
  </si>
  <si>
    <t>Test</t>
  </si>
  <si>
    <t>&lt;도전의 탑&gt;</t>
    <phoneticPr fontId="7" type="noConversion"/>
  </si>
  <si>
    <t>도전의탑 1층</t>
    <phoneticPr fontId="7" type="noConversion"/>
  </si>
  <si>
    <t>도전의탑 2층</t>
    <phoneticPr fontId="7" type="noConversion"/>
  </si>
  <si>
    <t>도전의탑 3층</t>
  </si>
  <si>
    <t>도전의탑 4층</t>
  </si>
  <si>
    <t>도전의탑 5층</t>
  </si>
  <si>
    <t>도전의탑 6층</t>
  </si>
  <si>
    <t>도전의탑 7층</t>
  </si>
  <si>
    <t>도전의탑 8층</t>
  </si>
  <si>
    <t>도전의탑 9층</t>
  </si>
  <si>
    <t>도전의탑 10층</t>
  </si>
  <si>
    <t>도전의탑 11층</t>
  </si>
  <si>
    <t>도전의탑 12층</t>
  </si>
  <si>
    <t>도전의탑 13층</t>
  </si>
  <si>
    <t>도전의탑 14층</t>
  </si>
  <si>
    <t>도전의탑 15층</t>
  </si>
  <si>
    <t>도전의탑 16층</t>
  </si>
  <si>
    <t>도전의탑 17층</t>
  </si>
  <si>
    <t>도전의탑 18층</t>
  </si>
  <si>
    <t>도전의탑 19층</t>
  </si>
  <si>
    <t>도전의탑 20층</t>
  </si>
  <si>
    <t>도전의탑 21층</t>
  </si>
  <si>
    <t>도전의탑 22층</t>
  </si>
  <si>
    <t>도전의탑 23층</t>
  </si>
  <si>
    <t>도전의탑 24층</t>
  </si>
  <si>
    <t>도전의탑 25층</t>
  </si>
  <si>
    <t>도전의탑 26층</t>
  </si>
  <si>
    <t>도전의탑 27층</t>
  </si>
  <si>
    <t>도전의탑 28층</t>
  </si>
  <si>
    <t>도전의탑 29층</t>
  </si>
  <si>
    <t>도전의탑 30층</t>
  </si>
  <si>
    <t>ChallengeTowerKey</t>
    <phoneticPr fontId="7" type="noConversion"/>
  </si>
  <si>
    <t>ChallengeTower</t>
    <phoneticPr fontId="7" type="noConversion"/>
  </si>
  <si>
    <t>도전의탑 31층</t>
  </si>
  <si>
    <t>도전의탑 32층</t>
  </si>
  <si>
    <t>도전의탑 33층</t>
  </si>
  <si>
    <t>도전의탑 34층</t>
  </si>
  <si>
    <t>도전의탑 35층</t>
  </si>
  <si>
    <t>도전의탑 36층</t>
  </si>
  <si>
    <t>도전의탑 37층</t>
  </si>
  <si>
    <t>도전의탑 38층</t>
  </si>
  <si>
    <t>도전의탑 39층</t>
  </si>
  <si>
    <t>도전의탑 40층</t>
  </si>
  <si>
    <t>도전의탑 41층</t>
  </si>
  <si>
    <t>도전의탑 42층</t>
  </si>
  <si>
    <t>도전의탑 43층</t>
  </si>
  <si>
    <t>도전의탑 44층</t>
  </si>
  <si>
    <t>도전의탑 45층</t>
  </si>
  <si>
    <t>도전의탑 46층</t>
  </si>
  <si>
    <t>도전의탑 47층</t>
  </si>
  <si>
    <t>도전의탑 48층</t>
  </si>
  <si>
    <t>도전의탑 49층</t>
  </si>
  <si>
    <t>도전의탑 50층</t>
  </si>
  <si>
    <t>OrdealTower</t>
  </si>
  <si>
    <t>Chapter1.Field1_3D</t>
  </si>
  <si>
    <t>1</t>
    <phoneticPr fontId="7" type="noConversion"/>
  </si>
  <si>
    <t>2</t>
    <phoneticPr fontId="7" type="noConversion"/>
  </si>
  <si>
    <t>3</t>
    <phoneticPr fontId="7" type="noConversion"/>
  </si>
  <si>
    <t>4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</si>
  <si>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</si>
  <si>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</si>
  <si>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</si>
  <si>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8</t>
    <phoneticPr fontId="7" type="noConversion"/>
  </si>
  <si>
    <t>9</t>
    <phoneticPr fontId="7" type="noConversion"/>
  </si>
  <si>
    <t>10</t>
    <phoneticPr fontId="7" type="noConversion"/>
  </si>
  <si>
    <t>11</t>
    <phoneticPr fontId="7" type="noConversion"/>
  </si>
  <si>
    <t>11</t>
    <phoneticPr fontId="7" type="noConversion"/>
  </si>
  <si>
    <t>12</t>
    <phoneticPr fontId="7" type="noConversion"/>
  </si>
  <si>
    <t>13</t>
    <phoneticPr fontId="7" type="noConversion"/>
  </si>
  <si>
    <t>14</t>
    <phoneticPr fontId="7" type="noConversion"/>
  </si>
  <si>
    <t>15</t>
    <phoneticPr fontId="7" type="noConversion"/>
  </si>
  <si>
    <t>16</t>
    <phoneticPr fontId="7" type="noConversion"/>
  </si>
  <si>
    <t>17</t>
    <phoneticPr fontId="7" type="noConversion"/>
  </si>
  <si>
    <t>18</t>
    <phoneticPr fontId="7" type="noConversion"/>
  </si>
  <si>
    <t>19</t>
    <phoneticPr fontId="7" type="noConversion"/>
  </si>
  <si>
    <t>19</t>
    <phoneticPr fontId="7" type="noConversion"/>
  </si>
  <si>
    <t>20</t>
    <phoneticPr fontId="7" type="noConversion"/>
  </si>
  <si>
    <t>21</t>
    <phoneticPr fontId="7" type="noConversion"/>
  </si>
  <si>
    <t>22</t>
    <phoneticPr fontId="7" type="noConversion"/>
  </si>
  <si>
    <t>23</t>
    <phoneticPr fontId="7" type="noConversion"/>
  </si>
  <si>
    <t>24</t>
    <phoneticPr fontId="7" type="noConversion"/>
  </si>
  <si>
    <t>25</t>
    <phoneticPr fontId="7" type="noConversion"/>
  </si>
  <si>
    <t>Chapter1.Field3_3D</t>
  </si>
  <si>
    <t>29</t>
    <phoneticPr fontId="7" type="noConversion"/>
  </si>
  <si>
    <t>Chapter2.Field1_3D</t>
  </si>
  <si>
    <t>BattleBGM.RaidBGM</t>
    <phoneticPr fontId="7" type="noConversion"/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</si>
  <si>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</si>
  <si>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</si>
  <si>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</si>
  <si>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</si>
  <si>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</si>
  <si>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</si>
  <si>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</si>
  <si>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</si>
  <si>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</si>
  <si>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</si>
  <si>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</si>
  <si>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</si>
  <si>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</si>
  <si>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51</t>
  </si>
  <si>
    <t>53</t>
  </si>
  <si>
    <t>55</t>
  </si>
  <si>
    <t>57</t>
  </si>
  <si>
    <t>59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</si>
  <si>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</si>
  <si>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</si>
  <si>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</si>
  <si>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</si>
  <si>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</si>
  <si>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</si>
  <si>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</si>
  <si>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</si>
  <si>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</si>
  <si>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</si>
  <si>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2030</t>
    <phoneticPr fontId="7" type="noConversion"/>
  </si>
  <si>
    <t>2060</t>
  </si>
  <si>
    <t>2090</t>
  </si>
  <si>
    <t>2150</t>
  </si>
  <si>
    <t>2180</t>
  </si>
  <si>
    <t>2240</t>
  </si>
  <si>
    <t>2270</t>
  </si>
  <si>
    <t>2300</t>
  </si>
  <si>
    <t>2330</t>
  </si>
  <si>
    <t>2360</t>
  </si>
  <si>
    <t>2390</t>
  </si>
  <si>
    <t>2420</t>
  </si>
  <si>
    <t>2450</t>
  </si>
  <si>
    <t>2480</t>
  </si>
  <si>
    <t>2510</t>
  </si>
  <si>
    <t>2540</t>
  </si>
  <si>
    <t>2570</t>
  </si>
  <si>
    <t>2600</t>
  </si>
  <si>
    <t>레오 시련의 방</t>
    <phoneticPr fontId="7" type="noConversion"/>
  </si>
  <si>
    <t>플루스 시련의 방</t>
    <phoneticPr fontId="7" type="noConversion"/>
  </si>
  <si>
    <t>루나 시련의 방</t>
    <phoneticPr fontId="7" type="noConversion"/>
  </si>
  <si>
    <t>100273</t>
    <phoneticPr fontId="7" type="noConversion"/>
  </si>
  <si>
    <t>100274</t>
    <phoneticPr fontId="7" type="noConversion"/>
  </si>
  <si>
    <t>100275</t>
    <phoneticPr fontId="7" type="noConversion"/>
  </si>
  <si>
    <t>100283</t>
    <phoneticPr fontId="7" type="noConversion"/>
  </si>
  <si>
    <t>100284</t>
    <phoneticPr fontId="7" type="noConversion"/>
  </si>
  <si>
    <t>100285</t>
    <phoneticPr fontId="7" type="noConversion"/>
  </si>
  <si>
    <t>100293</t>
    <phoneticPr fontId="7" type="noConversion"/>
  </si>
  <si>
    <t>100294</t>
    <phoneticPr fontId="7" type="noConversion"/>
  </si>
  <si>
    <t>100295</t>
    <phoneticPr fontId="7" type="noConversion"/>
  </si>
  <si>
    <t>4</t>
    <phoneticPr fontId="7" type="noConversion"/>
  </si>
  <si>
    <t>Scenario</t>
    <phoneticPr fontId="7" type="noConversion"/>
  </si>
  <si>
    <t>GuildRaid.BlackField1</t>
  </si>
  <si>
    <t>True</t>
  </si>
  <si>
    <t>ScenarioEndWave</t>
    <phoneticPr fontId="7" type="noConversion"/>
  </si>
  <si>
    <t>True</t>
    <phoneticPr fontId="7" type="noConversion"/>
  </si>
  <si>
    <t>&lt;시련의 방(초월)&gt;</t>
    <phoneticPr fontId="7" type="noConversion"/>
  </si>
  <si>
    <t>고대 왕실 금고 31층</t>
  </si>
  <si>
    <t>고대 왕실 금고 32층</t>
  </si>
  <si>
    <t>고대 왕실 금고 33층</t>
  </si>
  <si>
    <t>고대 왕실 금고 34층</t>
  </si>
  <si>
    <t>고대 왕실 금고 35층</t>
  </si>
  <si>
    <t>400131</t>
  </si>
  <si>
    <t>400132</t>
  </si>
  <si>
    <t>400133</t>
  </si>
  <si>
    <t>400134</t>
  </si>
  <si>
    <t>400135</t>
  </si>
  <si>
    <t>2750</t>
  </si>
  <si>
    <t>2750</t>
    <phoneticPr fontId="7" type="noConversion"/>
  </si>
  <si>
    <t>2780</t>
  </si>
  <si>
    <t>2780</t>
    <phoneticPr fontId="7" type="noConversion"/>
  </si>
  <si>
    <t>2810</t>
  </si>
  <si>
    <t>2840</t>
  </si>
  <si>
    <t>2870</t>
  </si>
  <si>
    <t>도전의탑 51층</t>
  </si>
  <si>
    <t>도전의탑 52층</t>
  </si>
  <si>
    <t>도전의탑 53층</t>
  </si>
  <si>
    <t>도전의탑 54층</t>
  </si>
  <si>
    <t>도전의탑 55층</t>
  </si>
  <si>
    <t>도전의탑 56층</t>
  </si>
  <si>
    <t>도전의탑 57층</t>
  </si>
  <si>
    <t>도전의탑 58층</t>
  </si>
  <si>
    <t>도전의탑 59층</t>
  </si>
  <si>
    <t>도전의탑 60층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</si>
  <si>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</si>
  <si>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</si>
  <si>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</si>
  <si>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</si>
  <si>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</si>
  <si>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</si>
  <si>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</si>
  <si>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</si>
  <si>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</si>
  <si>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2630</t>
  </si>
  <si>
    <t>2660</t>
  </si>
  <si>
    <t>2690</t>
  </si>
  <si>
    <t>2720</t>
  </si>
  <si>
    <t>2900</t>
  </si>
  <si>
    <t>3800</t>
  </si>
  <si>
    <t>시련의 탑 2층</t>
  </si>
  <si>
    <t>시련의 탑 3층</t>
  </si>
  <si>
    <t>시련의 탑 4층</t>
  </si>
  <si>
    <t>시련의 탑 5층</t>
  </si>
  <si>
    <t>시련의 탑 6층</t>
  </si>
  <si>
    <t>시련의 탑 7층</t>
  </si>
  <si>
    <t>시련의 탑 8층</t>
  </si>
  <si>
    <t>시련의 탑 9층</t>
  </si>
  <si>
    <t>시련의 탑 10층</t>
  </si>
  <si>
    <t>시련의 탑 11층</t>
  </si>
  <si>
    <t>시련의 탑 12층</t>
  </si>
  <si>
    <t>시련의 탑 13층</t>
  </si>
  <si>
    <t>시련의 탑 14층</t>
  </si>
  <si>
    <t>시련의 탑 15층</t>
  </si>
  <si>
    <t>시련의 탑 16층</t>
  </si>
  <si>
    <t>시련의 탑 17층</t>
  </si>
  <si>
    <t>시련의 탑 18층</t>
  </si>
  <si>
    <t>시련의 탑 19층</t>
  </si>
  <si>
    <t>시련의 탑 20층</t>
  </si>
  <si>
    <t>3880</t>
    <phoneticPr fontId="7" type="noConversion"/>
  </si>
  <si>
    <t>3960</t>
    <phoneticPr fontId="7" type="noConversion"/>
  </si>
  <si>
    <t>4040</t>
    <phoneticPr fontId="7" type="noConversion"/>
  </si>
  <si>
    <t>4120</t>
    <phoneticPr fontId="7" type="noConversion"/>
  </si>
  <si>
    <t>4220</t>
    <phoneticPr fontId="7" type="noConversion"/>
  </si>
  <si>
    <t>4320</t>
    <phoneticPr fontId="7" type="noConversion"/>
  </si>
  <si>
    <t>4420</t>
    <phoneticPr fontId="7" type="noConversion"/>
  </si>
  <si>
    <t>4520</t>
    <phoneticPr fontId="7" type="noConversion"/>
  </si>
  <si>
    <t>4620</t>
    <phoneticPr fontId="7" type="noConversion"/>
  </si>
  <si>
    <t>4740</t>
    <phoneticPr fontId="7" type="noConversion"/>
  </si>
  <si>
    <t>4860</t>
    <phoneticPr fontId="7" type="noConversion"/>
  </si>
  <si>
    <t>4980</t>
    <phoneticPr fontId="7" type="noConversion"/>
  </si>
  <si>
    <t>5100</t>
    <phoneticPr fontId="7" type="noConversion"/>
  </si>
  <si>
    <t>5220</t>
    <phoneticPr fontId="7" type="noConversion"/>
  </si>
  <si>
    <t>5380</t>
    <phoneticPr fontId="7" type="noConversion"/>
  </si>
  <si>
    <t>5540</t>
    <phoneticPr fontId="7" type="noConversion"/>
  </si>
  <si>
    <t>5700</t>
    <phoneticPr fontId="7" type="noConversion"/>
  </si>
  <si>
    <t>5860</t>
    <phoneticPr fontId="7" type="noConversion"/>
  </si>
  <si>
    <t>6020</t>
    <phoneticPr fontId="7" type="noConversion"/>
  </si>
  <si>
    <t>ReqScenarioDungeon[]</t>
    <phoneticPr fontId="7" type="noConversion"/>
  </si>
  <si>
    <t>Battle.BlackDragonBGM</t>
  </si>
  <si>
    <t>BlackRaid</t>
    <phoneticPr fontId="7" type="noConversion"/>
  </si>
  <si>
    <t>2250</t>
    <phoneticPr fontId="7" type="noConversion"/>
  </si>
  <si>
    <t>3000</t>
    <phoneticPr fontId="7" type="noConversion"/>
  </si>
  <si>
    <t>3900</t>
    <phoneticPr fontId="7" type="noConversion"/>
  </si>
  <si>
    <t>5050</t>
    <phoneticPr fontId="7" type="noConversion"/>
  </si>
  <si>
    <t>6350</t>
    <phoneticPr fontId="7" type="noConversion"/>
  </si>
  <si>
    <t>Transcendence.Field1</t>
    <phoneticPr fontId="7" type="noConversion"/>
  </si>
  <si>
    <t>Battle.Chapter6</t>
  </si>
  <si>
    <t>아이샤 시련의 방</t>
  </si>
  <si>
    <t>엘 시련의 방</t>
  </si>
  <si>
    <t>아르크 시련의 방</t>
  </si>
  <si>
    <t>닉스 시련의 방</t>
  </si>
  <si>
    <t>아네트 시련의 방</t>
  </si>
  <si>
    <t>타냐 시련의 방</t>
  </si>
  <si>
    <t>33</t>
    <phoneticPr fontId="7" type="noConversion"/>
  </si>
  <si>
    <t>34</t>
    <phoneticPr fontId="7" type="noConversion"/>
  </si>
  <si>
    <t>37</t>
    <phoneticPr fontId="7" type="noConversion"/>
  </si>
  <si>
    <t>Chapter2.Field2_3D</t>
  </si>
  <si>
    <t>Chapter2.Field3_3D</t>
  </si>
  <si>
    <t>Raid.IceField1_3D</t>
  </si>
  <si>
    <t>6001</t>
    <phoneticPr fontId="7" type="noConversion"/>
  </si>
  <si>
    <t>길드레이드</t>
    <phoneticPr fontId="7" type="noConversion"/>
  </si>
  <si>
    <t>GuildRaid</t>
    <phoneticPr fontId="7" type="noConversion"/>
  </si>
  <si>
    <t>42</t>
    <phoneticPr fontId="7" type="noConversion"/>
  </si>
  <si>
    <t>GuildRaid.Chapter6Field1</t>
  </si>
  <si>
    <t>GuildRaidTicket</t>
    <phoneticPr fontId="7" type="noConversion"/>
  </si>
  <si>
    <t>AdvancedReqStamina</t>
  </si>
  <si>
    <t>BattleBGM.GuildRaidBGM</t>
  </si>
  <si>
    <t>IceRaid</t>
    <phoneticPr fontId="7" type="noConversion"/>
  </si>
  <si>
    <t>TutorialAuto</t>
    <phoneticPr fontId="7" type="noConversion"/>
  </si>
  <si>
    <t>(HellLevel)</t>
    <phoneticPr fontId="7" type="noConversion"/>
  </si>
  <si>
    <t>(HellExp/Stamina)</t>
    <phoneticPr fontId="7" type="noConversion"/>
  </si>
  <si>
    <t>FirstClearGem_Hell</t>
    <phoneticPr fontId="7" type="noConversion"/>
  </si>
  <si>
    <t>FirstRewardIndex</t>
    <phoneticPr fontId="7" type="noConversion"/>
  </si>
  <si>
    <t>미트라 시련의 방</t>
  </si>
  <si>
    <t>100353</t>
    <phoneticPr fontId="7" type="noConversion"/>
  </si>
  <si>
    <t>100354</t>
    <phoneticPr fontId="7" type="noConversion"/>
  </si>
  <si>
    <t>100355</t>
    <phoneticPr fontId="7" type="noConversion"/>
  </si>
  <si>
    <t>(Easy)</t>
    <phoneticPr fontId="7" type="noConversion"/>
  </si>
  <si>
    <t>(Normal)</t>
    <phoneticPr fontId="7" type="noConversion"/>
  </si>
  <si>
    <t>(Hard)</t>
    <phoneticPr fontId="7" type="noConversion"/>
  </si>
  <si>
    <t>(Hell)</t>
    <phoneticPr fontId="7" type="noConversion"/>
  </si>
  <si>
    <t>(all)</t>
    <phoneticPr fontId="7" type="noConversion"/>
  </si>
  <si>
    <t>ReqStamina</t>
    <phoneticPr fontId="7" type="noConversion"/>
  </si>
  <si>
    <t>고대 왕실 금고 36층</t>
  </si>
  <si>
    <t>고대 왕실 금고 37층</t>
  </si>
  <si>
    <t>고대 왕실 금고 38층</t>
  </si>
  <si>
    <t>고대 왕실 금고 39층</t>
  </si>
  <si>
    <t>고대 왕실 금고 40층</t>
  </si>
  <si>
    <t>72</t>
    <phoneticPr fontId="7" type="noConversion"/>
  </si>
  <si>
    <t>74</t>
    <phoneticPr fontId="7" type="noConversion"/>
  </si>
  <si>
    <t>76</t>
    <phoneticPr fontId="7" type="noConversion"/>
  </si>
  <si>
    <t>78</t>
    <phoneticPr fontId="7" type="noConversion"/>
  </si>
  <si>
    <t>80</t>
    <phoneticPr fontId="7" type="noConversion"/>
  </si>
  <si>
    <t>400136</t>
    <phoneticPr fontId="7" type="noConversion"/>
  </si>
  <si>
    <t>400137</t>
    <phoneticPr fontId="7" type="noConversion"/>
  </si>
  <si>
    <t>400138</t>
    <phoneticPr fontId="7" type="noConversion"/>
  </si>
  <si>
    <t>400139</t>
    <phoneticPr fontId="7" type="noConversion"/>
  </si>
  <si>
    <t>GreenRaid</t>
    <phoneticPr fontId="7" type="noConversion"/>
  </si>
  <si>
    <t>GuildRaid.BlackField1</t>
    <phoneticPr fontId="7" type="noConversion"/>
  </si>
  <si>
    <t>Raid.PoisonField1_3D</t>
    <phoneticPr fontId="7" type="noConversion"/>
  </si>
  <si>
    <t>Chapter7.Field4_3D</t>
  </si>
  <si>
    <t>Chapter7.Field1_3D</t>
  </si>
  <si>
    <t>월드보스</t>
    <phoneticPr fontId="7" type="noConversion"/>
  </si>
  <si>
    <t>7001</t>
    <phoneticPr fontId="7" type="noConversion"/>
  </si>
  <si>
    <t>WorldBoss</t>
    <phoneticPr fontId="7" type="noConversion"/>
  </si>
  <si>
    <t>비스카 시련의 방</t>
  </si>
  <si>
    <t>NeedCheckIntegrity</t>
    <phoneticPr fontId="7" type="noConversion"/>
  </si>
  <si>
    <t>TRUE</t>
    <phoneticPr fontId="7" type="noConversion"/>
  </si>
  <si>
    <t>WorldBoss.MountainField1</t>
  </si>
  <si>
    <t>True</t>
    <phoneticPr fontId="7" type="noConversion"/>
  </si>
  <si>
    <t>ScenarioForcedHeroIndex[]</t>
    <phoneticPr fontId="7" type="noConversion"/>
  </si>
  <si>
    <t>레위시아 시련의 방</t>
  </si>
  <si>
    <t>32</t>
    <phoneticPr fontId="7" type="noConversion"/>
  </si>
  <si>
    <t>리카르도 시련의 방</t>
  </si>
  <si>
    <t>44</t>
    <phoneticPr fontId="7" type="noConversion"/>
  </si>
  <si>
    <t>프리실라 시련의 방</t>
  </si>
  <si>
    <t>90</t>
    <phoneticPr fontId="7" type="noConversion"/>
  </si>
  <si>
    <t>메이 시련의 방</t>
  </si>
  <si>
    <t>75</t>
    <phoneticPr fontId="7" type="noConversion"/>
  </si>
  <si>
    <t>시련의 탑 21층</t>
  </si>
  <si>
    <t>시련의 탑 22층</t>
  </si>
  <si>
    <t>시련의 탑 23층</t>
  </si>
  <si>
    <t>시련의 탑 24층</t>
  </si>
  <si>
    <t>시련의 탑 25층</t>
  </si>
  <si>
    <t>도전의탑 61층</t>
  </si>
  <si>
    <t>도전의탑 62층</t>
  </si>
  <si>
    <t>도전의탑 63층</t>
  </si>
  <si>
    <t>도전의탑 64층</t>
  </si>
  <si>
    <t>도전의탑 65층</t>
  </si>
  <si>
    <t>81</t>
    <phoneticPr fontId="7" type="noConversion"/>
  </si>
  <si>
    <t>82</t>
    <phoneticPr fontId="7" type="noConversion"/>
  </si>
  <si>
    <t>83</t>
  </si>
  <si>
    <t>84</t>
  </si>
  <si>
    <t>2930</t>
  </si>
  <si>
    <t>2960</t>
  </si>
  <si>
    <t>2990</t>
  </si>
  <si>
    <t>3050</t>
  </si>
  <si>
    <t>2</t>
    <phoneticPr fontId="7" type="noConversion"/>
  </si>
  <si>
    <t>2</t>
    <phoneticPr fontId="7" type="noConversion"/>
  </si>
  <si>
    <t>6</t>
    <phoneticPr fontId="7" type="noConversion"/>
  </si>
  <si>
    <t>81</t>
  </si>
  <si>
    <t>82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</si>
  <si>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</si>
  <si>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</si>
  <si>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</si>
  <si>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</si>
  <si>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</si>
  <si>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</si>
  <si>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</si>
  <si>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</si>
  <si>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</si>
  <si>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96</t>
  </si>
  <si>
    <t>97</t>
  </si>
  <si>
    <t>98</t>
  </si>
  <si>
    <t>99</t>
  </si>
  <si>
    <t>100</t>
  </si>
  <si>
    <t>고대 왕실 금고 41층</t>
  </si>
  <si>
    <t>고대 왕실 금고 42층</t>
  </si>
  <si>
    <t>고대 왕실 금고 43층</t>
  </si>
  <si>
    <t>고대 왕실 금고 44층</t>
  </si>
  <si>
    <t>고대 왕실 금고 45층</t>
  </si>
  <si>
    <t>101</t>
  </si>
  <si>
    <t>102</t>
  </si>
  <si>
    <t>103</t>
  </si>
  <si>
    <t>104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</si>
  <si>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</si>
  <si>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</si>
  <si>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</si>
  <si>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</si>
  <si>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</si>
  <si>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</si>
  <si>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</si>
  <si>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</si>
  <si>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</si>
  <si>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</si>
  <si>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</si>
  <si>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</si>
  <si>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</si>
  <si>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</si>
  <si>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</si>
  <si>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</si>
  <si>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</si>
  <si>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</si>
  <si>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400141</t>
  </si>
  <si>
    <t>400142</t>
  </si>
  <si>
    <t>400143</t>
  </si>
  <si>
    <t>400144</t>
  </si>
  <si>
    <t>400145</t>
  </si>
  <si>
    <t>얀느 시련의 방</t>
    <phoneticPr fontId="7" type="noConversion"/>
  </si>
  <si>
    <t>카산드라 시련의 방</t>
    <phoneticPr fontId="7" type="noConversion"/>
  </si>
  <si>
    <t>오디 시련의 방</t>
    <phoneticPr fontId="7" type="noConversion"/>
  </si>
  <si>
    <t>39</t>
    <phoneticPr fontId="7" type="noConversion"/>
  </si>
  <si>
    <t>100453</t>
    <phoneticPr fontId="7" type="noConversion"/>
  </si>
  <si>
    <t>100454</t>
    <phoneticPr fontId="7" type="noConversion"/>
  </si>
  <si>
    <t>100455</t>
    <phoneticPr fontId="7" type="noConversion"/>
  </si>
  <si>
    <t>100393</t>
    <phoneticPr fontId="7" type="noConversion"/>
  </si>
  <si>
    <t>100394</t>
    <phoneticPr fontId="7" type="noConversion"/>
  </si>
  <si>
    <t>100395</t>
    <phoneticPr fontId="7" type="noConversion"/>
  </si>
  <si>
    <t>100423</t>
    <phoneticPr fontId="7" type="noConversion"/>
  </si>
  <si>
    <t>100424</t>
    <phoneticPr fontId="7" type="noConversion"/>
  </si>
  <si>
    <t>100425</t>
    <phoneticPr fontId="7" type="noConversion"/>
  </si>
  <si>
    <t>101391</t>
    <phoneticPr fontId="7" type="noConversion"/>
  </si>
  <si>
    <t>101392</t>
    <phoneticPr fontId="7" type="noConversion"/>
  </si>
  <si>
    <t>101393</t>
    <phoneticPr fontId="7" type="noConversion"/>
  </si>
  <si>
    <t>101394</t>
    <phoneticPr fontId="7" type="noConversion"/>
  </si>
  <si>
    <t>101395</t>
    <phoneticPr fontId="7" type="noConversion"/>
  </si>
  <si>
    <t>101421</t>
    <phoneticPr fontId="7" type="noConversion"/>
  </si>
  <si>
    <t>101422</t>
    <phoneticPr fontId="7" type="noConversion"/>
  </si>
  <si>
    <t>101423</t>
    <phoneticPr fontId="7" type="noConversion"/>
  </si>
  <si>
    <t>101424</t>
    <phoneticPr fontId="7" type="noConversion"/>
  </si>
  <si>
    <t>101425</t>
    <phoneticPr fontId="7" type="noConversion"/>
  </si>
  <si>
    <t>101451</t>
    <phoneticPr fontId="7" type="noConversion"/>
  </si>
  <si>
    <t>101452</t>
    <phoneticPr fontId="7" type="noConversion"/>
  </si>
  <si>
    <t>101453</t>
    <phoneticPr fontId="7" type="noConversion"/>
  </si>
  <si>
    <t>101454</t>
    <phoneticPr fontId="7" type="noConversion"/>
  </si>
  <si>
    <t>101455</t>
    <phoneticPr fontId="7" type="noConversion"/>
  </si>
  <si>
    <t>이벤트 던전</t>
    <phoneticPr fontId="7" type="noConversion"/>
  </si>
  <si>
    <t>6</t>
    <phoneticPr fontId="7" type="noConversion"/>
  </si>
  <si>
    <t>할로윈2</t>
    <phoneticPr fontId="7" type="noConversion"/>
  </si>
  <si>
    <t>할로윈3</t>
    <phoneticPr fontId="7" type="noConversion"/>
  </si>
  <si>
    <t>할로윈4</t>
    <phoneticPr fontId="7" type="noConversion"/>
  </si>
  <si>
    <t>할로윈5</t>
    <phoneticPr fontId="7" type="noConversion"/>
  </si>
  <si>
    <t>할로윈6</t>
    <phoneticPr fontId="7" type="noConversion"/>
  </si>
  <si>
    <t>할로윈1</t>
    <phoneticPr fontId="7" type="noConversion"/>
  </si>
  <si>
    <t>EventDungeon</t>
  </si>
  <si>
    <t>EventDungeon</t>
    <phoneticPr fontId="7" type="noConversion"/>
  </si>
  <si>
    <t>EventDungeonTicket</t>
  </si>
  <si>
    <t>WorldBoss.PoseidonField1</t>
    <phoneticPr fontId="7" type="noConversion"/>
  </si>
  <si>
    <t>800001</t>
  </si>
  <si>
    <t>800002</t>
  </si>
  <si>
    <t>800003</t>
  </si>
  <si>
    <t>800004</t>
  </si>
  <si>
    <t>800005</t>
  </si>
  <si>
    <t>800006</t>
  </si>
  <si>
    <t>800007</t>
  </si>
  <si>
    <t>800008</t>
  </si>
  <si>
    <t>800009</t>
  </si>
  <si>
    <t>800010</t>
  </si>
  <si>
    <t>800011</t>
  </si>
  <si>
    <t>800012</t>
  </si>
  <si>
    <t>800013</t>
  </si>
  <si>
    <t>800014</t>
  </si>
  <si>
    <t>800015</t>
  </si>
  <si>
    <t>800016</t>
  </si>
  <si>
    <t>800017</t>
  </si>
  <si>
    <t>800018</t>
  </si>
  <si>
    <t>Event.HalloweenField1_3D</t>
  </si>
  <si>
    <t>WorldBoss.Poseidon</t>
    <phoneticPr fontId="7" type="noConversion"/>
  </si>
  <si>
    <t>400101</t>
    <phoneticPr fontId="7" type="noConversion"/>
  </si>
  <si>
    <t>400140</t>
    <phoneticPr fontId="7" type="noConversion"/>
  </si>
  <si>
    <t>91</t>
    <phoneticPr fontId="7" type="noConversion"/>
  </si>
  <si>
    <t>101911</t>
    <phoneticPr fontId="7" type="noConversion"/>
  </si>
  <si>
    <t>101912</t>
    <phoneticPr fontId="7" type="noConversion"/>
  </si>
  <si>
    <t>101913</t>
    <phoneticPr fontId="7" type="noConversion"/>
  </si>
  <si>
    <t>101914</t>
    <phoneticPr fontId="7" type="noConversion"/>
  </si>
  <si>
    <t>101915</t>
    <phoneticPr fontId="7" type="noConversion"/>
  </si>
  <si>
    <t>글라디 시련의 방</t>
    <phoneticPr fontId="7" type="noConversion"/>
  </si>
  <si>
    <t>91</t>
    <phoneticPr fontId="7" type="noConversion"/>
  </si>
  <si>
    <t>100913</t>
    <phoneticPr fontId="7" type="noConversion"/>
  </si>
  <si>
    <t>100914</t>
    <phoneticPr fontId="7" type="noConversion"/>
  </si>
  <si>
    <t>100915</t>
    <phoneticPr fontId="7" type="noConversion"/>
  </si>
  <si>
    <t>Raid_Hard</t>
    <phoneticPr fontId="7" type="noConversion"/>
  </si>
  <si>
    <t>IceRaid_Hard</t>
    <phoneticPr fontId="7" type="noConversion"/>
  </si>
  <si>
    <t>GreenRaid_Hard</t>
    <phoneticPr fontId="7" type="noConversion"/>
  </si>
  <si>
    <t>BlackRaid_Hard</t>
    <phoneticPr fontId="7" type="noConversion"/>
  </si>
  <si>
    <t>테오 시련의 방</t>
    <phoneticPr fontId="7" type="noConversion"/>
  </si>
  <si>
    <t>메디아나 시련의 방</t>
    <phoneticPr fontId="7" type="noConversion"/>
  </si>
  <si>
    <t>100405</t>
    <phoneticPr fontId="7" type="noConversion"/>
  </si>
  <si>
    <t>테오 시련의 방</t>
    <phoneticPr fontId="7" type="noConversion"/>
  </si>
  <si>
    <t>Trial</t>
    <phoneticPr fontId="7" type="noConversion"/>
  </si>
  <si>
    <t>40</t>
    <phoneticPr fontId="7" type="noConversion"/>
  </si>
  <si>
    <t>15</t>
    <phoneticPr fontId="7" type="noConversion"/>
  </si>
  <si>
    <t>150</t>
    <phoneticPr fontId="7" type="noConversion"/>
  </si>
  <si>
    <t>25</t>
    <phoneticPr fontId="7" type="noConversion"/>
  </si>
  <si>
    <t>400</t>
    <phoneticPr fontId="7" type="noConversion"/>
  </si>
  <si>
    <t>Trial</t>
    <phoneticPr fontId="7" type="noConversion"/>
  </si>
  <si>
    <t>40</t>
    <phoneticPr fontId="7" type="noConversion"/>
  </si>
  <si>
    <t>100403</t>
    <phoneticPr fontId="7" type="noConversion"/>
  </si>
  <si>
    <t>35</t>
    <phoneticPr fontId="7" type="noConversion"/>
  </si>
  <si>
    <t>750</t>
    <phoneticPr fontId="7" type="noConversion"/>
  </si>
  <si>
    <t>100404</t>
    <phoneticPr fontId="7" type="noConversion"/>
  </si>
  <si>
    <t>45</t>
    <phoneticPr fontId="7" type="noConversion"/>
  </si>
  <si>
    <t>1270</t>
    <phoneticPr fontId="7" type="noConversion"/>
  </si>
  <si>
    <t>55</t>
    <phoneticPr fontId="7" type="noConversion"/>
  </si>
  <si>
    <t>1950</t>
    <phoneticPr fontId="7" type="noConversion"/>
  </si>
  <si>
    <t>41</t>
    <phoneticPr fontId="7" type="noConversion"/>
  </si>
  <si>
    <t>15</t>
    <phoneticPr fontId="7" type="noConversion"/>
  </si>
  <si>
    <t>150</t>
    <phoneticPr fontId="7" type="noConversion"/>
  </si>
  <si>
    <t>메디아나 시련의 방</t>
    <phoneticPr fontId="7" type="noConversion"/>
  </si>
  <si>
    <t>Trial</t>
    <phoneticPr fontId="7" type="noConversion"/>
  </si>
  <si>
    <t>41</t>
    <phoneticPr fontId="7" type="noConversion"/>
  </si>
  <si>
    <t>25</t>
    <phoneticPr fontId="7" type="noConversion"/>
  </si>
  <si>
    <t>400</t>
    <phoneticPr fontId="7" type="noConversion"/>
  </si>
  <si>
    <t>100413</t>
    <phoneticPr fontId="7" type="noConversion"/>
  </si>
  <si>
    <t>35</t>
    <phoneticPr fontId="7" type="noConversion"/>
  </si>
  <si>
    <t>750</t>
    <phoneticPr fontId="7" type="noConversion"/>
  </si>
  <si>
    <t>100414</t>
    <phoneticPr fontId="7" type="noConversion"/>
  </si>
  <si>
    <t>45</t>
    <phoneticPr fontId="7" type="noConversion"/>
  </si>
  <si>
    <t>1270</t>
    <phoneticPr fontId="7" type="noConversion"/>
  </si>
  <si>
    <t>100415</t>
    <phoneticPr fontId="7" type="noConversion"/>
  </si>
  <si>
    <t>55</t>
    <phoneticPr fontId="7" type="noConversion"/>
  </si>
  <si>
    <t>1950</t>
    <phoneticPr fontId="7" type="noConversion"/>
  </si>
  <si>
    <t>아르테미아 시련의 방</t>
    <phoneticPr fontId="7" type="noConversion"/>
  </si>
  <si>
    <t>64</t>
    <phoneticPr fontId="7" type="noConversion"/>
  </si>
  <si>
    <t>100643</t>
    <phoneticPr fontId="7" type="noConversion"/>
  </si>
  <si>
    <t>100644</t>
    <phoneticPr fontId="7" type="noConversion"/>
  </si>
  <si>
    <t>100645</t>
    <phoneticPr fontId="7" type="noConversion"/>
  </si>
  <si>
    <t>101401</t>
    <phoneticPr fontId="7" type="noConversion"/>
  </si>
  <si>
    <t>101402</t>
    <phoneticPr fontId="7" type="noConversion"/>
  </si>
  <si>
    <t>101403</t>
    <phoneticPr fontId="7" type="noConversion"/>
  </si>
  <si>
    <t>101404</t>
    <phoneticPr fontId="7" type="noConversion"/>
  </si>
  <si>
    <t>101405</t>
    <phoneticPr fontId="7" type="noConversion"/>
  </si>
  <si>
    <t>101411</t>
    <phoneticPr fontId="7" type="noConversion"/>
  </si>
  <si>
    <t>101412</t>
    <phoneticPr fontId="7" type="noConversion"/>
  </si>
  <si>
    <t>101413</t>
    <phoneticPr fontId="7" type="noConversion"/>
  </si>
  <si>
    <t>101414</t>
    <phoneticPr fontId="7" type="noConversion"/>
  </si>
  <si>
    <t>101415</t>
    <phoneticPr fontId="7" type="noConversion"/>
  </si>
  <si>
    <t>Arena.Field1</t>
    <phoneticPr fontId="7" type="noConversion"/>
  </si>
  <si>
    <t>2</t>
    <phoneticPr fontId="7" type="noConversion"/>
  </si>
  <si>
    <t>Arena</t>
    <phoneticPr fontId="7" type="noConversion"/>
  </si>
  <si>
    <t>Arena.Field2</t>
    <phoneticPr fontId="7" type="noConversion"/>
  </si>
  <si>
    <t>30002</t>
  </si>
  <si>
    <t>크리스마스1</t>
  </si>
  <si>
    <t>BattleBGM.2_1</t>
  </si>
  <si>
    <t>크리스마스2</t>
  </si>
  <si>
    <t>크리스마스3</t>
  </si>
  <si>
    <t>크리스마스4</t>
  </si>
  <si>
    <t>80</t>
    <phoneticPr fontId="7" type="noConversion"/>
  </si>
  <si>
    <t>Event.ChristmasField1_3D</t>
    <phoneticPr fontId="7" type="noConversion"/>
  </si>
  <si>
    <t>ChallengeRaid</t>
  </si>
  <si>
    <t>ChapterRaid.Chapter1.Field1</t>
  </si>
  <si>
    <t>449</t>
    <phoneticPr fontId="7" type="noConversion"/>
  </si>
  <si>
    <t>ReqStamina_Hell</t>
    <phoneticPr fontId="7" type="noConversion"/>
  </si>
  <si>
    <t>1077</t>
    <phoneticPr fontId="7" type="noConversion"/>
  </si>
  <si>
    <t>1294</t>
    <phoneticPr fontId="7" type="noConversion"/>
  </si>
  <si>
    <t>Value[]</t>
    <phoneticPr fontId="7" type="noConversion"/>
  </si>
  <si>
    <t>OpenDifficulty</t>
    <phoneticPr fontId="7" type="noConversion"/>
  </si>
  <si>
    <t>true</t>
    <phoneticPr fontId="7" type="noConversion"/>
  </si>
  <si>
    <t>DropRewardIndex_Hell</t>
    <phoneticPr fontId="7" type="noConversion"/>
  </si>
  <si>
    <t>CreatureExp_Hell</t>
    <phoneticPr fontId="7" type="noConversion"/>
  </si>
  <si>
    <t>800017</t>
    <phoneticPr fontId="7" type="noConversion"/>
  </si>
  <si>
    <t>800018</t>
    <phoneticPr fontId="7" type="noConversion"/>
  </si>
  <si>
    <t>800019</t>
  </si>
  <si>
    <t>800020</t>
  </si>
  <si>
    <t>800021</t>
  </si>
  <si>
    <t>800022</t>
  </si>
  <si>
    <t>800023</t>
  </si>
  <si>
    <t>35</t>
    <phoneticPr fontId="7" type="noConversion"/>
  </si>
  <si>
    <t>45</t>
    <phoneticPr fontId="7" type="noConversion"/>
  </si>
  <si>
    <t>55</t>
    <phoneticPr fontId="7" type="noConversion"/>
  </si>
  <si>
    <t>65</t>
    <phoneticPr fontId="7" type="noConversion"/>
  </si>
  <si>
    <t>75</t>
    <phoneticPr fontId="7" type="noConversion"/>
  </si>
  <si>
    <t>80</t>
    <phoneticPr fontId="7" type="noConversion"/>
  </si>
  <si>
    <t>챌린지 레이드</t>
    <phoneticPr fontId="7" type="noConversion"/>
  </si>
  <si>
    <t>ChapterRaid.Chapter2.Field1</t>
    <phoneticPr fontId="7" type="noConversion"/>
  </si>
  <si>
    <t>이벤트 레이드 보스</t>
    <phoneticPr fontId="7" type="noConversion"/>
  </si>
  <si>
    <t>1</t>
    <phoneticPr fontId="7" type="noConversion"/>
  </si>
  <si>
    <t>EventWorldBoss</t>
    <phoneticPr fontId="7" type="noConversion"/>
  </si>
  <si>
    <t>스칼렛 시련의 방</t>
    <phoneticPr fontId="7" type="noConversion"/>
  </si>
  <si>
    <t>소니아 시련의 방</t>
    <phoneticPr fontId="7" type="noConversion"/>
  </si>
  <si>
    <t>62</t>
    <phoneticPr fontId="7" type="noConversion"/>
  </si>
  <si>
    <t>63</t>
    <phoneticPr fontId="7" type="noConversion"/>
  </si>
  <si>
    <t>101621</t>
    <phoneticPr fontId="7" type="noConversion"/>
  </si>
  <si>
    <t>101622</t>
    <phoneticPr fontId="7" type="noConversion"/>
  </si>
  <si>
    <t>101623</t>
    <phoneticPr fontId="7" type="noConversion"/>
  </si>
  <si>
    <t>101624</t>
    <phoneticPr fontId="7" type="noConversion"/>
  </si>
  <si>
    <t>101625</t>
    <phoneticPr fontId="7" type="noConversion"/>
  </si>
  <si>
    <t>101631</t>
    <phoneticPr fontId="7" type="noConversion"/>
  </si>
  <si>
    <t>101632</t>
    <phoneticPr fontId="7" type="noConversion"/>
  </si>
  <si>
    <t xml:space="preserve"> 미리안느 시련의 방</t>
    <phoneticPr fontId="7" type="noConversion"/>
  </si>
  <si>
    <t>100623</t>
    <phoneticPr fontId="7" type="noConversion"/>
  </si>
  <si>
    <t>100624</t>
    <phoneticPr fontId="7" type="noConversion"/>
  </si>
  <si>
    <t>100625</t>
    <phoneticPr fontId="7" type="noConversion"/>
  </si>
  <si>
    <t>100633</t>
    <phoneticPr fontId="7" type="noConversion"/>
  </si>
  <si>
    <t>100634</t>
    <phoneticPr fontId="7" type="noConversion"/>
  </si>
  <si>
    <t>100635</t>
    <phoneticPr fontId="7" type="noConversion"/>
  </si>
  <si>
    <t>100654</t>
    <phoneticPr fontId="7" type="noConversion"/>
  </si>
  <si>
    <t>100653</t>
    <phoneticPr fontId="7" type="noConversion"/>
  </si>
  <si>
    <t>100655</t>
    <phoneticPr fontId="7" type="noConversion"/>
  </si>
  <si>
    <t>WorldBoss.EventPoseidon</t>
    <phoneticPr fontId="7" type="noConversion"/>
  </si>
  <si>
    <t>WorldBoss.PoseidonField1Christmas</t>
  </si>
  <si>
    <t>Arena2</t>
    <phoneticPr fontId="7" type="noConversion"/>
  </si>
  <si>
    <t>ChapterRaid.Chapter3.Field1</t>
    <phoneticPr fontId="7" type="noConversion"/>
  </si>
  <si>
    <t>에제키엘 시련의 방</t>
  </si>
  <si>
    <t>ChapterRaid.Chapter4.Field1</t>
    <phoneticPr fontId="7" type="noConversion"/>
  </si>
  <si>
    <t>DpsTest</t>
  </si>
  <si>
    <t>Chapter7.Field1_3D</t>
    <phoneticPr fontId="7" type="noConversion"/>
  </si>
  <si>
    <t>오펠리아 시련의 방</t>
    <phoneticPr fontId="7" type="noConversion"/>
  </si>
  <si>
    <t>레퀴나 시련의 방</t>
    <phoneticPr fontId="7" type="noConversion"/>
  </si>
  <si>
    <t>에제키엘 시련의 방</t>
    <phoneticPr fontId="7" type="noConversion"/>
  </si>
  <si>
    <t>테스트챕터</t>
    <phoneticPr fontId="7" type="noConversion"/>
  </si>
  <si>
    <t>챌린지 레이드 우르칵 Easy</t>
    <phoneticPr fontId="7" type="noConversion"/>
  </si>
  <si>
    <t>챌린지 레이드 우르칵 Normal</t>
    <phoneticPr fontId="7" type="noConversion"/>
  </si>
  <si>
    <t>챌린지 레이드 우르칵 Hard</t>
    <phoneticPr fontId="7" type="noConversion"/>
  </si>
  <si>
    <t>챌린지 레이드 우르칵 Hell</t>
    <phoneticPr fontId="7" type="noConversion"/>
  </si>
  <si>
    <t>챌린지 레이드 사트리아 Easy</t>
    <phoneticPr fontId="7" type="noConversion"/>
  </si>
  <si>
    <t>챌린지 레이드 사트리아 Normal</t>
    <phoneticPr fontId="7" type="noConversion"/>
  </si>
  <si>
    <t>챌린지 레이드 사트리아 Hard</t>
    <phoneticPr fontId="7" type="noConversion"/>
  </si>
  <si>
    <t>챌린지 레이드 사트리아 Hell</t>
    <phoneticPr fontId="7" type="noConversion"/>
  </si>
  <si>
    <t>챌린지 레이드 케베른 Easy</t>
    <phoneticPr fontId="7" type="noConversion"/>
  </si>
  <si>
    <t>챌린지 레이드 케베른 Normal</t>
    <phoneticPr fontId="7" type="noConversion"/>
  </si>
  <si>
    <t>챌린지 레이드 케베른 Hard</t>
    <phoneticPr fontId="7" type="noConversion"/>
  </si>
  <si>
    <t>챌린지 레이드 케베른 Hell</t>
    <phoneticPr fontId="7" type="noConversion"/>
  </si>
  <si>
    <t>챌린지 레이드 오브리가드 Easy</t>
    <phoneticPr fontId="7" type="noConversion"/>
  </si>
  <si>
    <t>챌린지 레이드 오브리가드 Normal</t>
    <phoneticPr fontId="7" type="noConversion"/>
  </si>
  <si>
    <t>챌린지 레이드 오브리가드 Hard</t>
    <phoneticPr fontId="7" type="noConversion"/>
  </si>
  <si>
    <t>챌린지 레이드 오브리가드 Hell</t>
    <phoneticPr fontId="7" type="noConversion"/>
  </si>
  <si>
    <t>승리의 리그</t>
    <phoneticPr fontId="7" type="noConversion"/>
  </si>
  <si>
    <t>영광의 리그</t>
    <phoneticPr fontId="7" type="noConversion"/>
  </si>
  <si>
    <t>카셀 시련의 방 1성</t>
    <phoneticPr fontId="7" type="noConversion"/>
  </si>
  <si>
    <t>카셀 시련의 방 2성</t>
  </si>
  <si>
    <t>카셀 시련의 방 3성</t>
  </si>
  <si>
    <t>카셀 시련의 방 4성</t>
  </si>
  <si>
    <t>카셀 시련의 방 5성</t>
  </si>
  <si>
    <t>프레이 시련의 방 1성</t>
    <phoneticPr fontId="7" type="noConversion"/>
  </si>
  <si>
    <t>프레이 시련의 방 2성</t>
  </si>
  <si>
    <t>프레이 시련의 방 3성</t>
  </si>
  <si>
    <t>프레이 시련의 방 4성</t>
  </si>
  <si>
    <t>프레이 시련의 방 5성</t>
  </si>
  <si>
    <t>클레오 시련의 방 1성</t>
    <phoneticPr fontId="7" type="noConversion"/>
  </si>
  <si>
    <t>클레오 시련의 방 2성</t>
  </si>
  <si>
    <t>클레오 시련의 방 3성</t>
  </si>
  <si>
    <t>클레오 시련의 방 4성</t>
  </si>
  <si>
    <t>클레오 시련의 방 5성</t>
  </si>
  <si>
    <t>로이 시련의 방 1성</t>
    <phoneticPr fontId="7" type="noConversion"/>
  </si>
  <si>
    <t>로이 시련의 방 2성</t>
  </si>
  <si>
    <t>로이 시련의 방 3성</t>
  </si>
  <si>
    <t>로이 시련의 방 4성</t>
  </si>
  <si>
    <t>로이 시련의 방 5성</t>
  </si>
  <si>
    <t>가우 시련의 방 1성</t>
    <phoneticPr fontId="7" type="noConversion"/>
  </si>
  <si>
    <t>가우 시련의 방 2성</t>
  </si>
  <si>
    <t>가우 시련의 방 3성</t>
  </si>
  <si>
    <t>가우 시련의 방 4성</t>
  </si>
  <si>
    <t>가우 시련의 방 5성</t>
  </si>
  <si>
    <t>필롭 시련의 방 1성</t>
    <phoneticPr fontId="7" type="noConversion"/>
  </si>
  <si>
    <t>필롭 시련의 방 2성</t>
  </si>
  <si>
    <t>필롭 시련의 방 3성</t>
  </si>
  <si>
    <t>필롭 시련의 방 4성</t>
  </si>
  <si>
    <t>필롭 시련의 방 5성</t>
  </si>
  <si>
    <t>라크락 시련의 방 1성</t>
    <phoneticPr fontId="7" type="noConversion"/>
  </si>
  <si>
    <t>라크락 시련의 방 2성</t>
  </si>
  <si>
    <t>라크락 시련의 방 3성</t>
  </si>
  <si>
    <t>라크락 시련의 방 4성</t>
  </si>
  <si>
    <t>라크락 시련의 방 5성</t>
  </si>
  <si>
    <t>카울라 시련의 방 1성</t>
    <phoneticPr fontId="7" type="noConversion"/>
  </si>
  <si>
    <t>카울라 시련의 방 2성</t>
  </si>
  <si>
    <t>카울라 시련의 방 3성</t>
  </si>
  <si>
    <t>카울라 시련의 방 4성</t>
  </si>
  <si>
    <t>카울라 시련의 방 5성</t>
  </si>
  <si>
    <t>에피스 시련의 방 1성</t>
    <phoneticPr fontId="7" type="noConversion"/>
  </si>
  <si>
    <t>에피스 시련의 방 2성</t>
  </si>
  <si>
    <t>에피스 시련의 방 3성</t>
  </si>
  <si>
    <t>에피스 시련의 방 4성</t>
  </si>
  <si>
    <t>에피스 시련의 방 5성</t>
  </si>
  <si>
    <t>셀레네 시련의 방 1성</t>
    <phoneticPr fontId="7" type="noConversion"/>
  </si>
  <si>
    <t>셀레네 시련의 방 2성</t>
  </si>
  <si>
    <t>셀레네 시련의 방 3성</t>
  </si>
  <si>
    <t>셀레네 시련의 방 4성</t>
  </si>
  <si>
    <t>셀레네 시련의 방 5성</t>
  </si>
  <si>
    <t>마리아 시련의 방 1성</t>
    <phoneticPr fontId="7" type="noConversion"/>
  </si>
  <si>
    <t>마리아 시련의 방 2성</t>
  </si>
  <si>
    <t>마리아 시련의 방 3성</t>
  </si>
  <si>
    <t>마리아 시련의 방 4성</t>
  </si>
  <si>
    <t>마리아 시련의 방 5성</t>
  </si>
  <si>
    <t>미르르 시련의 방 1성</t>
    <phoneticPr fontId="7" type="noConversion"/>
  </si>
  <si>
    <t>미르르 시련의 방 2성</t>
  </si>
  <si>
    <t>미르르 시련의 방 3성</t>
  </si>
  <si>
    <t>미르르 시련의 방 4성</t>
  </si>
  <si>
    <t>미르르 시련의 방 5성</t>
  </si>
  <si>
    <t>로레인 시련의 방 1성</t>
    <phoneticPr fontId="7" type="noConversion"/>
  </si>
  <si>
    <t>로레인 시련의 방 2성</t>
  </si>
  <si>
    <t>로레인 시련의 방 3성</t>
  </si>
  <si>
    <t>로레인 시련의 방 4성</t>
  </si>
  <si>
    <t>로레인 시련의 방 5성</t>
  </si>
  <si>
    <t>마야 시련의 방 1성</t>
    <phoneticPr fontId="7" type="noConversion"/>
  </si>
  <si>
    <t>마야 시련의 방 2성</t>
  </si>
  <si>
    <t>마야 시련의 방 3성</t>
  </si>
  <si>
    <t>마야 시련의 방 4성</t>
  </si>
  <si>
    <t>마야 시련의 방 5성</t>
  </si>
  <si>
    <t>클라우스 시련의 방 1성</t>
    <phoneticPr fontId="7" type="noConversion"/>
  </si>
  <si>
    <t>클라우스 시련의 방 2성</t>
  </si>
  <si>
    <t>클라우스 시련의 방 3성</t>
  </si>
  <si>
    <t>클라우스 시련의 방 4성</t>
  </si>
  <si>
    <t>클라우스 시련의 방 5성</t>
  </si>
  <si>
    <t>레피 시련의 방 1성</t>
    <phoneticPr fontId="7" type="noConversion"/>
  </si>
  <si>
    <t>레피 시련의 방 2성</t>
  </si>
  <si>
    <t>레피 시련의 방 3성</t>
  </si>
  <si>
    <t>레피 시련의 방 4성</t>
  </si>
  <si>
    <t>레피 시련의 방 5성</t>
  </si>
  <si>
    <t>디마엘 시련의 방 1성</t>
    <phoneticPr fontId="7" type="noConversion"/>
  </si>
  <si>
    <t>디마엘 시련의 방 2성</t>
  </si>
  <si>
    <t>디마엘 시련의 방 3성</t>
  </si>
  <si>
    <t>디마엘 시련의 방 4성</t>
  </si>
  <si>
    <t>디마엘 시련의 방 5성</t>
  </si>
  <si>
    <t>카셀 시련의 방 초월1</t>
    <phoneticPr fontId="7" type="noConversion"/>
  </si>
  <si>
    <t>카셀 시련의 방 초월2</t>
  </si>
  <si>
    <t>카셀 시련의 방 초월3</t>
  </si>
  <si>
    <t>카셀 시련의 방 초월4</t>
  </si>
  <si>
    <t>카셀 시련의 방 초월5</t>
  </si>
  <si>
    <t>프레이 시련의 방 초월1</t>
    <phoneticPr fontId="7" type="noConversion"/>
  </si>
  <si>
    <t>프레이 시련의 방 초월2</t>
  </si>
  <si>
    <t>프레이 시련의 방 초월3</t>
  </si>
  <si>
    <t>프레이 시련의 방 초월4</t>
  </si>
  <si>
    <t>프레이 시련의 방 초월5</t>
  </si>
  <si>
    <t>피트 7-1</t>
    <phoneticPr fontId="7" type="noConversion"/>
  </si>
  <si>
    <t>피트 7-2</t>
  </si>
  <si>
    <t>피트 7-3</t>
  </si>
  <si>
    <t>피트 7-4</t>
  </si>
  <si>
    <t>피트 7-5</t>
  </si>
  <si>
    <t>길드레이드-1</t>
    <phoneticPr fontId="7" type="noConversion"/>
  </si>
  <si>
    <t>길드레이드-2</t>
  </si>
  <si>
    <t>길드레이드-3</t>
  </si>
  <si>
    <t>길드레이드-4</t>
  </si>
  <si>
    <t>길드레이드-5</t>
  </si>
  <si>
    <t>길드레이드-6</t>
  </si>
  <si>
    <t>월드보스 마운틴포트리스</t>
    <phoneticPr fontId="7" type="noConversion"/>
  </si>
  <si>
    <t>월드보스 포세이돈</t>
    <phoneticPr fontId="7" type="noConversion"/>
  </si>
  <si>
    <t>크리스마스 월드보스 포세이돈</t>
    <phoneticPr fontId="7" type="noConversion"/>
  </si>
  <si>
    <t>Chapter1.Field2_3D</t>
    <phoneticPr fontId="7" type="noConversion"/>
  </si>
  <si>
    <t>Chapter3.Field1_3D</t>
  </si>
  <si>
    <t>Chapter3.Field2_3D</t>
  </si>
  <si>
    <t>Chapter5.Field1_3D</t>
  </si>
  <si>
    <t>Chapter4.Field1_3D</t>
  </si>
  <si>
    <t>Chapter4.Field3_3D</t>
  </si>
  <si>
    <t>Chapter6.Field1_3D</t>
  </si>
  <si>
    <t>Chapter6.Field2_3D</t>
  </si>
  <si>
    <t>Chapter6.Field3_3D</t>
  </si>
  <si>
    <t>Chapter6.Field4_3D</t>
  </si>
  <si>
    <t>Chapter8.Field1_3D</t>
  </si>
  <si>
    <t>DOW.Field1_3D</t>
  </si>
  <si>
    <t>Tower.Field1_3D</t>
  </si>
  <si>
    <t>Battle.Chapter4</t>
    <phoneticPr fontId="7" type="noConversion"/>
  </si>
  <si>
    <t>DropRewardIndex_Easy</t>
    <phoneticPr fontId="7" type="noConversion"/>
  </si>
  <si>
    <t>IsBranch</t>
  </si>
  <si>
    <t>Campaign</t>
    <phoneticPr fontId="7" type="noConversion"/>
  </si>
  <si>
    <t>Raid_Tutorial</t>
    <phoneticPr fontId="7" type="noConversion"/>
  </si>
  <si>
    <t>Raid_Hard_Solo</t>
    <phoneticPr fontId="7" type="noConversion"/>
  </si>
  <si>
    <t>IceRaid_Hard_Solo</t>
    <phoneticPr fontId="7" type="noConversion"/>
  </si>
  <si>
    <t>BlackRaid_Hard_Solo</t>
    <phoneticPr fontId="7" type="noConversion"/>
  </si>
  <si>
    <t>GreenRaid_Hard_Solo</t>
    <phoneticPr fontId="7" type="noConversion"/>
  </si>
  <si>
    <t>45</t>
    <phoneticPr fontId="7" type="noConversion"/>
  </si>
  <si>
    <t>아셀리카 시련의 방</t>
    <phoneticPr fontId="7" type="noConversion"/>
  </si>
  <si>
    <t>크로우 시련의 방</t>
    <phoneticPr fontId="7" type="noConversion"/>
  </si>
  <si>
    <t>시아 시련의 방</t>
    <phoneticPr fontId="7" type="noConversion"/>
  </si>
  <si>
    <t>오펠리아 시련의 방</t>
    <phoneticPr fontId="7" type="noConversion"/>
  </si>
  <si>
    <t>Trial</t>
    <phoneticPr fontId="7" type="noConversion"/>
  </si>
  <si>
    <t>15</t>
    <phoneticPr fontId="7" type="noConversion"/>
  </si>
  <si>
    <t>150</t>
    <phoneticPr fontId="7" type="noConversion"/>
  </si>
  <si>
    <t>오펠리아 시련의 방</t>
    <phoneticPr fontId="7" type="noConversion"/>
  </si>
  <si>
    <t>Trial</t>
    <phoneticPr fontId="7" type="noConversion"/>
  </si>
  <si>
    <t>25</t>
    <phoneticPr fontId="7" type="noConversion"/>
  </si>
  <si>
    <t>400</t>
    <phoneticPr fontId="7" type="noConversion"/>
  </si>
  <si>
    <t>Trial</t>
    <phoneticPr fontId="7" type="noConversion"/>
  </si>
  <si>
    <t>35</t>
    <phoneticPr fontId="7" type="noConversion"/>
  </si>
  <si>
    <t>750</t>
    <phoneticPr fontId="7" type="noConversion"/>
  </si>
  <si>
    <t>45</t>
    <phoneticPr fontId="7" type="noConversion"/>
  </si>
  <si>
    <t>1270</t>
    <phoneticPr fontId="7" type="noConversion"/>
  </si>
  <si>
    <t>55</t>
    <phoneticPr fontId="7" type="noConversion"/>
  </si>
  <si>
    <t>1950</t>
    <phoneticPr fontId="7" type="noConversion"/>
  </si>
  <si>
    <t>레퀴나 시련의 방</t>
    <phoneticPr fontId="7" type="noConversion"/>
  </si>
  <si>
    <t>15</t>
    <phoneticPr fontId="7" type="noConversion"/>
  </si>
  <si>
    <t>150</t>
    <phoneticPr fontId="7" type="noConversion"/>
  </si>
  <si>
    <t>25</t>
    <phoneticPr fontId="7" type="noConversion"/>
  </si>
  <si>
    <t>400</t>
    <phoneticPr fontId="7" type="noConversion"/>
  </si>
  <si>
    <t>Trial</t>
    <phoneticPr fontId="7" type="noConversion"/>
  </si>
  <si>
    <t>150</t>
    <phoneticPr fontId="7" type="noConversion"/>
  </si>
  <si>
    <t>25</t>
    <phoneticPr fontId="7" type="noConversion"/>
  </si>
  <si>
    <t>400</t>
    <phoneticPr fontId="7" type="noConversion"/>
  </si>
  <si>
    <t>35</t>
    <phoneticPr fontId="7" type="noConversion"/>
  </si>
  <si>
    <t>750</t>
    <phoneticPr fontId="7" type="noConversion"/>
  </si>
  <si>
    <t>45</t>
    <phoneticPr fontId="7" type="noConversion"/>
  </si>
  <si>
    <t>1270</t>
    <phoneticPr fontId="7" type="noConversion"/>
  </si>
  <si>
    <t>55</t>
    <phoneticPr fontId="7" type="noConversion"/>
  </si>
  <si>
    <t>1950</t>
    <phoneticPr fontId="7" type="noConversion"/>
  </si>
  <si>
    <t>39</t>
    <phoneticPr fontId="7" type="noConversion"/>
  </si>
  <si>
    <t>15</t>
    <phoneticPr fontId="7" type="noConversion"/>
  </si>
  <si>
    <t>150</t>
    <phoneticPr fontId="7" type="noConversion"/>
  </si>
  <si>
    <t>Transcendence.Field1</t>
    <phoneticPr fontId="7" type="noConversion"/>
  </si>
  <si>
    <t>Trial</t>
    <phoneticPr fontId="7" type="noConversion"/>
  </si>
  <si>
    <t>15</t>
    <phoneticPr fontId="7" type="noConversion"/>
  </si>
  <si>
    <t>2250</t>
    <phoneticPr fontId="7" type="noConversion"/>
  </si>
  <si>
    <t>25</t>
    <phoneticPr fontId="7" type="noConversion"/>
  </si>
  <si>
    <t>3000</t>
    <phoneticPr fontId="7" type="noConversion"/>
  </si>
  <si>
    <t>Transcendence.Field1</t>
    <phoneticPr fontId="7" type="noConversion"/>
  </si>
  <si>
    <t>Trial</t>
    <phoneticPr fontId="7" type="noConversion"/>
  </si>
  <si>
    <t>35</t>
    <phoneticPr fontId="7" type="noConversion"/>
  </si>
  <si>
    <t>45</t>
    <phoneticPr fontId="7" type="noConversion"/>
  </si>
  <si>
    <t>5050</t>
    <phoneticPr fontId="7" type="noConversion"/>
  </si>
  <si>
    <t>55</t>
    <phoneticPr fontId="7" type="noConversion"/>
  </si>
  <si>
    <t>6350</t>
    <phoneticPr fontId="7" type="noConversion"/>
  </si>
  <si>
    <t>39</t>
    <phoneticPr fontId="7" type="noConversion"/>
  </si>
  <si>
    <t>15</t>
    <phoneticPr fontId="7" type="noConversion"/>
  </si>
  <si>
    <t>2250</t>
    <phoneticPr fontId="7" type="noConversion"/>
  </si>
  <si>
    <t>25</t>
    <phoneticPr fontId="7" type="noConversion"/>
  </si>
  <si>
    <t>3000</t>
    <phoneticPr fontId="7" type="noConversion"/>
  </si>
  <si>
    <t>3900</t>
    <phoneticPr fontId="7" type="noConversion"/>
  </si>
  <si>
    <t>40</t>
    <phoneticPr fontId="7" type="noConversion"/>
  </si>
  <si>
    <t>41</t>
    <phoneticPr fontId="7" type="noConversion"/>
  </si>
  <si>
    <t>42</t>
    <phoneticPr fontId="7" type="noConversion"/>
  </si>
  <si>
    <t>15</t>
    <phoneticPr fontId="7" type="noConversion"/>
  </si>
  <si>
    <t>2250</t>
    <phoneticPr fontId="7" type="noConversion"/>
  </si>
  <si>
    <t>Transcendence.Field1</t>
    <phoneticPr fontId="7" type="noConversion"/>
  </si>
  <si>
    <t>Trial</t>
    <phoneticPr fontId="7" type="noConversion"/>
  </si>
  <si>
    <t>42</t>
    <phoneticPr fontId="7" type="noConversion"/>
  </si>
  <si>
    <t>25</t>
    <phoneticPr fontId="7" type="noConversion"/>
  </si>
  <si>
    <t>3000</t>
    <phoneticPr fontId="7" type="noConversion"/>
  </si>
  <si>
    <t>35</t>
    <phoneticPr fontId="7" type="noConversion"/>
  </si>
  <si>
    <t>3900</t>
    <phoneticPr fontId="7" type="noConversion"/>
  </si>
  <si>
    <t>45</t>
    <phoneticPr fontId="7" type="noConversion"/>
  </si>
  <si>
    <t>5050</t>
    <phoneticPr fontId="7" type="noConversion"/>
  </si>
  <si>
    <t>55</t>
    <phoneticPr fontId="7" type="noConversion"/>
  </si>
  <si>
    <t>6350</t>
    <phoneticPr fontId="7" type="noConversion"/>
  </si>
  <si>
    <t>43</t>
    <phoneticPr fontId="7" type="noConversion"/>
  </si>
  <si>
    <t>2250</t>
    <phoneticPr fontId="7" type="noConversion"/>
  </si>
  <si>
    <t>Transcendence.Field1</t>
    <phoneticPr fontId="7" type="noConversion"/>
  </si>
  <si>
    <t>43</t>
    <phoneticPr fontId="7" type="noConversion"/>
  </si>
  <si>
    <t>3000</t>
    <phoneticPr fontId="7" type="noConversion"/>
  </si>
  <si>
    <t>3900</t>
    <phoneticPr fontId="7" type="noConversion"/>
  </si>
  <si>
    <t>5050</t>
    <phoneticPr fontId="7" type="noConversion"/>
  </si>
  <si>
    <t>6350</t>
    <phoneticPr fontId="7" type="noConversion"/>
  </si>
  <si>
    <t>62</t>
    <phoneticPr fontId="7" type="noConversion"/>
  </si>
  <si>
    <t>63</t>
    <phoneticPr fontId="7" type="noConversion"/>
  </si>
  <si>
    <t>아셀리카 시련의 방</t>
    <phoneticPr fontId="7" type="noConversion"/>
  </si>
  <si>
    <t>크로우 시련의 방</t>
    <phoneticPr fontId="7" type="noConversion"/>
  </si>
  <si>
    <t>메이 시련의 방</t>
    <phoneticPr fontId="7" type="noConversion"/>
  </si>
  <si>
    <t>소니아 시련의 방</t>
    <phoneticPr fontId="7" type="noConversion"/>
  </si>
  <si>
    <t>Transcendence.Field1</t>
    <phoneticPr fontId="7" type="noConversion"/>
  </si>
  <si>
    <t>Trial</t>
    <phoneticPr fontId="7" type="noConversion"/>
  </si>
  <si>
    <t>63</t>
    <phoneticPr fontId="7" type="noConversion"/>
  </si>
  <si>
    <t>101633</t>
    <phoneticPr fontId="7" type="noConversion"/>
  </si>
  <si>
    <t>35</t>
    <phoneticPr fontId="7" type="noConversion"/>
  </si>
  <si>
    <t>3900</t>
    <phoneticPr fontId="7" type="noConversion"/>
  </si>
  <si>
    <t>101634</t>
    <phoneticPr fontId="7" type="noConversion"/>
  </si>
  <si>
    <t>45</t>
    <phoneticPr fontId="7" type="noConversion"/>
  </si>
  <si>
    <t>5050</t>
    <phoneticPr fontId="7" type="noConversion"/>
  </si>
  <si>
    <t>101635</t>
    <phoneticPr fontId="7" type="noConversion"/>
  </si>
  <si>
    <t>55</t>
    <phoneticPr fontId="7" type="noConversion"/>
  </si>
  <si>
    <t>6350</t>
    <phoneticPr fontId="7" type="noConversion"/>
  </si>
  <si>
    <t>아르테미아 시련의 방</t>
    <phoneticPr fontId="7" type="noConversion"/>
  </si>
  <si>
    <t>Transcendence.Field1</t>
    <phoneticPr fontId="7" type="noConversion"/>
  </si>
  <si>
    <t>Trial</t>
    <phoneticPr fontId="7" type="noConversion"/>
  </si>
  <si>
    <t>64</t>
    <phoneticPr fontId="7" type="noConversion"/>
  </si>
  <si>
    <t>101641</t>
    <phoneticPr fontId="7" type="noConversion"/>
  </si>
  <si>
    <t>15</t>
    <phoneticPr fontId="7" type="noConversion"/>
  </si>
  <si>
    <t>2250</t>
    <phoneticPr fontId="7" type="noConversion"/>
  </si>
  <si>
    <t>101642</t>
    <phoneticPr fontId="7" type="noConversion"/>
  </si>
  <si>
    <t>25</t>
    <phoneticPr fontId="7" type="noConversion"/>
  </si>
  <si>
    <t>3000</t>
    <phoneticPr fontId="7" type="noConversion"/>
  </si>
  <si>
    <t>101643</t>
    <phoneticPr fontId="7" type="noConversion"/>
  </si>
  <si>
    <t>35</t>
    <phoneticPr fontId="7" type="noConversion"/>
  </si>
  <si>
    <t>3900</t>
    <phoneticPr fontId="7" type="noConversion"/>
  </si>
  <si>
    <t>101644</t>
    <phoneticPr fontId="7" type="noConversion"/>
  </si>
  <si>
    <t>45</t>
    <phoneticPr fontId="7" type="noConversion"/>
  </si>
  <si>
    <t>5050</t>
    <phoneticPr fontId="7" type="noConversion"/>
  </si>
  <si>
    <t>101645</t>
    <phoneticPr fontId="7" type="noConversion"/>
  </si>
  <si>
    <t>미리안느 시련의 방</t>
    <phoneticPr fontId="7" type="noConversion"/>
  </si>
  <si>
    <t>65</t>
    <phoneticPr fontId="7" type="noConversion"/>
  </si>
  <si>
    <t>101651</t>
    <phoneticPr fontId="7" type="noConversion"/>
  </si>
  <si>
    <t>101652</t>
    <phoneticPr fontId="7" type="noConversion"/>
  </si>
  <si>
    <t>101653</t>
    <phoneticPr fontId="7" type="noConversion"/>
  </si>
  <si>
    <t>101654</t>
    <phoneticPr fontId="7" type="noConversion"/>
  </si>
  <si>
    <t>101655</t>
    <phoneticPr fontId="7" type="noConversion"/>
  </si>
  <si>
    <t>메이 시련의 방</t>
    <phoneticPr fontId="7" type="noConversion"/>
  </si>
  <si>
    <t>ChapterRaid.Chapter5.Field1</t>
  </si>
  <si>
    <t>&lt;지하 미궁 기사&gt;</t>
    <phoneticPr fontId="7" type="noConversion"/>
  </si>
  <si>
    <t>&lt;지하 미궁 전사&gt;</t>
    <phoneticPr fontId="7" type="noConversion"/>
  </si>
  <si>
    <t>&lt;지하 암살자&gt;</t>
    <phoneticPr fontId="7" type="noConversion"/>
  </si>
  <si>
    <t>&lt;지하 미궁 궁수&gt;</t>
    <phoneticPr fontId="7" type="noConversion"/>
  </si>
  <si>
    <t>&lt;지하 미궁 기계공&gt;</t>
    <phoneticPr fontId="7" type="noConversion"/>
  </si>
  <si>
    <t>&lt;지하 미궁 마법사&gt;</t>
    <phoneticPr fontId="7" type="noConversion"/>
  </si>
  <si>
    <t>&lt;지하 미궁 사제&gt;</t>
    <phoneticPr fontId="7" type="noConversion"/>
  </si>
  <si>
    <t>MazeKey</t>
    <phoneticPr fontId="7" type="noConversion"/>
  </si>
  <si>
    <t>지하 미궁 기사 1층</t>
    <phoneticPr fontId="7" type="noConversion"/>
  </si>
  <si>
    <t>지하 미궁 기사 2층</t>
  </si>
  <si>
    <t>지하 미궁 기사 3층</t>
  </si>
  <si>
    <t>지하 미궁 기사 4층</t>
  </si>
  <si>
    <t>지하 미궁 기사 5층</t>
  </si>
  <si>
    <t>지하 미궁 전사 1층</t>
  </si>
  <si>
    <t>지하 미궁 전사 2층</t>
  </si>
  <si>
    <t>지하 미궁 전사 3층</t>
  </si>
  <si>
    <t>지하 미궁 전사 4층</t>
  </si>
  <si>
    <t>지하 미궁 전사 5층</t>
  </si>
  <si>
    <t>지하 미궁 암살자 1층</t>
  </si>
  <si>
    <t>지하 미궁 암살자 2층</t>
  </si>
  <si>
    <t>지하 미궁 암살자 3층</t>
  </si>
  <si>
    <t>지하 미궁 암살자 4층</t>
  </si>
  <si>
    <t>지하 미궁 암살자 5층</t>
  </si>
  <si>
    <t>지하 미궁 궁수 1층</t>
  </si>
  <si>
    <t>지하 미궁 궁수 2층</t>
  </si>
  <si>
    <t>지하 미궁 궁수 3층</t>
  </si>
  <si>
    <t>지하 미궁 궁수 4층</t>
  </si>
  <si>
    <t>지하 미궁 궁수 5층</t>
  </si>
  <si>
    <t>지하 미궁 기계공 1층</t>
  </si>
  <si>
    <t>지하 미궁 기계공 2층</t>
  </si>
  <si>
    <t>지하 미궁 기계공 3층</t>
  </si>
  <si>
    <t>지하 미궁 기계공 4층</t>
  </si>
  <si>
    <t>지하 미궁 기계공 5층</t>
  </si>
  <si>
    <t>지하 미궁 마법사 1층</t>
  </si>
  <si>
    <t>지하 미궁 마법사 2층</t>
  </si>
  <si>
    <t>지하 미궁 마법사 3층</t>
  </si>
  <si>
    <t>지하 미궁 마법사 4층</t>
  </si>
  <si>
    <t>지하 미궁 마법사 5층</t>
  </si>
  <si>
    <t>지하 미궁 사제 1층</t>
  </si>
  <si>
    <t>지하 미궁 사제 2층</t>
  </si>
  <si>
    <t>지하 미궁 사제 3층</t>
  </si>
  <si>
    <t>지하 미궁 사제 4층</t>
  </si>
  <si>
    <t>지하 미궁 사제 5층</t>
  </si>
  <si>
    <t>Maze</t>
    <phoneticPr fontId="7" type="noConversion"/>
  </si>
  <si>
    <t>RandomSkillProjectileGroup[]</t>
    <phoneticPr fontId="7" type="noConversion"/>
  </si>
  <si>
    <t>Labyrinth.Field1_3D</t>
  </si>
  <si>
    <t>29,20,14,38,4,15,13,2,23,1,16,17,27,18,7,30,21,8,5,3,6,10,26,32,35,31,34,33,9,22,19,28</t>
  </si>
  <si>
    <t>14,3,18,28,21,8,30,4,15,32,7,10,27,17,16,19,29,38,13,6,22,31,9,5,20,33,2,34,23,35,26,1</t>
  </si>
  <si>
    <t>2,8,30,14,34,1,16,21,4,3,29,26,6,31,18,20,19,5,10,22,27,38,33,28,15,7,13,35,17,23,9,32</t>
  </si>
  <si>
    <t>2,20,5,38,15,31,27,16,28,29,4,30,21,22,33,32,8,35,3,13,26,14,34,19,17,10,7,23,1,18,9,6</t>
  </si>
  <si>
    <t>100040</t>
  </si>
  <si>
    <t>SubStory</t>
  </si>
  <si>
    <t>Cutscene.Dark</t>
  </si>
  <si>
    <t>40-2</t>
  </si>
  <si>
    <t>40-3</t>
  </si>
  <si>
    <t>Cutscene.SubBattelBGM1_1</t>
  </si>
  <si>
    <t>40-4</t>
  </si>
  <si>
    <t>40-5</t>
  </si>
  <si>
    <t>40-6</t>
  </si>
  <si>
    <t>40-7</t>
  </si>
  <si>
    <t>40-8</t>
  </si>
  <si>
    <t>40-9</t>
  </si>
  <si>
    <t>SubStoryBoss</t>
  </si>
  <si>
    <t>서브 스토리</t>
    <phoneticPr fontId="7" type="noConversion"/>
  </si>
  <si>
    <t>테오</t>
    <phoneticPr fontId="7" type="noConversion"/>
  </si>
  <si>
    <t>40-1</t>
    <phoneticPr fontId="7" type="noConversion"/>
  </si>
  <si>
    <t>Character.Theo_Theme</t>
    <phoneticPr fontId="7" type="noConversion"/>
  </si>
  <si>
    <t>Campaign_SubStory</t>
  </si>
  <si>
    <t>ChallengeRaidSingle</t>
    <phoneticPr fontId="7" type="noConversion"/>
  </si>
  <si>
    <t>40</t>
    <phoneticPr fontId="7" type="noConversion"/>
  </si>
  <si>
    <t>Campaign_SubStory</t>
    <phoneticPr fontId="7" type="noConversion"/>
  </si>
  <si>
    <t>Campaign_SubStoryBoss</t>
    <phoneticPr fontId="7" type="noConversion"/>
  </si>
  <si>
    <t>Lobby.WorldMap.Map05</t>
  </si>
  <si>
    <t>챌린지 레이드 시스라엘 Easy</t>
  </si>
  <si>
    <t>챌린지 레이드 시스라엘 Normal</t>
  </si>
  <si>
    <t>챌린지 레이드 시스라엘 Hard</t>
  </si>
  <si>
    <t>챌린지 레이드 시스라엘 Hell</t>
  </si>
  <si>
    <t>43-1</t>
  </si>
  <si>
    <t>43-2</t>
  </si>
  <si>
    <t>Battle.Chapter2</t>
  </si>
  <si>
    <t>43-3</t>
  </si>
  <si>
    <t>Battle.Chapter3</t>
  </si>
  <si>
    <t>43-4</t>
  </si>
  <si>
    <t>Battle.Chapter4</t>
  </si>
  <si>
    <t>43-5</t>
  </si>
  <si>
    <t>비스카</t>
    <phoneticPr fontId="7" type="noConversion"/>
  </si>
  <si>
    <t>43</t>
    <phoneticPr fontId="7" type="noConversion"/>
  </si>
  <si>
    <t>챌린지 레이드 사트리아 Easy</t>
    <phoneticPr fontId="7" type="noConversion"/>
  </si>
  <si>
    <t>샤밀라 시련의 방</t>
  </si>
  <si>
    <t>카라 시련의 방</t>
  </si>
  <si>
    <t>체이스 시련의 방</t>
  </si>
  <si>
    <t>베로니카 시련의 방</t>
  </si>
  <si>
    <t>시아 시련의 방</t>
  </si>
  <si>
    <t>챌린지 레이드 가로우 Easy</t>
  </si>
  <si>
    <t>챌린지 레이드 가로우 Normal</t>
  </si>
  <si>
    <t>챌린지 레이드 가로우 Hard</t>
  </si>
  <si>
    <t>챌린지 레이드 가로우 Hell</t>
  </si>
  <si>
    <t>ChapterRaid.Chapter6.Field1</t>
    <phoneticPr fontId="7" type="noConversion"/>
  </si>
  <si>
    <t>GuildSuppressKey</t>
    <phoneticPr fontId="7" type="noConversion"/>
  </si>
  <si>
    <t>9</t>
    <phoneticPr fontId="7" type="noConversion"/>
  </si>
  <si>
    <t>GuildSuppress</t>
  </si>
  <si>
    <t>WorldBoss.BalrogField1</t>
  </si>
  <si>
    <t>GuildRaid.Chapter7Field1</t>
  </si>
  <si>
    <t>14</t>
    <phoneticPr fontId="7" type="noConversion"/>
  </si>
  <si>
    <t>Chapter8.Field1_3D</t>
    <phoneticPr fontId="7" type="noConversion"/>
  </si>
  <si>
    <t>Chapter8.Field2_3D</t>
    <phoneticPr fontId="7" type="noConversion"/>
  </si>
  <si>
    <t>Chapter8.Field3_3D</t>
    <phoneticPr fontId="7" type="noConversion"/>
  </si>
  <si>
    <t>GuildSuppress1</t>
    <phoneticPr fontId="7" type="noConversion"/>
  </si>
  <si>
    <t>&lt;길드 토벌전 &gt;</t>
    <phoneticPr fontId="7" type="noConversion"/>
  </si>
  <si>
    <t>챌린지 레이드 토르페 Easy</t>
    <phoneticPr fontId="7" type="noConversion"/>
  </si>
  <si>
    <t>챌린지 레이드 토르페 Normal</t>
    <phoneticPr fontId="7" type="noConversion"/>
  </si>
  <si>
    <t>챌린지 레이드 토르페 Hard</t>
    <phoneticPr fontId="7" type="noConversion"/>
  </si>
  <si>
    <t>챌린지 레이드 토르페 Hell</t>
    <phoneticPr fontId="7" type="noConversion"/>
  </si>
  <si>
    <t>챌린지 레이드 케베른 Easy</t>
    <phoneticPr fontId="7" type="noConversion"/>
  </si>
  <si>
    <t>로만 시련의 방</t>
  </si>
  <si>
    <t>프리실라</t>
    <phoneticPr fontId="7" type="noConversion"/>
  </si>
  <si>
    <t>100044</t>
    <phoneticPr fontId="7" type="noConversion"/>
  </si>
  <si>
    <t>44-1</t>
    <phoneticPr fontId="7" type="noConversion"/>
  </si>
  <si>
    <t>44-2</t>
  </si>
  <si>
    <t>44-3</t>
  </si>
  <si>
    <t>44-4</t>
  </si>
  <si>
    <t>44-5</t>
  </si>
  <si>
    <t>44-6</t>
  </si>
  <si>
    <t>44-7</t>
  </si>
  <si>
    <t>ChapterRaid.Chapter7.Field1</t>
    <phoneticPr fontId="7" type="noConversion"/>
  </si>
  <si>
    <t>ChapterRaid.Chapter5.Field1</t>
    <phoneticPr fontId="7" type="noConversion"/>
  </si>
  <si>
    <t>Chapter1.Field1_3D</t>
    <phoneticPr fontId="7" type="noConversion"/>
  </si>
  <si>
    <t>44</t>
    <phoneticPr fontId="7" type="noConversion"/>
  </si>
  <si>
    <t>44-8</t>
    <phoneticPr fontId="7" type="noConversion"/>
  </si>
  <si>
    <t>Battle.Boss05</t>
  </si>
  <si>
    <t>BattleBGM.1_1</t>
    <phoneticPr fontId="7" type="noConversion"/>
  </si>
  <si>
    <t>Cutscene.Serious</t>
  </si>
  <si>
    <t>Substory.Priscilla.Field1</t>
  </si>
  <si>
    <t>Character.Priscilla_Theme</t>
    <phoneticPr fontId="7" type="noConversion"/>
  </si>
  <si>
    <t>Battle.Boss05</t>
    <phoneticPr fontId="7" type="noConversion"/>
  </si>
  <si>
    <t>Campaign_SubStoryBoss1</t>
    <phoneticPr fontId="7" type="noConversion"/>
  </si>
  <si>
    <t>자피르 시련의 방</t>
  </si>
  <si>
    <t>릴리아 시련의 방</t>
  </si>
  <si>
    <t>라우디아 시련의 방</t>
  </si>
  <si>
    <t>ChallengeRaidSingle_Damage</t>
    <phoneticPr fontId="7" type="noConversion"/>
  </si>
  <si>
    <t>100017</t>
  </si>
  <si>
    <t>17-1</t>
  </si>
  <si>
    <t>17-2</t>
  </si>
  <si>
    <t>17-3</t>
  </si>
  <si>
    <t>17-4</t>
  </si>
  <si>
    <t>17-5</t>
  </si>
  <si>
    <t>17-6</t>
  </si>
  <si>
    <t>17-7</t>
  </si>
  <si>
    <t>17-8</t>
  </si>
  <si>
    <t>17-9</t>
  </si>
  <si>
    <t>17-10</t>
  </si>
  <si>
    <t>디마엘</t>
    <phoneticPr fontId="7" type="noConversion"/>
  </si>
  <si>
    <t>30003</t>
    <phoneticPr fontId="7" type="noConversion"/>
  </si>
  <si>
    <t>FirstClearRewardIndex_Normal</t>
    <phoneticPr fontId="7" type="noConversion"/>
  </si>
  <si>
    <t>FirstClearRewardIndex_Hard</t>
    <phoneticPr fontId="7" type="noConversion"/>
  </si>
  <si>
    <t>여름1</t>
  </si>
  <si>
    <t>여름2</t>
  </si>
  <si>
    <t>여름3</t>
  </si>
  <si>
    <t>여름4</t>
  </si>
  <si>
    <t>여름5</t>
  </si>
  <si>
    <t>여름6</t>
  </si>
  <si>
    <t>3000301</t>
  </si>
  <si>
    <t>FirstClearRewardIndex_Hell</t>
    <phoneticPr fontId="7" type="noConversion"/>
  </si>
  <si>
    <t>Transcendence.Field1</t>
    <phoneticPr fontId="7" type="noConversion"/>
  </si>
  <si>
    <t>Chapter4.Field1_3D</t>
    <phoneticPr fontId="7" type="noConversion"/>
  </si>
  <si>
    <t>Transcendence.Field1</t>
    <phoneticPr fontId="7" type="noConversion"/>
  </si>
  <si>
    <t>Tower.Ordeal</t>
    <phoneticPr fontId="7" type="noConversion"/>
  </si>
  <si>
    <t>3000302</t>
    <phoneticPr fontId="7" type="noConversion"/>
  </si>
  <si>
    <t>3000303</t>
    <phoneticPr fontId="7" type="noConversion"/>
  </si>
  <si>
    <t>3000304</t>
    <phoneticPr fontId="7" type="noConversion"/>
  </si>
  <si>
    <t>800024</t>
    <phoneticPr fontId="7" type="noConversion"/>
  </si>
  <si>
    <t>800025</t>
    <phoneticPr fontId="7" type="noConversion"/>
  </si>
  <si>
    <t>800026</t>
    <phoneticPr fontId="7" type="noConversion"/>
  </si>
  <si>
    <t>800027</t>
    <phoneticPr fontId="7" type="noConversion"/>
  </si>
  <si>
    <t>Event.SummerField1_3D</t>
  </si>
  <si>
    <t>Event.SummerField2_3D</t>
    <phoneticPr fontId="7" type="noConversion"/>
  </si>
  <si>
    <t>Event.SummerField2_3D</t>
    <phoneticPr fontId="7" type="noConversion"/>
  </si>
  <si>
    <t>Event.SummerField2_3D</t>
    <phoneticPr fontId="7" type="noConversion"/>
  </si>
  <si>
    <t>Event.SummerDayBGM</t>
  </si>
  <si>
    <t>Event.SummerNightBGM</t>
    <phoneticPr fontId="7" type="noConversion"/>
  </si>
  <si>
    <t>Event.SummerNightBGM</t>
    <phoneticPr fontId="7" type="noConversion"/>
  </si>
  <si>
    <t>Substory.Dimael.Field1</t>
    <phoneticPr fontId="7" type="noConversion"/>
  </si>
  <si>
    <t>BattleBGM.2_1</t>
    <phoneticPr fontId="7" type="noConversion"/>
  </si>
  <si>
    <t>Character.Dimael_Theme</t>
  </si>
  <si>
    <t>Battle.DOW01</t>
    <phoneticPr fontId="7" type="noConversion"/>
  </si>
  <si>
    <t>Cutscene.SubBattelBGM1_3</t>
    <phoneticPr fontId="7" type="noConversion"/>
  </si>
  <si>
    <t>Battle.Trial01</t>
    <phoneticPr fontId="7" type="noConversion"/>
  </si>
  <si>
    <t>Battle.Boss04</t>
  </si>
  <si>
    <t>BattleBGM.1_1</t>
    <phoneticPr fontId="7" type="noConversion"/>
  </si>
  <si>
    <t>Battle.Boss03</t>
  </si>
  <si>
    <t>Campaign_SubStoryBoss2</t>
  </si>
  <si>
    <t>TreasureHouse</t>
    <phoneticPr fontId="7" type="noConversion"/>
  </si>
  <si>
    <t>5100</t>
    <phoneticPr fontId="7" type="noConversion"/>
  </si>
  <si>
    <t>보물 창고</t>
    <phoneticPr fontId="7" type="noConversion"/>
  </si>
  <si>
    <t>보물 창고</t>
    <phoneticPr fontId="7" type="noConversion"/>
  </si>
  <si>
    <t>도전의탑 66층</t>
  </si>
  <si>
    <t>도전의탑 67층</t>
  </si>
  <si>
    <t>도전의탑 68층</t>
  </si>
  <si>
    <t>도전의탑 69층</t>
  </si>
  <si>
    <t>도전의탑 70층</t>
  </si>
  <si>
    <t>도전의탑 71층</t>
  </si>
  <si>
    <t>도전의탑 72층</t>
  </si>
  <si>
    <t>도전의탑 73층</t>
  </si>
  <si>
    <t>도전의탑 74층</t>
  </si>
  <si>
    <t>도전의탑 75층</t>
  </si>
  <si>
    <t>3080</t>
  </si>
  <si>
    <t>3140</t>
  </si>
  <si>
    <t>3170</t>
  </si>
  <si>
    <t>3200</t>
  </si>
  <si>
    <t>3230</t>
  </si>
  <si>
    <t>3260</t>
  </si>
  <si>
    <t>3290</t>
  </si>
  <si>
    <t>3320</t>
  </si>
  <si>
    <t>3350</t>
  </si>
  <si>
    <t>유노 시련의 방</t>
    <phoneticPr fontId="7" type="noConversion"/>
  </si>
  <si>
    <t>94</t>
    <phoneticPr fontId="7" type="noConversion"/>
  </si>
  <si>
    <t>100943</t>
    <phoneticPr fontId="7" type="noConversion"/>
  </si>
  <si>
    <t>100944</t>
    <phoneticPr fontId="7" type="noConversion"/>
  </si>
  <si>
    <t>100945</t>
    <phoneticPr fontId="7" type="noConversion"/>
  </si>
  <si>
    <t>고대 왕실 금고 46층</t>
    <phoneticPr fontId="7" type="noConversion"/>
  </si>
  <si>
    <t>고대 왕실 금고 47층</t>
    <phoneticPr fontId="7" type="noConversion"/>
  </si>
  <si>
    <t>고대 왕실 금고 48층</t>
    <phoneticPr fontId="7" type="noConversion"/>
  </si>
  <si>
    <t>고대 왕실 금고 49층</t>
    <phoneticPr fontId="7" type="noConversion"/>
  </si>
  <si>
    <t>고대 왕실 금고 50층</t>
    <phoneticPr fontId="7" type="noConversion"/>
  </si>
  <si>
    <t>400146</t>
  </si>
  <si>
    <t>400147</t>
  </si>
  <si>
    <t>400148</t>
  </si>
  <si>
    <t>400149</t>
  </si>
  <si>
    <t>400150</t>
  </si>
  <si>
    <t>92</t>
    <phoneticPr fontId="7" type="noConversion"/>
  </si>
  <si>
    <t>94</t>
    <phoneticPr fontId="7" type="noConversion"/>
  </si>
  <si>
    <t>96</t>
    <phoneticPr fontId="7" type="noConversion"/>
  </si>
  <si>
    <t>98</t>
    <phoneticPr fontId="7" type="noConversion"/>
  </si>
  <si>
    <t>100</t>
    <phoneticPr fontId="7" type="noConversion"/>
  </si>
  <si>
    <t>TreasureHouse.Field1</t>
    <phoneticPr fontId="7" type="noConversion"/>
  </si>
  <si>
    <t>100016</t>
  </si>
  <si>
    <t>16-1</t>
  </si>
  <si>
    <t>16-2</t>
  </si>
  <si>
    <t>16-3</t>
  </si>
  <si>
    <t>16-4</t>
  </si>
  <si>
    <t>EntryMenu.LabyrinthBGM</t>
  </si>
  <si>
    <t>16-5</t>
  </si>
  <si>
    <t>16-6</t>
  </si>
  <si>
    <t>16-7</t>
  </si>
  <si>
    <t>Character.Theo_Theme</t>
  </si>
  <si>
    <t>16-8</t>
  </si>
  <si>
    <t>16-9</t>
  </si>
  <si>
    <t>Cutscene.SubBattelBGM1_3</t>
  </si>
  <si>
    <t>16-10</t>
  </si>
  <si>
    <t>Campaign_SubStoryBoss</t>
  </si>
  <si>
    <t>레피</t>
    <phoneticPr fontId="7" type="noConversion"/>
  </si>
  <si>
    <t>ReqStamina_Normal</t>
  </si>
  <si>
    <t>ReqStamina_Easy</t>
  </si>
  <si>
    <t>ReqStamina_Hard</t>
  </si>
  <si>
    <t>중심가 사이드 퀘스트</t>
  </si>
  <si>
    <t>40001</t>
  </si>
  <si>
    <t>사막의 주인 없는 금화 상자</t>
  </si>
  <si>
    <t>820001</t>
  </si>
  <si>
    <t>820002</t>
  </si>
  <si>
    <t>820003</t>
  </si>
  <si>
    <t>820004</t>
  </si>
  <si>
    <t>40002</t>
  </si>
  <si>
    <t>잃어버린 경험의 물약</t>
  </si>
  <si>
    <t>820005</t>
  </si>
  <si>
    <t>820006</t>
  </si>
  <si>
    <t>820007</t>
  </si>
  <si>
    <t>820008</t>
  </si>
  <si>
    <t>40003</t>
  </si>
  <si>
    <t>용암지대의 마법가루</t>
  </si>
  <si>
    <t>820009</t>
  </si>
  <si>
    <t>820010</t>
  </si>
  <si>
    <t>820011</t>
  </si>
  <si>
    <t>820012</t>
  </si>
  <si>
    <t>40004</t>
  </si>
  <si>
    <t>폭주하는 룬</t>
  </si>
  <si>
    <t>820013</t>
  </si>
  <si>
    <t>820014</t>
  </si>
  <si>
    <t>820015</t>
  </si>
  <si>
    <t>820016</t>
  </si>
  <si>
    <t>40005</t>
  </si>
  <si>
    <t>저주받은 땅의 파편</t>
  </si>
  <si>
    <t>820017</t>
  </si>
  <si>
    <t>820018</t>
  </si>
  <si>
    <t>820019</t>
  </si>
  <si>
    <t>820020</t>
  </si>
  <si>
    <t>true</t>
    <phoneticPr fontId="7" type="noConversion"/>
  </si>
  <si>
    <t>유노 시련의 방</t>
  </si>
  <si>
    <t>에르제 시련의 방</t>
  </si>
  <si>
    <t>네락시스 시련의 방</t>
  </si>
  <si>
    <t>8002</t>
  </si>
  <si>
    <t>추석 거대 토끼 루루</t>
  </si>
  <si>
    <t>EventWorldBoss</t>
  </si>
  <si>
    <t>TRUE</t>
  </si>
  <si>
    <t>EventWorldBossTicket</t>
  </si>
  <si>
    <t>길드 토벌전 벨카자르</t>
    <phoneticPr fontId="7" type="noConversion"/>
  </si>
  <si>
    <t>길드 토벌전 티르파스</t>
    <phoneticPr fontId="7" type="noConversion"/>
  </si>
  <si>
    <t>길드 토벌전 티르파스(싱글 모드)</t>
    <phoneticPr fontId="7" type="noConversion"/>
  </si>
  <si>
    <t>길드 토벌전 벨카자르(싱글 모드)</t>
    <phoneticPr fontId="7" type="noConversion"/>
  </si>
  <si>
    <t>6</t>
    <phoneticPr fontId="7" type="noConversion"/>
  </si>
  <si>
    <t>GuildSuppress1Single</t>
    <phoneticPr fontId="7" type="noConversion"/>
  </si>
  <si>
    <t>BattleDefineCode</t>
    <phoneticPr fontId="7" type="noConversion"/>
  </si>
  <si>
    <t>GuildSuppressSingle</t>
    <phoneticPr fontId="7" type="noConversion"/>
  </si>
  <si>
    <t>WorldBoss.EventMountain</t>
  </si>
  <si>
    <t>길드레이드-7</t>
    <phoneticPr fontId="7" type="noConversion"/>
  </si>
  <si>
    <t>길드 토벌전 라크레일</t>
    <phoneticPr fontId="7" type="noConversion"/>
  </si>
  <si>
    <t>길드 토벌전 라크레일(싱글 모드)</t>
    <phoneticPr fontId="7" type="noConversion"/>
  </si>
  <si>
    <t>세리아 시련의 방</t>
  </si>
  <si>
    <t>3000404</t>
  </si>
  <si>
    <t>Event.HalloweenBattleBGM</t>
  </si>
  <si>
    <t>월드보스 마운틴포트리스</t>
  </si>
  <si>
    <t>WorldBoss</t>
  </si>
  <si>
    <t>월드보스 포세이돈</t>
  </si>
  <si>
    <t>WorldBoss.PoseidonField1</t>
  </si>
  <si>
    <t>WorldBoss.Poseidon</t>
  </si>
  <si>
    <t>7002</t>
    <phoneticPr fontId="7" type="noConversion"/>
  </si>
  <si>
    <t>7003</t>
    <phoneticPr fontId="7" type="noConversion"/>
  </si>
  <si>
    <t>1</t>
    <phoneticPr fontId="7" type="noConversion"/>
  </si>
  <si>
    <t>길드 토벌전 티르파스(테스트)</t>
    <phoneticPr fontId="7" type="noConversion"/>
  </si>
  <si>
    <t>길드 토벌전 라크레일(테스트)</t>
    <phoneticPr fontId="7" type="noConversion"/>
  </si>
  <si>
    <t>길드 토벌전 벨카자르(테스트)</t>
    <phoneticPr fontId="7" type="noConversion"/>
  </si>
  <si>
    <t>루시아스 시련의방</t>
    <phoneticPr fontId="7" type="noConversion"/>
  </si>
  <si>
    <t>크리샤 시련의방</t>
    <phoneticPr fontId="7" type="noConversion"/>
  </si>
  <si>
    <t>59</t>
    <phoneticPr fontId="7" type="noConversion"/>
  </si>
  <si>
    <t>100593</t>
    <phoneticPr fontId="7" type="noConversion"/>
  </si>
  <si>
    <t>100594</t>
    <phoneticPr fontId="7" type="noConversion"/>
  </si>
  <si>
    <t>100595</t>
    <phoneticPr fontId="7" type="noConversion"/>
  </si>
  <si>
    <t>100603</t>
    <phoneticPr fontId="7" type="noConversion"/>
  </si>
  <si>
    <t>100604</t>
    <phoneticPr fontId="7" type="noConversion"/>
  </si>
  <si>
    <t>100605</t>
    <phoneticPr fontId="7" type="noConversion"/>
  </si>
  <si>
    <t>크리샤</t>
    <phoneticPr fontId="7" type="noConversion"/>
  </si>
  <si>
    <t>7004</t>
    <phoneticPr fontId="7" type="noConversion"/>
  </si>
  <si>
    <t>1</t>
    <phoneticPr fontId="7" type="noConversion"/>
  </si>
  <si>
    <t>WorldBoss.XanadusField1</t>
  </si>
  <si>
    <t>WorldBoss.Xanadus</t>
    <phoneticPr fontId="7" type="noConversion"/>
  </si>
  <si>
    <t>월드보스 쟈나두스</t>
    <phoneticPr fontId="7" type="noConversion"/>
  </si>
  <si>
    <t>크로우</t>
    <phoneticPr fontId="7" type="noConversion"/>
  </si>
  <si>
    <t>52-1</t>
    <phoneticPr fontId="7" type="noConversion"/>
  </si>
  <si>
    <t>52-2</t>
  </si>
  <si>
    <t>52-3</t>
  </si>
  <si>
    <t>52-4</t>
  </si>
  <si>
    <t>52-5</t>
  </si>
  <si>
    <t>52-6</t>
  </si>
  <si>
    <t>52-7</t>
  </si>
  <si>
    <t>52-8</t>
  </si>
  <si>
    <t>52-9</t>
  </si>
  <si>
    <t>52-10</t>
  </si>
  <si>
    <t>52-11</t>
  </si>
  <si>
    <t>52-12</t>
  </si>
  <si>
    <t>52-13</t>
  </si>
  <si>
    <t>52-14</t>
  </si>
  <si>
    <t>52-5-1</t>
    <phoneticPr fontId="7" type="noConversion"/>
  </si>
  <si>
    <t>니키 시련의 방</t>
  </si>
  <si>
    <t>EntryMenu.LabyrinthBGM</t>
    <phoneticPr fontId="7" type="noConversion"/>
  </si>
  <si>
    <t>Cutscene.Chaos</t>
    <phoneticPr fontId="7" type="noConversion"/>
  </si>
  <si>
    <t>BattleBGM.3_1</t>
  </si>
  <si>
    <t>BattleBGM.3_1</t>
    <phoneticPr fontId="7" type="noConversion"/>
  </si>
  <si>
    <t>BattleBGM.1_1</t>
    <phoneticPr fontId="7" type="noConversion"/>
  </si>
  <si>
    <t>Character.Priscilla_Theme</t>
    <phoneticPr fontId="7" type="noConversion"/>
  </si>
  <si>
    <t>Chapter1.Field1_3D</t>
    <phoneticPr fontId="7" type="noConversion"/>
  </si>
  <si>
    <t>Chapter1.Field1_3D</t>
    <phoneticPr fontId="7" type="noConversion"/>
  </si>
  <si>
    <t>Chapter4.Field1_3D</t>
    <phoneticPr fontId="7" type="noConversion"/>
  </si>
  <si>
    <t>Chapter2.Field3_3D</t>
    <phoneticPr fontId="7" type="noConversion"/>
  </si>
  <si>
    <t>Labyrinth.Field1_3D</t>
    <phoneticPr fontId="7" type="noConversion"/>
  </si>
  <si>
    <t>Chapter1.Field2_3D</t>
    <phoneticPr fontId="7" type="noConversion"/>
  </si>
  <si>
    <t>Orveltown.NightField1</t>
    <phoneticPr fontId="7" type="noConversion"/>
  </si>
  <si>
    <t>Substory.Crow.Field1</t>
  </si>
  <si>
    <t>1</t>
    <phoneticPr fontId="7" type="noConversion"/>
  </si>
  <si>
    <t>2</t>
    <phoneticPr fontId="7" type="noConversion"/>
  </si>
  <si>
    <t>3</t>
    <phoneticPr fontId="7" type="noConversion"/>
  </si>
  <si>
    <t>4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</si>
  <si>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</si>
  <si>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</si>
  <si>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</si>
  <si>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30020</t>
    <phoneticPr fontId="7" type="noConversion"/>
  </si>
  <si>
    <t>30021</t>
    <phoneticPr fontId="7" type="noConversion"/>
  </si>
  <si>
    <t>EventDungeonTicket</t>
    <phoneticPr fontId="7" type="noConversion"/>
  </si>
  <si>
    <t>2017 크리스마스1</t>
    <phoneticPr fontId="7" type="noConversion"/>
  </si>
  <si>
    <t>2017 크리스마스2</t>
    <phoneticPr fontId="7" type="noConversion"/>
  </si>
  <si>
    <t>2017 크리스마스3</t>
    <phoneticPr fontId="7" type="noConversion"/>
  </si>
  <si>
    <t>2017 크리스마스4</t>
    <phoneticPr fontId="7" type="noConversion"/>
  </si>
  <si>
    <t>2018 크리스마스1</t>
    <phoneticPr fontId="7" type="noConversion"/>
  </si>
  <si>
    <t>2018 크리스마스2</t>
    <phoneticPr fontId="7" type="noConversion"/>
  </si>
  <si>
    <t>2018 크리스마스3</t>
    <phoneticPr fontId="7" type="noConversion"/>
  </si>
  <si>
    <t>2018 크리스마스4</t>
    <phoneticPr fontId="7" type="noConversion"/>
  </si>
  <si>
    <t>2018 크리스마스5</t>
    <phoneticPr fontId="7" type="noConversion"/>
  </si>
  <si>
    <t>2018 크리스마스6</t>
    <phoneticPr fontId="7" type="noConversion"/>
  </si>
  <si>
    <t>2018 크리스마스7</t>
    <phoneticPr fontId="7" type="noConversion"/>
  </si>
  <si>
    <t>HardRaid</t>
    <phoneticPr fontId="7" type="noConversion"/>
  </si>
  <si>
    <t>HardRaid</t>
    <phoneticPr fontId="7" type="noConversion"/>
  </si>
  <si>
    <t>HardRaid</t>
    <phoneticPr fontId="7" type="noConversion"/>
  </si>
  <si>
    <t>HardRaid</t>
    <phoneticPr fontId="7" type="noConversion"/>
  </si>
  <si>
    <t>ChallengeRaid</t>
    <phoneticPr fontId="7" type="noConversion"/>
  </si>
  <si>
    <t>1</t>
    <phoneticPr fontId="7" type="noConversion"/>
  </si>
  <si>
    <t>800030</t>
    <phoneticPr fontId="7" type="noConversion"/>
  </si>
  <si>
    <t>800042</t>
  </si>
  <si>
    <t>800031</t>
    <phoneticPr fontId="7" type="noConversion"/>
  </si>
  <si>
    <t>800040</t>
    <phoneticPr fontId="7" type="noConversion"/>
  </si>
  <si>
    <t>800032</t>
  </si>
  <si>
    <t>800033</t>
    <phoneticPr fontId="7" type="noConversion"/>
  </si>
  <si>
    <t>800041</t>
  </si>
  <si>
    <t>800034</t>
    <phoneticPr fontId="7" type="noConversion"/>
  </si>
  <si>
    <t>800035</t>
    <phoneticPr fontId="7" type="noConversion"/>
  </si>
  <si>
    <t>800036</t>
  </si>
  <si>
    <t>800037</t>
    <phoneticPr fontId="7" type="noConversion"/>
  </si>
  <si>
    <t>800043</t>
  </si>
  <si>
    <t>8003</t>
    <phoneticPr fontId="7" type="noConversion"/>
  </si>
  <si>
    <t>니아 시련의 방</t>
  </si>
  <si>
    <t>Event.ChristmasBGM2</t>
  </si>
  <si>
    <t>800044</t>
  </si>
  <si>
    <t>800045</t>
  </si>
  <si>
    <t>Raid.FireField1</t>
  </si>
  <si>
    <t>BattleBGM.RaidBGM</t>
  </si>
  <si>
    <t>Raid</t>
  </si>
  <si>
    <t>Raid.PoisonField1_3D</t>
  </si>
  <si>
    <t>HardRaid</t>
  </si>
  <si>
    <t>Raid_Hard_Solo</t>
  </si>
  <si>
    <t>IceRaid_Hard_Solo</t>
  </si>
  <si>
    <t>BlackRaid_Hard_Solo</t>
  </si>
  <si>
    <t>GreenRaid_Hard_Solo</t>
  </si>
  <si>
    <t>True</t>
    <phoneticPr fontId="7" type="noConversion"/>
  </si>
  <si>
    <t>IgnoreBattleIntegrity</t>
    <phoneticPr fontId="7" type="noConversion"/>
  </si>
  <si>
    <t>라브릴 시련의 방</t>
  </si>
  <si>
    <t>에스커 시련의 방</t>
  </si>
  <si>
    <t>서리 드래곤 3T 1단계</t>
  </si>
  <si>
    <t>서리 드래곤 3T 2단계</t>
  </si>
  <si>
    <t>서리 드래곤 4T 1단계</t>
  </si>
  <si>
    <t>서리 드래곤 4T 2단계</t>
  </si>
  <si>
    <t>서리 드래곤 5T 1단계</t>
  </si>
  <si>
    <t>서리 드래곤 5T 2단계</t>
  </si>
  <si>
    <t>서리 드래곤 6T 1단계</t>
  </si>
  <si>
    <t>서리 드래곤 6T 2단계</t>
  </si>
  <si>
    <t>서리 드래곤 7T 1단계</t>
  </si>
  <si>
    <t>서리 드래곤 7T 2단계</t>
  </si>
  <si>
    <t>서리 드래곤 8T 1단계</t>
  </si>
  <si>
    <t>서리 드래곤 8T 2단계</t>
  </si>
  <si>
    <t>서리 드래곤 8T 3단계</t>
  </si>
  <si>
    <t>서리 드래곤 8T 4단계</t>
  </si>
  <si>
    <t>서리 드래곤 8T 5단계</t>
  </si>
  <si>
    <t>서리 드래곤 8T 6단계</t>
  </si>
  <si>
    <t>서리 드래곤 8T 7단계</t>
  </si>
  <si>
    <t>서리 드래곤 8T 8단계</t>
  </si>
  <si>
    <t>서리 드래곤 8T 9단계</t>
  </si>
  <si>
    <t>서리 드래곤 8T 10단계</t>
  </si>
  <si>
    <t>화염 드래곤 튜토리얼</t>
    <phoneticPr fontId="7" type="noConversion"/>
  </si>
  <si>
    <t>화염 드래곤 3T 1단계</t>
  </si>
  <si>
    <t>화염 드래곤 3T 2단계</t>
  </si>
  <si>
    <t>화염 드래곤 4T 1단계</t>
  </si>
  <si>
    <t>화염 드래곤 4T 2단계</t>
  </si>
  <si>
    <t>화염 드래곤 5T 1단계</t>
  </si>
  <si>
    <t>화염 드래곤 5T 2단계</t>
  </si>
  <si>
    <t>화염 드래곤 6T 1단계</t>
  </si>
  <si>
    <t>화염 드래곤 6T 2단계</t>
  </si>
  <si>
    <t>화염 드래곤 7T 1단계</t>
  </si>
  <si>
    <t>화염 드래곤 7T 2단계</t>
  </si>
  <si>
    <t>화염 드래곤 8T 1단계</t>
  </si>
  <si>
    <t>화염 드래곤 8T 2단계</t>
  </si>
  <si>
    <t>화염 드래곤 8T 3단계</t>
  </si>
  <si>
    <t>화염 드래곤 8T 4단계</t>
  </si>
  <si>
    <t>화염 드래곤 8T 5단계</t>
  </si>
  <si>
    <t>화염 드래곤 8T 6단계</t>
  </si>
  <si>
    <t>화염 드래곤 8T 7단계</t>
  </si>
  <si>
    <t>화염 드래곤 8T 8단계</t>
  </si>
  <si>
    <t>화염 드래곤 8T 9단계</t>
  </si>
  <si>
    <t>화염 드래곤 8T 10단계</t>
  </si>
  <si>
    <t>맹독 드래곤 3T 1단계</t>
  </si>
  <si>
    <t>맹독 드래곤 3T 2단계</t>
  </si>
  <si>
    <t>맹독 드래곤 4T 1단계</t>
  </si>
  <si>
    <t>맹독 드래곤 4T 2단계</t>
  </si>
  <si>
    <t>맹독 드래곤 5T 1단계</t>
  </si>
  <si>
    <t>맹독 드래곤 5T 2단계</t>
  </si>
  <si>
    <t>맹독 드래곤 6T 1단계</t>
  </si>
  <si>
    <t>맹독 드래곤 6T 2단계</t>
  </si>
  <si>
    <t>맹독 드래곤 7T 1단계</t>
  </si>
  <si>
    <t>맹독 드래곤 7T 2단계</t>
  </si>
  <si>
    <t>맹독 드래곤 8T 1단계</t>
  </si>
  <si>
    <t>맹독 드래곤 8T 2단계</t>
  </si>
  <si>
    <t>맹독 드래곤 8T 3단계</t>
  </si>
  <si>
    <t>맹독 드래곤 8T 4단계</t>
  </si>
  <si>
    <t>맹독 드래곤 8T 5단계</t>
  </si>
  <si>
    <t>맹독 드래곤 8T 6단계</t>
  </si>
  <si>
    <t>맹독 드래곤 8T 7단계</t>
  </si>
  <si>
    <t>맹독 드래곤 8T 8단계</t>
  </si>
  <si>
    <t>맹독 드래곤 8T 9단계</t>
  </si>
  <si>
    <t>맹독 드래곤 8T 10단계</t>
  </si>
  <si>
    <t>블랙 드래곤 3T 1단계</t>
  </si>
  <si>
    <t>블랙 드래곤 3T 2단계</t>
  </si>
  <si>
    <t>블랙 드래곤 4T 1단계</t>
  </si>
  <si>
    <t>블랙 드래곤 4T 2단계</t>
  </si>
  <si>
    <t>블랙 드래곤 5T 1단계</t>
  </si>
  <si>
    <t>블랙 드래곤 5T 2단계</t>
  </si>
  <si>
    <t>블랙 드래곤 6T 1단계</t>
  </si>
  <si>
    <t>블랙 드래곤 6T 2단계</t>
  </si>
  <si>
    <t>블랙 드래곤 7T 1단계</t>
  </si>
  <si>
    <t>블랙 드래곤 7T 2단계</t>
  </si>
  <si>
    <t>블랙 드래곤 8T 1단계</t>
  </si>
  <si>
    <t>블랙 드래곤 8T 2단계</t>
  </si>
  <si>
    <t>블랙 드래곤 8T 3단계</t>
  </si>
  <si>
    <t>블랙 드래곤 8T 4단계</t>
  </si>
  <si>
    <t>블랙 드래곤 8T 5단계</t>
  </si>
  <si>
    <t>블랙 드래곤 8T 6단계</t>
  </si>
  <si>
    <t>블랙 드래곤 8T 7단계</t>
  </si>
  <si>
    <t>블랙 드래곤 8T 8단계</t>
  </si>
  <si>
    <t>블랙 드래곤 8T 9단계</t>
  </si>
  <si>
    <t>블랙 드래곤 8T 10단계</t>
  </si>
  <si>
    <t>&lt;레이드 하드 싱글&gt;</t>
    <phoneticPr fontId="7" type="noConversion"/>
  </si>
  <si>
    <t>&lt;레이드 하드&gt;</t>
    <phoneticPr fontId="7" type="noConversion"/>
  </si>
  <si>
    <t>&lt;일반 레이드&gt;</t>
    <phoneticPr fontId="7" type="noConversion"/>
  </si>
  <si>
    <t>&lt;일반 레이드 싱글&gt;</t>
    <phoneticPr fontId="7" type="noConversion"/>
  </si>
  <si>
    <t>BlackRaid_Hard</t>
  </si>
  <si>
    <t>6</t>
    <phoneticPr fontId="7" type="noConversion"/>
  </si>
  <si>
    <t>904031</t>
  </si>
  <si>
    <t>904032</t>
  </si>
  <si>
    <t>904041</t>
  </si>
  <si>
    <t>904042</t>
  </si>
  <si>
    <t>904051</t>
  </si>
  <si>
    <t>904052</t>
  </si>
  <si>
    <t>904061</t>
  </si>
  <si>
    <t>904062</t>
  </si>
  <si>
    <t>904071</t>
  </si>
  <si>
    <t>904072</t>
  </si>
  <si>
    <t>904081</t>
  </si>
  <si>
    <t>904082</t>
  </si>
  <si>
    <t>904083</t>
  </si>
  <si>
    <t>904084</t>
  </si>
  <si>
    <t>904085</t>
  </si>
  <si>
    <t>904086</t>
  </si>
  <si>
    <t>904087</t>
  </si>
  <si>
    <t>904088</t>
  </si>
  <si>
    <t>904089</t>
  </si>
  <si>
    <t>904090</t>
  </si>
  <si>
    <t>901031</t>
  </si>
  <si>
    <t>901042</t>
  </si>
  <si>
    <t>901051</t>
  </si>
  <si>
    <t>901052</t>
  </si>
  <si>
    <t>901061</t>
  </si>
  <si>
    <t>901062</t>
  </si>
  <si>
    <t>901071</t>
  </si>
  <si>
    <t>901072</t>
  </si>
  <si>
    <t>901081</t>
  </si>
  <si>
    <t>901082</t>
  </si>
  <si>
    <t>901083</t>
  </si>
  <si>
    <t>901084</t>
  </si>
  <si>
    <t>901085</t>
  </si>
  <si>
    <t>901086</t>
  </si>
  <si>
    <t>901087</t>
  </si>
  <si>
    <t>901088</t>
  </si>
  <si>
    <t>901089</t>
  </si>
  <si>
    <t>901090</t>
  </si>
  <si>
    <t>99</t>
    <phoneticPr fontId="7" type="noConversion"/>
  </si>
  <si>
    <t>월드보스 행사용 포세이돈</t>
    <phoneticPr fontId="7" type="noConversion"/>
  </si>
  <si>
    <t>도자르타 시련의 방</t>
  </si>
  <si>
    <t>글렌위스 시련의 방</t>
  </si>
  <si>
    <t>MainSquardCount</t>
  </si>
  <si>
    <t>SubSquardCount</t>
  </si>
  <si>
    <t>Raid_Solo</t>
  </si>
  <si>
    <t>IceRaid_Solo</t>
  </si>
  <si>
    <t>BlackRaid_Solo</t>
  </si>
  <si>
    <t>GreenRaid_Solo</t>
  </si>
  <si>
    <t>9</t>
    <phoneticPr fontId="7" type="noConversion"/>
  </si>
  <si>
    <t>TEST</t>
  </si>
  <si>
    <t>TEST</t>
    <phoneticPr fontId="7" type="noConversion"/>
  </si>
  <si>
    <t>4</t>
    <phoneticPr fontId="7" type="noConversion"/>
  </si>
  <si>
    <t>Tower.Ordeal</t>
    <phoneticPr fontId="7" type="noConversion"/>
  </si>
  <si>
    <t>Prison1</t>
  </si>
  <si>
    <t>Prison1</t>
    <phoneticPr fontId="7" type="noConversion"/>
  </si>
  <si>
    <t>Prison3</t>
  </si>
  <si>
    <t>Prison4</t>
  </si>
  <si>
    <t>Prison2</t>
    <phoneticPr fontId="7" type="noConversion"/>
  </si>
  <si>
    <t>Prison3</t>
    <phoneticPr fontId="7" type="noConversion"/>
  </si>
  <si>
    <t>Prison4</t>
    <phoneticPr fontId="7" type="noConversion"/>
  </si>
  <si>
    <t>Prison4</t>
    <phoneticPr fontId="7" type="noConversion"/>
  </si>
  <si>
    <t>Labyrinth</t>
  </si>
  <si>
    <t>ChallengeTower</t>
  </si>
  <si>
    <t>TreasureHouse</t>
  </si>
  <si>
    <t>4</t>
    <phoneticPr fontId="7" type="noConversion"/>
  </si>
  <si>
    <t>WorldBoss1</t>
    <phoneticPr fontId="7" type="noConversion"/>
  </si>
  <si>
    <t>WorldBoss2</t>
    <phoneticPr fontId="7" type="noConversion"/>
  </si>
  <si>
    <t>4</t>
    <phoneticPr fontId="7" type="noConversion"/>
  </si>
  <si>
    <t>4</t>
    <phoneticPr fontId="7" type="noConversion"/>
  </si>
  <si>
    <t>EventWorldBoss1</t>
    <phoneticPr fontId="7" type="noConversion"/>
  </si>
  <si>
    <t>EventWorldBoss2</t>
    <phoneticPr fontId="7" type="noConversion"/>
  </si>
  <si>
    <t>4</t>
    <phoneticPr fontId="7" type="noConversion"/>
  </si>
  <si>
    <t>EventDungeon2</t>
    <phoneticPr fontId="7" type="noConversion"/>
  </si>
  <si>
    <t>Maze1</t>
  </si>
  <si>
    <t>Maze1</t>
    <phoneticPr fontId="7" type="noConversion"/>
  </si>
  <si>
    <t>Maze2</t>
  </si>
  <si>
    <t>Maze3</t>
  </si>
  <si>
    <t>Maze4</t>
  </si>
  <si>
    <t>SquareSideQuest1</t>
    <phoneticPr fontId="7" type="noConversion"/>
  </si>
  <si>
    <t>SquareSideQuest2</t>
    <phoneticPr fontId="7" type="noConversion"/>
  </si>
  <si>
    <t>SquareSideQuest3</t>
    <phoneticPr fontId="7" type="noConversion"/>
  </si>
  <si>
    <t>SquareSideQuest4</t>
    <phoneticPr fontId="7" type="noConversion"/>
  </si>
  <si>
    <t>SquareSideQuest5</t>
    <phoneticPr fontId="7" type="noConversion"/>
  </si>
  <si>
    <t>Maze2</t>
    <phoneticPr fontId="7" type="noConversion"/>
  </si>
  <si>
    <t>Maze3</t>
    <phoneticPr fontId="7" type="noConversion"/>
  </si>
  <si>
    <t>Maze4</t>
    <phoneticPr fontId="7" type="noConversion"/>
  </si>
  <si>
    <t>Maze5</t>
  </si>
  <si>
    <t>Maze5</t>
    <phoneticPr fontId="7" type="noConversion"/>
  </si>
  <si>
    <t>Maze6</t>
  </si>
  <si>
    <t>Maze6</t>
    <phoneticPr fontId="7" type="noConversion"/>
  </si>
  <si>
    <t>Maze7</t>
  </si>
  <si>
    <t>Maze7</t>
    <phoneticPr fontId="7" type="noConversion"/>
  </si>
  <si>
    <t>6</t>
    <phoneticPr fontId="7" type="noConversion"/>
  </si>
  <si>
    <t>6</t>
    <phoneticPr fontId="7" type="noConversion"/>
  </si>
  <si>
    <t>6</t>
    <phoneticPr fontId="7" type="noConversion"/>
  </si>
  <si>
    <t>9</t>
    <phoneticPr fontId="7" type="noConversion"/>
  </si>
  <si>
    <t>9</t>
    <phoneticPr fontId="7" type="noConversion"/>
  </si>
  <si>
    <t>GuildRaid1</t>
    <phoneticPr fontId="7" type="noConversion"/>
  </si>
  <si>
    <t>GuildRaid2</t>
    <phoneticPr fontId="7" type="noConversion"/>
  </si>
  <si>
    <t>GuildRaid3</t>
  </si>
  <si>
    <t>GuildRaid4</t>
  </si>
  <si>
    <t>GuildRaid5</t>
  </si>
  <si>
    <t>GuildRaid6</t>
  </si>
  <si>
    <t>GuildRaid7</t>
  </si>
  <si>
    <t>WorldBoss3</t>
    <phoneticPr fontId="7" type="noConversion"/>
  </si>
  <si>
    <t>WorldBoss4</t>
    <phoneticPr fontId="7" type="noConversion"/>
  </si>
  <si>
    <t>WorldBoss5</t>
    <phoneticPr fontId="7" type="noConversion"/>
  </si>
  <si>
    <t>WorldBoss6</t>
    <phoneticPr fontId="7" type="noConversion"/>
  </si>
  <si>
    <t>SubStory1</t>
    <phoneticPr fontId="7" type="noConversion"/>
  </si>
  <si>
    <t>SubStory2</t>
    <phoneticPr fontId="7" type="noConversion"/>
  </si>
  <si>
    <t>SubStory3</t>
    <phoneticPr fontId="7" type="noConversion"/>
  </si>
  <si>
    <t>SubStory4</t>
    <phoneticPr fontId="7" type="noConversion"/>
  </si>
  <si>
    <t>SubStory5</t>
    <phoneticPr fontId="7" type="noConversion"/>
  </si>
  <si>
    <t>SubStory6</t>
    <phoneticPr fontId="7" type="noConversion"/>
  </si>
  <si>
    <t>ChallengeRaidSingle1</t>
    <phoneticPr fontId="7" type="noConversion"/>
  </si>
  <si>
    <t>ChallengeRaidSingle2</t>
    <phoneticPr fontId="7" type="noConversion"/>
  </si>
  <si>
    <t>ChallengeRaidSingle3</t>
  </si>
  <si>
    <t>ChallengeRaidSingle4</t>
  </si>
  <si>
    <t>ChallengeRaidSingle5</t>
  </si>
  <si>
    <t>ChallengeRaidSingle6</t>
  </si>
  <si>
    <t>ChallengeRaidSingle7</t>
  </si>
  <si>
    <t>ChallengeRaidSingle8</t>
  </si>
  <si>
    <t>GuildSuppressSingle1</t>
    <phoneticPr fontId="7" type="noConversion"/>
  </si>
  <si>
    <t>GuildSuppressSingle2</t>
    <phoneticPr fontId="7" type="noConversion"/>
  </si>
  <si>
    <t>GuildSuppressSingle3</t>
  </si>
  <si>
    <t>GuildSuppressSingle4</t>
  </si>
  <si>
    <t>GuildSuppressSingle5</t>
  </si>
  <si>
    <t>GuildSuppressSingle6</t>
  </si>
  <si>
    <t>Campaign_8_Single</t>
  </si>
  <si>
    <t>Chapter8.Field3_3D</t>
    <phoneticPr fontId="7" type="noConversion"/>
  </si>
  <si>
    <t>30022</t>
  </si>
  <si>
    <t>2019 새학기 1</t>
  </si>
  <si>
    <t>800046</t>
  </si>
  <si>
    <t>800047</t>
  </si>
  <si>
    <t>2019 새학기 2</t>
  </si>
  <si>
    <t>2019 새학기 3</t>
  </si>
  <si>
    <t>2019 새학기 4</t>
  </si>
  <si>
    <t>800048</t>
  </si>
  <si>
    <t>800049</t>
  </si>
  <si>
    <t>800050</t>
  </si>
  <si>
    <t>800051</t>
  </si>
  <si>
    <t>Chapter1.Field1_3D_1</t>
    <phoneticPr fontId="7" type="noConversion"/>
  </si>
  <si>
    <t>30022</t>
    <phoneticPr fontId="7" type="noConversion"/>
  </si>
  <si>
    <t>베른헤임 시련의 방</t>
  </si>
  <si>
    <t>유리아 시련의 방</t>
  </si>
  <si>
    <t>30023</t>
    <phoneticPr fontId="7" type="noConversion"/>
  </si>
  <si>
    <t>30023</t>
    <phoneticPr fontId="7" type="noConversion"/>
  </si>
  <si>
    <t>2019 나들이 1</t>
    <phoneticPr fontId="7" type="noConversion"/>
  </si>
  <si>
    <t>2019 나들이 2</t>
    <phoneticPr fontId="7" type="noConversion"/>
  </si>
  <si>
    <t>2019 나들이 3</t>
    <phoneticPr fontId="7" type="noConversion"/>
  </si>
  <si>
    <t>2019 나들이 4</t>
    <phoneticPr fontId="7" type="noConversion"/>
  </si>
  <si>
    <t>800052</t>
    <phoneticPr fontId="7" type="noConversion"/>
  </si>
  <si>
    <t>800053</t>
    <phoneticPr fontId="7" type="noConversion"/>
  </si>
  <si>
    <t>800054</t>
    <phoneticPr fontId="7" type="noConversion"/>
  </si>
  <si>
    <t>800055</t>
    <phoneticPr fontId="7" type="noConversion"/>
  </si>
  <si>
    <t>월드보스 행사용 쟈나두스</t>
    <phoneticPr fontId="7" type="noConversion"/>
  </si>
  <si>
    <t>Treasure.Field1</t>
    <phoneticPr fontId="7" type="noConversion"/>
  </si>
  <si>
    <t>30024</t>
  </si>
  <si>
    <t>800058</t>
  </si>
  <si>
    <t>800056</t>
  </si>
  <si>
    <t>800059</t>
  </si>
  <si>
    <t>800057</t>
  </si>
  <si>
    <t>800064</t>
  </si>
  <si>
    <t>800060</t>
  </si>
  <si>
    <t>800061</t>
  </si>
  <si>
    <t>800062</t>
  </si>
  <si>
    <t>800063</t>
  </si>
  <si>
    <t>2019 고대 신왕 이야기 1</t>
  </si>
  <si>
    <t>12211</t>
  </si>
  <si>
    <t>61713</t>
  </si>
  <si>
    <t>2019 고대 신왕 이야기 2</t>
  </si>
  <si>
    <t>2019 고대 신왕 이야기 3</t>
  </si>
  <si>
    <t>2019 고대 신왕 이야기 4</t>
  </si>
  <si>
    <t>Chapter6.Field4_3D</t>
    <phoneticPr fontId="7" type="noConversion"/>
  </si>
  <si>
    <t>GodKing</t>
    <phoneticPr fontId="7" type="noConversion"/>
  </si>
  <si>
    <t>세실리아 시련의 방</t>
  </si>
  <si>
    <t>True</t>
    <phoneticPr fontId="7" type="noConversion"/>
  </si>
  <si>
    <t>챌린지 레이드 칼락스 Easy</t>
  </si>
  <si>
    <t>챌린지 레이드 칼락스 Normal</t>
  </si>
  <si>
    <t>챌린지 레이드 칼락스 Hard</t>
  </si>
  <si>
    <t>챌린지 레이드 칼락스 Hell</t>
  </si>
  <si>
    <t>챌린지 레이드 칼락스 Easy</t>
    <phoneticPr fontId="7" type="noConversion"/>
  </si>
  <si>
    <t>ChallengeRaidSingle8</t>
    <phoneticPr fontId="7" type="noConversion"/>
  </si>
  <si>
    <t>DispatchRewardIndex_Easy</t>
    <phoneticPr fontId="7" type="noConversion"/>
  </si>
  <si>
    <t>DispatchType_Easy</t>
    <phoneticPr fontId="7" type="noConversion"/>
  </si>
  <si>
    <t>(Dispatch)</t>
    <phoneticPr fontId="7" type="noConversion"/>
  </si>
  <si>
    <t>DispatchDeckCount</t>
    <phoneticPr fontId="7" type="noConversion"/>
  </si>
  <si>
    <t>RedDragon</t>
    <phoneticPr fontId="7" type="noConversion"/>
  </si>
  <si>
    <t>550188</t>
  </si>
  <si>
    <t>550189</t>
  </si>
  <si>
    <t>550190</t>
  </si>
  <si>
    <t>550191</t>
  </si>
  <si>
    <t>550192</t>
  </si>
  <si>
    <t>550193</t>
  </si>
  <si>
    <t>550194</t>
  </si>
  <si>
    <t>550195</t>
  </si>
  <si>
    <t>550196</t>
  </si>
  <si>
    <t>550197</t>
  </si>
  <si>
    <t>550198</t>
  </si>
  <si>
    <t>550199</t>
  </si>
  <si>
    <t>550200</t>
  </si>
  <si>
    <t>550201</t>
  </si>
  <si>
    <t>550202</t>
  </si>
  <si>
    <t>550203</t>
  </si>
  <si>
    <t>550204</t>
  </si>
  <si>
    <t>550205</t>
  </si>
  <si>
    <t>550206</t>
  </si>
  <si>
    <t>550207</t>
  </si>
  <si>
    <t>550208</t>
  </si>
  <si>
    <t>550209</t>
  </si>
  <si>
    <t>550210</t>
  </si>
  <si>
    <t>550211</t>
  </si>
  <si>
    <t>550212</t>
  </si>
  <si>
    <t>550213</t>
  </si>
  <si>
    <t>550214</t>
  </si>
  <si>
    <t>550215</t>
  </si>
  <si>
    <t>550216</t>
  </si>
  <si>
    <t>550217</t>
  </si>
  <si>
    <t>550218</t>
  </si>
  <si>
    <t>550219</t>
  </si>
  <si>
    <t>550220</t>
  </si>
  <si>
    <t>550221</t>
  </si>
  <si>
    <t>550222</t>
  </si>
  <si>
    <t>550223</t>
  </si>
  <si>
    <t>550224</t>
  </si>
  <si>
    <t>550225</t>
  </si>
  <si>
    <t>550226</t>
  </si>
  <si>
    <t>550227</t>
  </si>
  <si>
    <t>550228</t>
  </si>
  <si>
    <t>550229</t>
  </si>
  <si>
    <t>550230</t>
  </si>
  <si>
    <t>550231</t>
  </si>
  <si>
    <t>550232</t>
  </si>
  <si>
    <t>550233</t>
  </si>
  <si>
    <t>550234</t>
  </si>
  <si>
    <t>550235</t>
  </si>
  <si>
    <t>550236</t>
  </si>
  <si>
    <t>550237</t>
  </si>
  <si>
    <t>550238</t>
  </si>
  <si>
    <t>550239</t>
  </si>
  <si>
    <t>550240</t>
  </si>
  <si>
    <t>550241</t>
  </si>
  <si>
    <t>550242</t>
  </si>
  <si>
    <t>550243</t>
  </si>
  <si>
    <t>550244</t>
  </si>
  <si>
    <t>550245</t>
  </si>
  <si>
    <t>550246</t>
  </si>
  <si>
    <t>550247</t>
  </si>
  <si>
    <t>550248</t>
  </si>
  <si>
    <t>550249</t>
  </si>
  <si>
    <t>550250</t>
  </si>
  <si>
    <t>550251</t>
  </si>
  <si>
    <t>550252</t>
  </si>
  <si>
    <t>550253</t>
  </si>
  <si>
    <t>550254</t>
  </si>
  <si>
    <t>550255</t>
  </si>
  <si>
    <t>550256</t>
  </si>
  <si>
    <t>550257</t>
  </si>
  <si>
    <t>550258</t>
  </si>
  <si>
    <t>550259</t>
  </si>
  <si>
    <t>550260</t>
  </si>
  <si>
    <t>550261</t>
  </si>
  <si>
    <t>550262</t>
  </si>
  <si>
    <t>550263</t>
  </si>
  <si>
    <t>550264</t>
  </si>
  <si>
    <t>550265</t>
  </si>
  <si>
    <t>550266</t>
  </si>
  <si>
    <t>550267</t>
  </si>
  <si>
    <t>BlueDragon</t>
    <phoneticPr fontId="7" type="noConversion"/>
  </si>
  <si>
    <t>GreenDragon</t>
    <phoneticPr fontId="7" type="noConversion"/>
  </si>
  <si>
    <t>BlackDragon</t>
    <phoneticPr fontId="7" type="noConversion"/>
  </si>
  <si>
    <t>8</t>
    <phoneticPr fontId="7" type="noConversion"/>
  </si>
  <si>
    <t>None</t>
    <phoneticPr fontId="7" type="noConversion"/>
  </si>
  <si>
    <t>Mine</t>
  </si>
  <si>
    <t>Mine</t>
    <phoneticPr fontId="7" type="noConversion"/>
  </si>
  <si>
    <t>All</t>
    <phoneticPr fontId="7" type="noConversion"/>
  </si>
  <si>
    <t>DispatchType_Normal</t>
    <phoneticPr fontId="7" type="noConversion"/>
  </si>
  <si>
    <t>DispatchRewardIndex_Normal</t>
    <phoneticPr fontId="7" type="noConversion"/>
  </si>
  <si>
    <t>DispatchType_Hard</t>
    <phoneticPr fontId="7" type="noConversion"/>
  </si>
  <si>
    <t>DispatchRewardIndex_Hard</t>
    <phoneticPr fontId="7" type="noConversion"/>
  </si>
  <si>
    <t>DispatchType_Hell</t>
    <phoneticPr fontId="7" type="noConversion"/>
  </si>
  <si>
    <t>DispatchRewardIndex_Hell</t>
    <phoneticPr fontId="7" type="noConversion"/>
  </si>
  <si>
    <t>Arena3</t>
    <phoneticPr fontId="7" type="noConversion"/>
  </si>
  <si>
    <t>Arena.Field3</t>
    <phoneticPr fontId="7" type="noConversion"/>
  </si>
  <si>
    <t>길드전</t>
    <phoneticPr fontId="7" type="noConversion"/>
  </si>
  <si>
    <t>NoDifficulty</t>
    <phoneticPr fontId="7" type="noConversion"/>
  </si>
  <si>
    <t>RedDragon_Hard</t>
  </si>
  <si>
    <t>BlueDragon_Hard</t>
  </si>
  <si>
    <t>GreenDragon_Hard</t>
  </si>
  <si>
    <t>BlackDragon_Hard</t>
  </si>
  <si>
    <t>BGM2.Guild.GuildBattle</t>
  </si>
  <si>
    <t>GuildArena</t>
    <phoneticPr fontId="7" type="noConversion"/>
  </si>
  <si>
    <t>Chapter8.Field4_3D</t>
  </si>
  <si>
    <t>다카리스 시련의 방</t>
  </si>
  <si>
    <t>ChallengeRaidSingle</t>
    <phoneticPr fontId="7" type="noConversion"/>
  </si>
  <si>
    <t>&lt;시련의관문&gt;</t>
    <phoneticPr fontId="7" type="noConversion"/>
  </si>
  <si>
    <t>2000</t>
    <phoneticPr fontId="7" type="noConversion"/>
  </si>
  <si>
    <t>1</t>
    <phoneticPr fontId="7" type="noConversion"/>
  </si>
  <si>
    <t>2</t>
    <phoneticPr fontId="7" type="noConversion"/>
  </si>
  <si>
    <t>시련의 관문 1단계</t>
    <phoneticPr fontId="7" type="noConversion"/>
  </si>
  <si>
    <t>시련의 관문 2단계</t>
  </si>
  <si>
    <t>시련의 관문 3단계</t>
  </si>
  <si>
    <t>시련의 관문 4단계</t>
  </si>
  <si>
    <t>시련의 관문 5단계</t>
  </si>
  <si>
    <t>GatewaytoTrial</t>
  </si>
  <si>
    <t>Mine</t>
    <phoneticPr fontId="7" type="noConversion"/>
  </si>
  <si>
    <t>키르제 시련의 방</t>
  </si>
  <si>
    <t>True</t>
    <phoneticPr fontId="7" type="noConversion"/>
  </si>
  <si>
    <t>True</t>
    <phoneticPr fontId="7" type="noConversion"/>
  </si>
  <si>
    <t>71</t>
    <phoneticPr fontId="7" type="noConversion"/>
  </si>
  <si>
    <t>1,2,3,4</t>
    <phoneticPr fontId="7" type="noConversion"/>
  </si>
  <si>
    <t>1001,1002,1003,1004,1005,1006,1007,1009,1010,1013,1014,1015,1016,1017,1018,1019,1020,1021,1022,1026,1027,1028,1029,1030,1031,1032,1033,1035,1038</t>
  </si>
  <si>
    <t>1032,1006,1007,1029,1004,1027,1015,1003,1010,1031,1005,1021,1009,1020,1017,1002,1014,1035,1033,1038,1022,1030,1018,1026,1028,1019,1016,1001,1013</t>
  </si>
  <si>
    <t>1001,1009,1007,1033,1026,1035,1015,1030,1031,1038,1018,1019,1010,1028,1004,1021,1002,1020,1003,1016,1014,1022,1005,1006,1013,1027,1032,1029,1017</t>
  </si>
  <si>
    <t>2001,2007,2015,2021,2035,2014,2027,2030,2038,2018,2003,2016,2005,2004,2020,2019,2032,2028,2029,2009,2033,2017,2013,2010,2026,2002,2022,2006</t>
  </si>
  <si>
    <t>2001,2002,2003,2004,2005,2006,2007,2009,2010,2013,2014,2015,2016,2017,2018,2019,2020,2021,2022,2026,2027,2028,2029,2030,2032,2033,2035,2038</t>
  </si>
  <si>
    <t>2021,2033,2014,2007,2016,2028,2035,2015,2002,2001,2009,2017,2013,2038,2006,2010,2030,2032,2004,2020,2019,2018,2005,2029,2027,2003,2026,2022</t>
  </si>
  <si>
    <t>2035,2009,2010,2017,2033,2005,2022,2020,2032,2030,2003,2006,2018,2029,2027,2026,2021,2028,2014,2015,2002,2016,2001,2038,2004,2013,2007,2019</t>
  </si>
  <si>
    <t>3001,3002,3003,3004,3005,3006,3007,3009,3011,3012,3013,3014,3015,3016,3017,3018,3019,3020,3021,3022,3024,3025,3026,3027,3028,3029,3030,3031,3032,3033,3035,3036,3037,3038</t>
  </si>
  <si>
    <t>3024,3011,3020,3013,3022,3038,3007,3015,3027,3030,3035,3006,3026,3021,3033,3025,3029,3031,3003,3009,3036,3037,3018,3017,3001,3016,3014,3002,3012,3004,3028,3032,3005,3019</t>
  </si>
  <si>
    <t>3017,3009,3037,3032,3026,3030,3029,3027,3004,3025,3035,3019,3006,3031,3021,3012,3013,3028,3033,3015,3014,3001,3016,3018,3020,3005,3007,3036,3038,3024,3003,3002,3011,3022</t>
  </si>
  <si>
    <t>3015,3011,3030,3005,3004,3029,3012,3014,3018,3024,3019,3038,3002,3037,3028,3035,3026,3022,3006,3033,3027,3025,3031,3013,3001,3009,3020,3003,3016,3007,3036,3021,3032,3017</t>
  </si>
  <si>
    <t>4001,4002,4003,4006,4007,4008,4009,4010,4011,4012,4013,4014,4015,4016,4017,4019,4020,4021,4022,4024,4025,4026,4027,4028,4029,4031,4032,4033,4034,4035,4036,4037,4038</t>
  </si>
  <si>
    <t>4033,4022,4019,4003,4007,4002,4017,4035,4009,4031,4006,4012,4008,4017,4021,4034,4011,4029,4010,4038,4025,4020,4024,4037,4016,4013,4036,4028,4001,4026,4014,4027,4015,4032</t>
  </si>
  <si>
    <t>4001,4034,4025,4021,4033,4012,4007,4038,4036,4020,4011,4014,4037,4003,4006,4019,4027,4026,4015,4032,4016,4031,4008,4028,4010,4009,4035,4017,4024,4002,4022,4013,4029,4017</t>
  </si>
  <si>
    <t>4021,4017,4017,4024,4020,4014,4015,4029,4001,4006,4036,4007,4037,4033,4009,4010,4013,4026,4003,4028,4022,4034,4027,4016,4008,4012,4031,4002,4035,4019,4025,4032,4011,4038</t>
  </si>
  <si>
    <t>5001,5002,5003,5005,5006,5007,5009,5011,5012,5013,5014,5015,5016,5018,5019,5021,5022,5024,5025,5026,5027,5028,5029,5030,5031,5032,5033,5035,5036,5037,5038</t>
  </si>
  <si>
    <t>5030,5035,5037,5012,5021,5001,5036,5009,5006,5025,5026,5033,5003,5007,5027,5029,5014,5032,5002,5024,5028,5022,5016,5038,5011,5015,5019,5018,5005,5013,5031</t>
  </si>
  <si>
    <t>5012,5005,5037,5035,5013,5028,5029,5021,5022,5025,5018,5016,5019,5001,5032,5027,5003,5015,5033,5031,5006,5036,5024,5030,5011,5026,5038,5014,5009,5007,5002</t>
  </si>
  <si>
    <t>5033,5025,5032,5029,5003,5036,5028,5022,5013,5030,5024,5002,5001,5037,5027,5026,5016,5035,5019,5007,5018,5021,5031,5005,5012,5014,5006,5015,5038,5009,5011</t>
  </si>
  <si>
    <t>6031,6036,6032,6018,6001,6010,6026,6037,6033,6008,6034,6013,6019,6006,6011,6029,6027,6025,6015,6003,6002,6020,6014,6016,6012,6007,6039,6028,6017,6024,6021,6005</t>
  </si>
  <si>
    <t>6001,6002,6003,6005,6006,6007,6008,6010,6011,6012,6013,6014,6015,6016,6017,6018,6019,6020,6021,6024,6025,6026,6027,6028,6029,6031,6032,6033,6034,6036,6037,6039</t>
  </si>
  <si>
    <t>6017,6011,6037,6024,6028,6006,6005,6013,6026,6029,6034,6031,6018,6020,6039,6010,6025,6027,6002,6016,6008,6007,6033,6015,6014,6001,6012,6036,6019,6021,6032,6003</t>
  </si>
  <si>
    <t>6014,6005,6015,6024,6001,6025,6006,6039,6028,6034,6026,6037,6036,6027,6019,6018,6013,6002,6003,6016,6021,6032,6029,6007,6031,6010,6017,6011,6020,6008,6033,6012</t>
  </si>
  <si>
    <t>2,71</t>
    <phoneticPr fontId="7" type="noConversion"/>
  </si>
  <si>
    <t>(SearchIndex)</t>
    <phoneticPr fontId="7" type="noConversion"/>
  </si>
  <si>
    <t>30025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</si>
  <si>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</si>
  <si>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</si>
  <si>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</si>
  <si>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2019 여름 스토리 6</t>
    <phoneticPr fontId="7" type="noConversion"/>
  </si>
  <si>
    <t>2019 여름 스토리 1</t>
    <phoneticPr fontId="7" type="noConversion"/>
  </si>
  <si>
    <t>2019 여름 스토리 2</t>
    <phoneticPr fontId="7" type="noConversion"/>
  </si>
  <si>
    <t>2019 여름 스토리 3</t>
    <phoneticPr fontId="7" type="noConversion"/>
  </si>
  <si>
    <t>2019 여름 스토리 4</t>
    <phoneticPr fontId="7" type="noConversion"/>
  </si>
  <si>
    <t>2019 여름 스토리 5</t>
    <phoneticPr fontId="7" type="noConversion"/>
  </si>
  <si>
    <t>2019 여름 특별 1</t>
    <phoneticPr fontId="7" type="noConversion"/>
  </si>
  <si>
    <t>2019 여름 특별 2</t>
    <phoneticPr fontId="7" type="noConversion"/>
  </si>
  <si>
    <t>2019 여름 특별 3</t>
    <phoneticPr fontId="7" type="noConversion"/>
  </si>
  <si>
    <t>2019 여름 특별 4</t>
    <phoneticPr fontId="7" type="noConversion"/>
  </si>
  <si>
    <t>Event.SummerField2_3D</t>
  </si>
  <si>
    <t>Event.SummerNightBGM</t>
  </si>
  <si>
    <t>하누스 시련의 방</t>
  </si>
  <si>
    <t>True</t>
    <phoneticPr fontId="7" type="noConversion"/>
  </si>
  <si>
    <t>800067</t>
  </si>
  <si>
    <t>800068</t>
  </si>
  <si>
    <t>800069</t>
  </si>
  <si>
    <t>800070</t>
  </si>
  <si>
    <t>800066</t>
  </si>
  <si>
    <t>5</t>
    <phoneticPr fontId="7" type="noConversion"/>
  </si>
  <si>
    <t>2019Summer</t>
    <phoneticPr fontId="7" type="noConversion"/>
  </si>
  <si>
    <t>(MainCategory)</t>
  </si>
  <si>
    <t>(SubCategory)</t>
  </si>
  <si>
    <t>레이드</t>
    <phoneticPr fontId="7" type="noConversion"/>
  </si>
  <si>
    <t>챌린지 레이드</t>
    <phoneticPr fontId="7" type="noConversion"/>
  </si>
  <si>
    <t>우르칵 이지</t>
    <phoneticPr fontId="7" type="noConversion"/>
  </si>
  <si>
    <t>우르칵 노말</t>
    <phoneticPr fontId="7" type="noConversion"/>
  </si>
  <si>
    <t>할로윈</t>
    <phoneticPr fontId="7" type="noConversion"/>
  </si>
  <si>
    <t>화염드래곤 튜토리얼</t>
    <phoneticPr fontId="7" type="noConversion"/>
  </si>
  <si>
    <t>화염드래곤 3T 1단계</t>
    <phoneticPr fontId="7" type="noConversion"/>
  </si>
  <si>
    <t>화염드래곤 3T 2단계</t>
    <phoneticPr fontId="7" type="noConversion"/>
  </si>
  <si>
    <t>화염드래곤 4T 1단계</t>
    <phoneticPr fontId="7" type="noConversion"/>
  </si>
  <si>
    <t>화염드래곤 4T 2단계</t>
    <phoneticPr fontId="7" type="noConversion"/>
  </si>
  <si>
    <t>화염드래곤 5T 1단계</t>
    <phoneticPr fontId="7" type="noConversion"/>
  </si>
  <si>
    <t>화염드래곤 5T 2단계</t>
    <phoneticPr fontId="7" type="noConversion"/>
  </si>
  <si>
    <t>화염드래곤 6T 1단계</t>
    <phoneticPr fontId="7" type="noConversion"/>
  </si>
  <si>
    <t>화염드래곤 6T 2단계</t>
    <phoneticPr fontId="7" type="noConversion"/>
  </si>
  <si>
    <t>화염드래곤 7T 1단계</t>
    <phoneticPr fontId="7" type="noConversion"/>
  </si>
  <si>
    <t>화염드래곤 7T 2단계</t>
    <phoneticPr fontId="7" type="noConversion"/>
  </si>
  <si>
    <t>화염드래곤 8T 1단계</t>
    <phoneticPr fontId="7" type="noConversion"/>
  </si>
  <si>
    <t>화염드래곤 8T 2단계</t>
    <phoneticPr fontId="7" type="noConversion"/>
  </si>
  <si>
    <t>화염드래곤 8T 3단계</t>
    <phoneticPr fontId="7" type="noConversion"/>
  </si>
  <si>
    <t>화염드래곤 8T 4단계</t>
    <phoneticPr fontId="7" type="noConversion"/>
  </si>
  <si>
    <t>화염드래곤 8T 5단계</t>
    <phoneticPr fontId="7" type="noConversion"/>
  </si>
  <si>
    <t>화염드래곤 8T 6단계</t>
    <phoneticPr fontId="7" type="noConversion"/>
  </si>
  <si>
    <t>화염드래곤 8T 7단계</t>
    <phoneticPr fontId="7" type="noConversion"/>
  </si>
  <si>
    <t>화염드래곤 8T 8단계</t>
    <phoneticPr fontId="7" type="noConversion"/>
  </si>
  <si>
    <t>화염드래곤 8T 9단계</t>
    <phoneticPr fontId="7" type="noConversion"/>
  </si>
  <si>
    <t>화염드래곤 8T 10단계</t>
    <phoneticPr fontId="7" type="noConversion"/>
  </si>
  <si>
    <t>서리드래곤 3T 1단계</t>
  </si>
  <si>
    <t>서리드래곤 3T 2단계</t>
  </si>
  <si>
    <t>서리드래곤 4T 1단계</t>
  </si>
  <si>
    <t>서리드래곤 4T 2단계</t>
  </si>
  <si>
    <t>서리드래곤 5T 1단계</t>
  </si>
  <si>
    <t>서리드래곤 5T 2단계</t>
  </si>
  <si>
    <t>서리드래곤 6T 1단계</t>
  </si>
  <si>
    <t>서리드래곤 6T 2단계</t>
  </si>
  <si>
    <t>서리드래곤 7T 1단계</t>
  </si>
  <si>
    <t>서리드래곤 7T 2단계</t>
  </si>
  <si>
    <t>서리드래곤 8T 1단계</t>
  </si>
  <si>
    <t>서리드래곤 8T 2단계</t>
  </si>
  <si>
    <t>서리드래곤 8T 3단계</t>
  </si>
  <si>
    <t>서리드래곤 8T 4단계</t>
  </si>
  <si>
    <t>서리드래곤 8T 5단계</t>
  </si>
  <si>
    <t>서리드래곤 8T 6단계</t>
  </si>
  <si>
    <t>서리드래곤 8T 7단계</t>
  </si>
  <si>
    <t>서리드래곤 8T 8단계</t>
  </si>
  <si>
    <t>서리드래곤 8T 9단계</t>
  </si>
  <si>
    <t>서리드래곤 8T 10단계</t>
  </si>
  <si>
    <t>맹독드래곤 3T 1단계</t>
  </si>
  <si>
    <t>맹독드래곤 3T 2단계</t>
  </si>
  <si>
    <t>맹독드래곤 4T 1단계</t>
  </si>
  <si>
    <t>맹독드래곤 4T 2단계</t>
  </si>
  <si>
    <t>맹독드래곤 5T 1단계</t>
  </si>
  <si>
    <t>맹독드래곤 5T 2단계</t>
  </si>
  <si>
    <t>맹독드래곤 6T 1단계</t>
  </si>
  <si>
    <t>맹독드래곤 6T 2단계</t>
  </si>
  <si>
    <t>맹독드래곤 7T 1단계</t>
  </si>
  <si>
    <t>맹독드래곤 7T 2단계</t>
  </si>
  <si>
    <t>맹독드래곤 8T 1단계</t>
  </si>
  <si>
    <t>맹독드래곤 8T 2단계</t>
  </si>
  <si>
    <t>맹독드래곤 8T 3단계</t>
  </si>
  <si>
    <t>맹독드래곤 8T 4단계</t>
  </si>
  <si>
    <t>맹독드래곤 8T 5단계</t>
  </si>
  <si>
    <t>맹독드래곤 8T 6단계</t>
  </si>
  <si>
    <t>맹독드래곤 8T 7단계</t>
  </si>
  <si>
    <t>맹독드래곤 8T 8단계</t>
  </si>
  <si>
    <t>맹독드래곤 8T 9단계</t>
  </si>
  <si>
    <t>맹독드래곤 8T 10단계</t>
  </si>
  <si>
    <t>블랙드래곤 3T 1단계</t>
  </si>
  <si>
    <t>블랙드래곤 3T 2단계</t>
  </si>
  <si>
    <t>블랙드래곤 4T 1단계</t>
  </si>
  <si>
    <t>블랙드래곤 4T 2단계</t>
  </si>
  <si>
    <t>블랙드래곤 5T 1단계</t>
  </si>
  <si>
    <t>블랙드래곤 5T 2단계</t>
  </si>
  <si>
    <t>블랙드래곤 6T 1단계</t>
  </si>
  <si>
    <t>블랙드래곤 6T 2단계</t>
  </si>
  <si>
    <t>블랙드래곤 7T 1단계</t>
  </si>
  <si>
    <t>블랙드래곤 7T 2단계</t>
  </si>
  <si>
    <t>블랙드래곤 8T 1단계</t>
  </si>
  <si>
    <t>블랙드래곤 8T 2단계</t>
  </si>
  <si>
    <t>블랙드래곤 8T 3단계</t>
  </si>
  <si>
    <t>블랙드래곤 8T 4단계</t>
  </si>
  <si>
    <t>블랙드래곤 8T 5단계</t>
  </si>
  <si>
    <t>블랙드래곤 8T 6단계</t>
  </si>
  <si>
    <t>블랙드래곤 8T 7단계</t>
  </si>
  <si>
    <t>블랙드래곤 8T 8단계</t>
  </si>
  <si>
    <t>블랙드래곤 8T 9단계</t>
  </si>
  <si>
    <t>블랙드래곤 8T 10단계</t>
  </si>
  <si>
    <t>고대왕실 금고</t>
  </si>
  <si>
    <t>도전의탑</t>
  </si>
  <si>
    <t>사막의주인 없는없는 금화 상자</t>
  </si>
  <si>
    <t>잃어버린경험의 물약</t>
  </si>
  <si>
    <t>용암지대의</t>
  </si>
  <si>
    <t>폭주하는</t>
  </si>
  <si>
    <t>저주받은땅의 파편</t>
  </si>
  <si>
    <t>싱글 레이드</t>
    <phoneticPr fontId="7" type="noConversion"/>
  </si>
  <si>
    <t>하드 레이드</t>
    <phoneticPr fontId="7" type="noConversion"/>
  </si>
  <si>
    <t>화염드래곤 1단계</t>
    <phoneticPr fontId="7" type="noConversion"/>
  </si>
  <si>
    <t>화염드래곤 4단계</t>
  </si>
  <si>
    <t>화염드래곤 5단계</t>
  </si>
  <si>
    <t>화염드래곤 6단계</t>
  </si>
  <si>
    <t>화염드래곤 7단계</t>
  </si>
  <si>
    <t>화염드래곤 8단계</t>
  </si>
  <si>
    <t>화염드래곤 9단계</t>
  </si>
  <si>
    <t>화염드래곤 10단계</t>
  </si>
  <si>
    <t>서리드래곤 3단계</t>
  </si>
  <si>
    <t>서리드래곤 4단계</t>
  </si>
  <si>
    <t>서리드래곤 5단계</t>
  </si>
  <si>
    <t>서리드래곤 6단계</t>
  </si>
  <si>
    <t>서리드래곤 7단계</t>
  </si>
  <si>
    <t>서리드래곤 8단계</t>
  </si>
  <si>
    <t>서리드래곤 9단계</t>
  </si>
  <si>
    <t>서리드래곤 10단계</t>
  </si>
  <si>
    <t>화염드래곤 3단계</t>
    <phoneticPr fontId="7" type="noConversion"/>
  </si>
  <si>
    <t>화염드래곤 2단계</t>
    <phoneticPr fontId="7" type="noConversion"/>
  </si>
  <si>
    <t>서리드래곤 1단계</t>
    <phoneticPr fontId="7" type="noConversion"/>
  </si>
  <si>
    <t>서리드래곤 2단계</t>
    <phoneticPr fontId="7" type="noConversion"/>
  </si>
  <si>
    <t>맹독드래곤 1단계</t>
    <phoneticPr fontId="7" type="noConversion"/>
  </si>
  <si>
    <t>맹독드래곤 3단계</t>
  </si>
  <si>
    <t>맹독드래곤 4단계</t>
  </si>
  <si>
    <t>맹독드래곤 5단계</t>
  </si>
  <si>
    <t>맹독드래곤 6단계</t>
  </si>
  <si>
    <t>맹독드래곤 2단계</t>
    <phoneticPr fontId="7" type="noConversion"/>
  </si>
  <si>
    <t>맹독드래곤 7단계</t>
  </si>
  <si>
    <t>맹독드래곤 8단계</t>
  </si>
  <si>
    <t>맹독드래곤 9단계</t>
  </si>
  <si>
    <t>맹독드래곤 10단계</t>
  </si>
  <si>
    <t>블랙드래곤 1단계</t>
    <phoneticPr fontId="7" type="noConversion"/>
  </si>
  <si>
    <t>블랙드래곤 3단계</t>
  </si>
  <si>
    <t>블랙드래곤 4단계</t>
  </si>
  <si>
    <t>블랙드래곤 5단계</t>
  </si>
  <si>
    <t>블랙드래곤 6단계</t>
  </si>
  <si>
    <t>블랙드래곤 2단계</t>
    <phoneticPr fontId="7" type="noConversion"/>
  </si>
  <si>
    <t>블랙드래곤 7단계</t>
  </si>
  <si>
    <t>블랙드래곤 8단계</t>
  </si>
  <si>
    <t>블랙드래곤 9단계</t>
  </si>
  <si>
    <t>블랙드래곤 10단계</t>
  </si>
  <si>
    <t>싱글 하드레이드</t>
    <phoneticPr fontId="7" type="noConversion"/>
  </si>
  <si>
    <t>우르칵 하드</t>
    <phoneticPr fontId="7" type="noConversion"/>
  </si>
  <si>
    <t>우르칵 헬</t>
    <phoneticPr fontId="7" type="noConversion"/>
  </si>
  <si>
    <t>사트리아 이지</t>
    <phoneticPr fontId="7" type="noConversion"/>
  </si>
  <si>
    <t>사트리아 노말</t>
    <phoneticPr fontId="7" type="noConversion"/>
  </si>
  <si>
    <t>사트리아 하드</t>
    <phoneticPr fontId="7" type="noConversion"/>
  </si>
  <si>
    <t>사트리아 헬</t>
    <phoneticPr fontId="7" type="noConversion"/>
  </si>
  <si>
    <t>케베른 이지</t>
    <phoneticPr fontId="7" type="noConversion"/>
  </si>
  <si>
    <t>케베른 노말</t>
    <phoneticPr fontId="7" type="noConversion"/>
  </si>
  <si>
    <t>케베른 하드</t>
    <phoneticPr fontId="7" type="noConversion"/>
  </si>
  <si>
    <t>케베른 헬</t>
    <phoneticPr fontId="7" type="noConversion"/>
  </si>
  <si>
    <t>오브리가드 이지</t>
    <phoneticPr fontId="7" type="noConversion"/>
  </si>
  <si>
    <t>오브리가드 노말</t>
    <phoneticPr fontId="7" type="noConversion"/>
  </si>
  <si>
    <t>오브리가드 하드</t>
    <phoneticPr fontId="7" type="noConversion"/>
  </si>
  <si>
    <t>오브리가드 헬</t>
    <phoneticPr fontId="7" type="noConversion"/>
  </si>
  <si>
    <t>시스라엘 이지</t>
    <phoneticPr fontId="7" type="noConversion"/>
  </si>
  <si>
    <t>시스라엘 노말</t>
    <phoneticPr fontId="7" type="noConversion"/>
  </si>
  <si>
    <t>시스라엘 하드</t>
    <phoneticPr fontId="7" type="noConversion"/>
  </si>
  <si>
    <t>시스라엘 헬</t>
    <phoneticPr fontId="7" type="noConversion"/>
  </si>
  <si>
    <t>가로우 이지</t>
    <phoneticPr fontId="7" type="noConversion"/>
  </si>
  <si>
    <t>가로우 노말</t>
    <phoneticPr fontId="7" type="noConversion"/>
  </si>
  <si>
    <t>가로우 하드</t>
    <phoneticPr fontId="7" type="noConversion"/>
  </si>
  <si>
    <t>가로우 헬</t>
    <phoneticPr fontId="7" type="noConversion"/>
  </si>
  <si>
    <t>토르페 이지</t>
    <phoneticPr fontId="7" type="noConversion"/>
  </si>
  <si>
    <t>토르페 노말</t>
    <phoneticPr fontId="7" type="noConversion"/>
  </si>
  <si>
    <t>토르페 하드</t>
    <phoneticPr fontId="7" type="noConversion"/>
  </si>
  <si>
    <t>토르페 헬</t>
    <phoneticPr fontId="7" type="noConversion"/>
  </si>
  <si>
    <t>칼락스 이지</t>
    <phoneticPr fontId="7" type="noConversion"/>
  </si>
  <si>
    <t>칼락스 노말</t>
    <phoneticPr fontId="7" type="noConversion"/>
  </si>
  <si>
    <t>칼락스 하드</t>
    <phoneticPr fontId="7" type="noConversion"/>
  </si>
  <si>
    <t>칼락스 헬</t>
    <phoneticPr fontId="7" type="noConversion"/>
  </si>
  <si>
    <t>챌린지 레이드 싱글</t>
    <phoneticPr fontId="7" type="noConversion"/>
  </si>
  <si>
    <t>우르칵</t>
    <phoneticPr fontId="7" type="noConversion"/>
  </si>
  <si>
    <t>사트리아</t>
    <phoneticPr fontId="7" type="noConversion"/>
  </si>
  <si>
    <t>케베른</t>
    <phoneticPr fontId="7" type="noConversion"/>
  </si>
  <si>
    <t>오브리가드</t>
    <phoneticPr fontId="7" type="noConversion"/>
  </si>
  <si>
    <t>시스라엘</t>
    <phoneticPr fontId="7" type="noConversion"/>
  </si>
  <si>
    <t>가로우</t>
    <phoneticPr fontId="7" type="noConversion"/>
  </si>
  <si>
    <t>토르페</t>
    <phoneticPr fontId="7" type="noConversion"/>
  </si>
  <si>
    <t>칼락스</t>
    <phoneticPr fontId="7" type="noConversion"/>
  </si>
  <si>
    <t>시련의방</t>
    <phoneticPr fontId="7" type="noConversion"/>
  </si>
  <si>
    <t>카셀 튜토리얼</t>
    <phoneticPr fontId="7" type="noConversion"/>
  </si>
  <si>
    <t>카셀 2성</t>
    <phoneticPr fontId="7" type="noConversion"/>
  </si>
  <si>
    <t>카셀 3성</t>
    <phoneticPr fontId="7" type="noConversion"/>
  </si>
  <si>
    <t>카셀 4성</t>
    <phoneticPr fontId="7" type="noConversion"/>
  </si>
  <si>
    <t>카셀 5성</t>
    <phoneticPr fontId="7" type="noConversion"/>
  </si>
  <si>
    <t>프레이 1성</t>
    <phoneticPr fontId="7" type="noConversion"/>
  </si>
  <si>
    <t>프레이 2성</t>
    <phoneticPr fontId="7" type="noConversion"/>
  </si>
  <si>
    <t>프레이 3성</t>
    <phoneticPr fontId="7" type="noConversion"/>
  </si>
  <si>
    <t>프레이 4성</t>
    <phoneticPr fontId="7" type="noConversion"/>
  </si>
  <si>
    <t>프레이 5성</t>
    <phoneticPr fontId="7" type="noConversion"/>
  </si>
  <si>
    <t>클레오 1성</t>
    <phoneticPr fontId="7" type="noConversion"/>
  </si>
  <si>
    <t>클레오 2성</t>
    <phoneticPr fontId="7" type="noConversion"/>
  </si>
  <si>
    <t>클레오 3성</t>
    <phoneticPr fontId="7" type="noConversion"/>
  </si>
  <si>
    <t>클레오 4성</t>
    <phoneticPr fontId="7" type="noConversion"/>
  </si>
  <si>
    <t>클레오 5성</t>
    <phoneticPr fontId="7" type="noConversion"/>
  </si>
  <si>
    <t>로이 1성</t>
    <phoneticPr fontId="7" type="noConversion"/>
  </si>
  <si>
    <t>로이 2성</t>
    <phoneticPr fontId="7" type="noConversion"/>
  </si>
  <si>
    <t>로이 3성</t>
    <phoneticPr fontId="7" type="noConversion"/>
  </si>
  <si>
    <t>로이 4성</t>
    <phoneticPr fontId="7" type="noConversion"/>
  </si>
  <si>
    <t>로이 5성</t>
    <phoneticPr fontId="7" type="noConversion"/>
  </si>
  <si>
    <t>가우 1성</t>
    <phoneticPr fontId="7" type="noConversion"/>
  </si>
  <si>
    <t>가우 2성</t>
    <phoneticPr fontId="7" type="noConversion"/>
  </si>
  <si>
    <t>가우 3성</t>
    <phoneticPr fontId="7" type="noConversion"/>
  </si>
  <si>
    <t>가우 4성</t>
    <phoneticPr fontId="7" type="noConversion"/>
  </si>
  <si>
    <t>가우 5성</t>
    <phoneticPr fontId="7" type="noConversion"/>
  </si>
  <si>
    <t>필롭 1성</t>
    <phoneticPr fontId="7" type="noConversion"/>
  </si>
  <si>
    <t>필롭 2성</t>
    <phoneticPr fontId="7" type="noConversion"/>
  </si>
  <si>
    <t>필롭 3성</t>
    <phoneticPr fontId="7" type="noConversion"/>
  </si>
  <si>
    <t>필롭 4성</t>
    <phoneticPr fontId="7" type="noConversion"/>
  </si>
  <si>
    <t>필롭 5성</t>
    <phoneticPr fontId="7" type="noConversion"/>
  </si>
  <si>
    <t>라크락 1성</t>
    <phoneticPr fontId="7" type="noConversion"/>
  </si>
  <si>
    <t>라크락 2성</t>
    <phoneticPr fontId="7" type="noConversion"/>
  </si>
  <si>
    <t>라크락 3성</t>
    <phoneticPr fontId="7" type="noConversion"/>
  </si>
  <si>
    <t>라크락 4성</t>
    <phoneticPr fontId="7" type="noConversion"/>
  </si>
  <si>
    <t>라크락 5성</t>
    <phoneticPr fontId="7" type="noConversion"/>
  </si>
  <si>
    <t>카울라 1성</t>
    <phoneticPr fontId="7" type="noConversion"/>
  </si>
  <si>
    <t>카울라 2성</t>
    <phoneticPr fontId="7" type="noConversion"/>
  </si>
  <si>
    <t>카울라 3성</t>
    <phoneticPr fontId="7" type="noConversion"/>
  </si>
  <si>
    <t>카울라 4성</t>
    <phoneticPr fontId="7" type="noConversion"/>
  </si>
  <si>
    <t>카울라 5성</t>
    <phoneticPr fontId="7" type="noConversion"/>
  </si>
  <si>
    <t>에피스 1성</t>
    <phoneticPr fontId="7" type="noConversion"/>
  </si>
  <si>
    <t>에피스 2성</t>
    <phoneticPr fontId="7" type="noConversion"/>
  </si>
  <si>
    <t>에피스 3성</t>
    <phoneticPr fontId="7" type="noConversion"/>
  </si>
  <si>
    <t>에피스 4성</t>
    <phoneticPr fontId="7" type="noConversion"/>
  </si>
  <si>
    <t>에피스 5성</t>
    <phoneticPr fontId="7" type="noConversion"/>
  </si>
  <si>
    <t>셀레네 1성</t>
    <phoneticPr fontId="7" type="noConversion"/>
  </si>
  <si>
    <t>셀레네 2성</t>
  </si>
  <si>
    <t>셀레네 3성</t>
  </si>
  <si>
    <t>셀레네 4성</t>
  </si>
  <si>
    <t>셀레네 5성</t>
  </si>
  <si>
    <t>마리아 1성</t>
    <phoneticPr fontId="7" type="noConversion"/>
  </si>
  <si>
    <t>마리아 2성</t>
  </si>
  <si>
    <t>마리아 3성</t>
  </si>
  <si>
    <t>마리아 4성</t>
  </si>
  <si>
    <t>마리아 5성</t>
  </si>
  <si>
    <t>미르르 1성</t>
    <phoneticPr fontId="7" type="noConversion"/>
  </si>
  <si>
    <t>미르르 2성</t>
  </si>
  <si>
    <t>미르르 3성</t>
  </si>
  <si>
    <t>미르르 4성</t>
  </si>
  <si>
    <t>미르르 5성</t>
  </si>
  <si>
    <t>로레인 1성</t>
    <phoneticPr fontId="7" type="noConversion"/>
  </si>
  <si>
    <t>로레인 2성</t>
  </si>
  <si>
    <t>로레인 3성</t>
  </si>
  <si>
    <t>로레인 4성</t>
  </si>
  <si>
    <t>로레인 5성</t>
  </si>
  <si>
    <t>마야 1성</t>
    <phoneticPr fontId="7" type="noConversion"/>
  </si>
  <si>
    <t>마야 2성</t>
  </si>
  <si>
    <t>마야 3성</t>
  </si>
  <si>
    <t>마야 4성</t>
  </si>
  <si>
    <t>마야 5성</t>
  </si>
  <si>
    <t>클라우스 1성</t>
    <phoneticPr fontId="7" type="noConversion"/>
  </si>
  <si>
    <t>클라우스 2성</t>
  </si>
  <si>
    <t>클라우스 3성</t>
  </si>
  <si>
    <t>클라우스 4성</t>
  </si>
  <si>
    <t>클라우스 5성</t>
  </si>
  <si>
    <t>레피 1성</t>
    <phoneticPr fontId="7" type="noConversion"/>
  </si>
  <si>
    <t>레피 2성</t>
  </si>
  <si>
    <t>레피 3성</t>
  </si>
  <si>
    <t>레피 4성</t>
  </si>
  <si>
    <t>레피 5성</t>
  </si>
  <si>
    <t>디마엘 1성</t>
    <phoneticPr fontId="7" type="noConversion"/>
  </si>
  <si>
    <t>디마엘 2성</t>
  </si>
  <si>
    <t>디마엘 3성</t>
  </si>
  <si>
    <t>디마엘 4성</t>
  </si>
  <si>
    <t>디마엘 5성</t>
  </si>
  <si>
    <t>레이나 1성</t>
    <phoneticPr fontId="7" type="noConversion"/>
  </si>
  <si>
    <t>레이나 2성</t>
  </si>
  <si>
    <t>레이나 3성</t>
  </si>
  <si>
    <t>레이나 4성</t>
  </si>
  <si>
    <t>레이나 5성</t>
  </si>
  <si>
    <t>파벨 1성</t>
    <phoneticPr fontId="7" type="noConversion"/>
  </si>
  <si>
    <t>파벨 2성</t>
  </si>
  <si>
    <t>파벨 3성</t>
  </si>
  <si>
    <t>파벨 4성</t>
  </si>
  <si>
    <t>파벨 5성</t>
  </si>
  <si>
    <t>데미아 1성</t>
    <phoneticPr fontId="7" type="noConversion"/>
  </si>
  <si>
    <t>데미아 2성</t>
  </si>
  <si>
    <t>데미아 3성</t>
  </si>
  <si>
    <t>데미아 4성</t>
  </si>
  <si>
    <t>데미아 5성</t>
  </si>
  <si>
    <t>네일라 1성</t>
    <phoneticPr fontId="7" type="noConversion"/>
  </si>
  <si>
    <t>네일라 2성</t>
  </si>
  <si>
    <t>네일라 3성</t>
  </si>
  <si>
    <t>네일라 4성</t>
  </si>
  <si>
    <t>네일라 5성</t>
  </si>
  <si>
    <t>로지나 1성</t>
    <phoneticPr fontId="7" type="noConversion"/>
  </si>
  <si>
    <t>로지나 2성</t>
  </si>
  <si>
    <t>로지나 3성</t>
  </si>
  <si>
    <t>로지나 4성</t>
  </si>
  <si>
    <t>로지나 5성</t>
  </si>
  <si>
    <t>모라 1성</t>
    <phoneticPr fontId="7" type="noConversion"/>
  </si>
  <si>
    <t>모라 2성</t>
  </si>
  <si>
    <t>모라 3성</t>
  </si>
  <si>
    <t>모라 4성</t>
  </si>
  <si>
    <t>모라 5성</t>
  </si>
  <si>
    <t>보두앵 1성</t>
    <phoneticPr fontId="7" type="noConversion"/>
  </si>
  <si>
    <t>보두앵 2성</t>
  </si>
  <si>
    <t>보두앵 3성</t>
  </si>
  <si>
    <t>보두앵 4성</t>
  </si>
  <si>
    <t>보두앵 5성</t>
  </si>
  <si>
    <t>제인 1성</t>
    <phoneticPr fontId="7" type="noConversion"/>
  </si>
  <si>
    <t>제인 2성</t>
  </si>
  <si>
    <t>제인 3성</t>
  </si>
  <si>
    <t>제인 4성</t>
  </si>
  <si>
    <t>제인 5성</t>
  </si>
  <si>
    <t>아이샤 1성</t>
    <phoneticPr fontId="7" type="noConversion"/>
  </si>
  <si>
    <t>아이샤 2성</t>
  </si>
  <si>
    <t>아이샤 3성</t>
  </si>
  <si>
    <t>아이샤 4성</t>
  </si>
  <si>
    <t>아이샤 5성</t>
  </si>
  <si>
    <t>레오 1성</t>
    <phoneticPr fontId="7" type="noConversion"/>
  </si>
  <si>
    <t>레오 2성</t>
  </si>
  <si>
    <t>레오 3성</t>
  </si>
  <si>
    <t>레오 4성</t>
  </si>
  <si>
    <t>레오 5성</t>
  </si>
  <si>
    <t>플루스 1성</t>
    <phoneticPr fontId="7" type="noConversion"/>
  </si>
  <si>
    <t>플루스 2성</t>
  </si>
  <si>
    <t>플루스 3성</t>
  </si>
  <si>
    <t>플루스 4성</t>
  </si>
  <si>
    <t>플루스 5성</t>
  </si>
  <si>
    <t>루나 1성</t>
    <phoneticPr fontId="7" type="noConversion"/>
  </si>
  <si>
    <t>루나 2성</t>
  </si>
  <si>
    <t>루나 3성</t>
  </si>
  <si>
    <t>루나 4성</t>
  </si>
  <si>
    <t>루나 5성</t>
  </si>
  <si>
    <t>Cutscene.Chaos</t>
    <phoneticPr fontId="7" type="noConversion"/>
  </si>
  <si>
    <t>라이아스 1성</t>
    <phoneticPr fontId="7" type="noConversion"/>
  </si>
  <si>
    <t>라이아스 2성</t>
    <phoneticPr fontId="7" type="noConversion"/>
  </si>
  <si>
    <t>라이아스 3성</t>
  </si>
  <si>
    <t>라이아스 4성</t>
  </si>
  <si>
    <t>라이아스 5성</t>
  </si>
  <si>
    <t>아르크 1성</t>
    <phoneticPr fontId="7" type="noConversion"/>
  </si>
  <si>
    <t>아르크 2성</t>
  </si>
  <si>
    <t>아르크 3성</t>
  </si>
  <si>
    <t>아르크 4성</t>
  </si>
  <si>
    <t>아르크 5성</t>
  </si>
  <si>
    <t>레위시아 1성</t>
    <phoneticPr fontId="7" type="noConversion"/>
  </si>
  <si>
    <t>레위시아 2성</t>
  </si>
  <si>
    <t>레위시아 3성</t>
  </si>
  <si>
    <t>레위시아 4성</t>
  </si>
  <si>
    <t>레위시아 5성</t>
  </si>
  <si>
    <t>닉스 1성</t>
    <phoneticPr fontId="7" type="noConversion"/>
  </si>
  <si>
    <t>닉스 2성</t>
  </si>
  <si>
    <t>닉스 3성</t>
  </si>
  <si>
    <t>닉스 4성</t>
  </si>
  <si>
    <t>닉스 5성</t>
  </si>
  <si>
    <t>아네트 1성</t>
    <phoneticPr fontId="7" type="noConversion"/>
  </si>
  <si>
    <t>아네트 2성</t>
  </si>
  <si>
    <t>아네트 3성</t>
  </si>
  <si>
    <t>아네트 4성</t>
  </si>
  <si>
    <t>아네트 5성</t>
  </si>
  <si>
    <t>미트라 1성</t>
    <phoneticPr fontId="7" type="noConversion"/>
  </si>
  <si>
    <t>미트라 2성</t>
  </si>
  <si>
    <t>미트라 3성</t>
  </si>
  <si>
    <t>미트라 4성</t>
  </si>
  <si>
    <t>미트라 5성</t>
  </si>
  <si>
    <t>리카르도 1성</t>
    <phoneticPr fontId="7" type="noConversion"/>
  </si>
  <si>
    <t>리카르도 2성</t>
  </si>
  <si>
    <t>리카르도 3성</t>
  </si>
  <si>
    <t>리카르도 4성</t>
  </si>
  <si>
    <t>리카르도 5성</t>
  </si>
  <si>
    <t>타냐 1성</t>
    <phoneticPr fontId="7" type="noConversion"/>
  </si>
  <si>
    <t>타냐 2성</t>
  </si>
  <si>
    <t>타냐 3성</t>
  </si>
  <si>
    <t>타냐 4성</t>
  </si>
  <si>
    <t>타냐 5성</t>
  </si>
  <si>
    <t>에제키엘 1성</t>
    <phoneticPr fontId="7" type="noConversion"/>
  </si>
  <si>
    <t>에제키엘 2성</t>
  </si>
  <si>
    <t>에제키엘 3성</t>
  </si>
  <si>
    <t>에제키엘 4성</t>
  </si>
  <si>
    <t>에제키엘 5성</t>
  </si>
  <si>
    <t>카산드라 1성</t>
    <phoneticPr fontId="7" type="noConversion"/>
  </si>
  <si>
    <t>카산드라 2성</t>
  </si>
  <si>
    <t>카산드라 3성</t>
  </si>
  <si>
    <t>카산드라 4성</t>
  </si>
  <si>
    <t>카산드라 5성</t>
  </si>
  <si>
    <t>테오 1성</t>
    <phoneticPr fontId="7" type="noConversion"/>
  </si>
  <si>
    <t>테오 2성</t>
  </si>
  <si>
    <t>테오 3성</t>
  </si>
  <si>
    <t>테오 4성</t>
  </si>
  <si>
    <t>테오 5성</t>
  </si>
  <si>
    <t>메디아나 1성</t>
    <phoneticPr fontId="7" type="noConversion"/>
  </si>
  <si>
    <t>메디아나 2성</t>
  </si>
  <si>
    <t>메디아나 3성</t>
  </si>
  <si>
    <t>메디아나 4성</t>
  </si>
  <si>
    <t>메디아나 5성</t>
  </si>
  <si>
    <t>오디 1성</t>
    <phoneticPr fontId="7" type="noConversion"/>
  </si>
  <si>
    <t>오디 2성</t>
  </si>
  <si>
    <t>오디 3성</t>
  </si>
  <si>
    <t>오디 4성</t>
  </si>
  <si>
    <t>오디 5성</t>
  </si>
  <si>
    <t>비스카 1성</t>
    <phoneticPr fontId="7" type="noConversion"/>
  </si>
  <si>
    <t>비스카 2성</t>
  </si>
  <si>
    <t>비스카 3성</t>
  </si>
  <si>
    <t>비스카 4성</t>
  </si>
  <si>
    <t>비스카 5성</t>
  </si>
  <si>
    <t>프리실라 1성</t>
    <phoneticPr fontId="7" type="noConversion"/>
  </si>
  <si>
    <t>프리실라 2성</t>
  </si>
  <si>
    <t>프리실라 3성</t>
  </si>
  <si>
    <t>프리실라 4성</t>
  </si>
  <si>
    <t>프리실라 5성</t>
  </si>
  <si>
    <t>얀느 1성</t>
    <phoneticPr fontId="7" type="noConversion"/>
  </si>
  <si>
    <t>얀느 2성</t>
  </si>
  <si>
    <t>얀느 3성</t>
  </si>
  <si>
    <t>얀느 4성</t>
  </si>
  <si>
    <t>얀느 5성</t>
  </si>
  <si>
    <t>자피르 1성</t>
    <phoneticPr fontId="7" type="noConversion"/>
  </si>
  <si>
    <t>자피르 2성</t>
  </si>
  <si>
    <t>자피르 3성</t>
  </si>
  <si>
    <t>자피르 4성</t>
  </si>
  <si>
    <t>자피르 5성</t>
  </si>
  <si>
    <t>유리아 1성</t>
    <phoneticPr fontId="7" type="noConversion"/>
  </si>
  <si>
    <t>유리아 2성</t>
  </si>
  <si>
    <t>유리아 3성</t>
  </si>
  <si>
    <t>유리아 4성</t>
  </si>
  <si>
    <t>유리아 5성</t>
  </si>
  <si>
    <t>오펠리아 1성</t>
    <phoneticPr fontId="7" type="noConversion"/>
  </si>
  <si>
    <t>오펠리아 2성</t>
  </si>
  <si>
    <t>오펠리아 3성</t>
  </si>
  <si>
    <t>오펠리아 4성</t>
  </si>
  <si>
    <t>오펠리아 5성</t>
  </si>
  <si>
    <t>레퀴나 1성</t>
    <phoneticPr fontId="7" type="noConversion"/>
  </si>
  <si>
    <t>레퀴나 2성</t>
  </si>
  <si>
    <t>레퀴나 3성</t>
  </si>
  <si>
    <t>레퀴나 4성</t>
  </si>
  <si>
    <t>레퀴나 5성</t>
  </si>
  <si>
    <t>아셀리카 1성</t>
    <phoneticPr fontId="7" type="noConversion"/>
  </si>
  <si>
    <t>아셀리카 2성</t>
  </si>
  <si>
    <t>아셀리카 3성</t>
  </si>
  <si>
    <t>아셀리카 4성</t>
  </si>
  <si>
    <t>아셀리카 5성</t>
  </si>
  <si>
    <t>크로우 1성</t>
    <phoneticPr fontId="7" type="noConversion"/>
  </si>
  <si>
    <t>크로우 2성</t>
  </si>
  <si>
    <t>크로우 3성</t>
  </si>
  <si>
    <t>크로우 4성</t>
  </si>
  <si>
    <t>크로우 5성</t>
  </si>
  <si>
    <t>샤밀라 1성</t>
    <phoneticPr fontId="7" type="noConversion"/>
  </si>
  <si>
    <t>샤밀라 2성</t>
  </si>
  <si>
    <t>샤밀라 3성</t>
  </si>
  <si>
    <t>샤밀라 4성</t>
  </si>
  <si>
    <t>샤밀라 5성</t>
  </si>
  <si>
    <t>라브릴 1성</t>
    <phoneticPr fontId="7" type="noConversion"/>
  </si>
  <si>
    <t>라브릴 2성</t>
  </si>
  <si>
    <t>라브릴 3성</t>
  </si>
  <si>
    <t>라브릴 4성</t>
  </si>
  <si>
    <t>라브릴 5성</t>
  </si>
  <si>
    <t>세리아 1성</t>
    <phoneticPr fontId="7" type="noConversion"/>
  </si>
  <si>
    <t>세리아 2성</t>
  </si>
  <si>
    <t>세리아 3성</t>
  </si>
  <si>
    <t>세리아 4성</t>
  </si>
  <si>
    <t>세리아 5성</t>
  </si>
  <si>
    <t>에르제 1성</t>
    <phoneticPr fontId="7" type="noConversion"/>
  </si>
  <si>
    <t>에르제 2성</t>
  </si>
  <si>
    <t>에르제 3성</t>
  </si>
  <si>
    <t>에르제 4성</t>
  </si>
  <si>
    <t>에르제 5성</t>
  </si>
  <si>
    <t>릴리아 1성</t>
    <phoneticPr fontId="7" type="noConversion"/>
  </si>
  <si>
    <t>릴리아 2성</t>
  </si>
  <si>
    <t>릴리아 3성</t>
  </si>
  <si>
    <t>릴리아 4성</t>
  </si>
  <si>
    <t>릴리아 5성</t>
  </si>
  <si>
    <t>라우디아 1성</t>
    <phoneticPr fontId="7" type="noConversion"/>
  </si>
  <si>
    <t>라우디아 2성</t>
  </si>
  <si>
    <t>라우디아 3성</t>
  </si>
  <si>
    <t>라우디아 4성</t>
  </si>
  <si>
    <t>라우디아 5성</t>
  </si>
  <si>
    <t>루시아스 1성</t>
    <phoneticPr fontId="7" type="noConversion"/>
  </si>
  <si>
    <t>루시아스 2성</t>
  </si>
  <si>
    <t>루시아스 3성</t>
  </si>
  <si>
    <t>루시아스 4성</t>
  </si>
  <si>
    <t>루시아스 5성</t>
  </si>
  <si>
    <t>크리샤 1성</t>
    <phoneticPr fontId="7" type="noConversion"/>
  </si>
  <si>
    <t>크리샤 2성</t>
  </si>
  <si>
    <t>크리샤 3성</t>
  </si>
  <si>
    <t>크리샤 4성</t>
  </si>
  <si>
    <t>크리샤 5성</t>
  </si>
  <si>
    <t>네락시스 1성</t>
    <phoneticPr fontId="7" type="noConversion"/>
  </si>
  <si>
    <t>네락시스 2성</t>
  </si>
  <si>
    <t>네락시스 3성</t>
  </si>
  <si>
    <t>네락시스 4성</t>
  </si>
  <si>
    <t>네락시스 5성</t>
  </si>
  <si>
    <t>스칼렛 1성</t>
    <phoneticPr fontId="7" type="noConversion"/>
  </si>
  <si>
    <t>스칼렛 2성</t>
  </si>
  <si>
    <t>스칼렛 3성</t>
  </si>
  <si>
    <t>스칼렛 4성</t>
  </si>
  <si>
    <t>스칼렛 5성</t>
  </si>
  <si>
    <t>소니아 1성</t>
    <phoneticPr fontId="7" type="noConversion"/>
  </si>
  <si>
    <t>소니아 2성</t>
  </si>
  <si>
    <t>소니아 3성</t>
  </si>
  <si>
    <t>소니아 4성</t>
  </si>
  <si>
    <t>소니아 5성</t>
  </si>
  <si>
    <t>아르테미아 1성</t>
    <phoneticPr fontId="7" type="noConversion"/>
  </si>
  <si>
    <t>아르테미아 2성</t>
  </si>
  <si>
    <t>아르테미아 3성</t>
  </si>
  <si>
    <t>아르테미아 4성</t>
  </si>
  <si>
    <t>아르테미아 5성</t>
  </si>
  <si>
    <t>미리안느 1성</t>
    <phoneticPr fontId="7" type="noConversion"/>
  </si>
  <si>
    <t>미리안느 2성</t>
  </si>
  <si>
    <t>미리안느 3성</t>
  </si>
  <si>
    <t>미리안느 4성</t>
  </si>
  <si>
    <t>미리안느 5성</t>
  </si>
  <si>
    <t>시아 1성</t>
    <phoneticPr fontId="7" type="noConversion"/>
  </si>
  <si>
    <t>시아 2성</t>
  </si>
  <si>
    <t>시아 3성</t>
  </si>
  <si>
    <t>시아 4성</t>
  </si>
  <si>
    <t>시아 5성</t>
  </si>
  <si>
    <t>카라 1성</t>
    <phoneticPr fontId="7" type="noConversion"/>
  </si>
  <si>
    <t>카라 2성</t>
  </si>
  <si>
    <t>카라 3성</t>
  </si>
  <si>
    <t>카라 4성</t>
  </si>
  <si>
    <t>카라 5성</t>
  </si>
  <si>
    <t>니아 1성</t>
    <phoneticPr fontId="7" type="noConversion"/>
  </si>
  <si>
    <t>니아 2성</t>
  </si>
  <si>
    <t>니아 3성</t>
  </si>
  <si>
    <t>니아 4성</t>
  </si>
  <si>
    <t>니아 5성</t>
  </si>
  <si>
    <t>에스커 1성</t>
    <phoneticPr fontId="7" type="noConversion"/>
  </si>
  <si>
    <t>에스커 2성</t>
  </si>
  <si>
    <t>에스커 3성</t>
  </si>
  <si>
    <t>에스커 4성</t>
  </si>
  <si>
    <t>에스커 5성</t>
  </si>
  <si>
    <t>세실리아 1성</t>
    <phoneticPr fontId="7" type="noConversion"/>
  </si>
  <si>
    <t>세실리아 2성</t>
  </si>
  <si>
    <t>세실리아 3성</t>
  </si>
  <si>
    <t>세실리아 4성</t>
  </si>
  <si>
    <t>세실리아 5성</t>
  </si>
  <si>
    <t>체이스 1성</t>
    <phoneticPr fontId="7" type="noConversion"/>
  </si>
  <si>
    <t>체이스 2성</t>
  </si>
  <si>
    <t>체이스 3성</t>
  </si>
  <si>
    <t>체이스 4성</t>
  </si>
  <si>
    <t>체이스 5성</t>
  </si>
  <si>
    <t>다카리스 1성</t>
    <phoneticPr fontId="7" type="noConversion"/>
  </si>
  <si>
    <t>다카리스 2성</t>
  </si>
  <si>
    <t>다카리스 3성</t>
  </si>
  <si>
    <t>다카리스 4성</t>
  </si>
  <si>
    <t>다카리스 5성</t>
  </si>
  <si>
    <t>베른헤임 1성</t>
    <phoneticPr fontId="7" type="noConversion"/>
  </si>
  <si>
    <t>베른헤임 2성</t>
  </si>
  <si>
    <t>베른헤임 3성</t>
  </si>
  <si>
    <t>베른헤임 4성</t>
  </si>
  <si>
    <t>베른헤임 5성</t>
  </si>
  <si>
    <t>글렌위스 1성</t>
    <phoneticPr fontId="7" type="noConversion"/>
  </si>
  <si>
    <t>글렌위스 2성</t>
  </si>
  <si>
    <t>글렌위스 3성</t>
  </si>
  <si>
    <t>글렌위스 4성</t>
  </si>
  <si>
    <t>글렌위스 5성</t>
  </si>
  <si>
    <t>메이 1성</t>
    <phoneticPr fontId="7" type="noConversion"/>
  </si>
  <si>
    <t>메이 2성</t>
  </si>
  <si>
    <t>메이 3성</t>
  </si>
  <si>
    <t>메이 4성</t>
  </si>
  <si>
    <t>메이 5성</t>
  </si>
  <si>
    <t>글라디 1성</t>
    <phoneticPr fontId="7" type="noConversion"/>
  </si>
  <si>
    <t>글라디 2성</t>
  </si>
  <si>
    <t>글라디 3성</t>
  </si>
  <si>
    <t>글라디 4성</t>
  </si>
  <si>
    <t>글라디 5성</t>
  </si>
  <si>
    <t>베로니카 1성</t>
    <phoneticPr fontId="7" type="noConversion"/>
  </si>
  <si>
    <t>베로니카 2성</t>
  </si>
  <si>
    <t>베로니카 3성</t>
  </si>
  <si>
    <t>베로니카 4성</t>
  </si>
  <si>
    <t>베로니카 5성</t>
  </si>
  <si>
    <t>로만 1성</t>
    <phoneticPr fontId="7" type="noConversion"/>
  </si>
  <si>
    <t>로만 2성</t>
  </si>
  <si>
    <t>로만 3성</t>
  </si>
  <si>
    <t>로만 4성</t>
  </si>
  <si>
    <t>로만 5성</t>
  </si>
  <si>
    <t>유노 1성</t>
    <phoneticPr fontId="7" type="noConversion"/>
  </si>
  <si>
    <t>유노 2성</t>
  </si>
  <si>
    <t>유노 3성</t>
  </si>
  <si>
    <t>유노 4성</t>
  </si>
  <si>
    <t>유노 5성</t>
  </si>
  <si>
    <t>니키 1성</t>
    <phoneticPr fontId="7" type="noConversion"/>
  </si>
  <si>
    <t>니키 2성</t>
  </si>
  <si>
    <t>니키 3성</t>
  </si>
  <si>
    <t>니키 4성</t>
  </si>
  <si>
    <t>니키 5성</t>
  </si>
  <si>
    <t>도자르타 1성</t>
    <phoneticPr fontId="7" type="noConversion"/>
  </si>
  <si>
    <t>도자르타 2성</t>
  </si>
  <si>
    <t>도자르타 3성</t>
  </si>
  <si>
    <t>도자르타 4성</t>
  </si>
  <si>
    <t>도자르타 5성</t>
  </si>
  <si>
    <t>하누스 1성</t>
    <phoneticPr fontId="7" type="noConversion"/>
  </si>
  <si>
    <t>하누스 2성</t>
  </si>
  <si>
    <t>하누스 3성</t>
  </si>
  <si>
    <t>하누스 4성</t>
  </si>
  <si>
    <t>하누스 5성</t>
  </si>
  <si>
    <t>초월의 방</t>
    <phoneticPr fontId="7" type="noConversion"/>
  </si>
  <si>
    <t>카셀 1초월</t>
    <phoneticPr fontId="7" type="noConversion"/>
  </si>
  <si>
    <t>카셀 2초월</t>
    <phoneticPr fontId="7" type="noConversion"/>
  </si>
  <si>
    <t>카셀 3초월</t>
    <phoneticPr fontId="7" type="noConversion"/>
  </si>
  <si>
    <t>카셀 4초월</t>
    <phoneticPr fontId="7" type="noConversion"/>
  </si>
  <si>
    <t>카셀 5초월</t>
    <phoneticPr fontId="7" type="noConversion"/>
  </si>
  <si>
    <t>프레이 1초월</t>
    <phoneticPr fontId="7" type="noConversion"/>
  </si>
  <si>
    <t>프레이 2초월</t>
    <phoneticPr fontId="7" type="noConversion"/>
  </si>
  <si>
    <t>프레이 3초월</t>
    <phoneticPr fontId="7" type="noConversion"/>
  </si>
  <si>
    <t>프레이 4초월</t>
    <phoneticPr fontId="7" type="noConversion"/>
  </si>
  <si>
    <t>프레이 5초월</t>
    <phoneticPr fontId="7" type="noConversion"/>
  </si>
  <si>
    <t>클레오 1초월</t>
    <phoneticPr fontId="7" type="noConversion"/>
  </si>
  <si>
    <t>클레오 2초월</t>
  </si>
  <si>
    <t>클레오 3초월</t>
  </si>
  <si>
    <t>클레오 4초월</t>
  </si>
  <si>
    <t>클레오 5초월</t>
  </si>
  <si>
    <t>로이 1초월</t>
    <phoneticPr fontId="7" type="noConversion"/>
  </si>
  <si>
    <t>로이 2초월</t>
  </si>
  <si>
    <t>로이 3초월</t>
  </si>
  <si>
    <t>로이 4초월</t>
  </si>
  <si>
    <t>로이 5초월</t>
  </si>
  <si>
    <t>가우 1초월</t>
    <phoneticPr fontId="7" type="noConversion"/>
  </si>
  <si>
    <t>가우 2초월</t>
  </si>
  <si>
    <t>가우 3초월</t>
  </si>
  <si>
    <t>가우 4초월</t>
  </si>
  <si>
    <t>가우 5초월</t>
  </si>
  <si>
    <t>필롭 1초월</t>
    <phoneticPr fontId="7" type="noConversion"/>
  </si>
  <si>
    <t>필롭 2초월</t>
  </si>
  <si>
    <t>필롭 3초월</t>
  </si>
  <si>
    <t>필롭 4초월</t>
  </si>
  <si>
    <t>필롭 5초월</t>
  </si>
  <si>
    <t>라크락 1초월</t>
    <phoneticPr fontId="7" type="noConversion"/>
  </si>
  <si>
    <t>라크락 2초월</t>
  </si>
  <si>
    <t>라크락 3초월</t>
  </si>
  <si>
    <t>라크락 4초월</t>
  </si>
  <si>
    <t>라크락 5초월</t>
  </si>
  <si>
    <t>카울라 1초월</t>
    <phoneticPr fontId="7" type="noConversion"/>
  </si>
  <si>
    <t>카울라 2초월</t>
  </si>
  <si>
    <t>카울라 3초월</t>
  </si>
  <si>
    <t>카울라 4초월</t>
  </si>
  <si>
    <t>카울라 5초월</t>
  </si>
  <si>
    <t>에피스1 초월</t>
    <phoneticPr fontId="7" type="noConversion"/>
  </si>
  <si>
    <t>에피스2 초월</t>
  </si>
  <si>
    <t>에피스3 초월</t>
  </si>
  <si>
    <t>에피스4 초월</t>
  </si>
  <si>
    <t>에피스5 초월</t>
  </si>
  <si>
    <t>셀레네 1초월</t>
    <phoneticPr fontId="7" type="noConversion"/>
  </si>
  <si>
    <t>셀레네 2초월</t>
  </si>
  <si>
    <t>셀레네 3초월</t>
  </si>
  <si>
    <t>셀레네 4초월</t>
  </si>
  <si>
    <t>셀레네 5초월</t>
  </si>
  <si>
    <t>마리아 1초월</t>
    <phoneticPr fontId="7" type="noConversion"/>
  </si>
  <si>
    <t>마리아 2초월</t>
  </si>
  <si>
    <t>마리아 3초월</t>
  </si>
  <si>
    <t>마리아 4초월</t>
  </si>
  <si>
    <t>마리아 5초월</t>
  </si>
  <si>
    <t>미르르 1초월</t>
    <phoneticPr fontId="7" type="noConversion"/>
  </si>
  <si>
    <t>미르르 2초월</t>
  </si>
  <si>
    <t>미르르 3초월</t>
  </si>
  <si>
    <t>미르르 4초월</t>
  </si>
  <si>
    <t>미르르 5초월</t>
  </si>
  <si>
    <t>로레인 1초월</t>
    <phoneticPr fontId="7" type="noConversion"/>
  </si>
  <si>
    <t>로레인 2초월</t>
  </si>
  <si>
    <t>로레인 3초월</t>
  </si>
  <si>
    <t>로레인 4초월</t>
  </si>
  <si>
    <t>로레인 5초월</t>
  </si>
  <si>
    <t>마야 1초월</t>
    <phoneticPr fontId="7" type="noConversion"/>
  </si>
  <si>
    <t>마야 2초월</t>
  </si>
  <si>
    <t>마야 3초월</t>
  </si>
  <si>
    <t>마야 4초월</t>
  </si>
  <si>
    <t>마야 5초월</t>
  </si>
  <si>
    <t>클라우스 1초월</t>
    <phoneticPr fontId="7" type="noConversion"/>
  </si>
  <si>
    <t>클라우스 2초월</t>
  </si>
  <si>
    <t>클라우스 3초월</t>
  </si>
  <si>
    <t>클라우스 4초월</t>
  </si>
  <si>
    <t>클라우스 5초월</t>
  </si>
  <si>
    <t>레피 1초월</t>
    <phoneticPr fontId="7" type="noConversion"/>
  </si>
  <si>
    <t>레피 2초월</t>
  </si>
  <si>
    <t>레피 3초월</t>
  </si>
  <si>
    <t>레피 4초월</t>
  </si>
  <si>
    <t>레피 5초월</t>
  </si>
  <si>
    <t>디마엘 1초월</t>
    <phoneticPr fontId="7" type="noConversion"/>
  </si>
  <si>
    <t>디마엘 2초월</t>
  </si>
  <si>
    <t>디마엘 3초월</t>
  </si>
  <si>
    <t>디마엘 4초월</t>
  </si>
  <si>
    <t>디마엘 5초월</t>
  </si>
  <si>
    <t>레이나 1초월</t>
    <phoneticPr fontId="7" type="noConversion"/>
  </si>
  <si>
    <t>레이나 2초월</t>
  </si>
  <si>
    <t>레이나 3초월</t>
  </si>
  <si>
    <t>레이나 4초월</t>
  </si>
  <si>
    <t>레이나 5초월</t>
  </si>
  <si>
    <t>파벨 1초월</t>
    <phoneticPr fontId="7" type="noConversion"/>
  </si>
  <si>
    <t>파벨 2초월</t>
  </si>
  <si>
    <t>파벨 3초월</t>
  </si>
  <si>
    <t>파벨 4초월</t>
  </si>
  <si>
    <t>파벨 5초월</t>
  </si>
  <si>
    <t>데미아 1초월</t>
    <phoneticPr fontId="7" type="noConversion"/>
  </si>
  <si>
    <t>데미아 2초월</t>
  </si>
  <si>
    <t>데미아 3초월</t>
  </si>
  <si>
    <t>데미아 4초월</t>
  </si>
  <si>
    <t>데미아 5초월</t>
  </si>
  <si>
    <t>네일라 1초월</t>
    <phoneticPr fontId="7" type="noConversion"/>
  </si>
  <si>
    <t>네일라 2초월</t>
  </si>
  <si>
    <t>네일라 3초월</t>
  </si>
  <si>
    <t>네일라 4초월</t>
  </si>
  <si>
    <t>네일라 5초월</t>
  </si>
  <si>
    <t>로지나 1초월</t>
    <phoneticPr fontId="7" type="noConversion"/>
  </si>
  <si>
    <t>로지나 2초월</t>
  </si>
  <si>
    <t>로지나 3초월</t>
  </si>
  <si>
    <t>로지나 4초월</t>
  </si>
  <si>
    <t>로지나 5초월</t>
  </si>
  <si>
    <t>모라 1초월</t>
    <phoneticPr fontId="7" type="noConversion"/>
  </si>
  <si>
    <t>모라 2초월</t>
  </si>
  <si>
    <t>모라 3초월</t>
  </si>
  <si>
    <t>모라 4초월</t>
  </si>
  <si>
    <t>모라 5초월</t>
  </si>
  <si>
    <t>보두앵 1초월</t>
    <phoneticPr fontId="7" type="noConversion"/>
  </si>
  <si>
    <t>보두앵 2초월</t>
  </si>
  <si>
    <t>보두앵 3초월</t>
  </si>
  <si>
    <t>보두앵 4초월</t>
  </si>
  <si>
    <t>보두앵 5초월</t>
  </si>
  <si>
    <t>제인 1초월</t>
    <phoneticPr fontId="7" type="noConversion"/>
  </si>
  <si>
    <t>제인 2초월</t>
  </si>
  <si>
    <t>제인 3초월</t>
  </si>
  <si>
    <t>제인 4초월</t>
  </si>
  <si>
    <t>제인 5초월</t>
  </si>
  <si>
    <t>아이샤 1초월</t>
    <phoneticPr fontId="7" type="noConversion"/>
  </si>
  <si>
    <t>아이샤 2초월</t>
  </si>
  <si>
    <t>아이샤 3초월</t>
  </si>
  <si>
    <t>아이샤 4초월</t>
  </si>
  <si>
    <t>아이샤 5초월</t>
  </si>
  <si>
    <t>레오 1초월</t>
    <phoneticPr fontId="7" type="noConversion"/>
  </si>
  <si>
    <t>레오 2초월</t>
  </si>
  <si>
    <t>레오 3초월</t>
  </si>
  <si>
    <t>레오 4초월</t>
  </si>
  <si>
    <t>레오 5초월</t>
  </si>
  <si>
    <t>플루스 1초월</t>
    <phoneticPr fontId="7" type="noConversion"/>
  </si>
  <si>
    <t>플루스 2초월</t>
  </si>
  <si>
    <t>플루스 3초월</t>
  </si>
  <si>
    <t>플루스 4초월</t>
  </si>
  <si>
    <t>플루스 5초월</t>
  </si>
  <si>
    <t>루나 1초월</t>
    <phoneticPr fontId="7" type="noConversion"/>
  </si>
  <si>
    <t>루나 2초월</t>
  </si>
  <si>
    <t>루나 3초월</t>
  </si>
  <si>
    <t>루나 4초월</t>
  </si>
  <si>
    <t>루나 5초월</t>
  </si>
  <si>
    <t>라이아스 1초월</t>
    <phoneticPr fontId="7" type="noConversion"/>
  </si>
  <si>
    <t>라이아스 2초월</t>
  </si>
  <si>
    <t>라이아스 3초월</t>
  </si>
  <si>
    <t>라이아스 4초월</t>
  </si>
  <si>
    <t>라이아스 5초월</t>
  </si>
  <si>
    <t>아르크 1초월</t>
    <phoneticPr fontId="7" type="noConversion"/>
  </si>
  <si>
    <t>아르크 2초월</t>
  </si>
  <si>
    <t>아르크 3초월</t>
  </si>
  <si>
    <t>아르크 4초월</t>
  </si>
  <si>
    <t>아르크 5초월</t>
  </si>
  <si>
    <t>레위시아 1초월</t>
    <phoneticPr fontId="7" type="noConversion"/>
  </si>
  <si>
    <t>레위시아 2초월</t>
  </si>
  <si>
    <t>레위시아 3초월</t>
  </si>
  <si>
    <t>레위시아 4초월</t>
  </si>
  <si>
    <t>레위시아 5초월</t>
  </si>
  <si>
    <t>닉스 1초월</t>
    <phoneticPr fontId="7" type="noConversion"/>
  </si>
  <si>
    <t>닉스 2초월</t>
  </si>
  <si>
    <t>닉스 3초월</t>
  </si>
  <si>
    <t>닉스 4초월</t>
  </si>
  <si>
    <t>닉스 5초월</t>
  </si>
  <si>
    <t>아네트 1초월</t>
    <phoneticPr fontId="7" type="noConversion"/>
  </si>
  <si>
    <t>아네트 2초월</t>
  </si>
  <si>
    <t>아네트 3초월</t>
  </si>
  <si>
    <t>아네트 4초월</t>
  </si>
  <si>
    <t>아네트 5초월</t>
  </si>
  <si>
    <t>미트라 1초월</t>
    <phoneticPr fontId="7" type="noConversion"/>
  </si>
  <si>
    <t>미트라 2초월</t>
  </si>
  <si>
    <t>미트라 3초월</t>
  </si>
  <si>
    <t>미트라 4초월</t>
  </si>
  <si>
    <t>미트라 5초월</t>
  </si>
  <si>
    <t>리카르도 1초월</t>
    <phoneticPr fontId="7" type="noConversion"/>
  </si>
  <si>
    <t>리카르도 2초월</t>
  </si>
  <si>
    <t>리카르도 3초월</t>
  </si>
  <si>
    <t>리카르도 4초월</t>
  </si>
  <si>
    <t>리카르도 5초월</t>
  </si>
  <si>
    <t>타냐 1초월</t>
    <phoneticPr fontId="7" type="noConversion"/>
  </si>
  <si>
    <t>타냐 2초월</t>
  </si>
  <si>
    <t>타냐 3초월</t>
  </si>
  <si>
    <t>타냐 4초월</t>
  </si>
  <si>
    <t>타냐 5초월</t>
  </si>
  <si>
    <t>에제키엘 1초월</t>
    <phoneticPr fontId="7" type="noConversion"/>
  </si>
  <si>
    <t>에제키엘 2초월</t>
  </si>
  <si>
    <t>에제키엘 3초월</t>
  </si>
  <si>
    <t>에제키엘 4초월</t>
  </si>
  <si>
    <t>에제키엘 5초월</t>
  </si>
  <si>
    <t>카산드라 1초월</t>
    <phoneticPr fontId="7" type="noConversion"/>
  </si>
  <si>
    <t>카산드라 2초월</t>
  </si>
  <si>
    <t>카산드라 3초월</t>
  </si>
  <si>
    <t>카산드라 4초월</t>
  </si>
  <si>
    <t>카산드라 5초월</t>
  </si>
  <si>
    <t>테오 1초월</t>
    <phoneticPr fontId="7" type="noConversion"/>
  </si>
  <si>
    <t>테오 2초월</t>
  </si>
  <si>
    <t>테오 3초월</t>
  </si>
  <si>
    <t>테오 4초월</t>
  </si>
  <si>
    <t>테오 5초월</t>
  </si>
  <si>
    <t>메디아나 1초월</t>
    <phoneticPr fontId="7" type="noConversion"/>
  </si>
  <si>
    <t>메디아나 2초월</t>
  </si>
  <si>
    <t>메디아나 3초월</t>
  </si>
  <si>
    <t>메디아나 4초월</t>
  </si>
  <si>
    <t>메디아나 5초월</t>
  </si>
  <si>
    <t>오디 1초월</t>
    <phoneticPr fontId="7" type="noConversion"/>
  </si>
  <si>
    <t>오디 2초월</t>
  </si>
  <si>
    <t>오디 3초월</t>
  </si>
  <si>
    <t>오디 4초월</t>
  </si>
  <si>
    <t>오디 5초월</t>
  </si>
  <si>
    <t>비스카 1초월</t>
    <phoneticPr fontId="7" type="noConversion"/>
  </si>
  <si>
    <t>비스카 2초월</t>
  </si>
  <si>
    <t>비스카 3초월</t>
  </si>
  <si>
    <t>비스카 4초월</t>
  </si>
  <si>
    <t>비스카 5초월</t>
  </si>
  <si>
    <t>프리실라 1초월</t>
    <phoneticPr fontId="7" type="noConversion"/>
  </si>
  <si>
    <t>프리실라 2초월</t>
  </si>
  <si>
    <t>프리실라 3초월</t>
  </si>
  <si>
    <t>프리실라 4초월</t>
  </si>
  <si>
    <t>프리실라 5초월</t>
  </si>
  <si>
    <t>얀느 1초월</t>
    <phoneticPr fontId="7" type="noConversion"/>
  </si>
  <si>
    <t>얀느 2초월</t>
  </si>
  <si>
    <t>얀느 3초월</t>
  </si>
  <si>
    <t>얀느 4초월</t>
  </si>
  <si>
    <t>얀느 5초월</t>
  </si>
  <si>
    <t>자피르 1초월</t>
    <phoneticPr fontId="7" type="noConversion"/>
  </si>
  <si>
    <t>자피르 2초월</t>
  </si>
  <si>
    <t>자피르 3초월</t>
  </si>
  <si>
    <t>자피르 4초월</t>
  </si>
  <si>
    <t>자피르 5초월</t>
  </si>
  <si>
    <t>유리아 1초월</t>
    <phoneticPr fontId="7" type="noConversion"/>
  </si>
  <si>
    <t>유리아 2초월</t>
  </si>
  <si>
    <t>유리아 3초월</t>
  </si>
  <si>
    <t>유리아 4초월</t>
  </si>
  <si>
    <t>유리아 5초월</t>
  </si>
  <si>
    <t>오펠리아 1초월</t>
    <phoneticPr fontId="7" type="noConversion"/>
  </si>
  <si>
    <t>오펠리아 2초월</t>
  </si>
  <si>
    <t>오펠리아 3초월</t>
  </si>
  <si>
    <t>오펠리아 4초월</t>
  </si>
  <si>
    <t>오펠리아 5초월</t>
  </si>
  <si>
    <t>레퀴나 1초월</t>
    <phoneticPr fontId="7" type="noConversion"/>
  </si>
  <si>
    <t>레퀴나 2초월</t>
  </si>
  <si>
    <t>레퀴나 3초월</t>
  </si>
  <si>
    <t>레퀴나 4초월</t>
  </si>
  <si>
    <t>레퀴나 5초월</t>
  </si>
  <si>
    <t>아셀리카 1초월</t>
    <phoneticPr fontId="7" type="noConversion"/>
  </si>
  <si>
    <t>아셀리카 2초월</t>
  </si>
  <si>
    <t>아셀리카 3초월</t>
  </si>
  <si>
    <t>아셀리카 4초월</t>
  </si>
  <si>
    <t>아셀리카 5초월</t>
  </si>
  <si>
    <t>크로우 1초월</t>
    <phoneticPr fontId="7" type="noConversion"/>
  </si>
  <si>
    <t>크로우 2초월</t>
  </si>
  <si>
    <t>크로우 3초월</t>
  </si>
  <si>
    <t>크로우 4초월</t>
  </si>
  <si>
    <t>크로우 5초월</t>
  </si>
  <si>
    <t>샤밀라 1초월</t>
    <phoneticPr fontId="7" type="noConversion"/>
  </si>
  <si>
    <t>샤밀라 2초월</t>
  </si>
  <si>
    <t>샤밀라 3초월</t>
  </si>
  <si>
    <t>샤밀라 4초월</t>
  </si>
  <si>
    <t>샤밀라 5초월</t>
  </si>
  <si>
    <t>라브릴 1초월</t>
    <phoneticPr fontId="7" type="noConversion"/>
  </si>
  <si>
    <t>라브릴 2초월</t>
  </si>
  <si>
    <t>라브릴 3초월</t>
  </si>
  <si>
    <t>라브릴 4초월</t>
  </si>
  <si>
    <t>라브릴 5초월</t>
  </si>
  <si>
    <t>세리아 1초월</t>
    <phoneticPr fontId="7" type="noConversion"/>
  </si>
  <si>
    <t>세리아 2초월</t>
  </si>
  <si>
    <t>세리아 3초월</t>
  </si>
  <si>
    <t>세리아 4초월</t>
  </si>
  <si>
    <t>세리아 5초월</t>
  </si>
  <si>
    <t>에르제 1초월</t>
    <phoneticPr fontId="7" type="noConversion"/>
  </si>
  <si>
    <t>에르제 2초월</t>
  </si>
  <si>
    <t>에르제 3초월</t>
  </si>
  <si>
    <t>에르제 4초월</t>
  </si>
  <si>
    <t>에르제 5초월</t>
  </si>
  <si>
    <t>릴리아 1초월</t>
    <phoneticPr fontId="7" type="noConversion"/>
  </si>
  <si>
    <t>릴리아 2초월</t>
  </si>
  <si>
    <t>릴리아 3초월</t>
  </si>
  <si>
    <t>릴리아 4초월</t>
  </si>
  <si>
    <t>릴리아 5초월</t>
  </si>
  <si>
    <t>라우디아 1초월</t>
    <phoneticPr fontId="7" type="noConversion"/>
  </si>
  <si>
    <t>라우디아 2초월</t>
  </si>
  <si>
    <t>라우디아 3초월</t>
  </si>
  <si>
    <t>라우디아 4초월</t>
  </si>
  <si>
    <t>라우디아 5초월</t>
  </si>
  <si>
    <t>루시아스 1초월</t>
    <phoneticPr fontId="7" type="noConversion"/>
  </si>
  <si>
    <t>루시아스 2초월</t>
  </si>
  <si>
    <t>루시아스 3초월</t>
  </si>
  <si>
    <t>루시아스 4초월</t>
  </si>
  <si>
    <t>루시아스 5초월</t>
  </si>
  <si>
    <t>크리샤 1초월</t>
    <phoneticPr fontId="7" type="noConversion"/>
  </si>
  <si>
    <t>크리샤 2초월</t>
  </si>
  <si>
    <t>크리샤 3초월</t>
  </si>
  <si>
    <t>크리샤 4초월</t>
  </si>
  <si>
    <t>크리샤 5초월</t>
  </si>
  <si>
    <t>네락시스 1초월</t>
    <phoneticPr fontId="7" type="noConversion"/>
  </si>
  <si>
    <t>네락시스 2초월</t>
  </si>
  <si>
    <t>네락시스 3초월</t>
  </si>
  <si>
    <t>네락시스 4초월</t>
  </si>
  <si>
    <t>네락시스 5초월</t>
  </si>
  <si>
    <t>스칼렛 1초월</t>
    <phoneticPr fontId="7" type="noConversion"/>
  </si>
  <si>
    <t>스칼렛 2초월</t>
  </si>
  <si>
    <t>스칼렛 3초월</t>
  </si>
  <si>
    <t>스칼렛 4초월</t>
  </si>
  <si>
    <t>스칼렛 5초월</t>
  </si>
  <si>
    <t>소니아 1초월</t>
    <phoneticPr fontId="7" type="noConversion"/>
  </si>
  <si>
    <t>소니아 2초월</t>
  </si>
  <si>
    <t>소니아 3초월</t>
  </si>
  <si>
    <t>소니아 4초월</t>
  </si>
  <si>
    <t>소니아 5초월</t>
  </si>
  <si>
    <t>아르테미아 1초월</t>
    <phoneticPr fontId="7" type="noConversion"/>
  </si>
  <si>
    <t>아르테미아 2초월</t>
  </si>
  <si>
    <t>아르테미아 3초월</t>
  </si>
  <si>
    <t>아르테미아 4초월</t>
  </si>
  <si>
    <t>아르테미아 5초월</t>
  </si>
  <si>
    <t>미리안느 1초월</t>
    <phoneticPr fontId="7" type="noConversion"/>
  </si>
  <si>
    <t>미리안느 2초월</t>
  </si>
  <si>
    <t>미리안느 3초월</t>
  </si>
  <si>
    <t>미리안느 4초월</t>
  </si>
  <si>
    <t>미리안느 5초월</t>
  </si>
  <si>
    <t>시아 1초월</t>
    <phoneticPr fontId="7" type="noConversion"/>
  </si>
  <si>
    <t>시아 2초월</t>
  </si>
  <si>
    <t>시아 3초월</t>
  </si>
  <si>
    <t>시아 4초월</t>
  </si>
  <si>
    <t>시아 5초월</t>
  </si>
  <si>
    <t>카라 1초월</t>
    <phoneticPr fontId="7" type="noConversion"/>
  </si>
  <si>
    <t>카라 2초월</t>
  </si>
  <si>
    <t>카라 3초월</t>
  </si>
  <si>
    <t>카라 4초월</t>
  </si>
  <si>
    <t>카라 5초월</t>
  </si>
  <si>
    <t>니아 1초월</t>
    <phoneticPr fontId="7" type="noConversion"/>
  </si>
  <si>
    <t>니아 2초월</t>
  </si>
  <si>
    <t>니아 3초월</t>
  </si>
  <si>
    <t>니아 4초월</t>
  </si>
  <si>
    <t>니아 5초월</t>
  </si>
  <si>
    <t>에스커 1초월</t>
    <phoneticPr fontId="7" type="noConversion"/>
  </si>
  <si>
    <t>에스커 2초월</t>
  </si>
  <si>
    <t>에스커 3초월</t>
  </si>
  <si>
    <t>에스커 4초월</t>
  </si>
  <si>
    <t>에스커 5초월</t>
  </si>
  <si>
    <t>세실리아 1초월</t>
    <phoneticPr fontId="7" type="noConversion"/>
  </si>
  <si>
    <t>세실리아 2초월</t>
  </si>
  <si>
    <t>세실리아 3초월</t>
  </si>
  <si>
    <t>세실리아 4초월</t>
  </si>
  <si>
    <t>세실리아 5초월</t>
  </si>
  <si>
    <t>키르제 1초월</t>
    <phoneticPr fontId="7" type="noConversion"/>
  </si>
  <si>
    <t>키르제 2초월</t>
  </si>
  <si>
    <t>키르제 3초월</t>
  </si>
  <si>
    <t>키르제 4초월</t>
  </si>
  <si>
    <t>키르제 5초월</t>
  </si>
  <si>
    <t>체이스 1초월</t>
    <phoneticPr fontId="7" type="noConversion"/>
  </si>
  <si>
    <t>체이스 2초월</t>
  </si>
  <si>
    <t>체이스 3초월</t>
  </si>
  <si>
    <t>체이스 4초월</t>
  </si>
  <si>
    <t>체이스 5초월</t>
  </si>
  <si>
    <t>다카리스 1초월</t>
    <phoneticPr fontId="7" type="noConversion"/>
  </si>
  <si>
    <t>다카리스 2초월</t>
  </si>
  <si>
    <t>다카리스 3초월</t>
  </si>
  <si>
    <t>다카리스 4초월</t>
  </si>
  <si>
    <t>다카리스 5초월</t>
  </si>
  <si>
    <t>베른헤임 1초월</t>
    <phoneticPr fontId="7" type="noConversion"/>
  </si>
  <si>
    <t>베른헤임 2초월</t>
  </si>
  <si>
    <t>베른헤임 3초월</t>
  </si>
  <si>
    <t>베른헤임 4초월</t>
  </si>
  <si>
    <t>베른헤임 5초월</t>
  </si>
  <si>
    <t>글렌위스 1초월</t>
    <phoneticPr fontId="7" type="noConversion"/>
  </si>
  <si>
    <t>글렌위스 2초월</t>
  </si>
  <si>
    <t>글렌위스 3초월</t>
  </si>
  <si>
    <t>글렌위스 4초월</t>
  </si>
  <si>
    <t>글렌위스 5초월</t>
  </si>
  <si>
    <t>메이 1초월</t>
    <phoneticPr fontId="7" type="noConversion"/>
  </si>
  <si>
    <t>메이 2초월</t>
  </si>
  <si>
    <t>메이 3초월</t>
  </si>
  <si>
    <t>메이 4초월</t>
  </si>
  <si>
    <t>메이 5초월</t>
  </si>
  <si>
    <t>글라디 1초월</t>
    <phoneticPr fontId="7" type="noConversion"/>
  </si>
  <si>
    <t>글라디 2초월</t>
  </si>
  <si>
    <t>글라디 3초월</t>
  </si>
  <si>
    <t>글라디 4초월</t>
  </si>
  <si>
    <t>글라디 5초월</t>
  </si>
  <si>
    <t>베로니카 1초월</t>
    <phoneticPr fontId="7" type="noConversion"/>
  </si>
  <si>
    <t>베로니카 2초월</t>
  </si>
  <si>
    <t>베로니카 3초월</t>
  </si>
  <si>
    <t>베로니카 4초월</t>
  </si>
  <si>
    <t>베로니카 5초월</t>
  </si>
  <si>
    <t>로만 1초월</t>
    <phoneticPr fontId="7" type="noConversion"/>
  </si>
  <si>
    <t>로만 2초월</t>
  </si>
  <si>
    <t>로만 3초월</t>
  </si>
  <si>
    <t>로만 4초월</t>
  </si>
  <si>
    <t>로만 5초월</t>
  </si>
  <si>
    <t>유노 1초월</t>
    <phoneticPr fontId="7" type="noConversion"/>
  </si>
  <si>
    <t>유노 2초월</t>
  </si>
  <si>
    <t>유노 3초월</t>
  </si>
  <si>
    <t>유노 4초월</t>
  </si>
  <si>
    <t>유노 5초월</t>
  </si>
  <si>
    <t>니키 1초월</t>
    <phoneticPr fontId="7" type="noConversion"/>
  </si>
  <si>
    <t>니키 2초월</t>
  </si>
  <si>
    <t>니키 3초월</t>
  </si>
  <si>
    <t>니키 4초월</t>
  </si>
  <si>
    <t>니키 5초월</t>
  </si>
  <si>
    <t>도자르타 1초월</t>
    <phoneticPr fontId="7" type="noConversion"/>
  </si>
  <si>
    <t>도자르타 2초월</t>
  </si>
  <si>
    <t>도자르타 3초월</t>
  </si>
  <si>
    <t>도자르타 4초월</t>
  </si>
  <si>
    <t>도자르타 5초월</t>
  </si>
  <si>
    <t>하누스 1초월</t>
    <phoneticPr fontId="7" type="noConversion"/>
  </si>
  <si>
    <t>하누스 2초월</t>
  </si>
  <si>
    <t>하누스 3초월</t>
  </si>
  <si>
    <t>하누스 4초월</t>
  </si>
  <si>
    <t>하누스 5초월</t>
  </si>
  <si>
    <t>시련의 관문</t>
    <phoneticPr fontId="7" type="noConversion"/>
  </si>
  <si>
    <t>1단계</t>
    <phoneticPr fontId="7" type="noConversion"/>
  </si>
  <si>
    <t>2단계</t>
    <phoneticPr fontId="7" type="noConversion"/>
  </si>
  <si>
    <t>3단계</t>
    <phoneticPr fontId="7" type="noConversion"/>
  </si>
  <si>
    <t>4단계</t>
    <phoneticPr fontId="7" type="noConversion"/>
  </si>
  <si>
    <t>5단계</t>
    <phoneticPr fontId="7" type="noConversion"/>
  </si>
  <si>
    <t>시련의탑</t>
    <phoneticPr fontId="7" type="noConversion"/>
  </si>
  <si>
    <t>10층</t>
  </si>
  <si>
    <t>11층</t>
  </si>
  <si>
    <t>12층</t>
  </si>
  <si>
    <t>13층</t>
  </si>
  <si>
    <t>14층</t>
  </si>
  <si>
    <t>15층</t>
  </si>
  <si>
    <t>16층</t>
  </si>
  <si>
    <t>17층</t>
  </si>
  <si>
    <t>18층</t>
  </si>
  <si>
    <t>19층</t>
  </si>
  <si>
    <t>20층</t>
  </si>
  <si>
    <t>21층</t>
  </si>
  <si>
    <t>22층</t>
  </si>
  <si>
    <t>23층</t>
  </si>
  <si>
    <t>24층</t>
  </si>
  <si>
    <t>25층</t>
  </si>
  <si>
    <t>1층</t>
  </si>
  <si>
    <t>2층</t>
  </si>
  <si>
    <t>3층</t>
  </si>
  <si>
    <t>4층</t>
  </si>
  <si>
    <t>5층</t>
  </si>
  <si>
    <t>6층</t>
  </si>
  <si>
    <t>7층</t>
  </si>
  <si>
    <t>8층</t>
  </si>
  <si>
    <t>9층</t>
  </si>
  <si>
    <t>9층</t>
    <phoneticPr fontId="7" type="noConversion"/>
  </si>
  <si>
    <t>1층</t>
    <phoneticPr fontId="7" type="noConversion"/>
  </si>
  <si>
    <t>2층</t>
    <phoneticPr fontId="7" type="noConversion"/>
  </si>
  <si>
    <t>26층</t>
  </si>
  <si>
    <t>27층</t>
  </si>
  <si>
    <t>28층</t>
  </si>
  <si>
    <t>29층</t>
  </si>
  <si>
    <t>30층</t>
  </si>
  <si>
    <t>31층</t>
  </si>
  <si>
    <t>32층</t>
  </si>
  <si>
    <t>33층</t>
  </si>
  <si>
    <t>34층</t>
  </si>
  <si>
    <t>35층</t>
  </si>
  <si>
    <t>36층</t>
  </si>
  <si>
    <t>37층</t>
  </si>
  <si>
    <t>38층</t>
  </si>
  <si>
    <t>39층</t>
  </si>
  <si>
    <t>40층</t>
  </si>
  <si>
    <t>41층</t>
  </si>
  <si>
    <t>42층</t>
  </si>
  <si>
    <t>43층</t>
  </si>
  <si>
    <t>44층</t>
  </si>
  <si>
    <t>45층</t>
  </si>
  <si>
    <t>46층</t>
  </si>
  <si>
    <t>47층</t>
  </si>
  <si>
    <t>48층</t>
  </si>
  <si>
    <t>49층</t>
  </si>
  <si>
    <t>50층</t>
  </si>
  <si>
    <t>51층</t>
  </si>
  <si>
    <t>52층</t>
  </si>
  <si>
    <t>53층</t>
  </si>
  <si>
    <t>54층</t>
  </si>
  <si>
    <t>55층</t>
  </si>
  <si>
    <t>56층</t>
  </si>
  <si>
    <t>57층</t>
  </si>
  <si>
    <t>58층</t>
  </si>
  <si>
    <t>59층</t>
  </si>
  <si>
    <t>60층</t>
  </si>
  <si>
    <t>61층</t>
  </si>
  <si>
    <t>62층</t>
  </si>
  <si>
    <t>63층</t>
  </si>
  <si>
    <t>64층</t>
  </si>
  <si>
    <t>65층</t>
  </si>
  <si>
    <t>66층</t>
  </si>
  <si>
    <t>67층</t>
  </si>
  <si>
    <t>68층</t>
  </si>
  <si>
    <t>69층</t>
  </si>
  <si>
    <t>70층</t>
  </si>
  <si>
    <t>71층</t>
  </si>
  <si>
    <t>72층</t>
  </si>
  <si>
    <t>73층</t>
  </si>
  <si>
    <t>74층</t>
  </si>
  <si>
    <t>75층</t>
  </si>
  <si>
    <t>보물창고</t>
    <phoneticPr fontId="7" type="noConversion"/>
  </si>
  <si>
    <t>월드보스</t>
    <phoneticPr fontId="7" type="noConversion"/>
  </si>
  <si>
    <t>마운틴 포트리스</t>
    <phoneticPr fontId="7" type="noConversion"/>
  </si>
  <si>
    <t>프로티아누스</t>
    <phoneticPr fontId="7" type="noConversion"/>
  </si>
  <si>
    <t>행사용 쟈나두스</t>
    <phoneticPr fontId="7" type="noConversion"/>
  </si>
  <si>
    <t>행사용 프로티아누스</t>
    <phoneticPr fontId="7" type="noConversion"/>
  </si>
  <si>
    <t>쟈나두스</t>
    <phoneticPr fontId="7" type="noConversion"/>
  </si>
  <si>
    <t>이벤트 레이드</t>
    <phoneticPr fontId="7" type="noConversion"/>
  </si>
  <si>
    <t>추석 거대 토끼</t>
    <phoneticPr fontId="7" type="noConversion"/>
  </si>
  <si>
    <t>크리스마스 프로티아누스</t>
    <phoneticPr fontId="7" type="noConversion"/>
  </si>
  <si>
    <t>중심가 이벤트</t>
    <phoneticPr fontId="7" type="noConversion"/>
  </si>
  <si>
    <t>지하미궁</t>
    <phoneticPr fontId="7" type="noConversion"/>
  </si>
  <si>
    <t>기사 1층</t>
    <phoneticPr fontId="7" type="noConversion"/>
  </si>
  <si>
    <t>기사 2층</t>
  </si>
  <si>
    <t>기사 3층</t>
  </si>
  <si>
    <t>기사 4층</t>
  </si>
  <si>
    <t>기사 5층</t>
  </si>
  <si>
    <t>전사 1층</t>
    <phoneticPr fontId="7" type="noConversion"/>
  </si>
  <si>
    <t>전사 2층</t>
  </si>
  <si>
    <t>전사 3층</t>
  </si>
  <si>
    <t>전사 4층</t>
  </si>
  <si>
    <t>전사 5층</t>
  </si>
  <si>
    <t>암살자 1층</t>
    <phoneticPr fontId="7" type="noConversion"/>
  </si>
  <si>
    <t>암살자 2층</t>
  </si>
  <si>
    <t>암살자 3층</t>
  </si>
  <si>
    <t>암살자 4층</t>
  </si>
  <si>
    <t>암살자 5층</t>
  </si>
  <si>
    <t>궁수 1층</t>
    <phoneticPr fontId="7" type="noConversion"/>
  </si>
  <si>
    <t>궁수 2층</t>
  </si>
  <si>
    <t>궁수 3층</t>
  </si>
  <si>
    <t>궁수 4층</t>
  </si>
  <si>
    <t>궁수 5층</t>
  </si>
  <si>
    <t>기계공 1층</t>
    <phoneticPr fontId="7" type="noConversion"/>
  </si>
  <si>
    <t>기계공 2층</t>
  </si>
  <si>
    <t>기계공 3층</t>
  </si>
  <si>
    <t>기계공 4층</t>
  </si>
  <si>
    <t>기계공 5층</t>
  </si>
  <si>
    <t>마법사 1층</t>
    <phoneticPr fontId="7" type="noConversion"/>
  </si>
  <si>
    <t>마법사 2층</t>
  </si>
  <si>
    <t>마법사 3층</t>
  </si>
  <si>
    <t>마법사 4층</t>
  </si>
  <si>
    <t>마법사 5층</t>
  </si>
  <si>
    <t>사제 1층</t>
    <phoneticPr fontId="7" type="noConversion"/>
  </si>
  <si>
    <t>사제 2층</t>
  </si>
  <si>
    <t>사제 3층</t>
  </si>
  <si>
    <t>사제 4층</t>
  </si>
  <si>
    <t>사제 5층</t>
  </si>
  <si>
    <t>크리스마스</t>
    <phoneticPr fontId="7" type="noConversion"/>
  </si>
  <si>
    <t>2018 여름</t>
    <phoneticPr fontId="7" type="noConversion"/>
  </si>
  <si>
    <t>2018 크리스마스 1차</t>
    <phoneticPr fontId="7" type="noConversion"/>
  </si>
  <si>
    <t xml:space="preserve">2019 새학기 </t>
    <phoneticPr fontId="7" type="noConversion"/>
  </si>
  <si>
    <t>2019 고대 신왕 이야기</t>
    <phoneticPr fontId="7" type="noConversion"/>
  </si>
  <si>
    <t>2019 여름 스토리</t>
    <phoneticPr fontId="7" type="noConversion"/>
  </si>
  <si>
    <t>2019 여름 특별</t>
    <phoneticPr fontId="7" type="noConversion"/>
  </si>
  <si>
    <t>길드 컨텐츠</t>
    <phoneticPr fontId="7" type="noConversion"/>
  </si>
  <si>
    <t>길드 레이드</t>
    <phoneticPr fontId="7" type="noConversion"/>
  </si>
  <si>
    <t>6챕터</t>
    <phoneticPr fontId="7" type="noConversion"/>
  </si>
  <si>
    <t>서브 스토리</t>
    <phoneticPr fontId="7" type="noConversion"/>
  </si>
  <si>
    <t>테오 1</t>
    <phoneticPr fontId="7" type="noConversion"/>
  </si>
  <si>
    <t>테오 6</t>
  </si>
  <si>
    <t>테오 7</t>
  </si>
  <si>
    <t>테오 8</t>
  </si>
  <si>
    <t>테오 9</t>
  </si>
  <si>
    <t>테오 2</t>
    <phoneticPr fontId="7" type="noConversion"/>
  </si>
  <si>
    <t>테오 3</t>
    <phoneticPr fontId="7" type="noConversion"/>
  </si>
  <si>
    <t>테오 4</t>
    <phoneticPr fontId="7" type="noConversion"/>
  </si>
  <si>
    <t>테오 5</t>
    <phoneticPr fontId="7" type="noConversion"/>
  </si>
  <si>
    <t>비스카 1</t>
    <phoneticPr fontId="7" type="noConversion"/>
  </si>
  <si>
    <t>비스카 2</t>
  </si>
  <si>
    <t>비스카 3</t>
  </si>
  <si>
    <t>비스카 4</t>
  </si>
  <si>
    <t>비스카 5</t>
  </si>
  <si>
    <t>프리실라 1</t>
    <phoneticPr fontId="7" type="noConversion"/>
  </si>
  <si>
    <t>프리실라 2</t>
  </si>
  <si>
    <t>프리실라 3</t>
  </si>
  <si>
    <t>프리실라 4</t>
  </si>
  <si>
    <t>프리실라 5</t>
  </si>
  <si>
    <t>프리실라 6</t>
  </si>
  <si>
    <t>프리실라 7</t>
  </si>
  <si>
    <t>프리실라 8</t>
  </si>
  <si>
    <t>디마엘 1</t>
    <phoneticPr fontId="7" type="noConversion"/>
  </si>
  <si>
    <t>디마엘 2</t>
  </si>
  <si>
    <t>디마엘 3</t>
  </si>
  <si>
    <t>디마엘 4</t>
  </si>
  <si>
    <t>디마엘 5</t>
  </si>
  <si>
    <t>디마엘 6</t>
  </si>
  <si>
    <t>디마엘 7</t>
  </si>
  <si>
    <t>디마엘 8</t>
  </si>
  <si>
    <t>디마엘 9</t>
  </si>
  <si>
    <t>디마엘 10</t>
  </si>
  <si>
    <t>레피 1</t>
    <phoneticPr fontId="7" type="noConversion"/>
  </si>
  <si>
    <t>레피 2</t>
  </si>
  <si>
    <t>레피 3</t>
  </si>
  <si>
    <t>레피 4</t>
  </si>
  <si>
    <t>레피 5</t>
  </si>
  <si>
    <t>레피 6</t>
  </si>
  <si>
    <t>레피 7</t>
  </si>
  <si>
    <t>레피 8</t>
  </si>
  <si>
    <t>레피 9</t>
  </si>
  <si>
    <t>레피 10</t>
  </si>
  <si>
    <t>크로우 1</t>
    <phoneticPr fontId="7" type="noConversion"/>
  </si>
  <si>
    <t>크로우 2</t>
  </si>
  <si>
    <t>크로우 3</t>
  </si>
  <si>
    <t>크로우 4</t>
  </si>
  <si>
    <t>크로우 5</t>
  </si>
  <si>
    <t>크로우 6</t>
  </si>
  <si>
    <t>크로우 7</t>
  </si>
  <si>
    <t>크로우 8</t>
  </si>
  <si>
    <t>크로우 9</t>
  </si>
  <si>
    <t>크로우 10</t>
  </si>
  <si>
    <t>크로우 11</t>
  </si>
  <si>
    <t>크로우 12</t>
  </si>
  <si>
    <t>크로우 13</t>
  </si>
  <si>
    <t>크로우 14</t>
  </si>
  <si>
    <t>크로우 15</t>
  </si>
  <si>
    <t>결투장</t>
    <phoneticPr fontId="7" type="noConversion"/>
  </si>
  <si>
    <t>길드 콘텐츠</t>
    <phoneticPr fontId="7" type="noConversion"/>
  </si>
  <si>
    <t>승리의 리그</t>
    <phoneticPr fontId="7" type="noConversion"/>
  </si>
  <si>
    <t>영광의 리그</t>
    <phoneticPr fontId="7" type="noConversion"/>
  </si>
  <si>
    <t>길드전</t>
    <phoneticPr fontId="7" type="noConversion"/>
  </si>
  <si>
    <t>길드 콘텐츠</t>
    <phoneticPr fontId="7" type="noConversion"/>
  </si>
  <si>
    <t>토벌전 티르파스</t>
    <phoneticPr fontId="7" type="noConversion"/>
  </si>
  <si>
    <t>토벌전 라크레일</t>
    <phoneticPr fontId="7" type="noConversion"/>
  </si>
  <si>
    <t>토벌전 벨카자르</t>
    <phoneticPr fontId="7" type="noConversion"/>
  </si>
  <si>
    <t>토벌전 티르파스(싱글모드)</t>
    <phoneticPr fontId="7" type="noConversion"/>
  </si>
  <si>
    <t>토벌전 라크레일(싱글모드)</t>
    <phoneticPr fontId="7" type="noConversion"/>
  </si>
  <si>
    <t>토벌전 벨카자르(싱글모드)</t>
    <phoneticPr fontId="7" type="noConversion"/>
  </si>
  <si>
    <t>19SummerSpecial1</t>
    <phoneticPr fontId="7" type="noConversion"/>
  </si>
  <si>
    <t>19SummerSpecial2</t>
  </si>
  <si>
    <t>19SummerSpecial3</t>
  </si>
  <si>
    <t>19SummerSpecial4</t>
  </si>
  <si>
    <t>30026</t>
    <phoneticPr fontId="7" type="noConversion"/>
  </si>
  <si>
    <t>2019 나들이2</t>
    <phoneticPr fontId="7" type="noConversion"/>
  </si>
  <si>
    <t>2019 나들이2 1</t>
    <phoneticPr fontId="7" type="noConversion"/>
  </si>
  <si>
    <t>2019 나들이2 2</t>
    <phoneticPr fontId="7" type="noConversion"/>
  </si>
  <si>
    <t>2019 나들이2 3</t>
    <phoneticPr fontId="7" type="noConversion"/>
  </si>
  <si>
    <t>2019 나들이2 4</t>
    <phoneticPr fontId="7" type="noConversion"/>
  </si>
  <si>
    <t>True</t>
    <phoneticPr fontId="7" type="noConversion"/>
  </si>
  <si>
    <t>도전의탑 76층</t>
  </si>
  <si>
    <t>도전의탑 77층</t>
  </si>
  <si>
    <t>도전의탑 78층</t>
  </si>
  <si>
    <t>도전의탑 79층</t>
  </si>
  <si>
    <t>도전의탑 80층</t>
  </si>
  <si>
    <t>76층</t>
  </si>
  <si>
    <t>77층</t>
  </si>
  <si>
    <t>78층</t>
  </si>
  <si>
    <t>79층</t>
  </si>
  <si>
    <t>80층</t>
  </si>
  <si>
    <t>30027</t>
  </si>
  <si>
    <t>1</t>
    <phoneticPr fontId="7" type="noConversion"/>
  </si>
  <si>
    <t>2019 유노의 요리 수행 1</t>
    <phoneticPr fontId="7" type="noConversion"/>
  </si>
  <si>
    <t>2019 유노의 요리 수행 2</t>
    <phoneticPr fontId="7" type="noConversion"/>
  </si>
  <si>
    <t>2019 유노의 요리 수행 3</t>
    <phoneticPr fontId="7" type="noConversion"/>
  </si>
  <si>
    <t>2019 유노의 요리 수행 4</t>
    <phoneticPr fontId="7" type="noConversion"/>
  </si>
  <si>
    <t>2019 유노의 요리 수행 5</t>
    <phoneticPr fontId="7" type="noConversion"/>
  </si>
  <si>
    <t>2019 유노의 요리 수행 6</t>
    <phoneticPr fontId="7" type="noConversion"/>
  </si>
  <si>
    <t>2019 유노의 요리 수행</t>
    <phoneticPr fontId="7" type="noConversion"/>
  </si>
  <si>
    <t>800075</t>
    <phoneticPr fontId="7" type="noConversion"/>
  </si>
  <si>
    <t>800078</t>
    <phoneticPr fontId="7" type="noConversion"/>
  </si>
  <si>
    <t>800079</t>
    <phoneticPr fontId="7" type="noConversion"/>
  </si>
  <si>
    <t>800080</t>
    <phoneticPr fontId="7" type="noConversion"/>
  </si>
  <si>
    <t>Chapter3.Field1_3D</t>
    <phoneticPr fontId="7" type="noConversion"/>
  </si>
  <si>
    <t>Chapter2.Field1_3D</t>
    <phoneticPr fontId="7" type="noConversion"/>
  </si>
  <si>
    <t>Chapter5.Field1_3D</t>
    <phoneticPr fontId="7" type="noConversion"/>
  </si>
  <si>
    <t>카인 시련의 방</t>
  </si>
  <si>
    <t>카인 1성</t>
  </si>
  <si>
    <t>카인 2성</t>
  </si>
  <si>
    <t>카인 3성</t>
  </si>
  <si>
    <t>카인 4성</t>
  </si>
  <si>
    <t>카인 5성</t>
  </si>
  <si>
    <t>카인 1초월</t>
  </si>
  <si>
    <t>카인 2초월</t>
  </si>
  <si>
    <t>카인 3초월</t>
  </si>
  <si>
    <t>카인 4초월</t>
  </si>
  <si>
    <t>카인 5초월</t>
  </si>
  <si>
    <t>신왕의 시련</t>
    <phoneticPr fontId="7" type="noConversion"/>
  </si>
  <si>
    <t>이메트 1단계</t>
    <phoneticPr fontId="7" type="noConversion"/>
  </si>
  <si>
    <t>GodkingTrial</t>
    <phoneticPr fontId="7" type="noConversion"/>
  </si>
  <si>
    <t>이메트 2단계</t>
  </si>
  <si>
    <t>이메트 3단계</t>
  </si>
  <si>
    <t>이메트 4단계</t>
  </si>
  <si>
    <t>이메트 5단계</t>
  </si>
  <si>
    <t>므사마 1단계</t>
    <phoneticPr fontId="7" type="noConversion"/>
  </si>
  <si>
    <t>므사마 2단계</t>
  </si>
  <si>
    <t>므사마 3단계</t>
  </si>
  <si>
    <t>므사마 4단계</t>
  </si>
  <si>
    <t>므사마 5단계</t>
  </si>
  <si>
    <t>세크마하 1단계</t>
    <phoneticPr fontId="7" type="noConversion"/>
  </si>
  <si>
    <t>세크마하 2단계</t>
  </si>
  <si>
    <t>세크마하 3단계</t>
  </si>
  <si>
    <t>세크마하 4단계</t>
  </si>
  <si>
    <t>세크마하 5단계</t>
  </si>
  <si>
    <t>이메트 6단계</t>
    <phoneticPr fontId="7" type="noConversion"/>
  </si>
  <si>
    <t>이메트 7단계</t>
    <phoneticPr fontId="7" type="noConversion"/>
  </si>
  <si>
    <t>므사마 6단계</t>
    <phoneticPr fontId="7" type="noConversion"/>
  </si>
  <si>
    <t>므사마 7단계</t>
    <phoneticPr fontId="7" type="noConversion"/>
  </si>
  <si>
    <t>세크마하 6단계</t>
    <phoneticPr fontId="7" type="noConversion"/>
  </si>
  <si>
    <t>세크마하 7단계</t>
    <phoneticPr fontId="7" type="noConversion"/>
  </si>
  <si>
    <t>Ascension.ImetField</t>
  </si>
  <si>
    <t>Ascension.MsamaField</t>
  </si>
  <si>
    <t>Ascension.SekmahaField</t>
  </si>
  <si>
    <t>Ascension.ImetField</t>
    <phoneticPr fontId="7" type="noConversion"/>
  </si>
  <si>
    <t>Ascension.MsamaField</t>
    <phoneticPr fontId="7" type="noConversion"/>
  </si>
  <si>
    <t>Ascension.SekmahaField</t>
    <phoneticPr fontId="7" type="noConversion"/>
  </si>
  <si>
    <t>Ascension.Imet</t>
    <phoneticPr fontId="7" type="noConversion"/>
  </si>
  <si>
    <t>Ascension.Msama</t>
    <phoneticPr fontId="7" type="noConversion"/>
  </si>
  <si>
    <t>Ascension.Sekmaha</t>
    <phoneticPr fontId="7" type="noConversion"/>
  </si>
  <si>
    <t>100000</t>
    <phoneticPr fontId="7" type="noConversion"/>
  </si>
  <si>
    <t>100001</t>
    <phoneticPr fontId="7" type="noConversion"/>
  </si>
  <si>
    <t>100002</t>
    <phoneticPr fontId="7" type="noConversion"/>
  </si>
  <si>
    <t>Battle.GodkingBattleBGM</t>
    <phoneticPr fontId="7" type="noConversion"/>
  </si>
  <si>
    <t>신왕의 시련 이메트</t>
    <phoneticPr fontId="7" type="noConversion"/>
  </si>
  <si>
    <t>신왕의 시련 므사마</t>
    <phoneticPr fontId="7" type="noConversion"/>
  </si>
  <si>
    <t>신왕의 시련 세크마하</t>
    <phoneticPr fontId="7" type="noConversion"/>
  </si>
  <si>
    <t>1단계</t>
    <phoneticPr fontId="7" type="noConversion"/>
  </si>
  <si>
    <t>2단계</t>
    <phoneticPr fontId="7" type="noConversion"/>
  </si>
  <si>
    <t>3단계</t>
  </si>
  <si>
    <t>4단계</t>
  </si>
  <si>
    <t>5단계</t>
  </si>
  <si>
    <t>6단계</t>
  </si>
  <si>
    <t>7단계</t>
  </si>
  <si>
    <t>30010</t>
  </si>
  <si>
    <t>2018 할로윈1</t>
  </si>
  <si>
    <t>이벤트 던전</t>
  </si>
  <si>
    <t>2018 할로윈</t>
  </si>
  <si>
    <t>3000401</t>
  </si>
  <si>
    <t>3000402</t>
  </si>
  <si>
    <t>3000403</t>
  </si>
  <si>
    <t>2018 할로윈2</t>
  </si>
  <si>
    <t>2018 할로윈3</t>
  </si>
  <si>
    <t>2018 할로윈4</t>
  </si>
  <si>
    <t>2018 할로윈5</t>
  </si>
  <si>
    <t>2018 할로윈6</t>
  </si>
  <si>
    <t>3000411</t>
  </si>
  <si>
    <t>3000412</t>
  </si>
  <si>
    <t>3000413</t>
  </si>
  <si>
    <t>3000414</t>
  </si>
  <si>
    <t>2018 할로윈7</t>
  </si>
  <si>
    <t>EventDungeon2</t>
  </si>
  <si>
    <t>3000421</t>
  </si>
  <si>
    <t>3000422</t>
  </si>
  <si>
    <t>3000423</t>
  </si>
  <si>
    <t>3000424</t>
  </si>
  <si>
    <t>레하트나 시련의 방</t>
    <phoneticPr fontId="7" type="noConversion"/>
  </si>
  <si>
    <t>레하트나 1초월</t>
    <phoneticPr fontId="7" type="noConversion"/>
  </si>
  <si>
    <t>레하트나 2초월</t>
    <phoneticPr fontId="7" type="noConversion"/>
  </si>
  <si>
    <t>레하트나 3초월</t>
  </si>
  <si>
    <t>레하트나 4초월</t>
  </si>
  <si>
    <t>레하트나 5초월</t>
  </si>
  <si>
    <t>48</t>
    <phoneticPr fontId="7" type="noConversion"/>
  </si>
  <si>
    <t>101481</t>
    <phoneticPr fontId="7" type="noConversion"/>
  </si>
  <si>
    <t>101482</t>
    <phoneticPr fontId="7" type="noConversion"/>
  </si>
  <si>
    <t>101483</t>
    <phoneticPr fontId="7" type="noConversion"/>
  </si>
  <si>
    <t>101484</t>
    <phoneticPr fontId="7" type="noConversion"/>
  </si>
  <si>
    <t>101485</t>
    <phoneticPr fontId="7" type="noConversion"/>
  </si>
  <si>
    <t>레하트나 1성</t>
    <phoneticPr fontId="7" type="noConversion"/>
  </si>
  <si>
    <t>레하트나 2성</t>
    <phoneticPr fontId="7" type="noConversion"/>
  </si>
  <si>
    <t>레하트나 3성</t>
  </si>
  <si>
    <t>레하트나 4성</t>
  </si>
  <si>
    <t>레하트나 5성</t>
  </si>
  <si>
    <t>100483</t>
    <phoneticPr fontId="7" type="noConversion"/>
  </si>
  <si>
    <t>100484</t>
    <phoneticPr fontId="7" type="noConversion"/>
  </si>
  <si>
    <t>100485</t>
    <phoneticPr fontId="7" type="noConversion"/>
  </si>
  <si>
    <t>30028</t>
    <phoneticPr fontId="7" type="noConversion"/>
  </si>
  <si>
    <t>2019 할로윈 스토리 1</t>
    <phoneticPr fontId="7" type="noConversion"/>
  </si>
  <si>
    <t>2019 할로윈 스토리</t>
    <phoneticPr fontId="7" type="noConversion"/>
  </si>
  <si>
    <t>800083</t>
    <phoneticPr fontId="7" type="noConversion"/>
  </si>
  <si>
    <t>800081</t>
  </si>
  <si>
    <t>800084</t>
    <phoneticPr fontId="7" type="noConversion"/>
  </si>
  <si>
    <t>800082</t>
    <phoneticPr fontId="7" type="noConversion"/>
  </si>
  <si>
    <t>2019 할로윈 스토리 2</t>
    <phoneticPr fontId="7" type="noConversion"/>
  </si>
  <si>
    <t>800083</t>
  </si>
  <si>
    <t>2019 할로윈 스토리 3</t>
    <phoneticPr fontId="7" type="noConversion"/>
  </si>
  <si>
    <t>2019 할로윈 스토리 4</t>
    <phoneticPr fontId="7" type="noConversion"/>
  </si>
  <si>
    <t>2019 할로윈 스토리 5</t>
    <phoneticPr fontId="7" type="noConversion"/>
  </si>
  <si>
    <t>2019 할로윈 스토리 6</t>
    <phoneticPr fontId="7" type="noConversion"/>
  </si>
  <si>
    <t>2019 할로윈 특별 1</t>
    <phoneticPr fontId="7" type="noConversion"/>
  </si>
  <si>
    <t>2019 할로윈 특별</t>
    <phoneticPr fontId="7" type="noConversion"/>
  </si>
  <si>
    <t>19HalloweenSpecial1</t>
    <phoneticPr fontId="7" type="noConversion"/>
  </si>
  <si>
    <t>800086</t>
    <phoneticPr fontId="7" type="noConversion"/>
  </si>
  <si>
    <t>800085</t>
  </si>
  <si>
    <t>2019 할로윈 특별 2</t>
    <phoneticPr fontId="7" type="noConversion"/>
  </si>
  <si>
    <t>19HalloweenSpecial2</t>
  </si>
  <si>
    <t>800086</t>
  </si>
  <si>
    <t>2019 할로윈 특별 3</t>
    <phoneticPr fontId="7" type="noConversion"/>
  </si>
  <si>
    <t>19HalloweenSpecial3</t>
  </si>
  <si>
    <t>2019 할로윈 특별 4</t>
    <phoneticPr fontId="7" type="noConversion"/>
  </si>
  <si>
    <t>19HalloweenSpecial4</t>
  </si>
  <si>
    <t>이메트 8단계</t>
    <phoneticPr fontId="7" type="noConversion"/>
  </si>
  <si>
    <t>8단계</t>
    <phoneticPr fontId="7" type="noConversion"/>
  </si>
  <si>
    <t>60108</t>
    <phoneticPr fontId="7" type="noConversion"/>
  </si>
  <si>
    <t>므사마 8단계</t>
    <phoneticPr fontId="7" type="noConversion"/>
  </si>
  <si>
    <t>60208</t>
    <phoneticPr fontId="7" type="noConversion"/>
  </si>
  <si>
    <t>세크마하 8단계</t>
    <phoneticPr fontId="7" type="noConversion"/>
  </si>
  <si>
    <t>60308</t>
    <phoneticPr fontId="7" type="noConversion"/>
  </si>
  <si>
    <t>Event.HalloweenField2_3D</t>
    <phoneticPr fontId="7" type="noConversion"/>
  </si>
  <si>
    <t>2019Halloween</t>
    <phoneticPr fontId="7" type="noConversion"/>
  </si>
  <si>
    <t>30029</t>
    <phoneticPr fontId="7" type="noConversion"/>
  </si>
  <si>
    <t>1000일 기념 이벤트</t>
    <phoneticPr fontId="7" type="noConversion"/>
  </si>
  <si>
    <t>1000일 이벤트 스토리</t>
    <phoneticPr fontId="7" type="noConversion"/>
  </si>
  <si>
    <t>1000일 이벤트 특별</t>
    <phoneticPr fontId="7" type="noConversion"/>
  </si>
  <si>
    <t>1000Days</t>
    <phoneticPr fontId="7" type="noConversion"/>
  </si>
  <si>
    <t>900080</t>
    <phoneticPr fontId="7" type="noConversion"/>
  </si>
  <si>
    <t>900079</t>
    <phoneticPr fontId="7" type="noConversion"/>
  </si>
  <si>
    <t>900081</t>
    <phoneticPr fontId="7" type="noConversion"/>
  </si>
  <si>
    <t>900082</t>
  </si>
  <si>
    <t>900083</t>
  </si>
  <si>
    <t>Substory.Priscilla.Field1</t>
    <phoneticPr fontId="7" type="noConversion"/>
  </si>
  <si>
    <t>Orveltown.DayField1</t>
    <phoneticPr fontId="7" type="noConversion"/>
  </si>
  <si>
    <t>EntryMenu.StockadeBGM</t>
    <phoneticPr fontId="7" type="noConversion"/>
  </si>
  <si>
    <t>EntryMenu.HeroInnBGM</t>
    <phoneticPr fontId="7" type="noConversion"/>
  </si>
  <si>
    <t>EntryMenu.RoyalShopBGM</t>
    <phoneticPr fontId="7" type="noConversion"/>
  </si>
  <si>
    <t>EntryMenu.HallBGM</t>
    <phoneticPr fontId="7" type="noConversion"/>
  </si>
  <si>
    <t>EntryMenu.ArenaShopBGM</t>
    <phoneticPr fontId="7" type="noConversion"/>
  </si>
  <si>
    <t>EntryMenu.NormalShopBGM</t>
    <phoneticPr fontId="7" type="noConversion"/>
  </si>
  <si>
    <t>EntryMenu.BlackSmithBGM</t>
    <phoneticPr fontId="7" type="noConversion"/>
  </si>
  <si>
    <t>97</t>
    <phoneticPr fontId="7" type="noConversion"/>
  </si>
  <si>
    <t>월드보스 행사용 마운틴포트리스</t>
    <phoneticPr fontId="7" type="noConversion"/>
  </si>
  <si>
    <t>30030</t>
    <phoneticPr fontId="7" type="noConversion"/>
  </si>
  <si>
    <t>운명의 빛 이벤트</t>
    <phoneticPr fontId="7" type="noConversion"/>
  </si>
  <si>
    <t>운명의 빛 이벤트 스토리</t>
    <phoneticPr fontId="7" type="noConversion"/>
  </si>
  <si>
    <t>운명의 빛 이벤트 특별</t>
    <phoneticPr fontId="7" type="noConversion"/>
  </si>
  <si>
    <t>DestinyLightSpecial1</t>
    <phoneticPr fontId="7" type="noConversion"/>
  </si>
  <si>
    <t>DestinyLightSpecial2</t>
    <phoneticPr fontId="7" type="noConversion"/>
  </si>
  <si>
    <t>DestinyLightSpecial3</t>
    <phoneticPr fontId="7" type="noConversion"/>
  </si>
  <si>
    <t>DestinyLight</t>
    <phoneticPr fontId="7" type="noConversion"/>
  </si>
  <si>
    <t>900085</t>
    <phoneticPr fontId="7" type="noConversion"/>
  </si>
  <si>
    <t>Chapter1.Field1_3D_1</t>
  </si>
  <si>
    <t>Transcendence.Field1</t>
  </si>
  <si>
    <t>30031</t>
    <phoneticPr fontId="7" type="noConversion"/>
  </si>
  <si>
    <t>영웅 특별 던전 - 판시로네</t>
    <phoneticPr fontId="7" type="noConversion"/>
  </si>
  <si>
    <t>영웅 특별 던전 - 판시로네</t>
    <phoneticPr fontId="7" type="noConversion"/>
  </si>
  <si>
    <t>1</t>
    <phoneticPr fontId="7" type="noConversion"/>
  </si>
  <si>
    <t>72</t>
    <phoneticPr fontId="7" type="noConversion"/>
  </si>
  <si>
    <t>판시로네 시련의 방</t>
  </si>
  <si>
    <t>판시로네 1성</t>
  </si>
  <si>
    <t>판시로네 2성</t>
  </si>
  <si>
    <t>판시로네 3성</t>
  </si>
  <si>
    <t>판시로네 4성</t>
  </si>
  <si>
    <t>판시로네 5성</t>
  </si>
  <si>
    <t>판시로네 1초월</t>
  </si>
  <si>
    <t>판시로네 2초월</t>
  </si>
  <si>
    <t>판시로네 3초월</t>
  </si>
  <si>
    <t>판시로네 4초월</t>
  </si>
  <si>
    <t>판시로네 5초월</t>
  </si>
  <si>
    <t>HeroDungeon</t>
    <phoneticPr fontId="7" type="noConversion"/>
  </si>
  <si>
    <t>Chapter1.Field2_3D</t>
    <phoneticPr fontId="7" type="noConversion"/>
  </si>
  <si>
    <t>BGM2.Battle.Chapter9.Ruin</t>
  </si>
  <si>
    <t>BattleBGM.3_2</t>
  </si>
  <si>
    <t>HeroDungeon_Pancironne</t>
    <phoneticPr fontId="7" type="noConversion"/>
  </si>
  <si>
    <t>ChallengeRaidSingle</t>
    <phoneticPr fontId="7" type="noConversion"/>
  </si>
  <si>
    <t>30032</t>
    <phoneticPr fontId="20" type="noConversion"/>
  </si>
  <si>
    <t>2019 크리스마스 이벤트</t>
    <phoneticPr fontId="7" type="noConversion"/>
  </si>
  <si>
    <t>900106</t>
    <phoneticPr fontId="7" type="noConversion"/>
  </si>
  <si>
    <t>900101</t>
    <phoneticPr fontId="20" type="noConversion"/>
  </si>
  <si>
    <t>900107</t>
    <phoneticPr fontId="7" type="noConversion"/>
  </si>
  <si>
    <t>900102</t>
    <phoneticPr fontId="7" type="noConversion"/>
  </si>
  <si>
    <t>2019 크리스마스 이벤트 - 뜻밖의 선물 던전</t>
    <phoneticPr fontId="7" type="noConversion"/>
  </si>
  <si>
    <t>900108</t>
    <phoneticPr fontId="7" type="noConversion"/>
  </si>
  <si>
    <t>900103</t>
    <phoneticPr fontId="20" type="noConversion"/>
  </si>
  <si>
    <t>900109</t>
    <phoneticPr fontId="7" type="noConversion"/>
  </si>
  <si>
    <t>900104</t>
    <phoneticPr fontId="20" type="noConversion"/>
  </si>
  <si>
    <t>900110</t>
    <phoneticPr fontId="7" type="noConversion"/>
  </si>
  <si>
    <t>900105</t>
    <phoneticPr fontId="20" type="noConversion"/>
  </si>
  <si>
    <t>2019 크리스마스 이벤트 -특별던전</t>
    <phoneticPr fontId="7" type="noConversion"/>
  </si>
  <si>
    <t>EventDungeonGoldKey</t>
    <phoneticPr fontId="7" type="noConversion"/>
  </si>
  <si>
    <t>Campaign</t>
    <phoneticPr fontId="20" type="noConversion"/>
  </si>
  <si>
    <t>30033</t>
    <phoneticPr fontId="20" type="noConversion"/>
  </si>
  <si>
    <t>1</t>
    <phoneticPr fontId="7" type="noConversion"/>
  </si>
  <si>
    <t>100</t>
    <phoneticPr fontId="7" type="noConversion"/>
  </si>
  <si>
    <t>Event.ChristmasField2_3D</t>
    <phoneticPr fontId="7" type="noConversion"/>
  </si>
  <si>
    <t>Event.Christmas2019BGM</t>
    <phoneticPr fontId="7" type="noConversion"/>
  </si>
  <si>
    <t>Event.Christmas2019BGM</t>
  </si>
  <si>
    <t>Chapter6.Field2_3D</t>
    <phoneticPr fontId="7" type="noConversion"/>
  </si>
  <si>
    <t>DailyEnterMaxCount</t>
    <phoneticPr fontId="7" type="noConversion"/>
  </si>
  <si>
    <t>19Christmas</t>
    <phoneticPr fontId="20" type="noConversion"/>
  </si>
  <si>
    <t>900111</t>
    <phoneticPr fontId="7" type="noConversion"/>
  </si>
  <si>
    <t>IsExceededEntryChapter</t>
    <phoneticPr fontId="7" type="noConversion"/>
  </si>
  <si>
    <t>True</t>
    <phoneticPr fontId="7" type="noConversion"/>
  </si>
  <si>
    <t>IsFirstConsumeStamina</t>
    <phoneticPr fontId="7" type="noConversion"/>
  </si>
  <si>
    <t>True</t>
    <phoneticPr fontId="7" type="noConversion"/>
  </si>
  <si>
    <t>키베라 시련의 방</t>
  </si>
  <si>
    <t>키베라 1성</t>
  </si>
  <si>
    <t>키베라 2성</t>
  </si>
  <si>
    <t>키베라 3성</t>
  </si>
  <si>
    <t>키베라 4성</t>
  </si>
  <si>
    <t>키베라 5성</t>
  </si>
  <si>
    <t>키베라 1초월</t>
  </si>
  <si>
    <t>키베라 2초월</t>
  </si>
  <si>
    <t>키베라 3초월</t>
  </si>
  <si>
    <t>키베라 4초월</t>
  </si>
  <si>
    <t>키베라 5초월</t>
  </si>
  <si>
    <t>74</t>
    <phoneticPr fontId="7" type="noConversion"/>
  </si>
  <si>
    <t>오펠리아</t>
    <phoneticPr fontId="7" type="noConversion"/>
  </si>
  <si>
    <t>100049</t>
    <phoneticPr fontId="7" type="noConversion"/>
  </si>
  <si>
    <t>49-1</t>
    <phoneticPr fontId="7" type="noConversion"/>
  </si>
  <si>
    <t>오펠리아 1</t>
    <phoneticPr fontId="7" type="noConversion"/>
  </si>
  <si>
    <t>49-2</t>
  </si>
  <si>
    <t>오펠리아 2</t>
  </si>
  <si>
    <t>49-3</t>
  </si>
  <si>
    <t>오펠리아 3</t>
  </si>
  <si>
    <t>49-4</t>
  </si>
  <si>
    <t>Event.HalloweenScenarioBGM</t>
    <phoneticPr fontId="7" type="noConversion"/>
  </si>
  <si>
    <t>오펠리아 4</t>
  </si>
  <si>
    <t>49-5</t>
  </si>
  <si>
    <t>오펠리아 5</t>
  </si>
  <si>
    <t>49-6</t>
  </si>
  <si>
    <t>오펠리아 6</t>
  </si>
  <si>
    <t>49-7</t>
  </si>
  <si>
    <t>오펠리아 7</t>
  </si>
  <si>
    <t>49-8</t>
  </si>
  <si>
    <t>오펠리아 8</t>
  </si>
  <si>
    <t>49-9</t>
  </si>
  <si>
    <t>오펠리아 9</t>
  </si>
  <si>
    <t>49-10</t>
  </si>
  <si>
    <t>오펠리아 10</t>
  </si>
  <si>
    <t>49-11</t>
  </si>
  <si>
    <t>오펠리아 11</t>
  </si>
  <si>
    <t>49-12</t>
  </si>
  <si>
    <t>오펠리아 12</t>
  </si>
  <si>
    <t>49-13</t>
  </si>
  <si>
    <t>오펠리아 13</t>
  </si>
  <si>
    <t>49-14</t>
  </si>
  <si>
    <t>오펠리아 14</t>
  </si>
  <si>
    <t>서브  스칼렛1</t>
    <phoneticPr fontId="7" type="noConversion"/>
  </si>
  <si>
    <t>스칼렛 1</t>
    <phoneticPr fontId="7" type="noConversion"/>
  </si>
  <si>
    <t>서브  스칼렛2</t>
    <phoneticPr fontId="7" type="noConversion"/>
  </si>
  <si>
    <t>스칼렛 2</t>
    <phoneticPr fontId="7" type="noConversion"/>
  </si>
  <si>
    <t>도전노드</t>
    <phoneticPr fontId="7" type="noConversion"/>
  </si>
  <si>
    <t>도전</t>
    <phoneticPr fontId="7" type="noConversion"/>
  </si>
  <si>
    <t>49</t>
    <phoneticPr fontId="7" type="noConversion"/>
  </si>
  <si>
    <t>17</t>
    <phoneticPr fontId="7" type="noConversion"/>
  </si>
  <si>
    <t>Substory.Ophelia.Field1</t>
    <phoneticPr fontId="7" type="noConversion"/>
  </si>
  <si>
    <t>1400001</t>
    <phoneticPr fontId="7" type="noConversion"/>
  </si>
  <si>
    <t>1400002</t>
  </si>
  <si>
    <t>1400003</t>
  </si>
  <si>
    <t>1400004</t>
  </si>
  <si>
    <t>1400005</t>
  </si>
  <si>
    <t>1400006</t>
  </si>
  <si>
    <t>1400007</t>
  </si>
  <si>
    <t>1400008</t>
  </si>
  <si>
    <t>1400009</t>
  </si>
  <si>
    <t>1430001</t>
    <phoneticPr fontId="7" type="noConversion"/>
  </si>
  <si>
    <t>1430002</t>
    <phoneticPr fontId="7" type="noConversion"/>
  </si>
  <si>
    <t>1430003</t>
  </si>
  <si>
    <t>1430004</t>
  </si>
  <si>
    <t>1430005</t>
  </si>
  <si>
    <t>1440001</t>
    <phoneticPr fontId="7" type="noConversion"/>
  </si>
  <si>
    <t>1440002</t>
    <phoneticPr fontId="7" type="noConversion"/>
  </si>
  <si>
    <t>1440003</t>
  </si>
  <si>
    <t>1440004</t>
  </si>
  <si>
    <t>1440005</t>
  </si>
  <si>
    <t>1440006</t>
  </si>
  <si>
    <t>1440007</t>
  </si>
  <si>
    <t>1440008</t>
    <phoneticPr fontId="7" type="noConversion"/>
  </si>
  <si>
    <t>1170001</t>
    <phoneticPr fontId="7" type="noConversion"/>
  </si>
  <si>
    <t>1170002</t>
  </si>
  <si>
    <t>1170003</t>
  </si>
  <si>
    <t>1170004</t>
  </si>
  <si>
    <t>1170005</t>
  </si>
  <si>
    <t>1170006</t>
  </si>
  <si>
    <t>1170007</t>
  </si>
  <si>
    <t>1170008</t>
  </si>
  <si>
    <t>1170009</t>
  </si>
  <si>
    <t>1170010</t>
  </si>
  <si>
    <t>1160001</t>
    <phoneticPr fontId="7" type="noConversion"/>
  </si>
  <si>
    <t>1160002</t>
  </si>
  <si>
    <t>1160003</t>
  </si>
  <si>
    <t>1160004</t>
  </si>
  <si>
    <t>1160005</t>
  </si>
  <si>
    <t>1160006</t>
  </si>
  <si>
    <t>1160007</t>
  </si>
  <si>
    <t>1160008</t>
  </si>
  <si>
    <t>1160009</t>
  </si>
  <si>
    <t>1160010</t>
  </si>
  <si>
    <t>1520001</t>
    <phoneticPr fontId="7" type="noConversion"/>
  </si>
  <si>
    <t>1520002</t>
  </si>
  <si>
    <t>1520003</t>
  </si>
  <si>
    <t>1520004</t>
  </si>
  <si>
    <t>1520005</t>
  </si>
  <si>
    <t>1520006</t>
  </si>
  <si>
    <t>1520007</t>
  </si>
  <si>
    <t>1520008</t>
  </si>
  <si>
    <t>1520009</t>
  </si>
  <si>
    <t>1520010</t>
  </si>
  <si>
    <t>1520011</t>
  </si>
  <si>
    <t>1520012</t>
  </si>
  <si>
    <t>1520013</t>
  </si>
  <si>
    <t>1520014</t>
  </si>
  <si>
    <t>1520015</t>
  </si>
  <si>
    <t>1490001</t>
    <phoneticPr fontId="7" type="noConversion"/>
  </si>
  <si>
    <t>1490002</t>
  </si>
  <si>
    <t>1490003</t>
  </si>
  <si>
    <t>1490004</t>
  </si>
  <si>
    <t>1490005</t>
  </si>
  <si>
    <t>1490006</t>
  </si>
  <si>
    <t>1490007</t>
  </si>
  <si>
    <t>1490008</t>
  </si>
  <si>
    <t>1490009</t>
  </si>
  <si>
    <t>1490010</t>
  </si>
  <si>
    <t>1490011</t>
  </si>
  <si>
    <t>1490012</t>
  </si>
  <si>
    <t>1490013</t>
  </si>
  <si>
    <t>1490014</t>
    <phoneticPr fontId="7" type="noConversion"/>
  </si>
  <si>
    <t>1400010</t>
    <phoneticPr fontId="7" type="noConversion"/>
  </si>
  <si>
    <t>TRUE</t>
    <phoneticPr fontId="7" type="noConversion"/>
  </si>
  <si>
    <t>TRUE</t>
    <phoneticPr fontId="7" type="noConversion"/>
  </si>
  <si>
    <t>Campaign_SubStoryBoss_OP</t>
  </si>
  <si>
    <t>1490015</t>
  </si>
  <si>
    <t>1490016</t>
  </si>
  <si>
    <t>SubStory7</t>
    <phoneticPr fontId="7" type="noConversion"/>
  </si>
  <si>
    <t>30034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</si>
  <si>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</si>
  <si>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</si>
  <si>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</si>
  <si>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2020 발렌타인 이벤트</t>
    <phoneticPr fontId="7" type="noConversion"/>
  </si>
  <si>
    <t>Chapter1.Field2_3D</t>
    <phoneticPr fontId="7" type="noConversion"/>
  </si>
  <si>
    <t>Event.SummerDayBGM</t>
    <phoneticPr fontId="7" type="noConversion"/>
  </si>
  <si>
    <t>900114</t>
    <phoneticPr fontId="7" type="noConversion"/>
  </si>
  <si>
    <t>900113</t>
    <phoneticPr fontId="20" type="noConversion"/>
  </si>
  <si>
    <t>900116</t>
    <phoneticPr fontId="7" type="noConversion"/>
  </si>
  <si>
    <t>900117</t>
    <phoneticPr fontId="7" type="noConversion"/>
  </si>
  <si>
    <t>FirstClearRewardIndex_Easy</t>
    <phoneticPr fontId="7" type="noConversion"/>
  </si>
  <si>
    <t xml:space="preserve"> </t>
    <phoneticPr fontId="7" type="noConversion"/>
  </si>
  <si>
    <t>&lt;지하감옥 창고&gt;</t>
    <phoneticPr fontId="7" type="noConversion"/>
  </si>
  <si>
    <t>6</t>
    <phoneticPr fontId="7" type="noConversion"/>
  </si>
  <si>
    <t>1</t>
    <phoneticPr fontId="7" type="noConversion"/>
  </si>
  <si>
    <t>5</t>
    <phoneticPr fontId="7" type="noConversion"/>
  </si>
  <si>
    <t>파편 던전 1</t>
    <phoneticPr fontId="7" type="noConversion"/>
  </si>
  <si>
    <t>파편 던전 2</t>
  </si>
  <si>
    <t>파편 던전 3</t>
  </si>
  <si>
    <t>파편 던전 4</t>
  </si>
  <si>
    <t>파편 던전 5</t>
  </si>
  <si>
    <t>파편 던전 6</t>
  </si>
  <si>
    <t>기술서 던전 1</t>
    <phoneticPr fontId="7" type="noConversion"/>
  </si>
  <si>
    <t>기술서 던전 2</t>
  </si>
  <si>
    <t>기술서 던전 3</t>
  </si>
  <si>
    <t>기술서 던전 4</t>
  </si>
  <si>
    <t>기술서 던전 5</t>
  </si>
  <si>
    <t>기술서 던전 6</t>
  </si>
  <si>
    <t>경험치 던전 1</t>
    <phoneticPr fontId="7" type="noConversion"/>
  </si>
  <si>
    <t>경험치 던전 2</t>
  </si>
  <si>
    <t>경험치 던전 3</t>
  </si>
  <si>
    <t>경험치 던전 4</t>
  </si>
  <si>
    <t>경험치 던전 5</t>
  </si>
  <si>
    <t>경험치 던전 6</t>
  </si>
  <si>
    <t>골드 던전 1</t>
    <phoneticPr fontId="7" type="noConversion"/>
  </si>
  <si>
    <t>골드 던전 2</t>
  </si>
  <si>
    <t>골드 던전 3</t>
  </si>
  <si>
    <t>골드 던전 4</t>
  </si>
  <si>
    <t>골드 던전 5</t>
  </si>
  <si>
    <t>골드 던전 6</t>
  </si>
  <si>
    <t>UnderPrison</t>
  </si>
  <si>
    <t>지하감옥 창고</t>
    <phoneticPr fontId="7" type="noConversion"/>
  </si>
  <si>
    <t>테일리 시련의 방</t>
    <phoneticPr fontId="7" type="noConversion"/>
  </si>
  <si>
    <t>테일리 1성</t>
    <phoneticPr fontId="7" type="noConversion"/>
  </si>
  <si>
    <t>테일리 2성</t>
  </si>
  <si>
    <t>테일리 3성</t>
  </si>
  <si>
    <t>100763</t>
    <phoneticPr fontId="7" type="noConversion"/>
  </si>
  <si>
    <t>테일리 4성</t>
  </si>
  <si>
    <t>100764</t>
    <phoneticPr fontId="7" type="noConversion"/>
  </si>
  <si>
    <t>테일리 5성</t>
  </si>
  <si>
    <t>100765</t>
    <phoneticPr fontId="7" type="noConversion"/>
  </si>
  <si>
    <t>테일리 1초월</t>
    <phoneticPr fontId="7" type="noConversion"/>
  </si>
  <si>
    <t>101761</t>
    <phoneticPr fontId="7" type="noConversion"/>
  </si>
  <si>
    <t>테일리 2초월</t>
    <phoneticPr fontId="7" type="noConversion"/>
  </si>
  <si>
    <t>101762</t>
    <phoneticPr fontId="7" type="noConversion"/>
  </si>
  <si>
    <t>테일리 3초월</t>
    <phoneticPr fontId="7" type="noConversion"/>
  </si>
  <si>
    <t>101763</t>
    <phoneticPr fontId="7" type="noConversion"/>
  </si>
  <si>
    <t>테일리 4초월</t>
    <phoneticPr fontId="7" type="noConversion"/>
  </si>
  <si>
    <t>101764</t>
    <phoneticPr fontId="7" type="noConversion"/>
  </si>
  <si>
    <t>테일리 5초월</t>
    <phoneticPr fontId="7" type="noConversion"/>
  </si>
  <si>
    <t>101765</t>
    <phoneticPr fontId="7" type="noConversion"/>
  </si>
  <si>
    <t>Arena3</t>
    <phoneticPr fontId="7" type="noConversion"/>
  </si>
  <si>
    <t>8001001</t>
  </si>
  <si>
    <t>8001002</t>
  </si>
  <si>
    <t>8001003</t>
  </si>
  <si>
    <t>8001004</t>
  </si>
  <si>
    <t>8001005</t>
  </si>
  <si>
    <t>8001006</t>
  </si>
  <si>
    <t>8001011</t>
  </si>
  <si>
    <t>8001012</t>
  </si>
  <si>
    <t>8001013</t>
  </si>
  <si>
    <t>8001014</t>
  </si>
  <si>
    <t>8001015</t>
  </si>
  <si>
    <t>8001016</t>
  </si>
  <si>
    <t>샤크메 일반노드 1</t>
    <phoneticPr fontId="7" type="noConversion"/>
  </si>
  <si>
    <t>샤크메 일반노드</t>
    <phoneticPr fontId="7" type="noConversion"/>
  </si>
  <si>
    <t>샤크메-1</t>
    <phoneticPr fontId="7" type="noConversion"/>
  </si>
  <si>
    <t>Shakmeh_Normal</t>
    <phoneticPr fontId="7" type="noConversion"/>
  </si>
  <si>
    <t>샤크메 일반노드 2</t>
  </si>
  <si>
    <t>샤크메-2</t>
    <phoneticPr fontId="7" type="noConversion"/>
  </si>
  <si>
    <t>샤크메 일반노드 3</t>
  </si>
  <si>
    <t>샤크메-3</t>
    <phoneticPr fontId="7" type="noConversion"/>
  </si>
  <si>
    <t>샤크메 일반노드 4</t>
  </si>
  <si>
    <t>샤크메-4</t>
    <phoneticPr fontId="7" type="noConversion"/>
  </si>
  <si>
    <t>샤크메 일반노드 5</t>
  </si>
  <si>
    <t>샤크메-5</t>
    <phoneticPr fontId="7" type="noConversion"/>
  </si>
  <si>
    <t>샤크메 일반노드 6</t>
  </si>
  <si>
    <t>샤크메-6</t>
  </si>
  <si>
    <t>샤크메 일반노드 7</t>
  </si>
  <si>
    <t>샤크메-7</t>
  </si>
  <si>
    <t>샤크메 일반노드 8</t>
  </si>
  <si>
    <t>샤크메-8</t>
  </si>
  <si>
    <t>샤크메 일반노드 9</t>
  </si>
  <si>
    <t>샤크메-9</t>
  </si>
  <si>
    <t>샤크메 제라노드 10</t>
    <phoneticPr fontId="7" type="noConversion"/>
  </si>
  <si>
    <t>MiddleBossShakmeh</t>
    <phoneticPr fontId="7" type="noConversion"/>
  </si>
  <si>
    <t>제라 노드</t>
    <phoneticPr fontId="7" type="noConversion"/>
  </si>
  <si>
    <t>샤크메-제라</t>
    <phoneticPr fontId="7" type="noConversion"/>
  </si>
  <si>
    <t>Shakmeh</t>
  </si>
  <si>
    <t>샤크메 중간보스</t>
    <phoneticPr fontId="7" type="noConversion"/>
  </si>
  <si>
    <t>샤크메-10</t>
    <phoneticPr fontId="7" type="noConversion"/>
  </si>
  <si>
    <t>Shakmeh_MiddleBoss</t>
    <phoneticPr fontId="7" type="noConversion"/>
  </si>
  <si>
    <t>ShakmehMiddleBossKey</t>
    <phoneticPr fontId="7" type="noConversion"/>
  </si>
  <si>
    <t>WorldBoss.ShakmehField1</t>
    <phoneticPr fontId="7" type="noConversion"/>
  </si>
  <si>
    <t>FinalBossShakmeh</t>
  </si>
  <si>
    <t>샤크메 보스</t>
    <phoneticPr fontId="7" type="noConversion"/>
  </si>
  <si>
    <t>샤크메-11</t>
    <phoneticPr fontId="7" type="noConversion"/>
  </si>
  <si>
    <t>Shakmeh_FinalBoss</t>
    <phoneticPr fontId="7" type="noConversion"/>
  </si>
  <si>
    <t>Empty</t>
    <phoneticPr fontId="7" type="noConversion"/>
  </si>
  <si>
    <t>샤크메 중보스 1단계</t>
    <phoneticPr fontId="7" type="noConversion"/>
  </si>
  <si>
    <t>MiddleBossShakmeh</t>
  </si>
  <si>
    <t>Shakmeh_MiddleBoss</t>
  </si>
  <si>
    <t>ShakmehMiddleBossKey</t>
  </si>
  <si>
    <t>샤크메 중보스 2단계</t>
  </si>
  <si>
    <t>2단계</t>
  </si>
  <si>
    <t>샤크메 중보스 3단계</t>
  </si>
  <si>
    <t>샤크메 중보스 4단계</t>
  </si>
  <si>
    <t>샤크메 중보스 5단계</t>
  </si>
  <si>
    <t>샤크메 중보스 6단계</t>
  </si>
  <si>
    <t>샤크메 중보스 7단계</t>
  </si>
  <si>
    <t>샤크메 진보스 1단계</t>
    <phoneticPr fontId="7" type="noConversion"/>
  </si>
  <si>
    <t>Shakmeh_FinalBoss</t>
  </si>
  <si>
    <t>Empty</t>
  </si>
  <si>
    <t>샤크메 진보스 2단계</t>
  </si>
  <si>
    <t>샤크메 진보스 3단계</t>
  </si>
  <si>
    <t>샤크메 진보스 4단계</t>
  </si>
  <si>
    <t>샤크메 진보스 5단계</t>
  </si>
  <si>
    <t>샤크메 진보스 6단계</t>
  </si>
  <si>
    <t>샤크메 진보스 7단계</t>
  </si>
  <si>
    <t>30035</t>
    <phoneticPr fontId="7" type="noConversion"/>
  </si>
  <si>
    <t>3</t>
    <phoneticPr fontId="7" type="noConversion"/>
  </si>
  <si>
    <t>4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</si>
  <si>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</si>
  <si>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</si>
  <si>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</si>
  <si>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2020 제라 이벤트 1</t>
    <phoneticPr fontId="7" type="noConversion"/>
  </si>
  <si>
    <t>2020 제라 이벤트 2</t>
    <phoneticPr fontId="7" type="noConversion"/>
  </si>
  <si>
    <t>2020 제라 이벤트 3</t>
    <phoneticPr fontId="7" type="noConversion"/>
  </si>
  <si>
    <t>2020 제라 이벤트 4</t>
    <phoneticPr fontId="7" type="noConversion"/>
  </si>
  <si>
    <t>2020 제라 이벤트 5</t>
    <phoneticPr fontId="7" type="noConversion"/>
  </si>
  <si>
    <t>2020 제라 특별 던전 1</t>
    <phoneticPr fontId="7" type="noConversion"/>
  </si>
  <si>
    <t>2020 제라 특별 던전 2</t>
    <phoneticPr fontId="7" type="noConversion"/>
  </si>
  <si>
    <t>2020 제라 특별 던전 3</t>
    <phoneticPr fontId="7" type="noConversion"/>
  </si>
  <si>
    <t>Chapter9.Field2_3D</t>
    <phoneticPr fontId="7" type="noConversion"/>
  </si>
  <si>
    <t>Chapter9.Field4_3D</t>
    <phoneticPr fontId="7" type="noConversion"/>
  </si>
  <si>
    <t>Chapter5.Field3_3D</t>
    <phoneticPr fontId="7" type="noConversion"/>
  </si>
  <si>
    <t>Chapter4.Field3_3D</t>
    <phoneticPr fontId="7" type="noConversion"/>
  </si>
  <si>
    <t>2020Xerah</t>
    <phoneticPr fontId="7" type="noConversion"/>
  </si>
  <si>
    <t>2020XerahSpecial1</t>
    <phoneticPr fontId="7" type="noConversion"/>
  </si>
  <si>
    <t>2020XerahSpecial2</t>
    <phoneticPr fontId="7" type="noConversion"/>
  </si>
  <si>
    <t>2020XerahSpecial3</t>
    <phoneticPr fontId="7" type="noConversion"/>
  </si>
  <si>
    <t>Battle.Chapter9_Swamp</t>
    <phoneticPr fontId="7" type="noConversion"/>
  </si>
  <si>
    <t>Battle.Chapter9_Ruin</t>
    <phoneticPr fontId="7" type="noConversion"/>
  </si>
  <si>
    <t>Battle.Chapter4</t>
    <phoneticPr fontId="7" type="noConversion"/>
  </si>
  <si>
    <t>Battle.Chapter3</t>
    <phoneticPr fontId="7" type="noConversion"/>
  </si>
  <si>
    <t>Battle.EclipseBGM</t>
    <phoneticPr fontId="7" type="noConversion"/>
  </si>
  <si>
    <t>샤크메</t>
    <phoneticPr fontId="7" type="noConversion"/>
  </si>
  <si>
    <t>True</t>
    <phoneticPr fontId="7" type="noConversion"/>
  </si>
  <si>
    <t>Ascension.ImetField</t>
    <phoneticPr fontId="7" type="noConversion"/>
  </si>
  <si>
    <t>Ascension.MsamaField</t>
    <phoneticPr fontId="7" type="noConversion"/>
  </si>
  <si>
    <t>WorldBoss.ShakmehField1</t>
  </si>
  <si>
    <t>제라 시련의 방</t>
  </si>
  <si>
    <t>제라 시련의 방</t>
    <phoneticPr fontId="7" type="noConversion"/>
  </si>
  <si>
    <t>제라 1성</t>
    <phoneticPr fontId="7" type="noConversion"/>
  </si>
  <si>
    <t>제라 2성</t>
  </si>
  <si>
    <t>제라 3성</t>
  </si>
  <si>
    <t>제라 4성</t>
  </si>
  <si>
    <t>제라 5성</t>
  </si>
  <si>
    <t>제라 1초월</t>
  </si>
  <si>
    <t>제라 2초월</t>
  </si>
  <si>
    <t>제라 3초월</t>
  </si>
  <si>
    <t>제라 4초월</t>
  </si>
  <si>
    <t>제라 5초월</t>
  </si>
  <si>
    <t>Battle.GodkingBattleBGM</t>
  </si>
  <si>
    <t>20</t>
    <phoneticPr fontId="7" type="noConversion"/>
  </si>
  <si>
    <t>샤크메 서브 노드 1</t>
    <phoneticPr fontId="7" type="noConversion"/>
  </si>
  <si>
    <t>샤크메 서브 노드 2</t>
  </si>
  <si>
    <t>샤크메 서브 노드 3</t>
  </si>
  <si>
    <t>샤크메 서브 노드 4</t>
  </si>
  <si>
    <t>샤크메 서브 노드 5</t>
  </si>
  <si>
    <t>샤크메 서브 노드 6</t>
  </si>
  <si>
    <t>샤크메 서브 노드 7</t>
  </si>
  <si>
    <t>샤크메 서브 노드 8</t>
  </si>
  <si>
    <t>샤크메 서브 노드 9</t>
  </si>
  <si>
    <t>샤크메 서브 노드 10</t>
  </si>
  <si>
    <t>샤크메 서브 노드 11</t>
  </si>
  <si>
    <t>샤크메 서브 노드 12</t>
  </si>
  <si>
    <t>샤크메 서브노드</t>
    <phoneticPr fontId="7" type="noConversion"/>
  </si>
  <si>
    <t>샤크메-1-1</t>
    <phoneticPr fontId="7" type="noConversion"/>
  </si>
  <si>
    <t>샤크메-2-1</t>
    <phoneticPr fontId="7" type="noConversion"/>
  </si>
  <si>
    <t>샤크메-4-1</t>
    <phoneticPr fontId="7" type="noConversion"/>
  </si>
  <si>
    <t>샤크메-4-2</t>
    <phoneticPr fontId="7" type="noConversion"/>
  </si>
  <si>
    <t>샤크메-5-1</t>
    <phoneticPr fontId="7" type="noConversion"/>
  </si>
  <si>
    <t>샤크메-5-2</t>
    <phoneticPr fontId="7" type="noConversion"/>
  </si>
  <si>
    <t>샤크메-7-1</t>
    <phoneticPr fontId="7" type="noConversion"/>
  </si>
  <si>
    <t>샤크메-7-2</t>
    <phoneticPr fontId="7" type="noConversion"/>
  </si>
  <si>
    <t>샤크메-8-1</t>
    <phoneticPr fontId="7" type="noConversion"/>
  </si>
  <si>
    <t>샤크메-9-1</t>
    <phoneticPr fontId="7" type="noConversion"/>
  </si>
  <si>
    <t>샤크메-9-2</t>
    <phoneticPr fontId="7" type="noConversion"/>
  </si>
  <si>
    <t>샤크메-8-2</t>
    <phoneticPr fontId="7" type="noConversion"/>
  </si>
  <si>
    <t>DarkDesert.Field</t>
    <phoneticPr fontId="7" type="noConversion"/>
  </si>
  <si>
    <t>77</t>
    <phoneticPr fontId="7" type="noConversion"/>
  </si>
  <si>
    <t>16,33,42,77</t>
    <phoneticPr fontId="7" type="noConversion"/>
  </si>
  <si>
    <t>77</t>
    <phoneticPr fontId="7" type="noConversion"/>
  </si>
  <si>
    <t>1</t>
    <phoneticPr fontId="7" type="noConversion"/>
  </si>
  <si>
    <t>Eclipse.Field1</t>
    <phoneticPr fontId="7" type="noConversion"/>
  </si>
  <si>
    <t>ScenarioBattleDefine</t>
    <phoneticPr fontId="7" type="noConversion"/>
  </si>
  <si>
    <t>DungeonSkillIndexList[]</t>
    <phoneticPr fontId="7" type="noConversion"/>
  </si>
  <si>
    <t>DungeonPassiveEnvironmentIndices[]</t>
  </si>
  <si>
    <t>1,2</t>
    <phoneticPr fontId="7" type="noConversion"/>
  </si>
  <si>
    <t>샤크메 중간보스 노드 10</t>
    <phoneticPr fontId="7" type="noConversion"/>
  </si>
  <si>
    <t>샤크메 최종보스 노드 11</t>
    <phoneticPr fontId="7" type="noConversion"/>
  </si>
  <si>
    <t>샤크메 에필로그 12</t>
    <phoneticPr fontId="7" type="noConversion"/>
  </si>
  <si>
    <t>Chapter6.Field1_3D</t>
    <phoneticPr fontId="7" type="noConversion"/>
  </si>
  <si>
    <t>7200195,7200197</t>
    <phoneticPr fontId="7" type="noConversion"/>
  </si>
  <si>
    <t>2020Xerah_2</t>
    <phoneticPr fontId="7" type="noConversion"/>
  </si>
  <si>
    <t>MiddleBossShakmeh_Story</t>
    <phoneticPr fontId="7" type="noConversion"/>
  </si>
  <si>
    <t>61902</t>
  </si>
  <si>
    <t>Campaign_NonRepeat</t>
  </si>
  <si>
    <t>String</t>
    <phoneticPr fontId="7" type="noConversion"/>
  </si>
  <si>
    <t>Int</t>
    <phoneticPr fontId="7" type="noConversion"/>
  </si>
  <si>
    <t>String Array</t>
    <phoneticPr fontId="7" type="noConversion"/>
  </si>
  <si>
    <t>에반 시련의 방</t>
  </si>
  <si>
    <t>에반 1성</t>
  </si>
  <si>
    <t>에반 2성</t>
  </si>
  <si>
    <t>에반 3성</t>
  </si>
  <si>
    <t>에반 4성</t>
  </si>
  <si>
    <t>에반 5성</t>
  </si>
  <si>
    <t>에반 1초월</t>
  </si>
  <si>
    <t>에반 2초월</t>
  </si>
  <si>
    <t>에반 3초월</t>
  </si>
  <si>
    <t>에반 4초월</t>
  </si>
  <si>
    <t>에반 5초월</t>
  </si>
  <si>
    <t>9</t>
    <phoneticPr fontId="7" type="noConversion"/>
  </si>
  <si>
    <t>4</t>
    <phoneticPr fontId="7" type="noConversion"/>
  </si>
  <si>
    <t>챌린지 레이드 흑카셀 Easy</t>
  </si>
  <si>
    <t>챌린지 레이드 흑카셀 Normal</t>
  </si>
  <si>
    <t>챌린지 레이드 흑카셀 Hard</t>
  </si>
  <si>
    <t>챌린지 레이드 흑카셀 Hell</t>
  </si>
  <si>
    <t>흑카셀 이지</t>
  </si>
  <si>
    <t>흑카셀 노말</t>
  </si>
  <si>
    <t>흑카셀 하드</t>
  </si>
  <si>
    <t>흑카셀 헬</t>
  </si>
  <si>
    <t>30036</t>
    <phoneticPr fontId="7" type="noConversion"/>
  </si>
  <si>
    <t>2020 흑흑커플 이벤트 0</t>
    <phoneticPr fontId="7" type="noConversion"/>
  </si>
  <si>
    <t>Chapter9_5.Field1_3D</t>
  </si>
  <si>
    <t>2020FALLENKF</t>
    <phoneticPr fontId="7" type="noConversion"/>
  </si>
  <si>
    <t>Chapter9_5.Field1_3D</t>
    <phoneticPr fontId="7" type="noConversion"/>
  </si>
  <si>
    <t>챌린지 레이드흑카셀 Easy</t>
    <phoneticPr fontId="7" type="noConversion"/>
  </si>
  <si>
    <t>흑카셀</t>
    <phoneticPr fontId="7" type="noConversion"/>
  </si>
  <si>
    <t>ChallengeRaidSingle9</t>
    <phoneticPr fontId="7" type="noConversion"/>
  </si>
  <si>
    <t>ChallengeRaid_Kasel</t>
    <phoneticPr fontId="7" type="noConversion"/>
  </si>
  <si>
    <t>2020 흑흑커플 이벤트 1</t>
    <phoneticPr fontId="7" type="noConversion"/>
  </si>
  <si>
    <t>Chapter9.Field1_3D</t>
  </si>
  <si>
    <t>84,85</t>
    <phoneticPr fontId="7" type="noConversion"/>
  </si>
  <si>
    <t>2020 흑흑커플 이벤트 2</t>
    <phoneticPr fontId="7" type="noConversion"/>
  </si>
  <si>
    <t>2020 흑흑커플 이벤트 3</t>
    <phoneticPr fontId="7" type="noConversion"/>
  </si>
  <si>
    <t>2020 흑흑커플 이벤트 4</t>
    <phoneticPr fontId="7" type="noConversion"/>
  </si>
  <si>
    <t>2020 흑흑커플 이벤트 5</t>
    <phoneticPr fontId="7" type="noConversion"/>
  </si>
  <si>
    <t>Chapter9_5.Field2_3D</t>
  </si>
  <si>
    <t>2020 흑흑커플 이벤트 6</t>
    <phoneticPr fontId="7" type="noConversion"/>
  </si>
  <si>
    <t>2020 흑흑커플 이벤트 7</t>
    <phoneticPr fontId="7" type="noConversion"/>
  </si>
  <si>
    <t>2020FALLENKF_2</t>
    <phoneticPr fontId="7" type="noConversion"/>
  </si>
  <si>
    <t>2020 흑흑커플 이벤트 8</t>
    <phoneticPr fontId="7" type="noConversion"/>
  </si>
  <si>
    <t>2020 흑흑커플 이벤트 9</t>
    <phoneticPr fontId="7" type="noConversion"/>
  </si>
  <si>
    <t>2020 흑흑커플 이벤트 10</t>
    <phoneticPr fontId="7" type="noConversion"/>
  </si>
  <si>
    <t>Event.OccupiedterritoryField</t>
  </si>
  <si>
    <t>EntryMenu.EclipseEntryMenuBGM</t>
    <phoneticPr fontId="7" type="noConversion"/>
  </si>
  <si>
    <t>Battle.Chapter9_Swamp</t>
    <phoneticPr fontId="7" type="noConversion"/>
  </si>
  <si>
    <t>BGM2.Battle.Chapter9.Swamp</t>
    <phoneticPr fontId="7" type="noConversion"/>
  </si>
  <si>
    <t>Lobby.WorldMap.Map09_5</t>
    <phoneticPr fontId="7" type="noConversion"/>
  </si>
  <si>
    <t>EntryMenu.BlackSmithBGM</t>
    <phoneticPr fontId="7" type="noConversion"/>
  </si>
  <si>
    <t>Cutscene.Dark</t>
    <phoneticPr fontId="7" type="noConversion"/>
  </si>
  <si>
    <t>BGM2.Battle.Chapter9-5.OrvelRuin</t>
    <phoneticPr fontId="7" type="noConversion"/>
  </si>
  <si>
    <t>84</t>
    <phoneticPr fontId="7" type="noConversion"/>
  </si>
  <si>
    <t>85</t>
    <phoneticPr fontId="7" type="noConversion"/>
  </si>
  <si>
    <t>ChallengeRaidSingle_Kasel_Damage</t>
    <phoneticPr fontId="7" type="noConversion"/>
  </si>
  <si>
    <t>&lt;컷신 테스트챕터&gt;</t>
    <phoneticPr fontId="7" type="noConversion"/>
  </si>
  <si>
    <t>2020 흑흑커플 비밀 던전</t>
    <phoneticPr fontId="7" type="noConversion"/>
  </si>
  <si>
    <t>6</t>
    <phoneticPr fontId="7" type="noConversion"/>
  </si>
  <si>
    <t>영웅 특별 던전 - 판시로네(비밀던전)</t>
    <phoneticPr fontId="7" type="noConversion"/>
  </si>
  <si>
    <t>IsNotInItDailyCount</t>
    <phoneticPr fontId="7" type="noConversion"/>
  </si>
  <si>
    <t>True</t>
    <phoneticPr fontId="7" type="noConversion"/>
  </si>
  <si>
    <t>100</t>
    <phoneticPr fontId="7" type="noConversion"/>
  </si>
  <si>
    <t>True</t>
    <phoneticPr fontId="7" type="noConversion"/>
  </si>
  <si>
    <t>800208</t>
  </si>
  <si>
    <t>800208</t>
    <phoneticPr fontId="7" type="noConversion"/>
  </si>
  <si>
    <t>800258</t>
    <phoneticPr fontId="7" type="noConversion"/>
  </si>
  <si>
    <t>800209</t>
    <phoneticPr fontId="7" type="noConversion"/>
  </si>
  <si>
    <t>800259</t>
    <phoneticPr fontId="7" type="noConversion"/>
  </si>
  <si>
    <t>72</t>
    <phoneticPr fontId="7" type="noConversion"/>
  </si>
  <si>
    <t>SecretDungeon</t>
    <phoneticPr fontId="7" type="noConversion"/>
  </si>
  <si>
    <t>힐다 시련의 방</t>
    <phoneticPr fontId="7" type="noConversion"/>
  </si>
  <si>
    <t>힐다 1성</t>
    <phoneticPr fontId="7" type="noConversion"/>
  </si>
  <si>
    <t>힐다 2성</t>
  </si>
  <si>
    <t>힐다 3성</t>
  </si>
  <si>
    <t>힐다 4성</t>
  </si>
  <si>
    <t>힐다 5성</t>
  </si>
  <si>
    <t>힐다 1초월</t>
    <phoneticPr fontId="7" type="noConversion"/>
  </si>
  <si>
    <t>힐다 2초월</t>
  </si>
  <si>
    <t>힐다 3초월</t>
  </si>
  <si>
    <t>힐다 4초월</t>
  </si>
  <si>
    <t>힐다 5초월</t>
  </si>
  <si>
    <t>2020 힐다 이벤트 1</t>
    <phoneticPr fontId="7" type="noConversion"/>
  </si>
  <si>
    <t>2020 힐다 이벤트 1</t>
  </si>
  <si>
    <t>2020 힐다 이벤트 2</t>
    <phoneticPr fontId="7" type="noConversion"/>
  </si>
  <si>
    <t>2020 힐다 이벤트 2</t>
  </si>
  <si>
    <t>2020 힐다 이벤트 3</t>
    <phoneticPr fontId="7" type="noConversion"/>
  </si>
  <si>
    <t>2020 힐다 이벤트 3</t>
  </si>
  <si>
    <t>2020 힐다 이벤트 4</t>
    <phoneticPr fontId="7" type="noConversion"/>
  </si>
  <si>
    <t>2020 힐다 이벤트 4</t>
  </si>
  <si>
    <t>30037</t>
    <phoneticPr fontId="7" type="noConversion"/>
  </si>
  <si>
    <t>30038</t>
    <phoneticPr fontId="20" type="noConversion"/>
  </si>
  <si>
    <t>2020 여름 이벤트1</t>
    <phoneticPr fontId="7" type="noConversion"/>
  </si>
  <si>
    <t>2020 여름 이벤트2</t>
    <phoneticPr fontId="7" type="noConversion"/>
  </si>
  <si>
    <t>2020 여름 이벤트3</t>
    <phoneticPr fontId="7" type="noConversion"/>
  </si>
  <si>
    <t>2020 여름 이벤트4</t>
    <phoneticPr fontId="7" type="noConversion"/>
  </si>
  <si>
    <t>2020 여름 이벤트5</t>
    <phoneticPr fontId="7" type="noConversion"/>
  </si>
  <si>
    <t>2020 여름 이벤트6</t>
    <phoneticPr fontId="7" type="noConversion"/>
  </si>
  <si>
    <t>2020 여름 이벤트7</t>
    <phoneticPr fontId="7" type="noConversion"/>
  </si>
  <si>
    <t>8</t>
    <phoneticPr fontId="7" type="noConversion"/>
  </si>
  <si>
    <t>9</t>
    <phoneticPr fontId="7" type="noConversion"/>
  </si>
  <si>
    <t>10</t>
    <phoneticPr fontId="7" type="noConversion"/>
  </si>
  <si>
    <t>2020 여름 특별 던전 1</t>
    <phoneticPr fontId="7" type="noConversion"/>
  </si>
  <si>
    <t>2020 여름 특별 던전 2</t>
    <phoneticPr fontId="7" type="noConversion"/>
  </si>
  <si>
    <t>2020 여름 특별 던전 3</t>
    <phoneticPr fontId="7" type="noConversion"/>
  </si>
  <si>
    <t>800302</t>
    <phoneticPr fontId="7" type="noConversion"/>
  </si>
  <si>
    <t>800303</t>
    <phoneticPr fontId="7" type="noConversion"/>
  </si>
  <si>
    <t>800304</t>
  </si>
  <si>
    <t>800305</t>
  </si>
  <si>
    <t>PurchaseDungeon</t>
    <phoneticPr fontId="7" type="noConversion"/>
  </si>
  <si>
    <t>2020 힐다 특별 던전 1</t>
    <phoneticPr fontId="7" type="noConversion"/>
  </si>
  <si>
    <t>2020 힐다 특별 던전 2</t>
    <phoneticPr fontId="7" type="noConversion"/>
  </si>
  <si>
    <t>2020 힐다 특별 던전 3</t>
    <phoneticPr fontId="7" type="noConversion"/>
  </si>
  <si>
    <t>100</t>
    <phoneticPr fontId="7" type="noConversion"/>
  </si>
  <si>
    <t>2020Summer_Event</t>
    <phoneticPr fontId="7" type="noConversion"/>
  </si>
  <si>
    <t>Chapter10.Field2</t>
    <phoneticPr fontId="7" type="noConversion"/>
  </si>
  <si>
    <t>Chapter10.Field1</t>
    <phoneticPr fontId="7" type="noConversion"/>
  </si>
  <si>
    <t>2020Hilda</t>
  </si>
  <si>
    <t>2020Hilda_2</t>
  </si>
  <si>
    <t>76</t>
    <phoneticPr fontId="7" type="noConversion"/>
  </si>
  <si>
    <t>1</t>
    <phoneticPr fontId="7" type="noConversion"/>
  </si>
  <si>
    <t>2020Hilda_Story</t>
    <phoneticPr fontId="7" type="noConversion"/>
  </si>
  <si>
    <t>탈리샤 시련의 방</t>
  </si>
  <si>
    <t>탈리샤 1성</t>
  </si>
  <si>
    <t>탈리샤 2성</t>
  </si>
  <si>
    <t>탈리샤 3성</t>
  </si>
  <si>
    <t>탈리샤 4성</t>
  </si>
  <si>
    <t>탈리샤 5성</t>
  </si>
  <si>
    <t>탈리샤 1초월</t>
  </si>
  <si>
    <t>탈리샤 2초월</t>
  </si>
  <si>
    <t>탈리샤 3초월</t>
  </si>
  <si>
    <t>탈리샤 4초월</t>
  </si>
  <si>
    <t>탈리샤 5초월</t>
  </si>
  <si>
    <t>Cutscene.Hilda.BattleBGM</t>
  </si>
  <si>
    <t>2</t>
    <phoneticPr fontId="7" type="noConversion"/>
  </si>
  <si>
    <t>2020Hilda_3</t>
    <phoneticPr fontId="7" type="noConversion"/>
  </si>
  <si>
    <t>2021 힐다 특별 던전 2</t>
    <phoneticPr fontId="7" type="noConversion"/>
  </si>
  <si>
    <t>2022 힐다 특별 던전 3</t>
    <phoneticPr fontId="7" type="noConversion"/>
  </si>
  <si>
    <t>81,30</t>
    <phoneticPr fontId="7" type="noConversion"/>
  </si>
  <si>
    <t>이메트 9단계</t>
    <phoneticPr fontId="7" type="noConversion"/>
  </si>
  <si>
    <t>이메트 10단계</t>
    <phoneticPr fontId="7" type="noConversion"/>
  </si>
  <si>
    <t>9단계</t>
    <phoneticPr fontId="7" type="noConversion"/>
  </si>
  <si>
    <t>10단계</t>
    <phoneticPr fontId="7" type="noConversion"/>
  </si>
  <si>
    <t>므사마 9단계</t>
    <phoneticPr fontId="7" type="noConversion"/>
  </si>
  <si>
    <t>므사마 10단계</t>
    <phoneticPr fontId="7" type="noConversion"/>
  </si>
  <si>
    <t>세크마하 9단계</t>
    <phoneticPr fontId="7" type="noConversion"/>
  </si>
  <si>
    <t>세크마하 10단계</t>
    <phoneticPr fontId="7" type="noConversion"/>
  </si>
  <si>
    <t>508</t>
    <phoneticPr fontId="7" type="noConversion"/>
  </si>
  <si>
    <t>509</t>
    <phoneticPr fontId="7" type="noConversion"/>
  </si>
  <si>
    <t>8단계</t>
    <phoneticPr fontId="7" type="noConversion"/>
  </si>
  <si>
    <t>9단계</t>
    <phoneticPr fontId="7" type="noConversion"/>
  </si>
  <si>
    <t>608</t>
    <phoneticPr fontId="7" type="noConversion"/>
  </si>
  <si>
    <t>609</t>
    <phoneticPr fontId="7" type="noConversion"/>
  </si>
  <si>
    <t>샤크메 진보스 8단계</t>
    <phoneticPr fontId="7" type="noConversion"/>
  </si>
  <si>
    <t>샤크메 진보스 9단계</t>
    <phoneticPr fontId="7" type="noConversion"/>
  </si>
  <si>
    <t>8단계</t>
    <phoneticPr fontId="7" type="noConversion"/>
  </si>
  <si>
    <t>9단계</t>
    <phoneticPr fontId="7" type="noConversion"/>
  </si>
  <si>
    <t>이솔렛 시련의 방</t>
  </si>
  <si>
    <t>이솔렛 1성</t>
  </si>
  <si>
    <t>이솔렛 2성</t>
  </si>
  <si>
    <t>이솔렛 3성</t>
  </si>
  <si>
    <t>이솔렛 4성</t>
  </si>
  <si>
    <t>이솔렛 5성</t>
  </si>
  <si>
    <t>이솔렛 1초월</t>
  </si>
  <si>
    <t>이솔렛 2초월</t>
  </si>
  <si>
    <t>이솔렛 3초월</t>
  </si>
  <si>
    <t>이솔렛 4초월</t>
  </si>
  <si>
    <t>이솔렛 5초월</t>
  </si>
  <si>
    <t>60109</t>
    <phoneticPr fontId="7" type="noConversion"/>
  </si>
  <si>
    <t>60110</t>
    <phoneticPr fontId="7" type="noConversion"/>
  </si>
  <si>
    <t>60209</t>
    <phoneticPr fontId="7" type="noConversion"/>
  </si>
  <si>
    <t>60210</t>
    <phoneticPr fontId="7" type="noConversion"/>
  </si>
  <si>
    <t>60309</t>
    <phoneticPr fontId="7" type="noConversion"/>
  </si>
  <si>
    <t>60310</t>
    <phoneticPr fontId="7" type="noConversion"/>
  </si>
  <si>
    <t>30039</t>
    <phoneticPr fontId="20" type="noConversion"/>
  </si>
  <si>
    <t>2020 반역 클라우스 1</t>
    <phoneticPr fontId="7" type="noConversion"/>
  </si>
  <si>
    <t>2020 반역 클라우스 2</t>
    <phoneticPr fontId="7" type="noConversion"/>
  </si>
  <si>
    <t>2020 반역 클라우스 3</t>
    <phoneticPr fontId="7" type="noConversion"/>
  </si>
  <si>
    <t>2020 반역 클라우스 4</t>
    <phoneticPr fontId="7" type="noConversion"/>
  </si>
  <si>
    <t>1</t>
    <phoneticPr fontId="7" type="noConversion"/>
  </si>
  <si>
    <t>2020 반역 클라우스 스토리1</t>
    <phoneticPr fontId="7" type="noConversion"/>
  </si>
  <si>
    <t>2020 반역 클라우스 스토리2</t>
    <phoneticPr fontId="7" type="noConversion"/>
  </si>
  <si>
    <t>2020 반역 클라우스 스토리3</t>
    <phoneticPr fontId="7" type="noConversion"/>
  </si>
  <si>
    <t>2020 반역 클라우스 스토리4</t>
    <phoneticPr fontId="7" type="noConversion"/>
  </si>
  <si>
    <t>2020RebellionClause</t>
    <phoneticPr fontId="20" type="noConversion"/>
  </si>
  <si>
    <t>Lobby.WorldMap.Map09_5</t>
  </si>
  <si>
    <t>5</t>
    <phoneticPr fontId="7" type="noConversion"/>
  </si>
  <si>
    <t>Chapter9_5.Field2_3D</t>
    <phoneticPr fontId="7" type="noConversion"/>
  </si>
  <si>
    <t>2020 반역 클라우스 5</t>
    <phoneticPr fontId="7" type="noConversion"/>
  </si>
  <si>
    <t>2020 반역 클라우스 6</t>
    <phoneticPr fontId="7" type="noConversion"/>
  </si>
  <si>
    <t>2020 반역 클라우스 7</t>
    <phoneticPr fontId="7" type="noConversion"/>
  </si>
  <si>
    <t>2020 반역 클라우스 8</t>
    <phoneticPr fontId="7" type="noConversion"/>
  </si>
  <si>
    <t>2020 반역 클라우스 9</t>
    <phoneticPr fontId="7" type="noConversion"/>
  </si>
  <si>
    <t>2020 반역 클라우스 10</t>
    <phoneticPr fontId="7" type="noConversion"/>
  </si>
  <si>
    <t>BGM2.Battle.Chapter9.Swamp</t>
    <phoneticPr fontId="7" type="noConversion"/>
  </si>
  <si>
    <t>BGM2.Battle.Chapter9-5.OrvelRuin</t>
    <phoneticPr fontId="7" type="noConversion"/>
  </si>
  <si>
    <t>40006</t>
    <phoneticPr fontId="7" type="noConversion"/>
  </si>
  <si>
    <t>SquareSideQuest6</t>
    <phoneticPr fontId="7" type="noConversion"/>
  </si>
  <si>
    <t>광기에 물든 에테르</t>
  </si>
  <si>
    <t>광기에 물든 에테르</t>
    <phoneticPr fontId="7" type="noConversion"/>
  </si>
  <si>
    <t>2020 제라 비밀 던전</t>
    <phoneticPr fontId="7" type="noConversion"/>
  </si>
  <si>
    <t>시련의 전장</t>
    <phoneticPr fontId="7" type="noConversion"/>
  </si>
  <si>
    <t>60000</t>
    <phoneticPr fontId="7" type="noConversion"/>
  </si>
  <si>
    <t>600000001</t>
    <phoneticPr fontId="7" type="noConversion"/>
  </si>
  <si>
    <t>(0층)시련의 전장 스타트노드</t>
    <phoneticPr fontId="7" type="noConversion"/>
  </si>
  <si>
    <t>OrdealArena</t>
    <phoneticPr fontId="7" type="noConversion"/>
  </si>
  <si>
    <t>600000002</t>
  </si>
  <si>
    <t>(1층)시련의 전장 이벤트노드 1</t>
    <phoneticPr fontId="7" type="noConversion"/>
  </si>
  <si>
    <t>600000003</t>
  </si>
  <si>
    <t>(2층)시련의 전장 전투노드 2-1</t>
    <phoneticPr fontId="7" type="noConversion"/>
  </si>
  <si>
    <t>600000004</t>
  </si>
  <si>
    <t>(2층)시련의 전장 전투노드 2-2</t>
    <phoneticPr fontId="7" type="noConversion"/>
  </si>
  <si>
    <t>600000005</t>
  </si>
  <si>
    <t>(2층)시련의 전장 전투노드 2-3</t>
    <phoneticPr fontId="7" type="noConversion"/>
  </si>
  <si>
    <t>600000006</t>
  </si>
  <si>
    <t>(2층)시련의 전장 전투노드 2-4</t>
    <phoneticPr fontId="7" type="noConversion"/>
  </si>
  <si>
    <t>600000007</t>
  </si>
  <si>
    <t>(3층)시련의 전장 전투노드 3-1</t>
    <phoneticPr fontId="7" type="noConversion"/>
  </si>
  <si>
    <t>600000008</t>
  </si>
  <si>
    <t>(3층)시련의 전장 전투노드 3-2</t>
    <phoneticPr fontId="7" type="noConversion"/>
  </si>
  <si>
    <t>600000009</t>
  </si>
  <si>
    <t>(3층)시련의 전장 전투노드 3-3</t>
    <phoneticPr fontId="7" type="noConversion"/>
  </si>
  <si>
    <t>600000010</t>
  </si>
  <si>
    <t>(4층)시련의 전장 전투노드 4-1</t>
    <phoneticPr fontId="7" type="noConversion"/>
  </si>
  <si>
    <t>600000011</t>
  </si>
  <si>
    <t>(4층)시련의 전장 전투노드 4-2</t>
    <phoneticPr fontId="7" type="noConversion"/>
  </si>
  <si>
    <t>600000012</t>
  </si>
  <si>
    <t>(5층)시련의 전장 전투노드 5-1</t>
    <phoneticPr fontId="7" type="noConversion"/>
  </si>
  <si>
    <t>600000013</t>
  </si>
  <si>
    <t>(5층)시련의 전장 전투노드 5-2</t>
    <phoneticPr fontId="7" type="noConversion"/>
  </si>
  <si>
    <t>600000014</t>
  </si>
  <si>
    <t>(5층)시련의 전장 전투노드 5-3</t>
    <phoneticPr fontId="7" type="noConversion"/>
  </si>
  <si>
    <t>600000015</t>
  </si>
  <si>
    <t>(6층)시련의 전장 이벤트노드 6</t>
    <phoneticPr fontId="7" type="noConversion"/>
  </si>
  <si>
    <t>600000016</t>
  </si>
  <si>
    <t>(7층)시련의 전장 전투노드 7-1</t>
    <phoneticPr fontId="7" type="noConversion"/>
  </si>
  <si>
    <t>600000017</t>
  </si>
  <si>
    <t>(7층)시련의 전장 전투노드 7-2</t>
    <phoneticPr fontId="7" type="noConversion"/>
  </si>
  <si>
    <t>600000018</t>
  </si>
  <si>
    <t>(7층)시련의 전장 전투노드 7-3</t>
    <phoneticPr fontId="7" type="noConversion"/>
  </si>
  <si>
    <t>600000019</t>
  </si>
  <si>
    <t>(7층)시련의 전장 전투노드 7-4</t>
    <phoneticPr fontId="7" type="noConversion"/>
  </si>
  <si>
    <t>600000020</t>
  </si>
  <si>
    <t>(8층)시련의 전장 전투노드 8-1</t>
    <phoneticPr fontId="7" type="noConversion"/>
  </si>
  <si>
    <t>600000021</t>
  </si>
  <si>
    <t>(8층)시련의 전장 전투노드 8-2</t>
    <phoneticPr fontId="7" type="noConversion"/>
  </si>
  <si>
    <t>600000022</t>
  </si>
  <si>
    <t>(8층)시련의 전장 전투노드 8-3</t>
    <phoneticPr fontId="7" type="noConversion"/>
  </si>
  <si>
    <t>600000023</t>
  </si>
  <si>
    <t>(9층)시련의 전장 전투노드 9-1</t>
    <phoneticPr fontId="7" type="noConversion"/>
  </si>
  <si>
    <t>600000024</t>
  </si>
  <si>
    <t>(9층)시련의 전장 전투노드 9-2</t>
    <phoneticPr fontId="7" type="noConversion"/>
  </si>
  <si>
    <t>600000025</t>
  </si>
  <si>
    <t>(10층)시련의 전장 전투노드 10-1</t>
    <phoneticPr fontId="7" type="noConversion"/>
  </si>
  <si>
    <t>600000026</t>
  </si>
  <si>
    <t>(10층)시련의 전장 전투노드 10-2</t>
    <phoneticPr fontId="7" type="noConversion"/>
  </si>
  <si>
    <t>600000027</t>
  </si>
  <si>
    <t>(10층)시련의 전장 전투노드 10-3</t>
    <phoneticPr fontId="7" type="noConversion"/>
  </si>
  <si>
    <t>600000028</t>
  </si>
  <si>
    <t>(11층)시련의 전장 이벤트노드 11</t>
    <phoneticPr fontId="7" type="noConversion"/>
  </si>
  <si>
    <t>600000029</t>
  </si>
  <si>
    <t>(12층)시련의 전장 전투노드 12-1</t>
    <phoneticPr fontId="7" type="noConversion"/>
  </si>
  <si>
    <t>600000030</t>
  </si>
  <si>
    <t>(12층)시련의 전장 전투노드 12-2</t>
    <phoneticPr fontId="7" type="noConversion"/>
  </si>
  <si>
    <t>600000031</t>
  </si>
  <si>
    <t>(12층)시련의 전장 전투노드 12-3</t>
    <phoneticPr fontId="7" type="noConversion"/>
  </si>
  <si>
    <t>600000032</t>
  </si>
  <si>
    <t>(12층)시련의 전장 전투노드 12-4</t>
    <phoneticPr fontId="7" type="noConversion"/>
  </si>
  <si>
    <t>600000033</t>
  </si>
  <si>
    <t>(13층)시련의 전장 전투노드 13-1</t>
    <phoneticPr fontId="7" type="noConversion"/>
  </si>
  <si>
    <t>600000034</t>
  </si>
  <si>
    <t>(13층)시련의 전장 전투노드 13-2</t>
    <phoneticPr fontId="7" type="noConversion"/>
  </si>
  <si>
    <t>600000035</t>
  </si>
  <si>
    <t>(13층)시련의 전장 전투노드 13-3</t>
    <phoneticPr fontId="7" type="noConversion"/>
  </si>
  <si>
    <t>600000036</t>
  </si>
  <si>
    <t>(14층)시련의 전장 전투노드 14-1</t>
    <phoneticPr fontId="7" type="noConversion"/>
  </si>
  <si>
    <t>600000037</t>
  </si>
  <si>
    <t>(14층)시련의 전장 전투노드 14-2</t>
    <phoneticPr fontId="7" type="noConversion"/>
  </si>
  <si>
    <t>600000038</t>
  </si>
  <si>
    <t>(15층)시련의 전장 전투노드 15-1</t>
    <phoneticPr fontId="7" type="noConversion"/>
  </si>
  <si>
    <t>600000039</t>
  </si>
  <si>
    <t>(15층)시련의 전장 전투노드 15-2</t>
    <phoneticPr fontId="7" type="noConversion"/>
  </si>
  <si>
    <t>600000040</t>
  </si>
  <si>
    <t>(15층)시련의 전장 전투노드 15-3</t>
    <phoneticPr fontId="7" type="noConversion"/>
  </si>
  <si>
    <t>600000041</t>
  </si>
  <si>
    <t>(16층)시련의 전장 엔드노드</t>
    <phoneticPr fontId="7" type="noConversion"/>
  </si>
  <si>
    <t>83</t>
    <phoneticPr fontId="7" type="noConversion"/>
  </si>
  <si>
    <t>Event.PenteBoarderField</t>
    <phoneticPr fontId="7" type="noConversion"/>
  </si>
  <si>
    <t>Eclipse.Field1</t>
  </si>
  <si>
    <t>2020 반역 클라우스 특던1</t>
    <phoneticPr fontId="7" type="noConversion"/>
  </si>
  <si>
    <t>2020RebellionClause_2</t>
    <phoneticPr fontId="20" type="noConversion"/>
  </si>
  <si>
    <t>2020 반역 클라우스 특던2</t>
    <phoneticPr fontId="7" type="noConversion"/>
  </si>
  <si>
    <t>83,90</t>
    <phoneticPr fontId="7" type="noConversion"/>
  </si>
  <si>
    <t>2020 반역 클라우스 특던3</t>
    <phoneticPr fontId="7" type="noConversion"/>
  </si>
  <si>
    <t>800278</t>
    <phoneticPr fontId="7" type="noConversion"/>
  </si>
  <si>
    <t>800279</t>
    <phoneticPr fontId="7" type="noConversion"/>
  </si>
  <si>
    <t>820021</t>
    <phoneticPr fontId="7" type="noConversion"/>
  </si>
  <si>
    <t>820022</t>
    <phoneticPr fontId="7" type="noConversion"/>
  </si>
  <si>
    <t>820023</t>
    <phoneticPr fontId="7" type="noConversion"/>
  </si>
  <si>
    <t>820024</t>
    <phoneticPr fontId="7" type="noConversion"/>
  </si>
  <si>
    <t>Arena.Field4</t>
    <phoneticPr fontId="7" type="noConversion"/>
  </si>
  <si>
    <t>BGM2.Battle.Chapter9.Swamp</t>
    <phoneticPr fontId="7" type="noConversion"/>
  </si>
  <si>
    <t>30039</t>
    <phoneticPr fontId="7" type="noConversion"/>
  </si>
  <si>
    <t>2020 반역 클라우스 비던</t>
    <phoneticPr fontId="7" type="noConversion"/>
  </si>
  <si>
    <t>그레모리 시련의 방</t>
    <phoneticPr fontId="7" type="noConversion"/>
  </si>
  <si>
    <t>그레모리 1성</t>
    <phoneticPr fontId="7" type="noConversion"/>
  </si>
  <si>
    <t>그레모리 2성</t>
  </si>
  <si>
    <t>그레모리 3성</t>
  </si>
  <si>
    <t>그레모리 4성</t>
  </si>
  <si>
    <t>그레모리 5성</t>
  </si>
  <si>
    <t>101861</t>
    <phoneticPr fontId="7" type="noConversion"/>
  </si>
  <si>
    <t>101862</t>
  </si>
  <si>
    <t>101863</t>
  </si>
  <si>
    <t>101864</t>
  </si>
  <si>
    <t>101865</t>
  </si>
  <si>
    <t>2250</t>
  </si>
  <si>
    <t>3000</t>
  </si>
  <si>
    <t>3900</t>
  </si>
  <si>
    <t>5050</t>
  </si>
  <si>
    <t>800289</t>
    <phoneticPr fontId="7" type="noConversion"/>
  </si>
  <si>
    <t>800288</t>
  </si>
  <si>
    <t>800288</t>
    <phoneticPr fontId="7" type="noConversion"/>
  </si>
  <si>
    <t>Chapter2.Field2_3D</t>
    <phoneticPr fontId="7" type="noConversion"/>
  </si>
  <si>
    <t>Chapter5.Field2_3D</t>
    <phoneticPr fontId="7" type="noConversion"/>
  </si>
  <si>
    <t>Chapter4.Field2_3D</t>
    <phoneticPr fontId="7" type="noConversion"/>
  </si>
  <si>
    <t>리히트 시련의 방</t>
  </si>
  <si>
    <t>리히트 1초월</t>
  </si>
  <si>
    <t>리히트 2초월</t>
  </si>
  <si>
    <t>리히트 3초월</t>
  </si>
  <si>
    <t>리히트 4초월</t>
  </si>
  <si>
    <t>리히트 5초월</t>
  </si>
  <si>
    <t>리피네 시련의 방</t>
  </si>
  <si>
    <t>리피네 1초월</t>
  </si>
  <si>
    <t>리피네 2초월</t>
  </si>
  <si>
    <t>리피네 3초월</t>
  </si>
  <si>
    <t>리피네 4초월</t>
  </si>
  <si>
    <t>리피네 5초월</t>
  </si>
  <si>
    <t>리히트 1성</t>
  </si>
  <si>
    <t>리히트 2성</t>
  </si>
  <si>
    <t>리히트 3성</t>
  </si>
  <si>
    <t>리히트 4성</t>
  </si>
  <si>
    <t>리피네 1성</t>
  </si>
  <si>
    <t>리피네 2성</t>
  </si>
  <si>
    <t>리피네 3성</t>
  </si>
  <si>
    <t>리피네 4성</t>
  </si>
  <si>
    <t>리피네 5성</t>
  </si>
  <si>
    <t>리히트 시련의 방</t>
    <phoneticPr fontId="7" type="noConversion"/>
  </si>
  <si>
    <t>리히트 5성</t>
    <phoneticPr fontId="7" type="noConversion"/>
  </si>
  <si>
    <t>88</t>
    <phoneticPr fontId="7" type="noConversion"/>
  </si>
  <si>
    <t>100885</t>
    <phoneticPr fontId="7" type="noConversion"/>
  </si>
  <si>
    <t>30040</t>
    <phoneticPr fontId="20" type="noConversion"/>
  </si>
  <si>
    <t>2020 리히트 리피네 영던</t>
    <phoneticPr fontId="7" type="noConversion"/>
  </si>
  <si>
    <t>2020 리히트 리피네 스토리1</t>
    <phoneticPr fontId="7" type="noConversion"/>
  </si>
  <si>
    <t>2020 리히트 리피네 스토리2</t>
    <phoneticPr fontId="7" type="noConversion"/>
  </si>
  <si>
    <t>2020 리히트 리피네 스토리3</t>
    <phoneticPr fontId="7" type="noConversion"/>
  </si>
  <si>
    <t>2020 리히트 리피네 스토리4</t>
    <phoneticPr fontId="7" type="noConversion"/>
  </si>
  <si>
    <t>2020 리히트 리피네 스토리5</t>
    <phoneticPr fontId="7" type="noConversion"/>
  </si>
  <si>
    <t>2020 리히트 리피네 스토리6</t>
    <phoneticPr fontId="7" type="noConversion"/>
  </si>
  <si>
    <t>2020 리히트 리피네 스토리7</t>
    <phoneticPr fontId="7" type="noConversion"/>
  </si>
  <si>
    <t>2020 리히트 리피네 스토리8</t>
    <phoneticPr fontId="7" type="noConversion"/>
  </si>
  <si>
    <t>BGM2.Guild.GuildBattle</t>
    <phoneticPr fontId="7" type="noConversion"/>
  </si>
  <si>
    <t>Battle.Arena01</t>
    <phoneticPr fontId="7" type="noConversion"/>
  </si>
  <si>
    <t>BattleBGM.1_2</t>
    <phoneticPr fontId="7" type="noConversion"/>
  </si>
  <si>
    <t>Battle.Boss02</t>
    <phoneticPr fontId="7" type="noConversion"/>
  </si>
  <si>
    <t>2020RiheetRipine</t>
    <phoneticPr fontId="7" type="noConversion"/>
  </si>
  <si>
    <t>BGM2.Battle.Chapter9.Ruin</t>
    <phoneticPr fontId="7" type="noConversion"/>
  </si>
  <si>
    <t>2020 리히트 리피네 영던 특별1</t>
    <phoneticPr fontId="7" type="noConversion"/>
  </si>
  <si>
    <t>2020 리히트 리피네 영던 특별2</t>
    <phoneticPr fontId="7" type="noConversion"/>
  </si>
  <si>
    <t>2020 리히트 리피네 영던 특별3</t>
    <phoneticPr fontId="7" type="noConversion"/>
  </si>
  <si>
    <t>True</t>
    <phoneticPr fontId="7" type="noConversion"/>
  </si>
  <si>
    <t>2020 리히트 리피네 스토리9</t>
    <phoneticPr fontId="7" type="noConversion"/>
  </si>
  <si>
    <t>2020 리히트 리피네 스토리10</t>
    <phoneticPr fontId="7" type="noConversion"/>
  </si>
  <si>
    <t>2020 리히트 리피네 스토리11</t>
    <phoneticPr fontId="7" type="noConversion"/>
  </si>
  <si>
    <t>2020 리히트 리피네 스토리12</t>
    <phoneticPr fontId="7" type="noConversion"/>
  </si>
  <si>
    <t>2020 리히트 리피네 스토리13</t>
    <phoneticPr fontId="7" type="noConversion"/>
  </si>
  <si>
    <t>2020 리히트 리피네 스토리14</t>
    <phoneticPr fontId="7" type="noConversion"/>
  </si>
  <si>
    <t>2020 리히트 리피네 특던1</t>
    <phoneticPr fontId="7" type="noConversion"/>
  </si>
  <si>
    <t>2020 리히트 리피네 특던2</t>
    <phoneticPr fontId="7" type="noConversion"/>
  </si>
  <si>
    <t>2020 리히트 리피네 특던3</t>
    <phoneticPr fontId="7" type="noConversion"/>
  </si>
  <si>
    <t>88</t>
    <phoneticPr fontId="7" type="noConversion"/>
  </si>
  <si>
    <t>89</t>
    <phoneticPr fontId="7" type="noConversion"/>
  </si>
  <si>
    <t>88,89</t>
    <phoneticPr fontId="7" type="noConversion"/>
  </si>
  <si>
    <t>2020RiheetRipine_2</t>
    <phoneticPr fontId="7" type="noConversion"/>
  </si>
  <si>
    <t>루시키엘 시련의 방</t>
  </si>
  <si>
    <t>루시키엘 3성</t>
  </si>
  <si>
    <t>루시키엘 4성</t>
  </si>
  <si>
    <t>루시키엘 5성</t>
  </si>
  <si>
    <t>루시키엘 1초월</t>
  </si>
  <si>
    <t>루시키엘 2초월</t>
  </si>
  <si>
    <t>루시키엘 3초월</t>
  </si>
  <si>
    <t>루시키엘 4초월</t>
  </si>
  <si>
    <t>루시키엘 5초월</t>
  </si>
  <si>
    <t>101003</t>
    <phoneticPr fontId="7" type="noConversion"/>
  </si>
  <si>
    <t>101004</t>
    <phoneticPr fontId="7" type="noConversion"/>
  </si>
  <si>
    <t>101005</t>
    <phoneticPr fontId="7" type="noConversion"/>
  </si>
  <si>
    <t>0</t>
    <phoneticPr fontId="7" type="noConversion"/>
  </si>
  <si>
    <t>루시키엘 1성</t>
    <phoneticPr fontId="7" type="noConversion"/>
  </si>
  <si>
    <t>루시키엘 2성</t>
    <phoneticPr fontId="7" type="noConversion"/>
  </si>
  <si>
    <t>2020 힐다 비밀 던전</t>
    <phoneticPr fontId="7" type="noConversion"/>
  </si>
  <si>
    <t>800299</t>
    <phoneticPr fontId="7" type="noConversion"/>
  </si>
  <si>
    <t>800319</t>
    <phoneticPr fontId="7" type="noConversion"/>
  </si>
  <si>
    <t>800318</t>
    <phoneticPr fontId="7" type="noConversion"/>
  </si>
  <si>
    <t>800298</t>
    <phoneticPr fontId="7" type="noConversion"/>
  </si>
  <si>
    <t>Battle.EclipseBGM</t>
  </si>
  <si>
    <t>Tower.Field1_3D</t>
    <phoneticPr fontId="7" type="noConversion"/>
  </si>
  <si>
    <t>111</t>
    <phoneticPr fontId="7" type="noConversion"/>
  </si>
  <si>
    <t>오건일컷신테스트챕터</t>
    <phoneticPr fontId="7" type="noConversion"/>
  </si>
  <si>
    <t>Chapter1.Field3_3D</t>
    <phoneticPr fontId="7" type="noConversion"/>
  </si>
  <si>
    <t>112</t>
    <phoneticPr fontId="7" type="noConversion"/>
  </si>
  <si>
    <t>Cutscene.SubBattelBGM1_1</t>
    <phoneticPr fontId="20" type="noConversion"/>
  </si>
  <si>
    <t>113</t>
    <phoneticPr fontId="7" type="noConversion"/>
  </si>
  <si>
    <t>BGM2.Battle.Chapter9-5.OrvelRuin</t>
    <phoneticPr fontId="20" type="noConversion"/>
  </si>
  <si>
    <t>114</t>
    <phoneticPr fontId="7" type="noConversion"/>
  </si>
  <si>
    <t>BGM2.Guild.GuildBattle</t>
    <phoneticPr fontId="20" type="noConversion"/>
  </si>
  <si>
    <t>115</t>
    <phoneticPr fontId="7" type="noConversion"/>
  </si>
  <si>
    <t>199</t>
    <phoneticPr fontId="7" type="noConversion"/>
  </si>
  <si>
    <t>오건일튜토리얼 재확인용</t>
    <phoneticPr fontId="7" type="noConversion"/>
  </si>
  <si>
    <t>샤크메 시련의 방</t>
    <phoneticPr fontId="7" type="noConversion"/>
  </si>
  <si>
    <t>샤크메 1성</t>
    <phoneticPr fontId="7" type="noConversion"/>
  </si>
  <si>
    <t>샤크메 2성</t>
  </si>
  <si>
    <t>샤크메 3성</t>
  </si>
  <si>
    <t>샤크메 4성</t>
  </si>
  <si>
    <t>샤크메 5성</t>
  </si>
  <si>
    <t>80</t>
    <phoneticPr fontId="7" type="noConversion"/>
  </si>
  <si>
    <t>100803</t>
    <phoneticPr fontId="7" type="noConversion"/>
  </si>
  <si>
    <t>100804</t>
    <phoneticPr fontId="7" type="noConversion"/>
  </si>
  <si>
    <t>100805</t>
    <phoneticPr fontId="7" type="noConversion"/>
  </si>
  <si>
    <t>샤크메 1초월</t>
    <phoneticPr fontId="7" type="noConversion"/>
  </si>
  <si>
    <t>샤크메 2초월</t>
  </si>
  <si>
    <t>샤크메 3초월</t>
  </si>
  <si>
    <t>샤크메 4초월</t>
  </si>
  <si>
    <t>샤크메 5초월</t>
  </si>
  <si>
    <t>101801</t>
    <phoneticPr fontId="7" type="noConversion"/>
  </si>
  <si>
    <t>101802</t>
  </si>
  <si>
    <t>101803</t>
  </si>
  <si>
    <t>101804</t>
  </si>
  <si>
    <t>101805</t>
  </si>
  <si>
    <t>30041</t>
    <phoneticPr fontId="7" type="noConversion"/>
  </si>
  <si>
    <t>80</t>
    <phoneticPr fontId="7" type="noConversion"/>
  </si>
  <si>
    <t>77,80</t>
    <phoneticPr fontId="7" type="noConversion"/>
  </si>
  <si>
    <t>1</t>
    <phoneticPr fontId="7" type="noConversion"/>
  </si>
  <si>
    <t>2</t>
    <phoneticPr fontId="7" type="noConversion"/>
  </si>
  <si>
    <t>2021 샤크메 스토리1</t>
    <phoneticPr fontId="7" type="noConversion"/>
  </si>
  <si>
    <t>2021Shakmeh</t>
    <phoneticPr fontId="7" type="noConversion"/>
  </si>
  <si>
    <t>길드레이드 개편</t>
    <phoneticPr fontId="7" type="noConversion"/>
  </si>
  <si>
    <t>길드레이드-1-1</t>
    <phoneticPr fontId="7" type="noConversion"/>
  </si>
  <si>
    <t>길드레이드-1-2</t>
  </si>
  <si>
    <t>길드레이드-1-3</t>
  </si>
  <si>
    <t>길드레이드-1-4</t>
  </si>
  <si>
    <t>길드레이드-1-5</t>
  </si>
  <si>
    <t>길드레이드-2-1</t>
    <phoneticPr fontId="7" type="noConversion"/>
  </si>
  <si>
    <t>길드레이드-2-2</t>
  </si>
  <si>
    <t>길드레이드-2-3</t>
  </si>
  <si>
    <t>길드레이드-2-4</t>
  </si>
  <si>
    <t>길드레이드-2-5</t>
  </si>
  <si>
    <t>길드레이드-3-1</t>
    <phoneticPr fontId="7" type="noConversion"/>
  </si>
  <si>
    <t>길드레이드-3-2</t>
  </si>
  <si>
    <t>길드레이드-3-3</t>
  </si>
  <si>
    <t>길드레이드-3-4</t>
  </si>
  <si>
    <t>길드레이드-3-5</t>
  </si>
  <si>
    <t>길드레이드-4-1</t>
    <phoneticPr fontId="7" type="noConversion"/>
  </si>
  <si>
    <t>길드레이드-4-2</t>
  </si>
  <si>
    <t>길드레이드-4-3</t>
  </si>
  <si>
    <t>길드레이드-4-4</t>
  </si>
  <si>
    <t>길드레이드-4-5</t>
  </si>
  <si>
    <t>길드레이드-5-1</t>
    <phoneticPr fontId="7" type="noConversion"/>
  </si>
  <si>
    <t>길드레이드-5-2</t>
  </si>
  <si>
    <t>길드레이드-5-3</t>
  </si>
  <si>
    <t>길드레이드-5-4</t>
  </si>
  <si>
    <t>길드레이드-5-5</t>
  </si>
  <si>
    <t>길드레이드-6-1</t>
    <phoneticPr fontId="7" type="noConversion"/>
  </si>
  <si>
    <t>길드레이드-6-2</t>
  </si>
  <si>
    <t>길드레이드-6-3</t>
  </si>
  <si>
    <t>길드레이드-6-4</t>
  </si>
  <si>
    <t>길드레이드-6-5</t>
  </si>
  <si>
    <t>길드레이드-7-1</t>
    <phoneticPr fontId="7" type="noConversion"/>
  </si>
  <si>
    <t>길드레이드-7-2</t>
  </si>
  <si>
    <t>길드레이드-7-3</t>
  </si>
  <si>
    <t>길드레이드-7-4</t>
  </si>
  <si>
    <t>길드레이드-7-5</t>
  </si>
  <si>
    <t>보너스 던전</t>
    <phoneticPr fontId="7" type="noConversion"/>
  </si>
  <si>
    <t>6010</t>
    <phoneticPr fontId="7" type="noConversion"/>
  </si>
  <si>
    <t>더미 던전</t>
    <phoneticPr fontId="7" type="noConversion"/>
  </si>
  <si>
    <t>30042</t>
    <phoneticPr fontId="7" type="noConversion"/>
  </si>
  <si>
    <t>샤크메 영던</t>
    <phoneticPr fontId="7" type="noConversion"/>
  </si>
  <si>
    <t>오건일 이벤트</t>
    <phoneticPr fontId="7" type="noConversion"/>
  </si>
  <si>
    <t>2022 샤크메 스토리2</t>
    <phoneticPr fontId="7" type="noConversion"/>
  </si>
  <si>
    <t>2023 샤크메 스토리3</t>
    <phoneticPr fontId="7" type="noConversion"/>
  </si>
  <si>
    <t>2024 샤크메 스토리4</t>
    <phoneticPr fontId="7" type="noConversion"/>
  </si>
  <si>
    <t>2025 샤크메 스토리5</t>
    <phoneticPr fontId="7" type="noConversion"/>
  </si>
  <si>
    <t>2021 오건일 스토리1</t>
    <phoneticPr fontId="7" type="noConversion"/>
  </si>
  <si>
    <t>2021 오건일 스토리2</t>
    <phoneticPr fontId="7" type="noConversion"/>
  </si>
  <si>
    <t>2021 오건일 스토리3</t>
    <phoneticPr fontId="7" type="noConversion"/>
  </si>
  <si>
    <t>2021 오건일 스토리4</t>
    <phoneticPr fontId="7" type="noConversion"/>
  </si>
  <si>
    <t>2021 오건일 스토리5</t>
    <phoneticPr fontId="7" type="noConversion"/>
  </si>
  <si>
    <t>1000</t>
    <phoneticPr fontId="7" type="noConversion"/>
  </si>
  <si>
    <t>4</t>
    <phoneticPr fontId="7" type="noConversion"/>
  </si>
  <si>
    <t>행운의 리그</t>
    <phoneticPr fontId="7" type="noConversion"/>
  </si>
  <si>
    <t>LuckyArena.Field</t>
    <phoneticPr fontId="7" type="noConversion"/>
  </si>
  <si>
    <t>결투장</t>
    <phoneticPr fontId="7" type="noConversion"/>
  </si>
  <si>
    <t>6</t>
    <phoneticPr fontId="7" type="noConversion"/>
  </si>
  <si>
    <t>7</t>
    <phoneticPr fontId="7" type="noConversion"/>
  </si>
  <si>
    <t>8</t>
    <phoneticPr fontId="7" type="noConversion"/>
  </si>
  <si>
    <t>오건일 이벤트 특던</t>
    <phoneticPr fontId="7" type="noConversion"/>
  </si>
  <si>
    <t>2021 오건일 특던 1</t>
    <phoneticPr fontId="7" type="noConversion"/>
  </si>
  <si>
    <t>2021 오건일 특던 2</t>
    <phoneticPr fontId="7" type="noConversion"/>
  </si>
  <si>
    <t>2021 오건일 특던 3</t>
    <phoneticPr fontId="7" type="noConversion"/>
  </si>
  <si>
    <t>1</t>
    <phoneticPr fontId="7" type="noConversion"/>
  </si>
  <si>
    <t>2</t>
    <phoneticPr fontId="7" type="noConversion"/>
  </si>
  <si>
    <t>2021Orvel</t>
    <phoneticPr fontId="7" type="noConversion"/>
  </si>
  <si>
    <t>True</t>
    <phoneticPr fontId="7" type="noConversion"/>
  </si>
  <si>
    <t>93</t>
    <phoneticPr fontId="7" type="noConversion"/>
  </si>
  <si>
    <t>26,36</t>
    <phoneticPr fontId="7" type="noConversion"/>
  </si>
  <si>
    <t>62</t>
    <phoneticPr fontId="7" type="noConversion"/>
  </si>
  <si>
    <t>에스텔 시련의 방</t>
  </si>
  <si>
    <t>에스텔 1성</t>
  </si>
  <si>
    <t>에스텔 2성</t>
  </si>
  <si>
    <t>에스텔 3성</t>
  </si>
  <si>
    <t>에스텔 4성</t>
  </si>
  <si>
    <t>에스텔 5성</t>
  </si>
  <si>
    <t>101</t>
    <phoneticPr fontId="7" type="noConversion"/>
  </si>
  <si>
    <t>101013</t>
    <phoneticPr fontId="7" type="noConversion"/>
  </si>
  <si>
    <t>101014</t>
    <phoneticPr fontId="7" type="noConversion"/>
  </si>
  <si>
    <t>101015</t>
    <phoneticPr fontId="7" type="noConversion"/>
  </si>
  <si>
    <t>에스텔 시련의 방</t>
    <phoneticPr fontId="7" type="noConversion"/>
  </si>
  <si>
    <t>에스텔 1초월</t>
  </si>
  <si>
    <t>에스텔 2초월</t>
  </si>
  <si>
    <t>에스텔 3초월</t>
  </si>
  <si>
    <t>에스텔 4초월</t>
  </si>
  <si>
    <t>에스텔 5초월</t>
  </si>
  <si>
    <t>1011011</t>
    <phoneticPr fontId="7" type="noConversion"/>
  </si>
  <si>
    <t>1011012</t>
    <phoneticPr fontId="7" type="noConversion"/>
  </si>
  <si>
    <t>1011013</t>
    <phoneticPr fontId="7" type="noConversion"/>
  </si>
  <si>
    <t>1011014</t>
    <phoneticPr fontId="7" type="noConversion"/>
  </si>
  <si>
    <t>1011015</t>
    <phoneticPr fontId="7" type="noConversion"/>
  </si>
  <si>
    <t>6011</t>
    <phoneticPr fontId="7" type="noConversion"/>
  </si>
  <si>
    <t>길드레이드-8-1</t>
    <phoneticPr fontId="7" type="noConversion"/>
  </si>
  <si>
    <t>길드레이드-8-2</t>
  </si>
  <si>
    <t>길드레이드-8-3</t>
  </si>
  <si>
    <t>길드레이드-8-4</t>
  </si>
  <si>
    <t>길드레이드-8-5</t>
  </si>
  <si>
    <t>800402</t>
    <phoneticPr fontId="7" type="noConversion"/>
  </si>
  <si>
    <t>800404</t>
    <phoneticPr fontId="7" type="noConversion"/>
  </si>
  <si>
    <t>800405</t>
    <phoneticPr fontId="7" type="noConversion"/>
  </si>
  <si>
    <t>800406</t>
    <phoneticPr fontId="7" type="noConversion"/>
  </si>
  <si>
    <t>GuildRaid_Bonus</t>
    <phoneticPr fontId="7" type="noConversion"/>
  </si>
  <si>
    <t>LuckyArena</t>
    <phoneticPr fontId="7" type="noConversion"/>
  </si>
  <si>
    <t>LocalStorageKey</t>
    <phoneticPr fontId="7" type="noConversion"/>
  </si>
  <si>
    <t>GuildRaidchapter01</t>
    <phoneticPr fontId="7" type="noConversion"/>
  </si>
  <si>
    <t>GuildRaidchapter02</t>
    <phoneticPr fontId="7" type="noConversion"/>
  </si>
  <si>
    <t>GuildRaidchapter03</t>
    <phoneticPr fontId="7" type="noConversion"/>
  </si>
  <si>
    <t>GuildRaidchapter04</t>
    <phoneticPr fontId="7" type="noConversion"/>
  </si>
  <si>
    <t>GuildRaidchapter05</t>
    <phoneticPr fontId="7" type="noConversion"/>
  </si>
  <si>
    <t>GuildRaidchapter06</t>
    <phoneticPr fontId="7" type="noConversion"/>
  </si>
  <si>
    <t>GuildRaidchapter07</t>
    <phoneticPr fontId="7" type="noConversion"/>
  </si>
  <si>
    <t>GuildRaidchapter08</t>
    <phoneticPr fontId="7" type="noConversion"/>
  </si>
  <si>
    <t>GuildRaidchapter09</t>
    <phoneticPr fontId="7" type="noConversion"/>
  </si>
  <si>
    <t>GuildRaidchapter10</t>
    <phoneticPr fontId="7" type="noConversion"/>
  </si>
  <si>
    <t>시련의 전장</t>
    <phoneticPr fontId="7" type="noConversion"/>
  </si>
  <si>
    <t>샤크메 비던</t>
    <phoneticPr fontId="7" type="noConversion"/>
  </si>
  <si>
    <t>800328</t>
  </si>
  <si>
    <t>800327</t>
  </si>
  <si>
    <t>로이</t>
    <phoneticPr fontId="7" type="noConversion"/>
  </si>
  <si>
    <t>100004</t>
    <phoneticPr fontId="7" type="noConversion"/>
  </si>
  <si>
    <t>4-1</t>
    <phoneticPr fontId="7" type="noConversion"/>
  </si>
  <si>
    <t>로이 1</t>
    <phoneticPr fontId="7" type="noConversion"/>
  </si>
  <si>
    <t>SubStory8</t>
    <phoneticPr fontId="7" type="noConversion"/>
  </si>
  <si>
    <t>4-2</t>
  </si>
  <si>
    <t>4-3</t>
  </si>
  <si>
    <t>4-4</t>
  </si>
  <si>
    <t>4-5</t>
  </si>
  <si>
    <t>4-6</t>
  </si>
  <si>
    <t>로이 2</t>
  </si>
  <si>
    <t>로이 3</t>
  </si>
  <si>
    <t>로이 4</t>
  </si>
  <si>
    <t>로이 5</t>
  </si>
  <si>
    <t>로이 6</t>
  </si>
  <si>
    <t>Battle.Chapter4</t>
    <phoneticPr fontId="7" type="noConversion"/>
  </si>
  <si>
    <t>1040001</t>
    <phoneticPr fontId="7" type="noConversion"/>
  </si>
  <si>
    <t>1040002</t>
  </si>
  <si>
    <t>1040003</t>
  </si>
  <si>
    <t>1040004</t>
  </si>
  <si>
    <t>1040005</t>
  </si>
  <si>
    <t>1040006</t>
  </si>
  <si>
    <t>7</t>
    <phoneticPr fontId="7" type="noConversion"/>
  </si>
  <si>
    <t>로이 7</t>
  </si>
  <si>
    <t>1040007</t>
  </si>
  <si>
    <t>4-7</t>
  </si>
  <si>
    <t>파이널 챕터 컷신 테스트</t>
    <phoneticPr fontId="7" type="noConversion"/>
  </si>
  <si>
    <t>파이널 튜토리얼 재확인용</t>
    <phoneticPr fontId="7" type="noConversion"/>
  </si>
  <si>
    <t>10</t>
    <phoneticPr fontId="7" type="noConversion"/>
  </si>
  <si>
    <t>PartyNeedsTicket</t>
    <phoneticPr fontId="7" type="noConversion"/>
  </si>
  <si>
    <t>8</t>
    <phoneticPr fontId="7" type="noConversion"/>
  </si>
  <si>
    <t>4-8</t>
    <phoneticPr fontId="7" type="noConversion"/>
  </si>
  <si>
    <t>로이 8</t>
    <phoneticPr fontId="7" type="noConversion"/>
  </si>
  <si>
    <t>1040008</t>
    <phoneticPr fontId="7" type="noConversion"/>
  </si>
  <si>
    <t>9</t>
    <phoneticPr fontId="7" type="noConversion"/>
  </si>
  <si>
    <t>30043</t>
    <phoneticPr fontId="7" type="noConversion"/>
  </si>
  <si>
    <t>2021 이사야 영던 1</t>
    <phoneticPr fontId="7" type="noConversion"/>
  </si>
  <si>
    <t>2021 이사야 영던 2</t>
    <phoneticPr fontId="7" type="noConversion"/>
  </si>
  <si>
    <t>2021 이사야 영던 3</t>
    <phoneticPr fontId="7" type="noConversion"/>
  </si>
  <si>
    <t>2021ISAIAH</t>
    <phoneticPr fontId="7" type="noConversion"/>
  </si>
  <si>
    <t>102</t>
    <phoneticPr fontId="7" type="noConversion"/>
  </si>
  <si>
    <t>이사야 시련의 방</t>
  </si>
  <si>
    <t>이사야 1성</t>
  </si>
  <si>
    <t>이사야 2성</t>
  </si>
  <si>
    <t>이사야 3성</t>
  </si>
  <si>
    <t>이사야 4성</t>
  </si>
  <si>
    <t>이사야 5성</t>
  </si>
  <si>
    <t>이사야 1초월</t>
  </si>
  <si>
    <t>이사야 2초월</t>
  </si>
  <si>
    <t>이사야 3초월</t>
  </si>
  <si>
    <t>이사야 4초월</t>
  </si>
  <si>
    <t>이사야 5초월</t>
  </si>
  <si>
    <t>1011021</t>
    <phoneticPr fontId="7" type="noConversion"/>
  </si>
  <si>
    <t>1011022</t>
    <phoneticPr fontId="7" type="noConversion"/>
  </si>
  <si>
    <t>1011023</t>
    <phoneticPr fontId="7" type="noConversion"/>
  </si>
  <si>
    <t>1011024</t>
    <phoneticPr fontId="7" type="noConversion"/>
  </si>
  <si>
    <t>1011025</t>
    <phoneticPr fontId="7" type="noConversion"/>
  </si>
  <si>
    <t>900171</t>
    <phoneticPr fontId="7" type="noConversion"/>
  </si>
  <si>
    <t>900170</t>
    <phoneticPr fontId="7" type="noConversion"/>
  </si>
  <si>
    <t>900179</t>
    <phoneticPr fontId="7" type="noConversion"/>
  </si>
  <si>
    <t>DeckAttributeCondition[]</t>
    <phoneticPr fontId="7" type="noConversion"/>
  </si>
  <si>
    <t>EventHeroDungeonTicket</t>
    <phoneticPr fontId="7" type="noConversion"/>
  </si>
  <si>
    <t>Cutscene.Chapter11.FearDreariness</t>
    <phoneticPr fontId="7" type="noConversion"/>
  </si>
  <si>
    <t>Chapter11.Field1</t>
  </si>
  <si>
    <t>2021ISAIAH_SCENARIO</t>
    <phoneticPr fontId="7" type="noConversion"/>
  </si>
  <si>
    <t>50001</t>
    <phoneticPr fontId="7" type="noConversion"/>
  </si>
  <si>
    <t>50002</t>
    <phoneticPr fontId="7" type="noConversion"/>
  </si>
  <si>
    <t>50003</t>
    <phoneticPr fontId="7" type="noConversion"/>
  </si>
  <si>
    <t>50004</t>
    <phoneticPr fontId="7" type="noConversion"/>
  </si>
  <si>
    <t>50005</t>
  </si>
  <si>
    <t>50006</t>
  </si>
  <si>
    <t>50007</t>
  </si>
  <si>
    <t>50008</t>
  </si>
  <si>
    <t>50009</t>
  </si>
  <si>
    <t>Cutscene.Fear2</t>
  </si>
  <si>
    <t>4-11</t>
  </si>
  <si>
    <t>Animation.M41_Bravery2_Stand</t>
  </si>
  <si>
    <t>로이 11</t>
  </si>
  <si>
    <t>1040011</t>
  </si>
  <si>
    <t>4-12</t>
  </si>
  <si>
    <t>로이 12</t>
  </si>
  <si>
    <t>1040012</t>
  </si>
  <si>
    <t>4-13</t>
  </si>
  <si>
    <t>Animation.M35_Tension01_edit</t>
  </si>
  <si>
    <t>로이 13</t>
  </si>
  <si>
    <t>1040013</t>
  </si>
  <si>
    <t>4-14</t>
  </si>
  <si>
    <t>Substory.Ophelia.Field1</t>
  </si>
  <si>
    <t>Animation.M06_Malduk</t>
  </si>
  <si>
    <t>로이 14</t>
  </si>
  <si>
    <t>1040014</t>
  </si>
  <si>
    <t>4-15</t>
  </si>
  <si>
    <t>로이 15</t>
  </si>
  <si>
    <t>1040015</t>
  </si>
  <si>
    <t>4-16</t>
  </si>
  <si>
    <t>로이 16</t>
  </si>
  <si>
    <t>1040016</t>
  </si>
  <si>
    <t>4-9</t>
    <phoneticPr fontId="7" type="noConversion"/>
  </si>
  <si>
    <t>로이 9</t>
    <phoneticPr fontId="7" type="noConversion"/>
  </si>
  <si>
    <t>1040009</t>
    <phoneticPr fontId="7" type="noConversion"/>
  </si>
  <si>
    <t>4-10</t>
    <phoneticPr fontId="7" type="noConversion"/>
  </si>
  <si>
    <t>로이 10</t>
    <phoneticPr fontId="7" type="noConversion"/>
  </si>
  <si>
    <t>1040010</t>
    <phoneticPr fontId="7" type="noConversion"/>
  </si>
  <si>
    <t>1040017</t>
    <phoneticPr fontId="7" type="noConversion"/>
  </si>
  <si>
    <t>1040018</t>
    <phoneticPr fontId="7" type="noConversion"/>
  </si>
  <si>
    <t>챌린지 레이드 (싱글 시즌)</t>
    <phoneticPr fontId="7" type="noConversion"/>
  </si>
  <si>
    <t>챌린지 레이드 (멀티 시즌)</t>
    <phoneticPr fontId="7" type="noConversion"/>
  </si>
  <si>
    <t>챌린지 레이드 시스라엘 Easy</t>
    <phoneticPr fontId="7" type="noConversion"/>
  </si>
  <si>
    <t>챌린지 레이드 시스라엘 Normal</t>
    <phoneticPr fontId="7" type="noConversion"/>
  </si>
  <si>
    <t>챌린지 레이드 시스라엘 Hard</t>
    <phoneticPr fontId="7" type="noConversion"/>
  </si>
  <si>
    <t>챌린지 레이드 시스라엘 Hell</t>
    <phoneticPr fontId="7" type="noConversion"/>
  </si>
  <si>
    <t>챌린지 레이드 가로우 Normal</t>
    <phoneticPr fontId="7" type="noConversion"/>
  </si>
  <si>
    <t>챌린지 레이드 가로우 Hard</t>
    <phoneticPr fontId="7" type="noConversion"/>
  </si>
  <si>
    <t>챌린지 레이드 가로우 Hell</t>
    <phoneticPr fontId="7" type="noConversion"/>
  </si>
  <si>
    <t>챌린지 레이드 칼락스 Normal</t>
    <phoneticPr fontId="7" type="noConversion"/>
  </si>
  <si>
    <t>챌린지 레이드 칼락스 Hard</t>
    <phoneticPr fontId="7" type="noConversion"/>
  </si>
  <si>
    <t>챌린지 레이드 칼락스 Hell</t>
    <phoneticPr fontId="7" type="noConversion"/>
  </si>
  <si>
    <t>챌린지 레이드흑카셀 Normal</t>
    <phoneticPr fontId="7" type="noConversion"/>
  </si>
  <si>
    <t>챌린지 레이드흑카셀 Hard</t>
    <phoneticPr fontId="7" type="noConversion"/>
  </si>
  <si>
    <t>챌린지 레이드흑카셀 Hell</t>
    <phoneticPr fontId="7" type="noConversion"/>
  </si>
  <si>
    <t>Int</t>
    <phoneticPr fontId="7" type="noConversion"/>
  </si>
  <si>
    <t>AffixGroupIndex_Easy</t>
    <phoneticPr fontId="7" type="noConversion"/>
  </si>
  <si>
    <t>AffixMultiple_Easy</t>
    <phoneticPr fontId="7" type="noConversion"/>
  </si>
  <si>
    <t>ClearPoint_Easy</t>
    <phoneticPr fontId="7" type="noConversion"/>
  </si>
  <si>
    <t>AffixGroupIndex_Normal</t>
    <phoneticPr fontId="7" type="noConversion"/>
  </si>
  <si>
    <t>AffixMultiple_Normal</t>
    <phoneticPr fontId="7" type="noConversion"/>
  </si>
  <si>
    <t>ClearPoint_Normal</t>
    <phoneticPr fontId="7" type="noConversion"/>
  </si>
  <si>
    <t>AffixGroupIndex_Hard</t>
    <phoneticPr fontId="7" type="noConversion"/>
  </si>
  <si>
    <t>AffixMultiple_Hard</t>
    <phoneticPr fontId="7" type="noConversion"/>
  </si>
  <si>
    <t>ClearPoint_Hard</t>
    <phoneticPr fontId="7" type="noConversion"/>
  </si>
  <si>
    <t>AffixGroupIndex_Hell</t>
    <phoneticPr fontId="7" type="noConversion"/>
  </si>
  <si>
    <t>AffixMultiple_Hell</t>
    <phoneticPr fontId="7" type="noConversion"/>
  </si>
  <si>
    <t>ClearPoint_Hell</t>
    <phoneticPr fontId="7" type="noConversion"/>
  </si>
  <si>
    <t>챌린지 레이드 - 패널티 멀티</t>
    <phoneticPr fontId="7" type="noConversion"/>
  </si>
  <si>
    <t>챌린지 레이드 - 패널티 싱글</t>
    <phoneticPr fontId="7" type="noConversion"/>
  </si>
  <si>
    <t>패널티 - 우르칵 이지 (멀티)</t>
    <phoneticPr fontId="7" type="noConversion"/>
  </si>
  <si>
    <t>패널티 - 우르칵 노말 (멀티)</t>
    <phoneticPr fontId="7" type="noConversion"/>
  </si>
  <si>
    <t>패널티 - 우르칵 하드 (멀티)</t>
    <phoneticPr fontId="7" type="noConversion"/>
  </si>
  <si>
    <t>패널티 - 우르칵 헬 (멀티)</t>
    <phoneticPr fontId="7" type="noConversion"/>
  </si>
  <si>
    <t>패널티 - 사트리아 이지 (멀티)</t>
    <phoneticPr fontId="7" type="noConversion"/>
  </si>
  <si>
    <t>패널티 - 사트리아 노말 (멀티)</t>
    <phoneticPr fontId="7" type="noConversion"/>
  </si>
  <si>
    <t>패널티 - 사트리아 하드 (멀티)</t>
    <phoneticPr fontId="7" type="noConversion"/>
  </si>
  <si>
    <t>패널티 - 사트리아 헬 (멀티)</t>
    <phoneticPr fontId="7" type="noConversion"/>
  </si>
  <si>
    <t>패널티 - 케베른 이지 (멀티)</t>
    <phoneticPr fontId="7" type="noConversion"/>
  </si>
  <si>
    <t>패널티 - 케베른 노말 (멀티)</t>
    <phoneticPr fontId="7" type="noConversion"/>
  </si>
  <si>
    <t>패널티 - 케베른 하드 (멀티)</t>
    <phoneticPr fontId="7" type="noConversion"/>
  </si>
  <si>
    <t>패널티 - 케베른 헬 (멀티)</t>
    <phoneticPr fontId="7" type="noConversion"/>
  </si>
  <si>
    <t>패널티 - 오브리가드 이지 (멀티)</t>
  </si>
  <si>
    <t>패널티 - 오브리가드 노말 (멀티)</t>
  </si>
  <si>
    <t>패널티 - 오브리가드 하드 (멀티)</t>
  </si>
  <si>
    <t>패널티 - 오브리가드 헬 (멀티)</t>
  </si>
  <si>
    <t>패널티 - 시스라엘 이지 (멀티)</t>
  </si>
  <si>
    <t>패널티 - 시스라엘 노말 (멀티)</t>
  </si>
  <si>
    <t>패널티 - 시스라엘 하드 (멀티)</t>
  </si>
  <si>
    <t>패널티 - 시스라엘 헬 (멀티)</t>
  </si>
  <si>
    <t>패널티 - 가로우 이지 (멀티)</t>
  </si>
  <si>
    <t>패널티 - 가로우 노말 (멀티)</t>
  </si>
  <si>
    <t>패널티 - 가로우 하드 (멀티)</t>
  </si>
  <si>
    <t>패널티 - 가로우 헬 (멀티)</t>
  </si>
  <si>
    <t>패널티 - 토르페 이지 (멀티)</t>
  </si>
  <si>
    <t>패널티 - 토르페 노말 (멀티)</t>
  </si>
  <si>
    <t>패널티 - 토르페 하드 (멀티)</t>
  </si>
  <si>
    <t>패널티 - 토르페 헬 (멀티)</t>
  </si>
  <si>
    <t>패널티 - 칼락스 이지 (멀티)</t>
  </si>
  <si>
    <t>패널티 - 칼락스 노말 (멀티)</t>
  </si>
  <si>
    <t>패널티 - 칼락스 하드 (멀티)</t>
  </si>
  <si>
    <t>패널티 - 칼락스 헬 (멀티)</t>
  </si>
  <si>
    <t>패널티 - 우르칵 이지 (싱글)</t>
  </si>
  <si>
    <t>패널티 - 우르칵 노말 (싱글)</t>
  </si>
  <si>
    <t>패널티 - 우르칵 하드 (싱글)</t>
  </si>
  <si>
    <t>패널티 - 우르칵 헬 (싱글)</t>
  </si>
  <si>
    <t>패널티 - 사트리아 이지 (싱글)</t>
  </si>
  <si>
    <t>패널티 - 사트리아 노말 (싱글)</t>
  </si>
  <si>
    <t>패널티 - 사트리아 하드 (싱글)</t>
  </si>
  <si>
    <t>패널티 - 사트리아 헬 (싱글)</t>
  </si>
  <si>
    <t>패널티 - 케베른 이지 (싱글)</t>
  </si>
  <si>
    <t>패널티 - 케베른 노말 (싱글)</t>
  </si>
  <si>
    <t>패널티 - 케베른 하드 (싱글)</t>
  </si>
  <si>
    <t>패널티 - 케베른 헬 (싱글)</t>
  </si>
  <si>
    <t>패널티 - 오브리가드 이지 (싱글)</t>
  </si>
  <si>
    <t>패널티 - 오브리가드 노말 (싱글)</t>
  </si>
  <si>
    <t>패널티 - 오브리가드 하드 (싱글)</t>
  </si>
  <si>
    <t>패널티 - 오브리가드 헬 (싱글)</t>
  </si>
  <si>
    <t>패널티 - 시스라엘 이지 (싱글)</t>
  </si>
  <si>
    <t>패널티 - 시스라엘 노말 (싱글)</t>
  </si>
  <si>
    <t>패널티 - 시스라엘 하드 (싱글)</t>
  </si>
  <si>
    <t>패널티 - 시스라엘 헬 (싱글)</t>
  </si>
  <si>
    <t>패널티 - 가로우 이지 (싱글)</t>
  </si>
  <si>
    <t>패널티 - 가로우 노말 (싱글)</t>
  </si>
  <si>
    <t>패널티 - 가로우 하드 (싱글)</t>
  </si>
  <si>
    <t>패널티 - 가로우 헬 (싱글)</t>
  </si>
  <si>
    <t>패널티 - 토르페 이지 (싱글)</t>
  </si>
  <si>
    <t>패널티 - 토르페 노말 (싱글)</t>
  </si>
  <si>
    <t>패널티 - 토르페 하드 (싱글)</t>
  </si>
  <si>
    <t>패널티 - 토르페 헬 (싱글)</t>
  </si>
  <si>
    <t>패널티 - 칼락스 이지 (싱글)</t>
  </si>
  <si>
    <t>패널티 - 칼락스 노말 (싱글)</t>
  </si>
  <si>
    <t>패널티 - 칼락스 하드 (싱글)</t>
  </si>
  <si>
    <t>패널티 - 칼락스 헬 (싱글)</t>
  </si>
  <si>
    <t>신벌 레이드</t>
    <phoneticPr fontId="7" type="noConversion"/>
  </si>
  <si>
    <t>신벌 레이드 화염 드래곤</t>
    <phoneticPr fontId="7" type="noConversion"/>
  </si>
  <si>
    <t>PunishmentRaid</t>
    <phoneticPr fontId="7" type="noConversion"/>
  </si>
  <si>
    <t>PunishmentRaid_RedDragon</t>
    <phoneticPr fontId="7" type="noConversion"/>
  </si>
  <si>
    <t>화염 드래곤</t>
    <phoneticPr fontId="7" type="noConversion"/>
  </si>
  <si>
    <t>신벌 레이드 서리 드래곤</t>
    <phoneticPr fontId="7" type="noConversion"/>
  </si>
  <si>
    <t>PunishmentRaid</t>
  </si>
  <si>
    <t>PunishmentRaid_IceDragon</t>
    <phoneticPr fontId="7" type="noConversion"/>
  </si>
  <si>
    <t>서리 드래곤</t>
    <phoneticPr fontId="7" type="noConversion"/>
  </si>
  <si>
    <t>신벌 레이드 맹독 드래곤</t>
    <phoneticPr fontId="7" type="noConversion"/>
  </si>
  <si>
    <t>PunishmentRaid_GreenDragon</t>
    <phoneticPr fontId="7" type="noConversion"/>
  </si>
  <si>
    <t>맹독 드래곤</t>
    <phoneticPr fontId="7" type="noConversion"/>
  </si>
  <si>
    <t>신벌 레이드 블랙 드래곤</t>
    <phoneticPr fontId="7" type="noConversion"/>
  </si>
  <si>
    <t>PunishmentRaid_BlackDragon</t>
    <phoneticPr fontId="7" type="noConversion"/>
  </si>
  <si>
    <t>블랙 드래곤</t>
    <phoneticPr fontId="7" type="noConversion"/>
  </si>
  <si>
    <t>신벌 레이드 아포칼립시온</t>
    <phoneticPr fontId="7" type="noConversion"/>
  </si>
  <si>
    <t>WorldBoss.ApocalypsionField1</t>
    <phoneticPr fontId="7" type="noConversion"/>
  </si>
  <si>
    <t>PunishmentRaid_Apocalypsion</t>
    <phoneticPr fontId="7" type="noConversion"/>
  </si>
  <si>
    <t>아포칼립시온</t>
    <phoneticPr fontId="7" type="noConversion"/>
  </si>
  <si>
    <t>Raid.IceField1_3D</t>
    <phoneticPr fontId="7" type="noConversion"/>
  </si>
  <si>
    <t>Shakmeh</t>
    <phoneticPr fontId="7" type="noConversion"/>
  </si>
  <si>
    <t>Raid.Apocalypsion.Boss</t>
    <phoneticPr fontId="7" type="noConversion"/>
  </si>
  <si>
    <t>900085</t>
  </si>
  <si>
    <t>WorldBoss.ApocalypsionField2</t>
    <phoneticPr fontId="7" type="noConversion"/>
  </si>
  <si>
    <t>900086</t>
  </si>
  <si>
    <t>900087</t>
  </si>
  <si>
    <t>900088</t>
  </si>
  <si>
    <t>30044</t>
    <phoneticPr fontId="7" type="noConversion"/>
  </si>
  <si>
    <t>2021 할로윈 스토리 1</t>
    <phoneticPr fontId="7" type="noConversion"/>
  </si>
  <si>
    <t>2021 할로윈 스토리 2</t>
    <phoneticPr fontId="7" type="noConversion"/>
  </si>
  <si>
    <t>2021 할로윈 스토리 3</t>
    <phoneticPr fontId="7" type="noConversion"/>
  </si>
  <si>
    <t>2021 할로윈 스토리 4</t>
    <phoneticPr fontId="7" type="noConversion"/>
  </si>
  <si>
    <t>2021 할로윈 스토리 5</t>
    <phoneticPr fontId="7" type="noConversion"/>
  </si>
  <si>
    <t>2021 할로윈 스토리 6</t>
    <phoneticPr fontId="7" type="noConversion"/>
  </si>
  <si>
    <t>2021 할로윈 특별 1</t>
    <phoneticPr fontId="7" type="noConversion"/>
  </si>
  <si>
    <t>2021 할로윈 특별 2</t>
    <phoneticPr fontId="7" type="noConversion"/>
  </si>
  <si>
    <t>2021 할로윈 특별 3</t>
    <phoneticPr fontId="7" type="noConversion"/>
  </si>
  <si>
    <t>2021 할로윈 특별 4</t>
    <phoneticPr fontId="7" type="noConversion"/>
  </si>
  <si>
    <t>2021 할로윈 스토리</t>
    <phoneticPr fontId="7" type="noConversion"/>
  </si>
  <si>
    <t>2021 할로윈 특별</t>
    <phoneticPr fontId="7" type="noConversion"/>
  </si>
  <si>
    <t>800616</t>
    <phoneticPr fontId="7" type="noConversion"/>
  </si>
  <si>
    <t>Punishment_RedDragon</t>
    <phoneticPr fontId="7" type="noConversion"/>
  </si>
  <si>
    <t>Punishment_IceDragon</t>
    <phoneticPr fontId="7" type="noConversion"/>
  </si>
  <si>
    <t>Punishment_GreenDragon</t>
    <phoneticPr fontId="7" type="noConversion"/>
  </si>
  <si>
    <t>Punishment_BlackDragon</t>
    <phoneticPr fontId="7" type="noConversion"/>
  </si>
  <si>
    <t>Punishment_Apocalypsion</t>
    <phoneticPr fontId="7" type="noConversion"/>
  </si>
  <si>
    <t>800617</t>
    <phoneticPr fontId="7" type="noConversion"/>
  </si>
  <si>
    <t>30045</t>
    <phoneticPr fontId="7" type="noConversion"/>
  </si>
  <si>
    <t>2021 할로윈 이벤트 던전</t>
    <phoneticPr fontId="7" type="noConversion"/>
  </si>
  <si>
    <t>Event.SummerField1_3D</t>
    <phoneticPr fontId="7" type="noConversion"/>
  </si>
  <si>
    <t>2021 가을 할로윈 운동회 1</t>
    <phoneticPr fontId="7" type="noConversion"/>
  </si>
  <si>
    <t>None</t>
  </si>
  <si>
    <t>2021 가을 할로윈 운동회 2</t>
    <phoneticPr fontId="7" type="noConversion"/>
  </si>
  <si>
    <t>Orveltown.DayField1</t>
  </si>
  <si>
    <t>300450008</t>
    <phoneticPr fontId="7" type="noConversion"/>
  </si>
  <si>
    <t>300450009</t>
    <phoneticPr fontId="7" type="noConversion"/>
  </si>
  <si>
    <t>300450010</t>
    <phoneticPr fontId="7" type="noConversion"/>
  </si>
  <si>
    <t>2021 가을 할로윈 운동회 3</t>
    <phoneticPr fontId="7" type="noConversion"/>
  </si>
  <si>
    <t>2021 가을 할로윈 운동회 4</t>
    <phoneticPr fontId="7" type="noConversion"/>
  </si>
  <si>
    <t>2021 가을 할로윈 운동회 5</t>
    <phoneticPr fontId="7" type="noConversion"/>
  </si>
  <si>
    <t>2021 가을 할로윈 운동회 6</t>
    <phoneticPr fontId="7" type="noConversion"/>
  </si>
  <si>
    <t>2021 가을 할로윈 운동회 7</t>
    <phoneticPr fontId="7" type="noConversion"/>
  </si>
  <si>
    <t>2021 가을 할로윈 운동회 8</t>
    <phoneticPr fontId="7" type="noConversion"/>
  </si>
  <si>
    <t>2021 가을 할로윈 운동회 9</t>
    <phoneticPr fontId="7" type="noConversion"/>
  </si>
  <si>
    <t>2021 가을 할로윈 운동회 10</t>
    <phoneticPr fontId="7" type="noConversion"/>
  </si>
  <si>
    <t>800618</t>
    <phoneticPr fontId="7" type="noConversion"/>
  </si>
  <si>
    <t>800619</t>
    <phoneticPr fontId="7" type="noConversion"/>
  </si>
  <si>
    <t>800620</t>
    <phoneticPr fontId="7" type="noConversion"/>
  </si>
  <si>
    <t>40244,40245,40246,40247</t>
    <phoneticPr fontId="7" type="noConversion"/>
  </si>
  <si>
    <t>4023941,4023942</t>
    <phoneticPr fontId="7" type="noConversion"/>
  </si>
  <si>
    <t>5,45,6</t>
    <phoneticPr fontId="7" type="noConversion"/>
  </si>
  <si>
    <t>2021Halloween</t>
  </si>
  <si>
    <t>2021Halloween3</t>
  </si>
  <si>
    <t>2021Halloween2</t>
  </si>
  <si>
    <t>발란세 1성</t>
    <phoneticPr fontId="7" type="noConversion"/>
  </si>
  <si>
    <t>발란세 2성</t>
    <phoneticPr fontId="7" type="noConversion"/>
  </si>
  <si>
    <t>발란세 3성</t>
  </si>
  <si>
    <t>발란세 4성</t>
  </si>
  <si>
    <t>발란세 5성</t>
  </si>
  <si>
    <t>101113</t>
    <phoneticPr fontId="7" type="noConversion"/>
  </si>
  <si>
    <t>101114</t>
    <phoneticPr fontId="7" type="noConversion"/>
  </si>
  <si>
    <t>101115</t>
    <phoneticPr fontId="7" type="noConversion"/>
  </si>
  <si>
    <t>발란세 시련의 방</t>
    <phoneticPr fontId="7" type="noConversion"/>
  </si>
  <si>
    <t>발란세 1초월</t>
    <phoneticPr fontId="7" type="noConversion"/>
  </si>
  <si>
    <t>발란세 2초월</t>
    <phoneticPr fontId="7" type="noConversion"/>
  </si>
  <si>
    <t>발란세 3초월</t>
  </si>
  <si>
    <t>발란세 4초월</t>
  </si>
  <si>
    <t>발란세 5초월</t>
  </si>
  <si>
    <t>1011112</t>
    <phoneticPr fontId="7" type="noConversion"/>
  </si>
  <si>
    <t>1011113</t>
    <phoneticPr fontId="7" type="noConversion"/>
  </si>
  <si>
    <t>1011114</t>
    <phoneticPr fontId="7" type="noConversion"/>
  </si>
  <si>
    <t>1011115</t>
    <phoneticPr fontId="7" type="noConversion"/>
  </si>
  <si>
    <t>30046</t>
    <phoneticPr fontId="7" type="noConversion"/>
  </si>
  <si>
    <t>300450011</t>
  </si>
  <si>
    <t>300450012</t>
  </si>
  <si>
    <t>300450013</t>
  </si>
  <si>
    <t>300450014</t>
  </si>
  <si>
    <t>300450015</t>
  </si>
  <si>
    <t>300450016</t>
  </si>
  <si>
    <t>300450017</t>
  </si>
  <si>
    <t>300450018</t>
  </si>
  <si>
    <t>300450019</t>
  </si>
  <si>
    <t>300450020</t>
  </si>
  <si>
    <t>발란세영던 스토리1</t>
    <phoneticPr fontId="7" type="noConversion"/>
  </si>
  <si>
    <t>발란세영던 스토리2</t>
  </si>
  <si>
    <t>발란세영던 스토리3</t>
  </si>
  <si>
    <t>발란세영던 스토리4</t>
  </si>
  <si>
    <t>발란세영던 스토리5</t>
  </si>
  <si>
    <t>발란세영던 스토리6</t>
  </si>
  <si>
    <t>발란세영던 스토리7</t>
  </si>
  <si>
    <t>발란세영던 스토리8</t>
  </si>
  <si>
    <t>발란세영던 특던1</t>
    <phoneticPr fontId="7" type="noConversion"/>
  </si>
  <si>
    <t>발란세영던 특던2</t>
  </si>
  <si>
    <t>발란세영던 특던3</t>
  </si>
  <si>
    <t>900191</t>
    <phoneticPr fontId="7" type="noConversion"/>
  </si>
  <si>
    <t>900191</t>
  </si>
  <si>
    <t>52,111</t>
    <phoneticPr fontId="7" type="noConversion"/>
  </si>
  <si>
    <t>35,72,111</t>
    <phoneticPr fontId="7" type="noConversion"/>
  </si>
  <si>
    <t>74,111</t>
    <phoneticPr fontId="7" type="noConversion"/>
  </si>
  <si>
    <t>Labyrinth.Field1_3D</t>
    <phoneticPr fontId="7" type="noConversion"/>
  </si>
  <si>
    <t>Substory.Ophelia.Field1</t>
    <phoneticPr fontId="7" type="noConversion"/>
  </si>
  <si>
    <t>DOW.Field1_3D</t>
    <phoneticPr fontId="7" type="noConversion"/>
  </si>
  <si>
    <t>800621</t>
    <phoneticPr fontId="7" type="noConversion"/>
  </si>
  <si>
    <t>800622</t>
  </si>
  <si>
    <t>800623</t>
  </si>
  <si>
    <t>800624</t>
  </si>
  <si>
    <t>Character.Crow_Theme</t>
  </si>
  <si>
    <t>52,111</t>
  </si>
  <si>
    <t>52,111</t>
    <phoneticPr fontId="7" type="noConversion"/>
  </si>
  <si>
    <t>111</t>
    <phoneticPr fontId="7" type="noConversion"/>
  </si>
  <si>
    <t>35,72,74,111</t>
  </si>
  <si>
    <t>35,72,74,111</t>
    <phoneticPr fontId="7" type="noConversion"/>
  </si>
  <si>
    <t>EGuildFlagDisplayType</t>
    <phoneticPr fontId="7" type="noConversion"/>
  </si>
  <si>
    <t>2</t>
    <phoneticPr fontId="7" type="noConversion"/>
  </si>
  <si>
    <t>1</t>
    <phoneticPr fontId="7" type="noConversion"/>
  </si>
  <si>
    <t>4</t>
    <phoneticPr fontId="7" type="noConversion"/>
  </si>
  <si>
    <t>Mine</t>
    <phoneticPr fontId="7" type="noConversion"/>
  </si>
  <si>
    <t>2021Valance</t>
    <phoneticPr fontId="7" type="noConversion"/>
  </si>
  <si>
    <t>1011116</t>
    <phoneticPr fontId="7" type="noConversion"/>
  </si>
  <si>
    <t>SweepDungeonType</t>
    <phoneticPr fontId="7" type="noConversion"/>
  </si>
  <si>
    <t>SweepTicketCount</t>
    <phoneticPr fontId="7" type="noConversion"/>
  </si>
  <si>
    <t>SweepTicketMaxCount</t>
    <phoneticPr fontId="7" type="noConversion"/>
  </si>
  <si>
    <t>MazeKnight</t>
    <phoneticPr fontId="7" type="noConversion"/>
  </si>
  <si>
    <t>MazeWarrior</t>
    <phoneticPr fontId="7" type="noConversion"/>
  </si>
  <si>
    <t>MazeAssassin</t>
    <phoneticPr fontId="7" type="noConversion"/>
  </si>
  <si>
    <t>MazeArcher</t>
    <phoneticPr fontId="7" type="noConversion"/>
  </si>
  <si>
    <t>MazeMechanic</t>
    <phoneticPr fontId="7" type="noConversion"/>
  </si>
  <si>
    <t>MazeWizard</t>
    <phoneticPr fontId="7" type="noConversion"/>
  </si>
  <si>
    <t>MazePriest</t>
    <phoneticPr fontId="7" type="noConversion"/>
  </si>
  <si>
    <t>MiddleShakmeh</t>
    <phoneticPr fontId="7" type="noConversion"/>
  </si>
  <si>
    <t>30047</t>
    <phoneticPr fontId="7" type="noConversion"/>
  </si>
  <si>
    <t>300450021</t>
    <phoneticPr fontId="7" type="noConversion"/>
  </si>
  <si>
    <t>300450022</t>
    <phoneticPr fontId="7" type="noConversion"/>
  </si>
  <si>
    <t>2021 추수감사절 방어전 이벤트</t>
    <phoneticPr fontId="7" type="noConversion"/>
  </si>
  <si>
    <t>추수감사절 던전 특던</t>
    <phoneticPr fontId="7" type="noConversion"/>
  </si>
  <si>
    <t>2021Thanksgiving</t>
    <phoneticPr fontId="7" type="noConversion"/>
  </si>
  <si>
    <t>Event.AutumnFarmField1</t>
    <phoneticPr fontId="7" type="noConversion"/>
  </si>
  <si>
    <t>GuildSuppressTest</t>
    <phoneticPr fontId="7" type="noConversion"/>
  </si>
  <si>
    <t>21ThanksGiving</t>
    <phoneticPr fontId="7" type="noConversion"/>
  </si>
  <si>
    <t>30048</t>
    <phoneticPr fontId="20" type="noConversion"/>
  </si>
  <si>
    <t>2021 크리스마스 이벤트 (19 복각)</t>
    <phoneticPr fontId="7" type="noConversion"/>
  </si>
  <si>
    <t>2021 크리스마스 이벤트 -특별던전</t>
    <phoneticPr fontId="7" type="noConversion"/>
  </si>
  <si>
    <t>30049</t>
    <phoneticPr fontId="20" type="noConversion"/>
  </si>
  <si>
    <t>900210</t>
  </si>
  <si>
    <t>900211</t>
  </si>
  <si>
    <t>900209</t>
  </si>
  <si>
    <t>900212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</si>
</sst>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_ "/>
  </numFmts>
  <fonts count="2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1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52">
    <xf numFmtId="0" fontId="0" fillId="0" borderId="0" xfId="0"/>
    <xf numFmtId="49" fontId="9" fillId="2" borderId="1" xfId="0" applyNumberFormat="1" applyFont="1" applyFill="1" applyBorder="1" applyAlignment="1">
      <alignment horizontal="right" vertical="center" textRotation="90"/>
    </xf>
    <xf numFmtId="49" fontId="9" fillId="2" borderId="1" xfId="0" applyNumberFormat="1" applyFont="1" applyFill="1" applyBorder="1" applyAlignment="1">
      <alignment horizontal="center" vertical="center" textRotation="90"/>
    </xf>
    <xf numFmtId="0" fontId="9" fillId="2" borderId="1" xfId="0" applyFont="1" applyFill="1" applyBorder="1" applyAlignment="1">
      <alignment horizontal="center" vertical="center" textRotation="90"/>
    </xf>
    <xf numFmtId="176" fontId="9" fillId="2" borderId="1" xfId="0" applyNumberFormat="1" applyFont="1" applyFill="1" applyBorder="1" applyAlignment="1">
      <alignment horizontal="center" vertical="center" textRotation="90"/>
    </xf>
    <xf numFmtId="0" fontId="16" fillId="10" borderId="1" xfId="0" applyFont="1" applyFill="1" applyBorder="1" applyAlignment="1">
      <alignment horizontal="center" vertical="center" textRotation="90"/>
    </xf>
    <xf numFmtId="0" fontId="12" fillId="2" borderId="1" xfId="0" applyFont="1" applyFill="1" applyBorder="1" applyAlignment="1">
      <alignment horizontal="center" vertical="center" textRotation="90"/>
    </xf>
    <xf numFmtId="49" fontId="16" fillId="10" borderId="1" xfId="0" applyNumberFormat="1" applyFont="1" applyFill="1" applyBorder="1" applyAlignment="1">
      <alignment horizontal="center" vertical="center" textRotation="90"/>
    </xf>
    <xf numFmtId="49" fontId="8" fillId="5" borderId="1" xfId="0" applyNumberFormat="1" applyFont="1" applyFill="1" applyBorder="1" applyAlignment="1">
      <alignment horizontal="right"/>
    </xf>
    <xf numFmtId="49" fontId="10" fillId="5" borderId="1" xfId="0" applyNumberFormat="1" applyFont="1" applyFill="1" applyBorder="1" applyAlignment="1">
      <alignment horizontal="center"/>
    </xf>
    <xf numFmtId="49" fontId="9" fillId="5" borderId="1" xfId="0" applyNumberFormat="1" applyFont="1" applyFill="1" applyBorder="1" applyAlignment="1">
      <alignment vertical="center"/>
    </xf>
    <xf numFmtId="49" fontId="8" fillId="5" borderId="1" xfId="0" applyNumberFormat="1" applyFont="1" applyFill="1" applyBorder="1" applyAlignment="1">
      <alignment horizontal="center" vertical="center"/>
    </xf>
    <xf numFmtId="49" fontId="9" fillId="5" borderId="1" xfId="0" applyNumberFormat="1" applyFont="1" applyFill="1" applyBorder="1" applyAlignment="1">
      <alignment horizontal="center" vertical="center"/>
    </xf>
    <xf numFmtId="49" fontId="9" fillId="5" borderId="1" xfId="0" applyNumberFormat="1" applyFont="1" applyFill="1" applyBorder="1" applyAlignment="1">
      <alignment horizontal="right" vertical="center"/>
    </xf>
    <xf numFmtId="49" fontId="8" fillId="5" borderId="1" xfId="0" applyNumberFormat="1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0" fontId="8" fillId="5" borderId="1" xfId="0" applyFont="1" applyFill="1" applyBorder="1" applyAlignment="1">
      <alignment horizontal="right"/>
    </xf>
    <xf numFmtId="176" fontId="8" fillId="5" borderId="1" xfId="0" applyNumberFormat="1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right" vertical="center"/>
    </xf>
    <xf numFmtId="49" fontId="8" fillId="0" borderId="1" xfId="0" applyNumberFormat="1" applyFont="1" applyBorder="1" applyAlignment="1">
      <alignment horizontal="left"/>
    </xf>
    <xf numFmtId="49" fontId="9" fillId="0" borderId="1" xfId="0" applyNumberFormat="1" applyFont="1" applyBorder="1" applyAlignment="1">
      <alignment horizontal="left" vertical="center"/>
    </xf>
    <xf numFmtId="49" fontId="9" fillId="4" borderId="1" xfId="0" applyNumberFormat="1" applyFont="1" applyFill="1" applyBorder="1" applyAlignment="1">
      <alignment horizontal="left" vertical="center"/>
    </xf>
    <xf numFmtId="49" fontId="8" fillId="0" borderId="1" xfId="0" applyNumberFormat="1" applyFont="1" applyBorder="1" applyAlignment="1">
      <alignment horizontal="center"/>
    </xf>
    <xf numFmtId="49" fontId="9" fillId="4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horizontal="right"/>
    </xf>
    <xf numFmtId="176" fontId="8" fillId="0" borderId="1" xfId="0" applyNumberFormat="1" applyFont="1" applyBorder="1" applyAlignment="1">
      <alignment horizontal="center"/>
    </xf>
    <xf numFmtId="0" fontId="8" fillId="5" borderId="1" xfId="0" applyFont="1" applyFill="1" applyBorder="1" applyAlignment="1">
      <alignment horizontal="center" vertical="center"/>
    </xf>
    <xf numFmtId="49" fontId="9" fillId="11" borderId="1" xfId="0" applyNumberFormat="1" applyFont="1" applyFill="1" applyBorder="1" applyAlignment="1">
      <alignment horizontal="center"/>
    </xf>
    <xf numFmtId="49" fontId="9" fillId="12" borderId="1" xfId="0" applyNumberFormat="1" applyFont="1" applyFill="1" applyBorder="1" applyAlignment="1">
      <alignment horizontal="center"/>
    </xf>
    <xf numFmtId="49" fontId="8" fillId="0" borderId="1" xfId="0" applyNumberFormat="1" applyFont="1" applyBorder="1" applyAlignment="1">
      <alignment horizontal="right" vertical="center"/>
    </xf>
    <xf numFmtId="49" fontId="11" fillId="0" borderId="1" xfId="0" applyNumberFormat="1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right" vertical="center"/>
    </xf>
    <xf numFmtId="176" fontId="8" fillId="0" borderId="1" xfId="0" applyNumberFormat="1" applyFont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49" fontId="8" fillId="8" borderId="1" xfId="0" applyNumberFormat="1" applyFont="1" applyFill="1" applyBorder="1" applyAlignment="1">
      <alignment horizontal="left"/>
    </xf>
    <xf numFmtId="49" fontId="9" fillId="8" borderId="1" xfId="0" applyNumberFormat="1" applyFont="1" applyFill="1" applyBorder="1" applyAlignment="1">
      <alignment horizontal="left" vertical="center"/>
    </xf>
    <xf numFmtId="49" fontId="9" fillId="8" borderId="1" xfId="0" applyNumberFormat="1" applyFont="1" applyFill="1" applyBorder="1" applyAlignment="1">
      <alignment horizontal="center" vertical="center"/>
    </xf>
    <xf numFmtId="0" fontId="9" fillId="14" borderId="1" xfId="0" applyFont="1" applyFill="1" applyBorder="1" applyAlignment="1">
      <alignment vertical="center"/>
    </xf>
    <xf numFmtId="0" fontId="9" fillId="14" borderId="1" xfId="0" applyFont="1" applyFill="1" applyBorder="1" applyAlignment="1">
      <alignment horizontal="right" vertical="center"/>
    </xf>
    <xf numFmtId="49" fontId="8" fillId="14" borderId="1" xfId="0" applyNumberFormat="1" applyFont="1" applyFill="1" applyBorder="1" applyAlignment="1">
      <alignment horizontal="center"/>
    </xf>
    <xf numFmtId="49" fontId="8" fillId="14" borderId="1" xfId="0" applyNumberFormat="1" applyFont="1" applyFill="1" applyBorder="1" applyAlignment="1">
      <alignment horizontal="left"/>
    </xf>
    <xf numFmtId="49" fontId="9" fillId="14" borderId="1" xfId="0" applyNumberFormat="1" applyFont="1" applyFill="1" applyBorder="1" applyAlignment="1">
      <alignment horizontal="left" vertical="center"/>
    </xf>
    <xf numFmtId="49" fontId="9" fillId="14" borderId="1" xfId="0" applyNumberFormat="1" applyFont="1" applyFill="1" applyBorder="1" applyAlignment="1">
      <alignment horizontal="center" vertical="center"/>
    </xf>
    <xf numFmtId="49" fontId="8" fillId="14" borderId="1" xfId="0" applyNumberFormat="1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/>
    </xf>
    <xf numFmtId="49" fontId="8" fillId="14" borderId="1" xfId="0" applyNumberFormat="1" applyFont="1" applyFill="1" applyBorder="1" applyAlignment="1">
      <alignment horizontal="right"/>
    </xf>
    <xf numFmtId="176" fontId="8" fillId="14" borderId="1" xfId="0" applyNumberFormat="1" applyFont="1" applyFill="1" applyBorder="1" applyAlignment="1">
      <alignment horizontal="center"/>
    </xf>
    <xf numFmtId="0" fontId="9" fillId="7" borderId="1" xfId="0" applyFont="1" applyFill="1" applyBorder="1" applyAlignment="1">
      <alignment vertical="center"/>
    </xf>
    <xf numFmtId="0" fontId="9" fillId="7" borderId="1" xfId="0" applyFont="1" applyFill="1" applyBorder="1" applyAlignment="1">
      <alignment horizontal="right" vertical="center"/>
    </xf>
    <xf numFmtId="49" fontId="8" fillId="7" borderId="1" xfId="0" applyNumberFormat="1" applyFont="1" applyFill="1" applyBorder="1" applyAlignment="1">
      <alignment horizontal="center"/>
    </xf>
    <xf numFmtId="49" fontId="8" fillId="7" borderId="1" xfId="0" applyNumberFormat="1" applyFont="1" applyFill="1" applyBorder="1" applyAlignment="1">
      <alignment horizontal="left"/>
    </xf>
    <xf numFmtId="49" fontId="9" fillId="7" borderId="1" xfId="0" applyNumberFormat="1" applyFont="1" applyFill="1" applyBorder="1" applyAlignment="1">
      <alignment horizontal="left" vertical="center"/>
    </xf>
    <xf numFmtId="49" fontId="9" fillId="7" borderId="1" xfId="0" applyNumberFormat="1" applyFont="1" applyFill="1" applyBorder="1" applyAlignment="1">
      <alignment horizontal="center" vertical="center"/>
    </xf>
    <xf numFmtId="49" fontId="8" fillId="7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/>
    </xf>
    <xf numFmtId="49" fontId="8" fillId="7" borderId="1" xfId="0" applyNumberFormat="1" applyFont="1" applyFill="1" applyBorder="1" applyAlignment="1">
      <alignment horizontal="right"/>
    </xf>
    <xf numFmtId="176" fontId="8" fillId="7" borderId="1" xfId="0" applyNumberFormat="1" applyFont="1" applyFill="1" applyBorder="1" applyAlignment="1">
      <alignment horizontal="center"/>
    </xf>
    <xf numFmtId="0" fontId="8" fillId="0" borderId="1" xfId="0" applyFont="1" applyBorder="1" applyAlignment="1">
      <alignment horizontal="right"/>
    </xf>
    <xf numFmtId="49" fontId="9" fillId="9" borderId="1" xfId="0" applyNumberFormat="1" applyFont="1" applyFill="1" applyBorder="1" applyAlignment="1">
      <alignment horizontal="left" vertical="center"/>
    </xf>
    <xf numFmtId="49" fontId="12" fillId="0" borderId="1" xfId="0" applyNumberFormat="1" applyFont="1" applyBorder="1" applyAlignment="1">
      <alignment horizontal="center" vertical="center"/>
    </xf>
    <xf numFmtId="176" fontId="11" fillId="0" borderId="1" xfId="0" applyNumberFormat="1" applyFont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/>
    </xf>
    <xf numFmtId="49" fontId="8" fillId="3" borderId="1" xfId="0" applyNumberFormat="1" applyFont="1" applyFill="1" applyBorder="1" applyAlignment="1">
      <alignment horizontal="right"/>
    </xf>
    <xf numFmtId="49" fontId="8" fillId="3" borderId="1" xfId="0" applyNumberFormat="1" applyFont="1" applyFill="1" applyBorder="1" applyAlignment="1">
      <alignment horizontal="center"/>
    </xf>
    <xf numFmtId="49" fontId="9" fillId="3" borderId="1" xfId="0" applyNumberFormat="1" applyFont="1" applyFill="1" applyBorder="1" applyAlignment="1">
      <alignment horizontal="left" vertical="center"/>
    </xf>
    <xf numFmtId="49" fontId="9" fillId="3" borderId="1" xfId="0" applyNumberFormat="1" applyFont="1" applyFill="1" applyBorder="1" applyAlignment="1">
      <alignment horizontal="center" vertical="center"/>
    </xf>
    <xf numFmtId="176" fontId="8" fillId="3" borderId="1" xfId="0" applyNumberFormat="1" applyFont="1" applyFill="1" applyBorder="1" applyAlignment="1">
      <alignment horizontal="center"/>
    </xf>
    <xf numFmtId="49" fontId="18" fillId="0" borderId="1" xfId="0" applyNumberFormat="1" applyFont="1" applyBorder="1" applyAlignment="1">
      <alignment horizontal="center"/>
    </xf>
    <xf numFmtId="49" fontId="8" fillId="4" borderId="1" xfId="0" applyNumberFormat="1" applyFont="1" applyFill="1" applyBorder="1" applyAlignment="1">
      <alignment horizontal="right"/>
    </xf>
    <xf numFmtId="49" fontId="8" fillId="4" borderId="1" xfId="0" applyNumberFormat="1" applyFont="1" applyFill="1" applyBorder="1" applyAlignment="1">
      <alignment horizontal="center"/>
    </xf>
    <xf numFmtId="49" fontId="18" fillId="4" borderId="1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176" fontId="8" fillId="4" borderId="1" xfId="0" applyNumberFormat="1" applyFont="1" applyFill="1" applyBorder="1" applyAlignment="1">
      <alignment horizontal="center"/>
    </xf>
    <xf numFmtId="49" fontId="8" fillId="15" borderId="1" xfId="0" applyNumberFormat="1" applyFont="1" applyFill="1" applyBorder="1" applyAlignment="1">
      <alignment horizontal="right"/>
    </xf>
    <xf numFmtId="49" fontId="8" fillId="15" borderId="1" xfId="0" applyNumberFormat="1" applyFont="1" applyFill="1" applyBorder="1" applyAlignment="1">
      <alignment horizontal="center"/>
    </xf>
    <xf numFmtId="49" fontId="8" fillId="15" borderId="1" xfId="0" applyNumberFormat="1" applyFont="1" applyFill="1" applyBorder="1" applyAlignment="1">
      <alignment horizontal="left"/>
    </xf>
    <xf numFmtId="49" fontId="9" fillId="15" borderId="1" xfId="0" applyNumberFormat="1" applyFont="1" applyFill="1" applyBorder="1" applyAlignment="1">
      <alignment horizontal="left" vertical="center"/>
    </xf>
    <xf numFmtId="49" fontId="9" fillId="15" borderId="1" xfId="0" applyNumberFormat="1" applyFont="1" applyFill="1" applyBorder="1" applyAlignment="1">
      <alignment horizontal="center" vertical="center"/>
    </xf>
    <xf numFmtId="49" fontId="8" fillId="15" borderId="1" xfId="0" applyNumberFormat="1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49" fontId="18" fillId="15" borderId="1" xfId="0" applyNumberFormat="1" applyFont="1" applyFill="1" applyBorder="1" applyAlignment="1">
      <alignment horizontal="center"/>
    </xf>
    <xf numFmtId="0" fontId="8" fillId="15" borderId="1" xfId="0" applyFont="1" applyFill="1" applyBorder="1" applyAlignment="1">
      <alignment horizontal="center"/>
    </xf>
    <xf numFmtId="176" fontId="8" fillId="15" borderId="1" xfId="0" applyNumberFormat="1" applyFont="1" applyFill="1" applyBorder="1" applyAlignment="1">
      <alignment horizontal="center"/>
    </xf>
    <xf numFmtId="0" fontId="0" fillId="0" borderId="1" xfId="0" applyBorder="1"/>
    <xf numFmtId="0" fontId="17" fillId="0" borderId="1" xfId="0" applyFont="1" applyBorder="1"/>
    <xf numFmtId="0" fontId="19" fillId="0" borderId="1" xfId="0" applyFont="1" applyBorder="1" applyAlignment="1">
      <alignment horizontal="right" vertical="center"/>
    </xf>
    <xf numFmtId="49" fontId="19" fillId="0" borderId="1" xfId="0" applyNumberFormat="1" applyFont="1" applyBorder="1" applyAlignment="1">
      <alignment horizontal="right"/>
    </xf>
    <xf numFmtId="0" fontId="18" fillId="0" borderId="1" xfId="0" applyFont="1" applyBorder="1" applyAlignment="1">
      <alignment horizontal="right" vertical="center"/>
    </xf>
    <xf numFmtId="49" fontId="18" fillId="0" borderId="1" xfId="0" applyNumberFormat="1" applyFont="1" applyBorder="1" applyAlignment="1">
      <alignment horizontal="right"/>
    </xf>
    <xf numFmtId="49" fontId="8" fillId="13" borderId="1" xfId="0" applyNumberFormat="1" applyFont="1" applyFill="1" applyBorder="1" applyAlignment="1">
      <alignment horizontal="right"/>
    </xf>
    <xf numFmtId="49" fontId="10" fillId="13" borderId="1" xfId="0" applyNumberFormat="1" applyFont="1" applyFill="1" applyBorder="1" applyAlignment="1">
      <alignment horizontal="center"/>
    </xf>
    <xf numFmtId="49" fontId="9" fillId="13" borderId="1" xfId="0" applyNumberFormat="1" applyFont="1" applyFill="1" applyBorder="1" applyAlignment="1">
      <alignment vertical="center"/>
    </xf>
    <xf numFmtId="49" fontId="8" fillId="13" borderId="1" xfId="0" applyNumberFormat="1" applyFont="1" applyFill="1" applyBorder="1" applyAlignment="1">
      <alignment horizontal="center" vertical="center"/>
    </xf>
    <xf numFmtId="49" fontId="9" fillId="13" borderId="1" xfId="0" applyNumberFormat="1" applyFont="1" applyFill="1" applyBorder="1" applyAlignment="1">
      <alignment horizontal="center" vertical="center"/>
    </xf>
    <xf numFmtId="49" fontId="9" fillId="13" borderId="1" xfId="0" applyNumberFormat="1" applyFont="1" applyFill="1" applyBorder="1" applyAlignment="1">
      <alignment horizontal="right" vertical="center"/>
    </xf>
    <xf numFmtId="0" fontId="8" fillId="13" borderId="1" xfId="0" applyFont="1" applyFill="1" applyBorder="1" applyAlignment="1">
      <alignment horizontal="center"/>
    </xf>
    <xf numFmtId="0" fontId="8" fillId="13" borderId="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right"/>
    </xf>
    <xf numFmtId="49" fontId="8" fillId="13" borderId="1" xfId="0" applyNumberFormat="1" applyFont="1" applyFill="1" applyBorder="1" applyAlignment="1">
      <alignment horizontal="center"/>
    </xf>
    <xf numFmtId="176" fontId="8" fillId="13" borderId="1" xfId="0" applyNumberFormat="1" applyFont="1" applyFill="1" applyBorder="1" applyAlignment="1">
      <alignment horizontal="center"/>
    </xf>
    <xf numFmtId="0" fontId="9" fillId="0" borderId="0" xfId="0" applyFont="1" applyAlignment="1">
      <alignment horizontal="left"/>
    </xf>
    <xf numFmtId="49" fontId="11" fillId="16" borderId="1" xfId="0" applyNumberFormat="1" applyFont="1" applyFill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49" fontId="9" fillId="0" borderId="1" xfId="0" applyNumberFormat="1" applyFont="1" applyFill="1" applyBorder="1" applyAlignment="1">
      <alignment horizontal="left" vertical="center"/>
    </xf>
    <xf numFmtId="49" fontId="9" fillId="2" borderId="1" xfId="0" applyNumberFormat="1" applyFont="1" applyFill="1" applyBorder="1" applyAlignment="1">
      <alignment vertical="center" textRotation="90"/>
    </xf>
    <xf numFmtId="49" fontId="9" fillId="4" borderId="1" xfId="0" applyNumberFormat="1" applyFont="1" applyFill="1" applyBorder="1" applyAlignment="1">
      <alignment vertical="center"/>
    </xf>
    <xf numFmtId="49" fontId="9" fillId="0" borderId="1" xfId="0" applyNumberFormat="1" applyFont="1" applyFill="1" applyBorder="1" applyAlignment="1">
      <alignment vertical="center"/>
    </xf>
    <xf numFmtId="49" fontId="9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/>
    <xf numFmtId="49" fontId="9" fillId="8" borderId="1" xfId="0" applyNumberFormat="1" applyFont="1" applyFill="1" applyBorder="1" applyAlignment="1">
      <alignment vertical="center"/>
    </xf>
    <xf numFmtId="49" fontId="9" fillId="14" borderId="1" xfId="0" applyNumberFormat="1" applyFont="1" applyFill="1" applyBorder="1" applyAlignment="1">
      <alignment vertical="center"/>
    </xf>
    <xf numFmtId="49" fontId="9" fillId="7" borderId="1" xfId="0" applyNumberFormat="1" applyFont="1" applyFill="1" applyBorder="1" applyAlignment="1">
      <alignment vertical="center"/>
    </xf>
    <xf numFmtId="49" fontId="9" fillId="9" borderId="1" xfId="0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49" fontId="9" fillId="15" borderId="1" xfId="0" applyNumberFormat="1" applyFont="1" applyFill="1" applyBorder="1" applyAlignment="1">
      <alignment vertical="center"/>
    </xf>
    <xf numFmtId="0" fontId="8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right"/>
    </xf>
    <xf numFmtId="49" fontId="8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left"/>
    </xf>
    <xf numFmtId="49" fontId="9" fillId="0" borderId="1" xfId="0" applyNumberFormat="1" applyFont="1" applyFill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18" fillId="0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176" fontId="8" fillId="0" borderId="1" xfId="0" applyNumberFormat="1" applyFont="1" applyFill="1" applyBorder="1" applyAlignment="1">
      <alignment horizontal="center"/>
    </xf>
    <xf numFmtId="49" fontId="8" fillId="0" borderId="0" xfId="0" applyNumberFormat="1" applyFont="1" applyFill="1" applyAlignment="1">
      <alignment horizontal="left"/>
    </xf>
    <xf numFmtId="49" fontId="8" fillId="17" borderId="1" xfId="0" applyNumberFormat="1" applyFont="1" applyFill="1" applyBorder="1" applyAlignment="1">
      <alignment horizontal="right"/>
    </xf>
    <xf numFmtId="49" fontId="8" fillId="17" borderId="1" xfId="0" applyNumberFormat="1" applyFont="1" applyFill="1" applyBorder="1" applyAlignment="1">
      <alignment horizontal="center"/>
    </xf>
    <xf numFmtId="49" fontId="9" fillId="17" borderId="1" xfId="0" applyNumberFormat="1" applyFont="1" applyFill="1" applyBorder="1" applyAlignment="1">
      <alignment horizontal="left" vertical="center"/>
    </xf>
    <xf numFmtId="49" fontId="9" fillId="17" borderId="1" xfId="0" applyNumberFormat="1" applyFont="1" applyFill="1" applyBorder="1" applyAlignment="1">
      <alignment vertical="center"/>
    </xf>
    <xf numFmtId="49" fontId="9" fillId="17" borderId="1" xfId="0" applyNumberFormat="1" applyFont="1" applyFill="1" applyBorder="1" applyAlignment="1">
      <alignment horizontal="center" vertical="center"/>
    </xf>
    <xf numFmtId="49" fontId="8" fillId="17" borderId="1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49" fontId="18" fillId="17" borderId="1" xfId="0" applyNumberFormat="1" applyFont="1" applyFill="1" applyBorder="1" applyAlignment="1">
      <alignment horizontal="center"/>
    </xf>
    <xf numFmtId="0" fontId="8" fillId="17" borderId="1" xfId="0" applyFont="1" applyFill="1" applyBorder="1" applyAlignment="1">
      <alignment horizontal="center"/>
    </xf>
    <xf numFmtId="176" fontId="8" fillId="17" borderId="1" xfId="0" applyNumberFormat="1" applyFont="1" applyFill="1" applyBorder="1" applyAlignment="1">
      <alignment horizontal="center"/>
    </xf>
    <xf numFmtId="49" fontId="8" fillId="0" borderId="0" xfId="0" applyNumberFormat="1" applyFont="1" applyFill="1" applyBorder="1" applyAlignment="1">
      <alignment horizontal="left"/>
    </xf>
    <xf numFmtId="49" fontId="8" fillId="0" borderId="1" xfId="0" applyNumberFormat="1" applyFont="1" applyBorder="1"/>
    <xf numFmtId="49" fontId="9" fillId="13" borderId="1" xfId="0" applyNumberFormat="1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49" fontId="8" fillId="9" borderId="1" xfId="0" applyNumberFormat="1" applyFont="1" applyFill="1" applyBorder="1" applyAlignment="1">
      <alignment horizontal="right"/>
    </xf>
    <xf numFmtId="49" fontId="8" fillId="9" borderId="1" xfId="0" applyNumberFormat="1" applyFont="1" applyFill="1" applyBorder="1" applyAlignment="1">
      <alignment horizontal="center"/>
    </xf>
    <xf numFmtId="49" fontId="9" fillId="9" borderId="1" xfId="0" applyNumberFormat="1" applyFont="1" applyFill="1" applyBorder="1" applyAlignment="1">
      <alignment horizontal="center" vertical="center"/>
    </xf>
    <xf numFmtId="49" fontId="8" fillId="9" borderId="1" xfId="0" applyNumberFormat="1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/>
    </xf>
    <xf numFmtId="176" fontId="8" fillId="9" borderId="1" xfId="0" applyNumberFormat="1" applyFont="1" applyFill="1" applyBorder="1" applyAlignment="1">
      <alignment horizontal="center"/>
    </xf>
    <xf numFmtId="49" fontId="8" fillId="0" borderId="1" xfId="0" applyNumberFormat="1" applyFont="1" applyBorder="1" applyAlignment="1">
      <alignment horizontal="left" wrapText="1"/>
    </xf>
    <xf numFmtId="49" fontId="9" fillId="16" borderId="1" xfId="0" applyNumberFormat="1" applyFont="1" applyFill="1" applyBorder="1" applyAlignment="1">
      <alignment horizontal="center" vertical="center"/>
    </xf>
    <xf numFmtId="49" fontId="9" fillId="16" borderId="1" xfId="3" applyNumberFormat="1" applyFont="1" applyFill="1" applyBorder="1" applyAlignment="1">
      <alignment horizontal="center" vertical="center"/>
    </xf>
    <xf numFmtId="49" fontId="9" fillId="16" borderId="0" xfId="0" applyNumberFormat="1" applyFont="1" applyFill="1" applyAlignment="1">
      <alignment horizontal="center" vertical="center" textRotation="90"/>
    </xf>
    <xf numFmtId="49" fontId="8" fillId="4" borderId="1" xfId="0" applyNumberFormat="1" applyFont="1" applyFill="1" applyBorder="1" applyAlignment="1">
      <alignment horizontal="left"/>
    </xf>
    <xf numFmtId="49" fontId="8" fillId="4" borderId="2" xfId="0" applyNumberFormat="1" applyFont="1" applyFill="1" applyBorder="1" applyAlignment="1">
      <alignment horizontal="left"/>
    </xf>
    <xf numFmtId="49" fontId="8" fillId="0" borderId="0" xfId="0" applyNumberFormat="1" applyFont="1" applyAlignment="1">
      <alignment horizontal="left"/>
    </xf>
    <xf numFmtId="49" fontId="8" fillId="4" borderId="0" xfId="0" applyNumberFormat="1" applyFont="1" applyFill="1" applyAlignment="1">
      <alignment horizontal="left"/>
    </xf>
    <xf numFmtId="49" fontId="9" fillId="16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/>
    </xf>
    <xf numFmtId="0" fontId="9" fillId="4" borderId="1" xfId="0" applyNumberFormat="1" applyFont="1" applyFill="1" applyBorder="1" applyAlignment="1">
      <alignment horizontal="left" vertical="center"/>
    </xf>
    <xf numFmtId="49" fontId="8" fillId="3" borderId="1" xfId="0" applyNumberFormat="1" applyFont="1" applyFill="1" applyBorder="1" applyAlignment="1">
      <alignment horizontal="left"/>
    </xf>
    <xf numFmtId="0" fontId="8" fillId="3" borderId="1" xfId="0" applyFont="1" applyFill="1" applyBorder="1" applyAlignment="1">
      <alignment horizontal="center" vertical="center"/>
    </xf>
    <xf numFmtId="49" fontId="18" fillId="3" borderId="1" xfId="0" applyNumberFormat="1" applyFont="1" applyFill="1" applyBorder="1" applyAlignment="1">
      <alignment horizontal="center"/>
    </xf>
    <xf numFmtId="49" fontId="8" fillId="18" borderId="1" xfId="0" applyNumberFormat="1" applyFont="1" applyFill="1" applyBorder="1" applyAlignment="1">
      <alignment horizontal="right"/>
    </xf>
    <xf numFmtId="49" fontId="8" fillId="18" borderId="1" xfId="0" applyNumberFormat="1" applyFont="1" applyFill="1" applyBorder="1" applyAlignment="1">
      <alignment horizontal="center"/>
    </xf>
    <xf numFmtId="49" fontId="8" fillId="18" borderId="1" xfId="0" applyNumberFormat="1" applyFont="1" applyFill="1" applyBorder="1" applyAlignment="1">
      <alignment horizontal="left"/>
    </xf>
    <xf numFmtId="49" fontId="8" fillId="18" borderId="0" xfId="0" applyNumberFormat="1" applyFont="1" applyFill="1" applyAlignment="1">
      <alignment horizontal="left"/>
    </xf>
    <xf numFmtId="49" fontId="9" fillId="18" borderId="1" xfId="0" applyNumberFormat="1" applyFont="1" applyFill="1" applyBorder="1" applyAlignment="1">
      <alignment horizontal="left" vertical="center"/>
    </xf>
    <xf numFmtId="49" fontId="9" fillId="18" borderId="1" xfId="0" applyNumberFormat="1" applyFont="1" applyFill="1" applyBorder="1" applyAlignment="1">
      <alignment horizontal="center" vertical="center"/>
    </xf>
    <xf numFmtId="49" fontId="8" fillId="18" borderId="1" xfId="0" applyNumberFormat="1" applyFont="1" applyFill="1" applyBorder="1" applyAlignment="1">
      <alignment horizontal="center" vertical="center"/>
    </xf>
    <xf numFmtId="0" fontId="8" fillId="18" borderId="1" xfId="0" applyFont="1" applyFill="1" applyBorder="1" applyAlignment="1">
      <alignment horizontal="center" vertical="center"/>
    </xf>
    <xf numFmtId="49" fontId="18" fillId="18" borderId="1" xfId="0" applyNumberFormat="1" applyFont="1" applyFill="1" applyBorder="1" applyAlignment="1">
      <alignment horizontal="center"/>
    </xf>
    <xf numFmtId="0" fontId="8" fillId="18" borderId="1" xfId="0" applyFont="1" applyFill="1" applyBorder="1" applyAlignment="1">
      <alignment horizontal="center"/>
    </xf>
    <xf numFmtId="176" fontId="8" fillId="18" borderId="1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horizontal="right" vertical="center"/>
    </xf>
    <xf numFmtId="0" fontId="22" fillId="0" borderId="3" xfId="0" applyFont="1" applyBorder="1" applyAlignment="1">
      <alignment vertical="center" wrapText="1"/>
    </xf>
    <xf numFmtId="0" fontId="22" fillId="0" borderId="4" xfId="0" applyFont="1" applyBorder="1" applyAlignment="1">
      <alignment vertical="center" wrapText="1"/>
    </xf>
    <xf numFmtId="49" fontId="9" fillId="0" borderId="0" xfId="0" applyNumberFormat="1" applyFont="1" applyAlignment="1">
      <alignment horizontal="left" vertical="center"/>
    </xf>
    <xf numFmtId="49" fontId="8" fillId="19" borderId="0" xfId="0" applyNumberFormat="1" applyFont="1" applyFill="1" applyAlignment="1">
      <alignment horizontal="center"/>
    </xf>
    <xf numFmtId="49" fontId="8" fillId="0" borderId="1" xfId="0" applyNumberFormat="1" applyFont="1" applyFill="1" applyBorder="1"/>
    <xf numFmtId="49" fontId="9" fillId="16" borderId="0" xfId="3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right" vertical="center"/>
    </xf>
    <xf numFmtId="49" fontId="8" fillId="0" borderId="2" xfId="0" applyNumberFormat="1" applyFont="1" applyBorder="1" applyAlignment="1">
      <alignment horizontal="left"/>
    </xf>
    <xf numFmtId="49" fontId="9" fillId="0" borderId="2" xfId="0" applyNumberFormat="1" applyFont="1" applyBorder="1" applyAlignment="1">
      <alignment horizontal="left" vertical="center"/>
    </xf>
    <xf numFmtId="49" fontId="9" fillId="4" borderId="2" xfId="0" applyNumberFormat="1" applyFont="1" applyFill="1" applyBorder="1" applyAlignment="1">
      <alignment horizontal="left" vertical="center"/>
    </xf>
    <xf numFmtId="49" fontId="9" fillId="4" borderId="2" xfId="0" applyNumberFormat="1" applyFont="1" applyFill="1" applyBorder="1" applyAlignment="1">
      <alignment vertical="center"/>
    </xf>
    <xf numFmtId="49" fontId="8" fillId="0" borderId="2" xfId="0" applyNumberFormat="1" applyFont="1" applyBorder="1" applyAlignment="1">
      <alignment horizontal="center"/>
    </xf>
    <xf numFmtId="49" fontId="8" fillId="20" borderId="1" xfId="0" applyNumberFormat="1" applyFont="1" applyFill="1" applyBorder="1" applyAlignment="1">
      <alignment horizontal="right"/>
    </xf>
    <xf numFmtId="49" fontId="8" fillId="20" borderId="1" xfId="0" applyNumberFormat="1" applyFont="1" applyFill="1" applyBorder="1" applyAlignment="1">
      <alignment horizontal="center"/>
    </xf>
    <xf numFmtId="49" fontId="8" fillId="20" borderId="1" xfId="0" applyNumberFormat="1" applyFont="1" applyFill="1" applyBorder="1" applyAlignment="1">
      <alignment horizontal="left"/>
    </xf>
    <xf numFmtId="49" fontId="9" fillId="20" borderId="1" xfId="0" applyNumberFormat="1" applyFont="1" applyFill="1" applyBorder="1" applyAlignment="1">
      <alignment horizontal="left" vertical="center"/>
    </xf>
    <xf numFmtId="49" fontId="9" fillId="20" borderId="1" xfId="0" applyNumberFormat="1" applyFont="1" applyFill="1" applyBorder="1" applyAlignment="1">
      <alignment vertical="center"/>
    </xf>
    <xf numFmtId="49" fontId="9" fillId="20" borderId="1" xfId="0" applyNumberFormat="1" applyFont="1" applyFill="1" applyBorder="1" applyAlignment="1">
      <alignment horizontal="center" vertical="center"/>
    </xf>
    <xf numFmtId="49" fontId="8" fillId="20" borderId="1" xfId="0" applyNumberFormat="1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49" fontId="18" fillId="20" borderId="1" xfId="0" applyNumberFormat="1" applyFont="1" applyFill="1" applyBorder="1" applyAlignment="1">
      <alignment horizontal="center"/>
    </xf>
    <xf numFmtId="0" fontId="8" fillId="20" borderId="1" xfId="0" applyFont="1" applyFill="1" applyBorder="1" applyAlignment="1">
      <alignment horizontal="center"/>
    </xf>
    <xf numFmtId="176" fontId="8" fillId="20" borderId="1" xfId="0" applyNumberFormat="1" applyFont="1" applyFill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49" fontId="8" fillId="7" borderId="0" xfId="0" applyNumberFormat="1" applyFont="1" applyFill="1" applyBorder="1" applyAlignment="1">
      <alignment horizontal="left"/>
    </xf>
    <xf numFmtId="49" fontId="8" fillId="7" borderId="0" xfId="0" applyNumberFormat="1" applyFont="1" applyFill="1" applyAlignment="1">
      <alignment horizontal="left"/>
    </xf>
    <xf numFmtId="49" fontId="18" fillId="7" borderId="1" xfId="0" applyNumberFormat="1" applyFont="1" applyFill="1" applyBorder="1" applyAlignment="1">
      <alignment horizontal="center"/>
    </xf>
    <xf numFmtId="49" fontId="8" fillId="21" borderId="1" xfId="0" applyNumberFormat="1" applyFont="1" applyFill="1" applyBorder="1" applyAlignment="1">
      <alignment horizontal="right"/>
    </xf>
    <xf numFmtId="49" fontId="8" fillId="21" borderId="1" xfId="0" applyNumberFormat="1" applyFont="1" applyFill="1" applyBorder="1" applyAlignment="1">
      <alignment horizontal="center"/>
    </xf>
    <xf numFmtId="49" fontId="8" fillId="21" borderId="1" xfId="0" applyNumberFormat="1" applyFont="1" applyFill="1" applyBorder="1" applyAlignment="1">
      <alignment horizontal="left"/>
    </xf>
    <xf numFmtId="49" fontId="9" fillId="21" borderId="1" xfId="0" applyNumberFormat="1" applyFont="1" applyFill="1" applyBorder="1" applyAlignment="1">
      <alignment horizontal="left" vertical="center"/>
    </xf>
    <xf numFmtId="49" fontId="9" fillId="21" borderId="1" xfId="0" applyNumberFormat="1" applyFont="1" applyFill="1" applyBorder="1" applyAlignment="1">
      <alignment vertical="center"/>
    </xf>
    <xf numFmtId="49" fontId="9" fillId="21" borderId="1" xfId="0" applyNumberFormat="1" applyFont="1" applyFill="1" applyBorder="1" applyAlignment="1">
      <alignment horizontal="center" vertical="center"/>
    </xf>
    <xf numFmtId="49" fontId="8" fillId="21" borderId="1" xfId="0" applyNumberFormat="1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49" fontId="18" fillId="21" borderId="1" xfId="0" applyNumberFormat="1" applyFont="1" applyFill="1" applyBorder="1" applyAlignment="1">
      <alignment horizontal="center"/>
    </xf>
    <xf numFmtId="0" fontId="8" fillId="21" borderId="1" xfId="0" applyFont="1" applyFill="1" applyBorder="1" applyAlignment="1">
      <alignment horizontal="center"/>
    </xf>
    <xf numFmtId="176" fontId="8" fillId="21" borderId="1" xfId="0" applyNumberFormat="1" applyFont="1" applyFill="1" applyBorder="1" applyAlignment="1">
      <alignment horizontal="center"/>
    </xf>
    <xf numFmtId="49" fontId="8" fillId="19" borderId="1" xfId="0" applyNumberFormat="1" applyFont="1" applyFill="1" applyBorder="1" applyAlignment="1">
      <alignment horizontal="right"/>
    </xf>
    <xf numFmtId="49" fontId="8" fillId="19" borderId="1" xfId="0" applyNumberFormat="1" applyFont="1" applyFill="1" applyBorder="1" applyAlignment="1">
      <alignment horizontal="center"/>
    </xf>
    <xf numFmtId="49" fontId="8" fillId="19" borderId="1" xfId="0" applyNumberFormat="1" applyFont="1" applyFill="1" applyBorder="1" applyAlignment="1">
      <alignment horizontal="left"/>
    </xf>
    <xf numFmtId="49" fontId="8" fillId="19" borderId="2" xfId="0" applyNumberFormat="1" applyFont="1" applyFill="1" applyBorder="1" applyAlignment="1">
      <alignment horizontal="left"/>
    </xf>
    <xf numFmtId="49" fontId="9" fillId="19" borderId="1" xfId="0" applyNumberFormat="1" applyFont="1" applyFill="1" applyBorder="1" applyAlignment="1">
      <alignment horizontal="left" vertical="center"/>
    </xf>
    <xf numFmtId="49" fontId="9" fillId="19" borderId="1" xfId="0" applyNumberFormat="1" applyFont="1" applyFill="1" applyBorder="1" applyAlignment="1">
      <alignment horizontal="center" vertical="center"/>
    </xf>
    <xf numFmtId="49" fontId="8" fillId="19" borderId="1" xfId="0" applyNumberFormat="1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49" fontId="18" fillId="19" borderId="1" xfId="0" applyNumberFormat="1" applyFont="1" applyFill="1" applyBorder="1" applyAlignment="1">
      <alignment horizontal="center"/>
    </xf>
    <xf numFmtId="0" fontId="8" fillId="19" borderId="1" xfId="0" applyFont="1" applyFill="1" applyBorder="1" applyAlignment="1">
      <alignment horizontal="center"/>
    </xf>
    <xf numFmtId="176" fontId="8" fillId="19" borderId="1" xfId="0" applyNumberFormat="1" applyFont="1" applyFill="1" applyBorder="1" applyAlignment="1">
      <alignment horizontal="center"/>
    </xf>
    <xf numFmtId="49" fontId="8" fillId="7" borderId="2" xfId="0" applyNumberFormat="1" applyFont="1" applyFill="1" applyBorder="1" applyAlignment="1">
      <alignment horizontal="left"/>
    </xf>
    <xf numFmtId="49" fontId="8" fillId="0" borderId="2" xfId="0" applyNumberFormat="1" applyFont="1" applyFill="1" applyBorder="1" applyAlignment="1">
      <alignment horizontal="left"/>
    </xf>
    <xf numFmtId="49" fontId="8" fillId="0" borderId="0" xfId="0" applyNumberFormat="1" applyFont="1" applyFill="1" applyAlignment="1">
      <alignment horizontal="center"/>
    </xf>
    <xf numFmtId="49" fontId="9" fillId="4" borderId="0" xfId="0" applyNumberFormat="1" applyFont="1" applyFill="1" applyAlignment="1">
      <alignment horizontal="center"/>
    </xf>
    <xf numFmtId="49" fontId="8" fillId="11" borderId="1" xfId="0" applyNumberFormat="1" applyFont="1" applyFill="1" applyBorder="1" applyAlignment="1">
      <alignment horizontal="right"/>
    </xf>
    <xf numFmtId="49" fontId="8" fillId="11" borderId="1" xfId="0" applyNumberFormat="1" applyFont="1" applyFill="1" applyBorder="1" applyAlignment="1">
      <alignment horizontal="center"/>
    </xf>
    <xf numFmtId="49" fontId="8" fillId="11" borderId="1" xfId="0" applyNumberFormat="1" applyFont="1" applyFill="1" applyBorder="1" applyAlignment="1">
      <alignment horizontal="left"/>
    </xf>
    <xf numFmtId="49" fontId="8" fillId="11" borderId="2" xfId="0" applyNumberFormat="1" applyFont="1" applyFill="1" applyBorder="1" applyAlignment="1">
      <alignment horizontal="left"/>
    </xf>
    <xf numFmtId="49" fontId="9" fillId="11" borderId="1" xfId="0" applyNumberFormat="1" applyFont="1" applyFill="1" applyBorder="1" applyAlignment="1">
      <alignment horizontal="left" vertical="center"/>
    </xf>
    <xf numFmtId="49" fontId="9" fillId="11" borderId="1" xfId="0" applyNumberFormat="1" applyFont="1" applyFill="1" applyBorder="1" applyAlignment="1">
      <alignment horizontal="center" vertical="center"/>
    </xf>
    <xf numFmtId="49" fontId="8" fillId="11" borderId="0" xfId="0" applyNumberFormat="1" applyFont="1" applyFill="1" applyAlignment="1">
      <alignment horizontal="center"/>
    </xf>
    <xf numFmtId="49" fontId="8" fillId="11" borderId="1" xfId="0" applyNumberFormat="1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49" fontId="18" fillId="11" borderId="1" xfId="0" applyNumberFormat="1" applyFont="1" applyFill="1" applyBorder="1" applyAlignment="1">
      <alignment horizontal="center"/>
    </xf>
    <xf numFmtId="176" fontId="8" fillId="11" borderId="1" xfId="0" applyNumberFormat="1" applyFont="1" applyFill="1" applyBorder="1" applyAlignment="1">
      <alignment horizontal="center"/>
    </xf>
  </cellXfs>
  <cellStyles count="11">
    <cellStyle name="표준" xfId="0" builtinId="0"/>
    <cellStyle name="표준 2" xfId="1" xr:uid="{00000000-0005-0000-0000-000001000000}"/>
    <cellStyle name="표준 2 2" xfId="3" xr:uid="{00000000-0005-0000-0000-000002000000}"/>
    <cellStyle name="표준 2 2 2" xfId="7" xr:uid="{00000000-0005-0000-0000-000003000000}"/>
    <cellStyle name="표준 2 3" xfId="5" xr:uid="{00000000-0005-0000-0000-000004000000}"/>
    <cellStyle name="표준 3" xfId="2" xr:uid="{00000000-0005-0000-0000-000005000000}"/>
    <cellStyle name="표준 3 2" xfId="4" xr:uid="{00000000-0005-0000-0000-000006000000}"/>
    <cellStyle name="표준 3 2 2" xfId="8" xr:uid="{00000000-0005-0000-0000-000007000000}"/>
    <cellStyle name="표준 3 3" xfId="6" xr:uid="{00000000-0005-0000-0000-000008000000}"/>
    <cellStyle name="표준 4" xfId="9" xr:uid="{00000000-0005-0000-0000-000009000000}"/>
    <cellStyle name="표준 5" xfId="10" xr:uid="{C1FE9C46-9472-4D94-8ECA-3C6E12EC9DFF}"/>
  </cellStyles>
  <dxfs count="1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36"/>
      <tableStyleElement type="headerRow" dxfId="13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" dT="2020-10-21T09:45:03.47" personId="{00000000-0000-0000-0000-000000000000}" id="{5AD76E38-850A-43D0-8DFF-A2748874D429}">
    <text>값이 없으면 시나리오에 맞는 기본 값</text>
  </threadedComment>
  <threadedComment ref="Q1" dT="2021-10-20T01:36:23.09" personId="{00000000-0000-0000-0000-000000000000}" id="{0C464FA7-8FB7-4F05-B693-1C1A7161DACE}">
    <text>소탕 타입 정의 
None - 소탕 비활성화 
ChallengeTower: 도전의탑
Maze~ : 지하미궁
MiddleShakmeh: 짭크메
Shakmeh: 찐크메
Eclipse: 이클립스</text>
  </threadedComment>
  <threadedComment ref="R1" dT="2021-10-20T01:36:39.97" personId="{00000000-0000-0000-0000-000000000000}" id="{A4088D54-EDC8-43C6-97C2-800D81395A6A}">
    <text>1회 소탕시 소탕권 소모량</text>
  </threadedComment>
  <threadedComment ref="S1" dT="2021-10-20T01:36:56.95" personId="{00000000-0000-0000-0000-000000000000}" id="{57615FDB-BD2A-42F3-9A2E-E029C41434FF}">
    <text>한 번에 소탕할 수 있는 최대 횟수 지정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I2364"/>
  <sheetViews>
    <sheetView tabSelected="1" zoomScaleNormal="100" workbookViewId="0">
      <pane xSplit="2" ySplit="1" topLeftCell="C355" activePane="bottomRight" state="frozen"/>
      <selection pane="topRight" activeCell="C1" sqref="C1"/>
      <selection pane="bottomLeft" activeCell="A3" sqref="A3"/>
      <selection pane="bottomRight" activeCell="AQ384" sqref="AQ384:AQ387"/>
    </sheetView>
  </sheetViews>
  <sheetFormatPr defaultColWidth="9" defaultRowHeight="12" x14ac:dyDescent="0.2"/>
  <cols>
    <col min="1" max="1" width="5.875" style="29" bestFit="1" customWidth="1"/>
    <col min="2" max="2" width="5" style="29" bestFit="1" customWidth="1"/>
    <col min="3" max="3" width="10.75" style="29" customWidth="1"/>
    <col min="4" max="4" width="22.25" style="29" bestFit="1" customWidth="1"/>
    <col min="5" max="5" width="29.875" style="20" customWidth="1"/>
    <col min="6" max="6" width="6.625" style="20" customWidth="1"/>
    <col min="7" max="7" width="6.75" style="20" bestFit="1" customWidth="1"/>
    <col min="8" max="8" width="6.75" style="20" customWidth="1"/>
    <col min="9" max="9" width="21.125" style="20" customWidth="1"/>
    <col min="10" max="11" width="4.375" style="20" customWidth="1"/>
    <col min="12" max="13" width="6.375" style="20" customWidth="1"/>
    <col min="14" max="14" width="19.25" style="20" customWidth="1"/>
    <col min="15" max="15" width="22.625" style="20" customWidth="1"/>
    <col min="16" max="20" width="15" style="20" customWidth="1"/>
    <col min="21" max="21" width="22.625" style="119" customWidth="1"/>
    <col min="22" max="22" width="16.375" style="20" customWidth="1"/>
    <col min="23" max="24" width="8.375" style="20" customWidth="1"/>
    <col min="25" max="25" width="2.75" style="23" customWidth="1"/>
    <col min="26" max="27" width="8.375" style="20" customWidth="1"/>
    <col min="28" max="28" width="27.375" style="20" customWidth="1"/>
    <col min="29" max="30" width="12.5" style="20" customWidth="1"/>
    <col min="31" max="32" width="12.5" style="23" customWidth="1"/>
    <col min="33" max="33" width="2.625" style="20" customWidth="1"/>
    <col min="34" max="34" width="6.75" style="25" customWidth="1"/>
    <col min="35" max="35" width="3.25" style="25" customWidth="1"/>
    <col min="36" max="36" width="10.625" style="25" customWidth="1"/>
    <col min="37" max="37" width="8.5" style="28" bestFit="1" customWidth="1"/>
    <col min="38" max="38" width="7.625" style="28" bestFit="1" customWidth="1"/>
    <col min="39" max="45" width="6.375" style="28" customWidth="1"/>
    <col min="46" max="46" width="2.75" style="28" customWidth="1"/>
    <col min="47" max="47" width="6.75" style="25" customWidth="1"/>
    <col min="48" max="48" width="3.25" style="25" customWidth="1"/>
    <col min="49" max="49" width="10.625" style="25" customWidth="1"/>
    <col min="50" max="50" width="5.875" style="23" bestFit="1" customWidth="1"/>
    <col min="51" max="51" width="7.625" style="23" bestFit="1" customWidth="1"/>
    <col min="52" max="53" width="6.25" style="28" customWidth="1"/>
    <col min="54" max="58" width="6.375" style="28" customWidth="1"/>
    <col min="59" max="59" width="2.75" style="28" customWidth="1"/>
    <col min="60" max="60" width="6.75" style="25" customWidth="1"/>
    <col min="61" max="61" width="3.25" style="25" customWidth="1"/>
    <col min="62" max="62" width="10.625" style="25" customWidth="1"/>
    <col min="63" max="63" width="5.875" style="23" bestFit="1" customWidth="1"/>
    <col min="64" max="64" width="5.875" style="23" customWidth="1"/>
    <col min="65" max="66" width="6.25" style="28" customWidth="1"/>
    <col min="67" max="71" width="6.375" style="28" customWidth="1"/>
    <col min="72" max="72" width="2.75" style="28" customWidth="1"/>
    <col min="73" max="73" width="6.75" style="25" customWidth="1"/>
    <col min="74" max="74" width="3.25" style="25" customWidth="1"/>
    <col min="75" max="75" width="10.625" style="25" customWidth="1"/>
    <col min="76" max="76" width="6.75" style="23" bestFit="1" customWidth="1"/>
    <col min="77" max="77" width="6.75" style="23" customWidth="1"/>
    <col min="78" max="79" width="6.25" style="28" customWidth="1"/>
    <col min="80" max="84" width="6.375" style="28" customWidth="1"/>
    <col min="85" max="85" width="2.75" style="28" customWidth="1"/>
    <col min="86" max="86" width="2.75" style="23" customWidth="1"/>
    <col min="87" max="87" width="20" style="23" customWidth="1"/>
    <col min="88" max="88" width="4.125" style="28" bestFit="1" customWidth="1"/>
    <col min="89" max="89" width="3.25" style="23" bestFit="1" customWidth="1"/>
    <col min="90" max="90" width="4.125" style="23" bestFit="1" customWidth="1"/>
    <col min="91" max="91" width="3.25" style="23" bestFit="1" customWidth="1"/>
    <col min="92" max="92" width="2.75" style="23" bestFit="1" customWidth="1"/>
    <col min="93" max="93" width="5.25" style="23" customWidth="1"/>
    <col min="94" max="94" width="6.125" style="23" customWidth="1"/>
    <col min="95" max="95" width="9" style="23"/>
    <col min="96" max="96" width="6.25" style="23" bestFit="1" customWidth="1"/>
    <col min="97" max="97" width="5.375" style="23" bestFit="1" customWidth="1"/>
    <col min="98" max="105" width="5.875" style="30" bestFit="1" customWidth="1"/>
    <col min="106" max="106" width="5" style="30" bestFit="1" customWidth="1"/>
    <col min="107" max="107" width="2.75" style="28" customWidth="1"/>
    <col min="108" max="16384" width="9" style="23"/>
  </cols>
  <sheetData>
    <row r="1" spans="1:113" s="2" customFormat="1" ht="136.5" customHeight="1" x14ac:dyDescent="0.3">
      <c r="A1" s="1" t="s">
        <v>24</v>
      </c>
      <c r="B1" s="1" t="s">
        <v>25</v>
      </c>
      <c r="C1" s="1" t="s">
        <v>2104</v>
      </c>
      <c r="D1" s="1" t="s">
        <v>169</v>
      </c>
      <c r="E1" s="2" t="s">
        <v>28</v>
      </c>
      <c r="F1" s="2" t="s">
        <v>4003</v>
      </c>
      <c r="G1" s="2" t="s">
        <v>3587</v>
      </c>
      <c r="H1" s="2" t="s">
        <v>3584</v>
      </c>
      <c r="I1" s="2" t="s">
        <v>30</v>
      </c>
      <c r="J1" s="2" t="s">
        <v>546</v>
      </c>
      <c r="K1" s="2" t="s">
        <v>549</v>
      </c>
      <c r="L1" s="2" t="s">
        <v>632</v>
      </c>
      <c r="M1" s="2" t="s">
        <v>3589</v>
      </c>
      <c r="N1" s="2" t="s">
        <v>164</v>
      </c>
      <c r="O1" s="2" t="s">
        <v>1559</v>
      </c>
      <c r="P1" s="2" t="s">
        <v>3928</v>
      </c>
      <c r="Q1" s="2" t="s">
        <v>4843</v>
      </c>
      <c r="R1" s="2" t="s">
        <v>4844</v>
      </c>
      <c r="S1" s="2" t="s">
        <v>4845</v>
      </c>
      <c r="T1" s="2" t="s">
        <v>2130</v>
      </c>
      <c r="U1" s="115" t="s">
        <v>2131</v>
      </c>
      <c r="V1" s="2" t="s">
        <v>4490</v>
      </c>
      <c r="W1" s="2" t="s">
        <v>1811</v>
      </c>
      <c r="X1" s="2" t="s">
        <v>1812</v>
      </c>
      <c r="Y1" s="2" t="s">
        <v>31</v>
      </c>
      <c r="Z1" s="2" t="s">
        <v>1303</v>
      </c>
      <c r="AA1" s="2" t="s">
        <v>701</v>
      </c>
      <c r="AB1" s="2" t="s">
        <v>128</v>
      </c>
      <c r="AC1" s="2" t="s">
        <v>269</v>
      </c>
      <c r="AD1" s="2" t="s">
        <v>705</v>
      </c>
      <c r="AE1" s="2" t="s">
        <v>1679</v>
      </c>
      <c r="AF1" s="2" t="s">
        <v>4836</v>
      </c>
      <c r="AG1" s="7" t="s">
        <v>672</v>
      </c>
      <c r="AH1" s="2" t="s">
        <v>1127</v>
      </c>
      <c r="AI1" s="2" t="s">
        <v>256</v>
      </c>
      <c r="AJ1" s="2" t="s">
        <v>273</v>
      </c>
      <c r="AK1" s="3" t="s">
        <v>151</v>
      </c>
      <c r="AL1" s="6" t="s">
        <v>3732</v>
      </c>
      <c r="AM1" s="3" t="s">
        <v>242</v>
      </c>
      <c r="AN1" s="3" t="s">
        <v>1511</v>
      </c>
      <c r="AO1" s="3" t="s">
        <v>1953</v>
      </c>
      <c r="AP1" s="3" t="s">
        <v>1952</v>
      </c>
      <c r="AQ1" s="3" t="s">
        <v>4626</v>
      </c>
      <c r="AR1" s="3" t="s">
        <v>4627</v>
      </c>
      <c r="AS1" s="3" t="s">
        <v>4628</v>
      </c>
      <c r="AT1" s="5" t="s">
        <v>673</v>
      </c>
      <c r="AU1" s="2" t="s">
        <v>152</v>
      </c>
      <c r="AV1" s="2" t="s">
        <v>257</v>
      </c>
      <c r="AW1" s="2" t="s">
        <v>274</v>
      </c>
      <c r="AX1" s="2" t="s">
        <v>153</v>
      </c>
      <c r="AY1" s="6" t="s">
        <v>1412</v>
      </c>
      <c r="AZ1" s="3" t="s">
        <v>243</v>
      </c>
      <c r="BA1" s="3" t="s">
        <v>1510</v>
      </c>
      <c r="BB1" s="3" t="s">
        <v>2045</v>
      </c>
      <c r="BC1" s="3" t="s">
        <v>2046</v>
      </c>
      <c r="BD1" s="3" t="s">
        <v>4629</v>
      </c>
      <c r="BE1" s="3" t="s">
        <v>4630</v>
      </c>
      <c r="BF1" s="3" t="s">
        <v>4631</v>
      </c>
      <c r="BG1" s="5" t="s">
        <v>674</v>
      </c>
      <c r="BH1" s="2" t="s">
        <v>154</v>
      </c>
      <c r="BI1" s="2" t="s">
        <v>258</v>
      </c>
      <c r="BJ1" s="2" t="s">
        <v>275</v>
      </c>
      <c r="BK1" s="2" t="s">
        <v>155</v>
      </c>
      <c r="BL1" s="6" t="s">
        <v>1413</v>
      </c>
      <c r="BM1" s="3" t="s">
        <v>244</v>
      </c>
      <c r="BN1" s="3" t="s">
        <v>1512</v>
      </c>
      <c r="BO1" s="3" t="s">
        <v>2047</v>
      </c>
      <c r="BP1" s="3" t="s">
        <v>2048</v>
      </c>
      <c r="BQ1" s="3" t="s">
        <v>4632</v>
      </c>
      <c r="BR1" s="3" t="s">
        <v>4633</v>
      </c>
      <c r="BS1" s="3" t="s">
        <v>4634</v>
      </c>
      <c r="BT1" s="5" t="s">
        <v>675</v>
      </c>
      <c r="BU1" s="2" t="s">
        <v>933</v>
      </c>
      <c r="BV1" s="2" t="s">
        <v>664</v>
      </c>
      <c r="BW1" s="2" t="s">
        <v>665</v>
      </c>
      <c r="BX1" s="2" t="s">
        <v>934</v>
      </c>
      <c r="BY1" s="6" t="s">
        <v>1421</v>
      </c>
      <c r="BZ1" s="3" t="s">
        <v>666</v>
      </c>
      <c r="CA1" s="3" t="s">
        <v>927</v>
      </c>
      <c r="CB1" s="3" t="s">
        <v>2049</v>
      </c>
      <c r="CC1" s="3" t="s">
        <v>2050</v>
      </c>
      <c r="CD1" s="3" t="s">
        <v>4635</v>
      </c>
      <c r="CE1" s="3" t="s">
        <v>4636</v>
      </c>
      <c r="CF1" s="3" t="s">
        <v>4637</v>
      </c>
      <c r="CG1" s="5" t="s">
        <v>676</v>
      </c>
      <c r="CH1" s="2" t="s">
        <v>667</v>
      </c>
      <c r="CI1" s="2" t="s">
        <v>272</v>
      </c>
      <c r="CJ1" s="3" t="s">
        <v>677</v>
      </c>
      <c r="CK1" s="2" t="s">
        <v>660</v>
      </c>
      <c r="CL1" s="2" t="s">
        <v>105</v>
      </c>
      <c r="CM1" s="2" t="s">
        <v>172</v>
      </c>
      <c r="CN1" s="2" t="s">
        <v>209</v>
      </c>
      <c r="CO1" s="2" t="s">
        <v>930</v>
      </c>
      <c r="CP1" s="2" t="s">
        <v>931</v>
      </c>
      <c r="CQ1" s="2" t="s">
        <v>1128</v>
      </c>
      <c r="CR1" s="2" t="s">
        <v>254</v>
      </c>
      <c r="CS1" s="2" t="s">
        <v>255</v>
      </c>
      <c r="CT1" s="4" t="s">
        <v>245</v>
      </c>
      <c r="CU1" s="4" t="s">
        <v>248</v>
      </c>
      <c r="CV1" s="4" t="s">
        <v>246</v>
      </c>
      <c r="CW1" s="4" t="s">
        <v>249</v>
      </c>
      <c r="CX1" s="4" t="s">
        <v>247</v>
      </c>
      <c r="CY1" s="4" t="s">
        <v>250</v>
      </c>
      <c r="CZ1" s="4" t="s">
        <v>251</v>
      </c>
      <c r="DA1" s="4" t="s">
        <v>252</v>
      </c>
      <c r="DB1" s="4" t="s">
        <v>253</v>
      </c>
      <c r="DC1" s="5" t="s">
        <v>1954</v>
      </c>
      <c r="DD1" s="2" t="s">
        <v>1955</v>
      </c>
      <c r="DE1" s="2" t="s">
        <v>2054</v>
      </c>
      <c r="DF1" s="2" t="s">
        <v>3929</v>
      </c>
      <c r="DG1" s="2" t="s">
        <v>3930</v>
      </c>
      <c r="DH1" s="2" t="s">
        <v>4534</v>
      </c>
      <c r="DI1" s="2" t="s">
        <v>4565</v>
      </c>
    </row>
    <row r="2" spans="1:113" s="162" customFormat="1" ht="18" customHeight="1" x14ac:dyDescent="0.3">
      <c r="A2" s="161" t="s">
        <v>3942</v>
      </c>
      <c r="B2" s="161" t="s">
        <v>3942</v>
      </c>
      <c r="C2" s="161" t="s">
        <v>3942</v>
      </c>
      <c r="D2" s="161"/>
      <c r="E2" s="160" t="s">
        <v>3941</v>
      </c>
      <c r="F2" s="167"/>
      <c r="H2" s="161" t="s">
        <v>3942</v>
      </c>
      <c r="I2" s="160" t="s">
        <v>3941</v>
      </c>
      <c r="N2" s="160" t="s">
        <v>3941</v>
      </c>
      <c r="O2" s="160" t="s">
        <v>3941</v>
      </c>
      <c r="P2" s="160" t="s">
        <v>3941</v>
      </c>
      <c r="Q2" s="167"/>
      <c r="R2" s="167"/>
      <c r="S2" s="167"/>
      <c r="V2" s="160" t="s">
        <v>3941</v>
      </c>
      <c r="W2" s="161" t="s">
        <v>3942</v>
      </c>
      <c r="X2" s="161" t="s">
        <v>3942</v>
      </c>
      <c r="Y2" s="161" t="s">
        <v>3942</v>
      </c>
      <c r="AB2" s="160" t="s">
        <v>3943</v>
      </c>
      <c r="AF2" s="160" t="s">
        <v>3941</v>
      </c>
      <c r="AH2" s="161" t="s">
        <v>3942</v>
      </c>
      <c r="AK2" s="161" t="s">
        <v>3942</v>
      </c>
      <c r="AL2" s="161" t="s">
        <v>3942</v>
      </c>
      <c r="AM2" s="161" t="s">
        <v>3942</v>
      </c>
      <c r="AN2" s="161" t="s">
        <v>3942</v>
      </c>
      <c r="AO2" s="160" t="s">
        <v>3941</v>
      </c>
      <c r="AP2" s="161" t="s">
        <v>3942</v>
      </c>
      <c r="AQ2" s="191" t="s">
        <v>4625</v>
      </c>
      <c r="AR2" s="191" t="s">
        <v>4625</v>
      </c>
      <c r="AS2" s="191" t="s">
        <v>4625</v>
      </c>
      <c r="AU2" s="161" t="s">
        <v>3942</v>
      </c>
      <c r="AX2" s="161" t="s">
        <v>3942</v>
      </c>
      <c r="AY2" s="161" t="s">
        <v>3942</v>
      </c>
      <c r="AZ2" s="161" t="s">
        <v>3942</v>
      </c>
      <c r="BA2" s="161" t="s">
        <v>3942</v>
      </c>
      <c r="BB2" s="160" t="s">
        <v>3941</v>
      </c>
      <c r="BC2" s="161" t="s">
        <v>3942</v>
      </c>
      <c r="BD2" s="191" t="s">
        <v>4625</v>
      </c>
      <c r="BE2" s="191" t="s">
        <v>4625</v>
      </c>
      <c r="BF2" s="191" t="s">
        <v>4625</v>
      </c>
      <c r="BH2" s="161" t="s">
        <v>3942</v>
      </c>
      <c r="BK2" s="161" t="s">
        <v>3942</v>
      </c>
      <c r="BL2" s="161" t="s">
        <v>3942</v>
      </c>
      <c r="BM2" s="161" t="s">
        <v>3942</v>
      </c>
      <c r="BN2" s="161" t="s">
        <v>3942</v>
      </c>
      <c r="BO2" s="160" t="s">
        <v>3941</v>
      </c>
      <c r="BP2" s="161" t="s">
        <v>3942</v>
      </c>
      <c r="BQ2" s="191" t="s">
        <v>4625</v>
      </c>
      <c r="BR2" s="191" t="s">
        <v>4625</v>
      </c>
      <c r="BS2" s="191" t="s">
        <v>4625</v>
      </c>
      <c r="BU2" s="161" t="s">
        <v>3942</v>
      </c>
      <c r="BX2" s="161" t="s">
        <v>3942</v>
      </c>
      <c r="BY2" s="161" t="s">
        <v>3942</v>
      </c>
      <c r="BZ2" s="161" t="s">
        <v>3942</v>
      </c>
      <c r="CA2" s="161" t="s">
        <v>3942</v>
      </c>
      <c r="CB2" s="160" t="s">
        <v>3941</v>
      </c>
      <c r="CC2" s="161" t="s">
        <v>3942</v>
      </c>
      <c r="CD2" s="191" t="s">
        <v>4625</v>
      </c>
      <c r="CE2" s="191" t="s">
        <v>4625</v>
      </c>
      <c r="CF2" s="191" t="s">
        <v>4625</v>
      </c>
      <c r="CH2" s="161" t="s">
        <v>3942</v>
      </c>
      <c r="CI2" s="160" t="s">
        <v>3941</v>
      </c>
      <c r="CJ2" s="161" t="s">
        <v>3942</v>
      </c>
      <c r="CK2" s="161" t="s">
        <v>3942</v>
      </c>
      <c r="CL2" s="161" t="s">
        <v>3942</v>
      </c>
      <c r="CM2" s="161" t="s">
        <v>3942</v>
      </c>
      <c r="CN2" s="161" t="s">
        <v>3942</v>
      </c>
      <c r="DD2" s="161" t="s">
        <v>3942</v>
      </c>
    </row>
    <row r="3" spans="1:113" s="14" customFormat="1" ht="17.25" x14ac:dyDescent="0.3">
      <c r="A3" s="8"/>
      <c r="B3" s="8"/>
      <c r="C3" s="8"/>
      <c r="D3" s="8"/>
      <c r="E3" s="9" t="s">
        <v>1765</v>
      </c>
      <c r="F3" s="9"/>
      <c r="G3" s="9"/>
      <c r="H3" s="9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1"/>
      <c r="Z3" s="10"/>
      <c r="AA3" s="10"/>
      <c r="AB3" s="10"/>
      <c r="AC3" s="10"/>
      <c r="AD3" s="10"/>
      <c r="AE3" s="12"/>
      <c r="AF3" s="12"/>
      <c r="AG3" s="10"/>
      <c r="AH3" s="13"/>
      <c r="AI3" s="13"/>
      <c r="AK3" s="15"/>
      <c r="AL3" s="15"/>
      <c r="AM3" s="15"/>
      <c r="AN3" s="15"/>
      <c r="AO3" s="15"/>
      <c r="AP3" s="15"/>
      <c r="AQ3" s="15"/>
      <c r="AR3" s="15"/>
      <c r="AS3" s="15"/>
      <c r="AT3" s="15"/>
      <c r="AZ3" s="15"/>
      <c r="BA3" s="15"/>
      <c r="BB3" s="15"/>
      <c r="BC3" s="15"/>
      <c r="BD3" s="15"/>
      <c r="BE3" s="15"/>
      <c r="BF3" s="15"/>
      <c r="BG3" s="15"/>
      <c r="BM3" s="15"/>
      <c r="BN3" s="15"/>
      <c r="BO3" s="15"/>
      <c r="BP3" s="15"/>
      <c r="BQ3" s="15"/>
      <c r="BR3" s="15"/>
      <c r="BS3" s="15"/>
      <c r="BT3" s="15"/>
      <c r="BZ3" s="15"/>
      <c r="CA3" s="15"/>
      <c r="CB3" s="15"/>
      <c r="CC3" s="15"/>
      <c r="CD3" s="15"/>
      <c r="CE3" s="15"/>
      <c r="CF3" s="15"/>
      <c r="CG3" s="15"/>
      <c r="CH3" s="10"/>
      <c r="CI3" s="8"/>
      <c r="CJ3" s="16"/>
      <c r="CK3" s="8"/>
      <c r="CT3" s="17"/>
      <c r="CU3" s="17"/>
      <c r="CV3" s="17"/>
      <c r="CW3" s="17"/>
      <c r="CX3" s="17"/>
      <c r="CY3" s="17"/>
      <c r="CZ3" s="17"/>
      <c r="DA3" s="17"/>
      <c r="DB3" s="17"/>
      <c r="DC3" s="15"/>
    </row>
    <row r="4" spans="1:113" x14ac:dyDescent="0.2">
      <c r="A4" s="18">
        <v>901</v>
      </c>
      <c r="B4" s="19">
        <v>1000</v>
      </c>
      <c r="C4" s="19">
        <f>A4*10000+B4</f>
        <v>9011000</v>
      </c>
      <c r="D4" s="19" t="s">
        <v>1702</v>
      </c>
      <c r="E4" s="20" t="s">
        <v>270</v>
      </c>
      <c r="I4" s="21" t="s">
        <v>486</v>
      </c>
      <c r="J4" s="21"/>
      <c r="K4" s="21"/>
      <c r="L4" s="21"/>
      <c r="M4" s="21"/>
      <c r="N4" s="22" t="s">
        <v>271</v>
      </c>
      <c r="O4" s="22" t="s">
        <v>1130</v>
      </c>
      <c r="P4" s="22"/>
      <c r="Q4" s="22" t="s">
        <v>2041</v>
      </c>
      <c r="R4" s="22"/>
      <c r="S4" s="22"/>
      <c r="T4" s="22" t="s">
        <v>2132</v>
      </c>
      <c r="U4" s="116" t="s">
        <v>2137</v>
      </c>
      <c r="V4" s="22"/>
      <c r="W4" s="169">
        <v>6</v>
      </c>
      <c r="X4" s="22"/>
      <c r="Y4" s="23" t="s">
        <v>1768</v>
      </c>
      <c r="Z4" s="22"/>
      <c r="AA4" s="22"/>
      <c r="AB4" s="22"/>
      <c r="AC4" s="22"/>
      <c r="AD4" s="22"/>
      <c r="AE4" s="24" t="s">
        <v>548</v>
      </c>
      <c r="AF4" s="24" t="s">
        <v>2041</v>
      </c>
      <c r="AG4" s="22"/>
      <c r="AJ4" s="26"/>
      <c r="AK4" s="27">
        <v>1000</v>
      </c>
      <c r="AL4" s="27"/>
      <c r="AW4" s="27"/>
      <c r="AX4" s="27"/>
      <c r="AY4" s="27"/>
      <c r="BJ4" s="27"/>
      <c r="BK4" s="27"/>
      <c r="BL4" s="27"/>
      <c r="BW4" s="27"/>
      <c r="BX4" s="27"/>
      <c r="BY4" s="27"/>
      <c r="CH4" s="29"/>
      <c r="CI4" s="23" t="s">
        <v>397</v>
      </c>
    </row>
    <row r="5" spans="1:113" x14ac:dyDescent="0.2">
      <c r="A5" s="18">
        <v>901</v>
      </c>
      <c r="B5" s="19">
        <v>1</v>
      </c>
      <c r="C5" s="19">
        <f t="shared" ref="C5:C68" si="0">A5*10000+B5</f>
        <v>9010001</v>
      </c>
      <c r="D5" s="19" t="s">
        <v>1703</v>
      </c>
      <c r="E5" s="20" t="s">
        <v>270</v>
      </c>
      <c r="I5" s="21" t="s">
        <v>486</v>
      </c>
      <c r="J5" s="21"/>
      <c r="K5" s="21"/>
      <c r="L5" s="21"/>
      <c r="M5" s="21"/>
      <c r="N5" s="22" t="s">
        <v>271</v>
      </c>
      <c r="O5" s="22" t="s">
        <v>271</v>
      </c>
      <c r="P5" s="22"/>
      <c r="Q5" s="22" t="s">
        <v>2041</v>
      </c>
      <c r="R5" s="22"/>
      <c r="S5" s="22"/>
      <c r="T5" s="22" t="s">
        <v>2132</v>
      </c>
      <c r="U5" s="116" t="s">
        <v>2138</v>
      </c>
      <c r="V5" s="22"/>
      <c r="W5" s="169">
        <v>6</v>
      </c>
      <c r="X5" s="22"/>
      <c r="Y5" s="23" t="s">
        <v>120</v>
      </c>
      <c r="Z5" s="22"/>
      <c r="AA5" s="22"/>
      <c r="AB5" s="22"/>
      <c r="AC5" s="22"/>
      <c r="AD5" s="22"/>
      <c r="AE5" s="24" t="s">
        <v>1678</v>
      </c>
      <c r="AF5" s="24" t="s">
        <v>2041</v>
      </c>
      <c r="AG5" s="22"/>
      <c r="AH5" s="25" t="s">
        <v>1789</v>
      </c>
      <c r="AJ5" s="26"/>
      <c r="AK5" s="27">
        <v>1000</v>
      </c>
      <c r="AL5" s="27"/>
      <c r="AO5" s="28" t="s">
        <v>1956</v>
      </c>
      <c r="AW5" s="27"/>
      <c r="AX5" s="27"/>
      <c r="AY5" s="27"/>
      <c r="BJ5" s="27"/>
      <c r="BK5" s="27"/>
      <c r="BL5" s="27"/>
      <c r="BW5" s="27"/>
      <c r="BX5" s="27"/>
      <c r="BY5" s="27"/>
      <c r="CH5" s="29"/>
      <c r="CI5" s="23" t="s">
        <v>397</v>
      </c>
      <c r="CJ5" s="28">
        <v>32</v>
      </c>
    </row>
    <row r="6" spans="1:113" x14ac:dyDescent="0.2">
      <c r="A6" s="18">
        <v>901</v>
      </c>
      <c r="B6" s="19">
        <v>2</v>
      </c>
      <c r="C6" s="19">
        <f t="shared" si="0"/>
        <v>9010002</v>
      </c>
      <c r="D6" s="19" t="s">
        <v>1704</v>
      </c>
      <c r="E6" s="20" t="s">
        <v>270</v>
      </c>
      <c r="I6" s="21" t="s">
        <v>486</v>
      </c>
      <c r="J6" s="21"/>
      <c r="K6" s="21"/>
      <c r="L6" s="21"/>
      <c r="M6" s="21"/>
      <c r="N6" s="22" t="s">
        <v>271</v>
      </c>
      <c r="O6" s="22" t="s">
        <v>271</v>
      </c>
      <c r="P6" s="22"/>
      <c r="Q6" s="22" t="s">
        <v>2041</v>
      </c>
      <c r="R6" s="22"/>
      <c r="S6" s="22"/>
      <c r="T6" s="22" t="s">
        <v>2132</v>
      </c>
      <c r="U6" s="116" t="s">
        <v>2139</v>
      </c>
      <c r="V6" s="22"/>
      <c r="W6" s="169">
        <v>6</v>
      </c>
      <c r="X6" s="22"/>
      <c r="Y6" s="23" t="s">
        <v>120</v>
      </c>
      <c r="Z6" s="22"/>
      <c r="AA6" s="22"/>
      <c r="AB6" s="22"/>
      <c r="AC6" s="22"/>
      <c r="AD6" s="22"/>
      <c r="AE6" s="24" t="s">
        <v>548</v>
      </c>
      <c r="AF6" s="24" t="s">
        <v>2041</v>
      </c>
      <c r="AG6" s="22"/>
      <c r="AH6" s="25">
        <v>901032</v>
      </c>
      <c r="AJ6" s="26"/>
      <c r="AK6" s="27">
        <v>1100</v>
      </c>
      <c r="AL6" s="27"/>
      <c r="AO6" s="28" t="s">
        <v>1956</v>
      </c>
      <c r="AW6" s="27"/>
      <c r="AX6" s="27"/>
      <c r="AY6" s="27"/>
      <c r="BJ6" s="27"/>
      <c r="BK6" s="27"/>
      <c r="BL6" s="27"/>
      <c r="BW6" s="27"/>
      <c r="BX6" s="27"/>
      <c r="BY6" s="27"/>
      <c r="CH6" s="29"/>
      <c r="CI6" s="23" t="s">
        <v>397</v>
      </c>
      <c r="CJ6" s="28">
        <v>32</v>
      </c>
    </row>
    <row r="7" spans="1:113" x14ac:dyDescent="0.2">
      <c r="A7" s="18">
        <v>901</v>
      </c>
      <c r="B7" s="19">
        <v>3</v>
      </c>
      <c r="C7" s="19">
        <f t="shared" si="0"/>
        <v>9010003</v>
      </c>
      <c r="D7" s="19" t="s">
        <v>1705</v>
      </c>
      <c r="E7" s="20" t="s">
        <v>270</v>
      </c>
      <c r="I7" s="21" t="s">
        <v>486</v>
      </c>
      <c r="J7" s="21"/>
      <c r="K7" s="21"/>
      <c r="L7" s="21"/>
      <c r="M7" s="21"/>
      <c r="N7" s="22" t="s">
        <v>271</v>
      </c>
      <c r="O7" s="22" t="s">
        <v>271</v>
      </c>
      <c r="P7" s="22"/>
      <c r="Q7" s="22" t="s">
        <v>2041</v>
      </c>
      <c r="R7" s="22"/>
      <c r="S7" s="22"/>
      <c r="T7" s="22" t="s">
        <v>2132</v>
      </c>
      <c r="U7" s="116" t="s">
        <v>2140</v>
      </c>
      <c r="V7" s="22"/>
      <c r="W7" s="169">
        <v>6</v>
      </c>
      <c r="X7" s="22"/>
      <c r="Y7" s="23" t="s">
        <v>120</v>
      </c>
      <c r="Z7" s="22"/>
      <c r="AA7" s="22"/>
      <c r="AB7" s="22"/>
      <c r="AC7" s="22"/>
      <c r="AD7" s="22"/>
      <c r="AE7" s="24" t="s">
        <v>548</v>
      </c>
      <c r="AF7" s="24" t="s">
        <v>2041</v>
      </c>
      <c r="AG7" s="22"/>
      <c r="AH7" s="25">
        <v>901041</v>
      </c>
      <c r="AJ7" s="26"/>
      <c r="AK7" s="27">
        <v>1200</v>
      </c>
      <c r="AL7" s="27"/>
      <c r="AO7" s="28" t="s">
        <v>1956</v>
      </c>
      <c r="AW7" s="27"/>
      <c r="AX7" s="27"/>
      <c r="AY7" s="27"/>
      <c r="BJ7" s="27"/>
      <c r="BK7" s="27"/>
      <c r="BL7" s="27"/>
      <c r="BW7" s="27"/>
      <c r="BX7" s="27"/>
      <c r="BY7" s="27"/>
      <c r="CH7" s="29"/>
      <c r="CI7" s="23" t="s">
        <v>397</v>
      </c>
      <c r="CJ7" s="28">
        <v>36</v>
      </c>
    </row>
    <row r="8" spans="1:113" x14ac:dyDescent="0.2">
      <c r="A8" s="18">
        <v>901</v>
      </c>
      <c r="B8" s="19">
        <v>4</v>
      </c>
      <c r="C8" s="19">
        <f t="shared" si="0"/>
        <v>9010004</v>
      </c>
      <c r="D8" s="19" t="s">
        <v>1706</v>
      </c>
      <c r="E8" s="20" t="s">
        <v>270</v>
      </c>
      <c r="I8" s="21" t="s">
        <v>486</v>
      </c>
      <c r="J8" s="21"/>
      <c r="K8" s="21"/>
      <c r="L8" s="21"/>
      <c r="M8" s="21"/>
      <c r="N8" s="22" t="s">
        <v>271</v>
      </c>
      <c r="O8" s="22" t="s">
        <v>271</v>
      </c>
      <c r="P8" s="22"/>
      <c r="Q8" s="22" t="s">
        <v>2041</v>
      </c>
      <c r="R8" s="22"/>
      <c r="S8" s="22"/>
      <c r="T8" s="22" t="s">
        <v>2132</v>
      </c>
      <c r="U8" s="116" t="s">
        <v>2141</v>
      </c>
      <c r="V8" s="22"/>
      <c r="W8" s="169">
        <v>6</v>
      </c>
      <c r="X8" s="22"/>
      <c r="Y8" s="23" t="s">
        <v>120</v>
      </c>
      <c r="Z8" s="22"/>
      <c r="AA8" s="22"/>
      <c r="AB8" s="22"/>
      <c r="AC8" s="22"/>
      <c r="AD8" s="22"/>
      <c r="AE8" s="24" t="s">
        <v>548</v>
      </c>
      <c r="AF8" s="24" t="s">
        <v>2041</v>
      </c>
      <c r="AG8" s="22"/>
      <c r="AH8" s="25" t="s">
        <v>1790</v>
      </c>
      <c r="AJ8" s="26"/>
      <c r="AK8" s="27">
        <v>1300</v>
      </c>
      <c r="AL8" s="27"/>
      <c r="AO8" s="28" t="s">
        <v>1956</v>
      </c>
      <c r="AW8" s="27"/>
      <c r="AX8" s="27"/>
      <c r="AY8" s="27"/>
      <c r="BJ8" s="27"/>
      <c r="BK8" s="27"/>
      <c r="BL8" s="27"/>
      <c r="BW8" s="27"/>
      <c r="BX8" s="27"/>
      <c r="BY8" s="27"/>
      <c r="CH8" s="29"/>
      <c r="CI8" s="23" t="s">
        <v>397</v>
      </c>
      <c r="CJ8" s="28">
        <v>36</v>
      </c>
    </row>
    <row r="9" spans="1:113" x14ac:dyDescent="0.2">
      <c r="A9" s="18">
        <v>901</v>
      </c>
      <c r="B9" s="19">
        <v>5</v>
      </c>
      <c r="C9" s="19">
        <f t="shared" si="0"/>
        <v>9010005</v>
      </c>
      <c r="D9" s="19" t="s">
        <v>1707</v>
      </c>
      <c r="E9" s="20" t="s">
        <v>270</v>
      </c>
      <c r="I9" s="21" t="s">
        <v>486</v>
      </c>
      <c r="J9" s="21"/>
      <c r="K9" s="21"/>
      <c r="L9" s="21"/>
      <c r="M9" s="21"/>
      <c r="N9" s="22" t="s">
        <v>271</v>
      </c>
      <c r="O9" s="22" t="s">
        <v>271</v>
      </c>
      <c r="P9" s="22"/>
      <c r="Q9" s="22" t="s">
        <v>2041</v>
      </c>
      <c r="R9" s="22"/>
      <c r="S9" s="22"/>
      <c r="T9" s="22" t="s">
        <v>2132</v>
      </c>
      <c r="U9" s="116" t="s">
        <v>2142</v>
      </c>
      <c r="V9" s="22"/>
      <c r="W9" s="169">
        <v>6</v>
      </c>
      <c r="X9" s="22"/>
      <c r="Y9" s="23" t="s">
        <v>120</v>
      </c>
      <c r="Z9" s="22"/>
      <c r="AA9" s="22"/>
      <c r="AB9" s="22"/>
      <c r="AC9" s="22"/>
      <c r="AD9" s="22"/>
      <c r="AE9" s="24" t="s">
        <v>548</v>
      </c>
      <c r="AF9" s="24" t="s">
        <v>2041</v>
      </c>
      <c r="AG9" s="22"/>
      <c r="AH9" s="25" t="s">
        <v>1791</v>
      </c>
      <c r="AJ9" s="26"/>
      <c r="AK9" s="27">
        <v>1400</v>
      </c>
      <c r="AL9" s="27"/>
      <c r="AO9" s="28" t="s">
        <v>1956</v>
      </c>
      <c r="AW9" s="27"/>
      <c r="AX9" s="27"/>
      <c r="AY9" s="27"/>
      <c r="BJ9" s="27"/>
      <c r="BK9" s="27"/>
      <c r="BL9" s="27"/>
      <c r="BW9" s="27"/>
      <c r="BX9" s="27"/>
      <c r="BY9" s="27"/>
      <c r="CH9" s="29"/>
      <c r="CI9" s="23" t="s">
        <v>397</v>
      </c>
      <c r="CJ9" s="28">
        <v>40</v>
      </c>
    </row>
    <row r="10" spans="1:113" x14ac:dyDescent="0.2">
      <c r="A10" s="18">
        <v>901</v>
      </c>
      <c r="B10" s="19">
        <v>6</v>
      </c>
      <c r="C10" s="19">
        <f t="shared" si="0"/>
        <v>9010006</v>
      </c>
      <c r="D10" s="19" t="s">
        <v>1708</v>
      </c>
      <c r="E10" s="20" t="s">
        <v>270</v>
      </c>
      <c r="I10" s="21" t="s">
        <v>486</v>
      </c>
      <c r="J10" s="21"/>
      <c r="K10" s="21"/>
      <c r="L10" s="21"/>
      <c r="M10" s="21"/>
      <c r="N10" s="22" t="s">
        <v>271</v>
      </c>
      <c r="O10" s="22" t="s">
        <v>271</v>
      </c>
      <c r="P10" s="22"/>
      <c r="Q10" s="22" t="s">
        <v>2041</v>
      </c>
      <c r="R10" s="22"/>
      <c r="S10" s="22"/>
      <c r="T10" s="22" t="s">
        <v>2132</v>
      </c>
      <c r="U10" s="116" t="s">
        <v>2143</v>
      </c>
      <c r="V10" s="22"/>
      <c r="W10" s="169">
        <v>6</v>
      </c>
      <c r="X10" s="22"/>
      <c r="Y10" s="23" t="s">
        <v>120</v>
      </c>
      <c r="Z10" s="22"/>
      <c r="AA10" s="22"/>
      <c r="AB10" s="22"/>
      <c r="AC10" s="22"/>
      <c r="AD10" s="22"/>
      <c r="AE10" s="24" t="s">
        <v>548</v>
      </c>
      <c r="AF10" s="24" t="s">
        <v>2041</v>
      </c>
      <c r="AG10" s="22"/>
      <c r="AH10" s="25" t="s">
        <v>1792</v>
      </c>
      <c r="AJ10" s="26"/>
      <c r="AK10" s="27">
        <v>1500</v>
      </c>
      <c r="AL10" s="27"/>
      <c r="AO10" s="28" t="s">
        <v>1956</v>
      </c>
      <c r="AW10" s="27"/>
      <c r="AX10" s="27"/>
      <c r="AY10" s="27"/>
      <c r="BJ10" s="27"/>
      <c r="BK10" s="27"/>
      <c r="BL10" s="27"/>
      <c r="BW10" s="27"/>
      <c r="BX10" s="27"/>
      <c r="BY10" s="27"/>
      <c r="CH10" s="29"/>
      <c r="CI10" s="23" t="s">
        <v>397</v>
      </c>
      <c r="CJ10" s="28">
        <v>40</v>
      </c>
    </row>
    <row r="11" spans="1:113" x14ac:dyDescent="0.2">
      <c r="A11" s="18">
        <v>901</v>
      </c>
      <c r="B11" s="19">
        <v>7</v>
      </c>
      <c r="C11" s="19">
        <f t="shared" si="0"/>
        <v>9010007</v>
      </c>
      <c r="D11" s="19" t="s">
        <v>1709</v>
      </c>
      <c r="E11" s="20" t="s">
        <v>270</v>
      </c>
      <c r="I11" s="21" t="s">
        <v>486</v>
      </c>
      <c r="J11" s="21"/>
      <c r="K11" s="21"/>
      <c r="L11" s="21"/>
      <c r="M11" s="21"/>
      <c r="N11" s="22" t="s">
        <v>271</v>
      </c>
      <c r="O11" s="22" t="s">
        <v>271</v>
      </c>
      <c r="P11" s="22"/>
      <c r="Q11" s="22" t="s">
        <v>2041</v>
      </c>
      <c r="R11" s="22"/>
      <c r="S11" s="22"/>
      <c r="T11" s="22" t="s">
        <v>2132</v>
      </c>
      <c r="U11" s="116" t="s">
        <v>2144</v>
      </c>
      <c r="V11" s="22"/>
      <c r="W11" s="169">
        <v>6</v>
      </c>
      <c r="X11" s="22"/>
      <c r="Y11" s="23" t="s">
        <v>120</v>
      </c>
      <c r="Z11" s="22"/>
      <c r="AA11" s="22"/>
      <c r="AB11" s="22"/>
      <c r="AC11" s="22"/>
      <c r="AD11" s="22"/>
      <c r="AE11" s="24" t="s">
        <v>548</v>
      </c>
      <c r="AF11" s="24" t="s">
        <v>2041</v>
      </c>
      <c r="AG11" s="22"/>
      <c r="AH11" s="25" t="s">
        <v>1793</v>
      </c>
      <c r="AJ11" s="26"/>
      <c r="AK11" s="27">
        <v>1600</v>
      </c>
      <c r="AL11" s="27"/>
      <c r="AO11" s="28" t="s">
        <v>1956</v>
      </c>
      <c r="AW11" s="27"/>
      <c r="AX11" s="27"/>
      <c r="AY11" s="27"/>
      <c r="BJ11" s="27"/>
      <c r="BK11" s="27"/>
      <c r="BL11" s="27"/>
      <c r="BW11" s="27"/>
      <c r="BX11" s="27"/>
      <c r="BY11" s="27"/>
      <c r="CH11" s="29"/>
      <c r="CI11" s="23" t="s">
        <v>397</v>
      </c>
      <c r="CJ11" s="28">
        <v>48</v>
      </c>
    </row>
    <row r="12" spans="1:113" x14ac:dyDescent="0.2">
      <c r="A12" s="18">
        <v>901</v>
      </c>
      <c r="B12" s="19">
        <v>8</v>
      </c>
      <c r="C12" s="19">
        <f t="shared" si="0"/>
        <v>9010008</v>
      </c>
      <c r="D12" s="19" t="s">
        <v>1710</v>
      </c>
      <c r="E12" s="20" t="s">
        <v>270</v>
      </c>
      <c r="I12" s="21" t="s">
        <v>486</v>
      </c>
      <c r="J12" s="21"/>
      <c r="K12" s="21"/>
      <c r="L12" s="21"/>
      <c r="M12" s="21"/>
      <c r="N12" s="22" t="s">
        <v>271</v>
      </c>
      <c r="O12" s="22" t="s">
        <v>271</v>
      </c>
      <c r="P12" s="22"/>
      <c r="Q12" s="22" t="s">
        <v>2041</v>
      </c>
      <c r="R12" s="22"/>
      <c r="S12" s="22"/>
      <c r="T12" s="22" t="s">
        <v>2132</v>
      </c>
      <c r="U12" s="116" t="s">
        <v>2145</v>
      </c>
      <c r="V12" s="22"/>
      <c r="W12" s="169">
        <v>6</v>
      </c>
      <c r="X12" s="22"/>
      <c r="Y12" s="23" t="s">
        <v>120</v>
      </c>
      <c r="Z12" s="22"/>
      <c r="AA12" s="22"/>
      <c r="AB12" s="22"/>
      <c r="AC12" s="22"/>
      <c r="AD12" s="22"/>
      <c r="AE12" s="24" t="s">
        <v>548</v>
      </c>
      <c r="AF12" s="24" t="s">
        <v>2041</v>
      </c>
      <c r="AG12" s="22"/>
      <c r="AH12" s="25" t="s">
        <v>1794</v>
      </c>
      <c r="AJ12" s="26"/>
      <c r="AK12" s="27">
        <v>1700</v>
      </c>
      <c r="AL12" s="27"/>
      <c r="AO12" s="28" t="s">
        <v>1956</v>
      </c>
      <c r="AW12" s="27"/>
      <c r="AX12" s="27"/>
      <c r="AY12" s="27"/>
      <c r="BJ12" s="27"/>
      <c r="BK12" s="27"/>
      <c r="BL12" s="27"/>
      <c r="BW12" s="27"/>
      <c r="BX12" s="27"/>
      <c r="BY12" s="27"/>
      <c r="CH12" s="29"/>
      <c r="CI12" s="23" t="s">
        <v>397</v>
      </c>
      <c r="CJ12" s="28">
        <v>48</v>
      </c>
    </row>
    <row r="13" spans="1:113" x14ac:dyDescent="0.2">
      <c r="A13" s="18">
        <v>901</v>
      </c>
      <c r="B13" s="19">
        <v>9</v>
      </c>
      <c r="C13" s="19">
        <f t="shared" si="0"/>
        <v>9010009</v>
      </c>
      <c r="D13" s="19" t="s">
        <v>1711</v>
      </c>
      <c r="E13" s="20" t="s">
        <v>270</v>
      </c>
      <c r="I13" s="21" t="s">
        <v>486</v>
      </c>
      <c r="J13" s="21"/>
      <c r="K13" s="21"/>
      <c r="L13" s="21"/>
      <c r="M13" s="21"/>
      <c r="N13" s="22" t="s">
        <v>271</v>
      </c>
      <c r="O13" s="22" t="s">
        <v>271</v>
      </c>
      <c r="P13" s="22"/>
      <c r="Q13" s="22" t="s">
        <v>2041</v>
      </c>
      <c r="R13" s="22"/>
      <c r="S13" s="22"/>
      <c r="T13" s="22" t="s">
        <v>2132</v>
      </c>
      <c r="U13" s="116" t="s">
        <v>2146</v>
      </c>
      <c r="V13" s="22"/>
      <c r="W13" s="169">
        <v>6</v>
      </c>
      <c r="X13" s="22"/>
      <c r="Y13" s="23" t="s">
        <v>120</v>
      </c>
      <c r="Z13" s="22"/>
      <c r="AA13" s="22"/>
      <c r="AB13" s="22"/>
      <c r="AC13" s="22"/>
      <c r="AD13" s="22"/>
      <c r="AE13" s="24" t="s">
        <v>548</v>
      </c>
      <c r="AF13" s="24" t="s">
        <v>2041</v>
      </c>
      <c r="AG13" s="22"/>
      <c r="AH13" s="25" t="s">
        <v>1795</v>
      </c>
      <c r="AJ13" s="26"/>
      <c r="AK13" s="27">
        <v>1800</v>
      </c>
      <c r="AL13" s="27"/>
      <c r="AO13" s="28" t="s">
        <v>1956</v>
      </c>
      <c r="AW13" s="27"/>
      <c r="AX13" s="27"/>
      <c r="AY13" s="27"/>
      <c r="BJ13" s="27"/>
      <c r="BK13" s="27"/>
      <c r="BL13" s="27"/>
      <c r="BW13" s="27"/>
      <c r="BX13" s="27"/>
      <c r="BY13" s="27"/>
      <c r="CH13" s="29"/>
      <c r="CI13" s="23" t="s">
        <v>397</v>
      </c>
      <c r="CJ13" s="28">
        <v>52</v>
      </c>
    </row>
    <row r="14" spans="1:113" x14ac:dyDescent="0.2">
      <c r="A14" s="18">
        <v>901</v>
      </c>
      <c r="B14" s="19">
        <v>10</v>
      </c>
      <c r="C14" s="19">
        <f t="shared" si="0"/>
        <v>9010010</v>
      </c>
      <c r="D14" s="19" t="s">
        <v>1712</v>
      </c>
      <c r="E14" s="20" t="s">
        <v>270</v>
      </c>
      <c r="I14" s="21" t="s">
        <v>486</v>
      </c>
      <c r="J14" s="21"/>
      <c r="K14" s="21"/>
      <c r="L14" s="21"/>
      <c r="M14" s="21"/>
      <c r="N14" s="22" t="s">
        <v>271</v>
      </c>
      <c r="O14" s="22" t="s">
        <v>271</v>
      </c>
      <c r="P14" s="22"/>
      <c r="Q14" s="22" t="s">
        <v>2041</v>
      </c>
      <c r="R14" s="22"/>
      <c r="S14" s="22"/>
      <c r="T14" s="22" t="s">
        <v>2132</v>
      </c>
      <c r="U14" s="116" t="s">
        <v>2147</v>
      </c>
      <c r="V14" s="22"/>
      <c r="W14" s="169">
        <v>6</v>
      </c>
      <c r="X14" s="22"/>
      <c r="Y14" s="23" t="s">
        <v>120</v>
      </c>
      <c r="Z14" s="22"/>
      <c r="AA14" s="22"/>
      <c r="AB14" s="22"/>
      <c r="AC14" s="22"/>
      <c r="AD14" s="22"/>
      <c r="AE14" s="24" t="s">
        <v>548</v>
      </c>
      <c r="AF14" s="24" t="s">
        <v>2041</v>
      </c>
      <c r="AG14" s="22"/>
      <c r="AH14" s="25" t="s">
        <v>1796</v>
      </c>
      <c r="AJ14" s="26"/>
      <c r="AK14" s="27">
        <v>1900</v>
      </c>
      <c r="AL14" s="27"/>
      <c r="AO14" s="28" t="s">
        <v>1956</v>
      </c>
      <c r="AW14" s="27"/>
      <c r="AX14" s="27"/>
      <c r="AY14" s="27"/>
      <c r="BJ14" s="27"/>
      <c r="BK14" s="27"/>
      <c r="BL14" s="27"/>
      <c r="BW14" s="27"/>
      <c r="BX14" s="27"/>
      <c r="BY14" s="27"/>
      <c r="CH14" s="29"/>
      <c r="CI14" s="23" t="s">
        <v>397</v>
      </c>
      <c r="CJ14" s="28">
        <v>52</v>
      </c>
    </row>
    <row r="15" spans="1:113" x14ac:dyDescent="0.2">
      <c r="A15" s="18">
        <v>901</v>
      </c>
      <c r="B15" s="19">
        <v>11</v>
      </c>
      <c r="C15" s="19">
        <f t="shared" si="0"/>
        <v>9010011</v>
      </c>
      <c r="D15" s="19" t="s">
        <v>1713</v>
      </c>
      <c r="E15" s="20" t="s">
        <v>270</v>
      </c>
      <c r="I15" s="21" t="s">
        <v>486</v>
      </c>
      <c r="J15" s="21"/>
      <c r="K15" s="21"/>
      <c r="L15" s="21"/>
      <c r="M15" s="21"/>
      <c r="N15" s="22" t="s">
        <v>271</v>
      </c>
      <c r="O15" s="22" t="s">
        <v>271</v>
      </c>
      <c r="P15" s="22"/>
      <c r="Q15" s="22" t="s">
        <v>2041</v>
      </c>
      <c r="R15" s="22"/>
      <c r="S15" s="22"/>
      <c r="T15" s="22" t="s">
        <v>2132</v>
      </c>
      <c r="U15" s="116" t="s">
        <v>2148</v>
      </c>
      <c r="V15" s="22"/>
      <c r="W15" s="169">
        <v>6</v>
      </c>
      <c r="X15" s="22"/>
      <c r="Y15" s="23" t="s">
        <v>120</v>
      </c>
      <c r="Z15" s="22"/>
      <c r="AA15" s="22"/>
      <c r="AB15" s="22"/>
      <c r="AC15" s="22"/>
      <c r="AD15" s="22"/>
      <c r="AE15" s="24" t="s">
        <v>548</v>
      </c>
      <c r="AF15" s="24" t="s">
        <v>2041</v>
      </c>
      <c r="AG15" s="22"/>
      <c r="AH15" s="25" t="s">
        <v>1797</v>
      </c>
      <c r="AJ15" s="26"/>
      <c r="AK15" s="27">
        <v>2000</v>
      </c>
      <c r="AL15" s="27"/>
      <c r="AO15" s="28" t="s">
        <v>1956</v>
      </c>
      <c r="AW15" s="27"/>
      <c r="AX15" s="27"/>
      <c r="AY15" s="27"/>
      <c r="BJ15" s="27"/>
      <c r="BK15" s="27"/>
      <c r="BL15" s="27"/>
      <c r="BW15" s="27"/>
      <c r="BX15" s="27"/>
      <c r="BY15" s="27"/>
      <c r="CH15" s="29"/>
      <c r="CI15" s="23" t="s">
        <v>397</v>
      </c>
      <c r="CJ15" s="28">
        <v>56</v>
      </c>
    </row>
    <row r="16" spans="1:113" x14ac:dyDescent="0.2">
      <c r="A16" s="18">
        <v>901</v>
      </c>
      <c r="B16" s="19">
        <v>12</v>
      </c>
      <c r="C16" s="19">
        <f t="shared" si="0"/>
        <v>9010012</v>
      </c>
      <c r="D16" s="19" t="s">
        <v>1714</v>
      </c>
      <c r="E16" s="20" t="s">
        <v>270</v>
      </c>
      <c r="I16" s="21" t="s">
        <v>486</v>
      </c>
      <c r="J16" s="21"/>
      <c r="K16" s="21"/>
      <c r="L16" s="21"/>
      <c r="M16" s="21"/>
      <c r="N16" s="22" t="s">
        <v>271</v>
      </c>
      <c r="O16" s="22" t="s">
        <v>271</v>
      </c>
      <c r="P16" s="22"/>
      <c r="Q16" s="22" t="s">
        <v>2041</v>
      </c>
      <c r="R16" s="22"/>
      <c r="S16" s="22"/>
      <c r="T16" s="22" t="s">
        <v>2132</v>
      </c>
      <c r="U16" s="116" t="s">
        <v>2149</v>
      </c>
      <c r="V16" s="22"/>
      <c r="W16" s="169">
        <v>6</v>
      </c>
      <c r="X16" s="22"/>
      <c r="Y16" s="23" t="s">
        <v>120</v>
      </c>
      <c r="Z16" s="22"/>
      <c r="AA16" s="22"/>
      <c r="AB16" s="22"/>
      <c r="AC16" s="22"/>
      <c r="AD16" s="22"/>
      <c r="AE16" s="24" t="s">
        <v>548</v>
      </c>
      <c r="AF16" s="24" t="s">
        <v>2041</v>
      </c>
      <c r="AG16" s="22"/>
      <c r="AH16" s="25" t="s">
        <v>1798</v>
      </c>
      <c r="AJ16" s="26"/>
      <c r="AK16" s="27">
        <v>2100</v>
      </c>
      <c r="AL16" s="27"/>
      <c r="AO16" s="28" t="s">
        <v>1956</v>
      </c>
      <c r="AW16" s="27"/>
      <c r="AX16" s="27"/>
      <c r="AY16" s="27"/>
      <c r="BJ16" s="27"/>
      <c r="BK16" s="27"/>
      <c r="BL16" s="27"/>
      <c r="BW16" s="27"/>
      <c r="BX16" s="27"/>
      <c r="BY16" s="27"/>
      <c r="CH16" s="29"/>
      <c r="CI16" s="23" t="s">
        <v>397</v>
      </c>
      <c r="CJ16" s="28">
        <v>60</v>
      </c>
    </row>
    <row r="17" spans="1:88" x14ac:dyDescent="0.2">
      <c r="A17" s="18">
        <v>901</v>
      </c>
      <c r="B17" s="19">
        <v>13</v>
      </c>
      <c r="C17" s="19">
        <f t="shared" si="0"/>
        <v>9010013</v>
      </c>
      <c r="D17" s="19" t="s">
        <v>1715</v>
      </c>
      <c r="E17" s="20" t="s">
        <v>270</v>
      </c>
      <c r="I17" s="21" t="s">
        <v>486</v>
      </c>
      <c r="J17" s="21"/>
      <c r="K17" s="21"/>
      <c r="L17" s="21"/>
      <c r="M17" s="21"/>
      <c r="N17" s="22" t="s">
        <v>271</v>
      </c>
      <c r="O17" s="22" t="s">
        <v>271</v>
      </c>
      <c r="P17" s="22"/>
      <c r="Q17" s="22" t="s">
        <v>2041</v>
      </c>
      <c r="R17" s="22"/>
      <c r="S17" s="22"/>
      <c r="T17" s="22" t="s">
        <v>2132</v>
      </c>
      <c r="U17" s="116" t="s">
        <v>2150</v>
      </c>
      <c r="V17" s="22"/>
      <c r="W17" s="169">
        <v>6</v>
      </c>
      <c r="X17" s="22"/>
      <c r="Y17" s="23" t="s">
        <v>120</v>
      </c>
      <c r="Z17" s="22"/>
      <c r="AA17" s="22"/>
      <c r="AB17" s="22"/>
      <c r="AC17" s="22"/>
      <c r="AD17" s="22"/>
      <c r="AE17" s="24" t="s">
        <v>548</v>
      </c>
      <c r="AF17" s="24" t="s">
        <v>2041</v>
      </c>
      <c r="AG17" s="22"/>
      <c r="AH17" s="25" t="s">
        <v>1799</v>
      </c>
      <c r="AJ17" s="26"/>
      <c r="AK17" s="27">
        <v>2200</v>
      </c>
      <c r="AL17" s="27"/>
      <c r="AO17" s="28" t="s">
        <v>1956</v>
      </c>
      <c r="AW17" s="27"/>
      <c r="AX17" s="27"/>
      <c r="AY17" s="27"/>
      <c r="BJ17" s="27"/>
      <c r="BK17" s="27"/>
      <c r="BL17" s="27"/>
      <c r="BW17" s="27"/>
      <c r="BX17" s="27"/>
      <c r="BY17" s="27"/>
      <c r="CH17" s="29"/>
      <c r="CI17" s="23" t="s">
        <v>397</v>
      </c>
      <c r="CJ17" s="28">
        <v>64</v>
      </c>
    </row>
    <row r="18" spans="1:88" x14ac:dyDescent="0.2">
      <c r="A18" s="18">
        <v>901</v>
      </c>
      <c r="B18" s="19">
        <v>14</v>
      </c>
      <c r="C18" s="19">
        <f t="shared" si="0"/>
        <v>9010014</v>
      </c>
      <c r="D18" s="19" t="s">
        <v>1716</v>
      </c>
      <c r="E18" s="20" t="s">
        <v>270</v>
      </c>
      <c r="I18" s="21" t="s">
        <v>486</v>
      </c>
      <c r="J18" s="21"/>
      <c r="K18" s="21"/>
      <c r="L18" s="21"/>
      <c r="M18" s="21"/>
      <c r="N18" s="22" t="s">
        <v>271</v>
      </c>
      <c r="O18" s="22" t="s">
        <v>271</v>
      </c>
      <c r="P18" s="22"/>
      <c r="Q18" s="22" t="s">
        <v>2041</v>
      </c>
      <c r="R18" s="22"/>
      <c r="S18" s="22"/>
      <c r="T18" s="22" t="s">
        <v>2132</v>
      </c>
      <c r="U18" s="116" t="s">
        <v>2151</v>
      </c>
      <c r="V18" s="22"/>
      <c r="W18" s="169">
        <v>6</v>
      </c>
      <c r="X18" s="22"/>
      <c r="Y18" s="23" t="s">
        <v>120</v>
      </c>
      <c r="Z18" s="22"/>
      <c r="AA18" s="22"/>
      <c r="AB18" s="22"/>
      <c r="AC18" s="22"/>
      <c r="AD18" s="22"/>
      <c r="AE18" s="24" t="s">
        <v>548</v>
      </c>
      <c r="AF18" s="24" t="s">
        <v>2041</v>
      </c>
      <c r="AG18" s="22"/>
      <c r="AH18" s="25" t="s">
        <v>1800</v>
      </c>
      <c r="AJ18" s="26"/>
      <c r="AK18" s="27">
        <v>2300</v>
      </c>
      <c r="AL18" s="27"/>
      <c r="AO18" s="28" t="s">
        <v>1956</v>
      </c>
      <c r="AW18" s="27"/>
      <c r="AX18" s="27"/>
      <c r="AY18" s="27"/>
      <c r="BJ18" s="27"/>
      <c r="BK18" s="27"/>
      <c r="BL18" s="27"/>
      <c r="BW18" s="27"/>
      <c r="BX18" s="27"/>
      <c r="BY18" s="27"/>
      <c r="CH18" s="29"/>
      <c r="CI18" s="23" t="s">
        <v>397</v>
      </c>
      <c r="CJ18" s="28">
        <v>68</v>
      </c>
    </row>
    <row r="19" spans="1:88" x14ac:dyDescent="0.2">
      <c r="A19" s="18">
        <v>901</v>
      </c>
      <c r="B19" s="19">
        <v>15</v>
      </c>
      <c r="C19" s="19">
        <f t="shared" si="0"/>
        <v>9010015</v>
      </c>
      <c r="D19" s="19" t="s">
        <v>1717</v>
      </c>
      <c r="E19" s="20" t="s">
        <v>270</v>
      </c>
      <c r="I19" s="21" t="s">
        <v>486</v>
      </c>
      <c r="J19" s="21"/>
      <c r="K19" s="21"/>
      <c r="L19" s="21"/>
      <c r="M19" s="21"/>
      <c r="N19" s="22" t="s">
        <v>271</v>
      </c>
      <c r="O19" s="22" t="s">
        <v>271</v>
      </c>
      <c r="P19" s="22"/>
      <c r="Q19" s="22" t="s">
        <v>2041</v>
      </c>
      <c r="R19" s="22"/>
      <c r="S19" s="22"/>
      <c r="T19" s="22" t="s">
        <v>2132</v>
      </c>
      <c r="U19" s="116" t="s">
        <v>2152</v>
      </c>
      <c r="V19" s="22"/>
      <c r="W19" s="169">
        <v>6</v>
      </c>
      <c r="X19" s="22"/>
      <c r="Y19" s="23" t="s">
        <v>120</v>
      </c>
      <c r="Z19" s="22"/>
      <c r="AA19" s="22"/>
      <c r="AB19" s="22"/>
      <c r="AC19" s="22"/>
      <c r="AD19" s="22"/>
      <c r="AE19" s="24" t="s">
        <v>548</v>
      </c>
      <c r="AF19" s="24" t="s">
        <v>2041</v>
      </c>
      <c r="AG19" s="22"/>
      <c r="AH19" s="25" t="s">
        <v>1801</v>
      </c>
      <c r="AJ19" s="26"/>
      <c r="AK19" s="27">
        <v>2400</v>
      </c>
      <c r="AL19" s="27"/>
      <c r="AO19" s="28" t="s">
        <v>1956</v>
      </c>
      <c r="AW19" s="27"/>
      <c r="AX19" s="27"/>
      <c r="AY19" s="27"/>
      <c r="BJ19" s="27"/>
      <c r="BK19" s="27"/>
      <c r="BL19" s="27"/>
      <c r="BW19" s="27"/>
      <c r="BX19" s="27"/>
      <c r="BY19" s="27"/>
      <c r="CH19" s="29"/>
      <c r="CI19" s="23" t="s">
        <v>397</v>
      </c>
      <c r="CJ19" s="28">
        <v>72</v>
      </c>
    </row>
    <row r="20" spans="1:88" x14ac:dyDescent="0.2">
      <c r="A20" s="18">
        <v>901</v>
      </c>
      <c r="B20" s="19">
        <v>16</v>
      </c>
      <c r="C20" s="19">
        <f t="shared" si="0"/>
        <v>9010016</v>
      </c>
      <c r="D20" s="19" t="s">
        <v>1718</v>
      </c>
      <c r="E20" s="20" t="s">
        <v>270</v>
      </c>
      <c r="I20" s="21" t="s">
        <v>486</v>
      </c>
      <c r="J20" s="21"/>
      <c r="K20" s="21"/>
      <c r="L20" s="21"/>
      <c r="M20" s="21"/>
      <c r="N20" s="22" t="s">
        <v>271</v>
      </c>
      <c r="O20" s="22" t="s">
        <v>271</v>
      </c>
      <c r="P20" s="22"/>
      <c r="Q20" s="22" t="s">
        <v>2041</v>
      </c>
      <c r="R20" s="22"/>
      <c r="S20" s="22"/>
      <c r="T20" s="22" t="s">
        <v>2132</v>
      </c>
      <c r="U20" s="116" t="s">
        <v>2153</v>
      </c>
      <c r="V20" s="22"/>
      <c r="W20" s="169">
        <v>6</v>
      </c>
      <c r="X20" s="22"/>
      <c r="Y20" s="23" t="s">
        <v>120</v>
      </c>
      <c r="Z20" s="22"/>
      <c r="AA20" s="22"/>
      <c r="AB20" s="22"/>
      <c r="AC20" s="22"/>
      <c r="AD20" s="22"/>
      <c r="AE20" s="24" t="s">
        <v>548</v>
      </c>
      <c r="AF20" s="24" t="s">
        <v>2041</v>
      </c>
      <c r="AG20" s="22"/>
      <c r="AH20" s="25" t="s">
        <v>1802</v>
      </c>
      <c r="AJ20" s="26"/>
      <c r="AK20" s="27">
        <v>2500</v>
      </c>
      <c r="AL20" s="27"/>
      <c r="AO20" s="28" t="s">
        <v>1956</v>
      </c>
      <c r="AW20" s="27"/>
      <c r="AX20" s="27"/>
      <c r="AY20" s="27"/>
      <c r="BJ20" s="27"/>
      <c r="BK20" s="27"/>
      <c r="BL20" s="27"/>
      <c r="BW20" s="27"/>
      <c r="BX20" s="27"/>
      <c r="BY20" s="27"/>
      <c r="CH20" s="29"/>
      <c r="CI20" s="23" t="s">
        <v>397</v>
      </c>
      <c r="CJ20" s="28">
        <v>76</v>
      </c>
    </row>
    <row r="21" spans="1:88" x14ac:dyDescent="0.2">
      <c r="A21" s="18">
        <v>901</v>
      </c>
      <c r="B21" s="19">
        <v>17</v>
      </c>
      <c r="C21" s="19">
        <f t="shared" si="0"/>
        <v>9010017</v>
      </c>
      <c r="D21" s="19" t="s">
        <v>1719</v>
      </c>
      <c r="E21" s="20" t="s">
        <v>270</v>
      </c>
      <c r="I21" s="21" t="s">
        <v>486</v>
      </c>
      <c r="J21" s="21"/>
      <c r="K21" s="21"/>
      <c r="L21" s="21"/>
      <c r="M21" s="21"/>
      <c r="N21" s="22" t="s">
        <v>271</v>
      </c>
      <c r="O21" s="22" t="s">
        <v>271</v>
      </c>
      <c r="P21" s="22"/>
      <c r="Q21" s="22" t="s">
        <v>2041</v>
      </c>
      <c r="R21" s="22"/>
      <c r="S21" s="22"/>
      <c r="T21" s="22" t="s">
        <v>2132</v>
      </c>
      <c r="U21" s="116" t="s">
        <v>2154</v>
      </c>
      <c r="V21" s="22"/>
      <c r="W21" s="169">
        <v>6</v>
      </c>
      <c r="X21" s="22"/>
      <c r="Y21" s="23" t="s">
        <v>120</v>
      </c>
      <c r="Z21" s="22"/>
      <c r="AA21" s="22"/>
      <c r="AB21" s="22"/>
      <c r="AC21" s="22"/>
      <c r="AD21" s="22"/>
      <c r="AE21" s="24" t="s">
        <v>548</v>
      </c>
      <c r="AF21" s="24" t="s">
        <v>2041</v>
      </c>
      <c r="AG21" s="22"/>
      <c r="AH21" s="25" t="s">
        <v>1803</v>
      </c>
      <c r="AJ21" s="26"/>
      <c r="AK21" s="27">
        <v>2600</v>
      </c>
      <c r="AL21" s="27"/>
      <c r="AO21" s="28" t="s">
        <v>1956</v>
      </c>
      <c r="AW21" s="27"/>
      <c r="AX21" s="27"/>
      <c r="AY21" s="27"/>
      <c r="BJ21" s="27"/>
      <c r="BK21" s="27"/>
      <c r="BL21" s="27"/>
      <c r="BW21" s="27"/>
      <c r="BX21" s="27"/>
      <c r="BY21" s="27"/>
      <c r="CH21" s="29"/>
      <c r="CI21" s="23" t="s">
        <v>397</v>
      </c>
      <c r="CJ21" s="28">
        <v>80</v>
      </c>
    </row>
    <row r="22" spans="1:88" x14ac:dyDescent="0.2">
      <c r="A22" s="18">
        <v>901</v>
      </c>
      <c r="B22" s="19">
        <v>18</v>
      </c>
      <c r="C22" s="19">
        <f t="shared" si="0"/>
        <v>9010018</v>
      </c>
      <c r="D22" s="19" t="s">
        <v>1720</v>
      </c>
      <c r="E22" s="20" t="s">
        <v>270</v>
      </c>
      <c r="I22" s="21" t="s">
        <v>486</v>
      </c>
      <c r="J22" s="21"/>
      <c r="K22" s="21"/>
      <c r="L22" s="21"/>
      <c r="M22" s="21"/>
      <c r="N22" s="22" t="s">
        <v>271</v>
      </c>
      <c r="O22" s="22" t="s">
        <v>271</v>
      </c>
      <c r="P22" s="22"/>
      <c r="Q22" s="22" t="s">
        <v>2041</v>
      </c>
      <c r="R22" s="22"/>
      <c r="S22" s="22"/>
      <c r="T22" s="22" t="s">
        <v>2132</v>
      </c>
      <c r="U22" s="116" t="s">
        <v>2155</v>
      </c>
      <c r="V22" s="22"/>
      <c r="W22" s="169">
        <v>6</v>
      </c>
      <c r="X22" s="22"/>
      <c r="Y22" s="23" t="s">
        <v>120</v>
      </c>
      <c r="Z22" s="22"/>
      <c r="AA22" s="22"/>
      <c r="AB22" s="22"/>
      <c r="AC22" s="22"/>
      <c r="AD22" s="22"/>
      <c r="AE22" s="24" t="s">
        <v>548</v>
      </c>
      <c r="AF22" s="24" t="s">
        <v>2041</v>
      </c>
      <c r="AG22" s="22"/>
      <c r="AH22" s="25" t="s">
        <v>1804</v>
      </c>
      <c r="AJ22" s="26"/>
      <c r="AK22" s="27">
        <v>2700</v>
      </c>
      <c r="AL22" s="27"/>
      <c r="AO22" s="28" t="s">
        <v>1956</v>
      </c>
      <c r="AW22" s="27"/>
      <c r="AX22" s="27"/>
      <c r="AY22" s="27"/>
      <c r="BJ22" s="27"/>
      <c r="BK22" s="27"/>
      <c r="BL22" s="27"/>
      <c r="BW22" s="27"/>
      <c r="BX22" s="27"/>
      <c r="BY22" s="27"/>
      <c r="CH22" s="29"/>
      <c r="CI22" s="23" t="s">
        <v>397</v>
      </c>
      <c r="CJ22" s="28">
        <v>84</v>
      </c>
    </row>
    <row r="23" spans="1:88" x14ac:dyDescent="0.2">
      <c r="A23" s="18">
        <v>901</v>
      </c>
      <c r="B23" s="19">
        <v>19</v>
      </c>
      <c r="C23" s="19">
        <f t="shared" si="0"/>
        <v>9010019</v>
      </c>
      <c r="D23" s="19" t="s">
        <v>1721</v>
      </c>
      <c r="E23" s="20" t="s">
        <v>270</v>
      </c>
      <c r="I23" s="21" t="s">
        <v>486</v>
      </c>
      <c r="J23" s="21"/>
      <c r="K23" s="21"/>
      <c r="L23" s="21"/>
      <c r="M23" s="21"/>
      <c r="N23" s="22" t="s">
        <v>271</v>
      </c>
      <c r="O23" s="22" t="s">
        <v>271</v>
      </c>
      <c r="P23" s="22"/>
      <c r="Q23" s="22" t="s">
        <v>2041</v>
      </c>
      <c r="R23" s="22"/>
      <c r="S23" s="22"/>
      <c r="T23" s="22" t="s">
        <v>2132</v>
      </c>
      <c r="U23" s="116" t="s">
        <v>2156</v>
      </c>
      <c r="V23" s="22"/>
      <c r="W23" s="169">
        <v>6</v>
      </c>
      <c r="X23" s="22"/>
      <c r="Y23" s="23" t="s">
        <v>120</v>
      </c>
      <c r="Z23" s="22"/>
      <c r="AA23" s="22"/>
      <c r="AB23" s="22"/>
      <c r="AC23" s="22"/>
      <c r="AD23" s="22"/>
      <c r="AE23" s="24" t="s">
        <v>548</v>
      </c>
      <c r="AF23" s="24" t="s">
        <v>2041</v>
      </c>
      <c r="AG23" s="22"/>
      <c r="AH23" s="25" t="s">
        <v>1805</v>
      </c>
      <c r="AJ23" s="26"/>
      <c r="AK23" s="27">
        <v>2800</v>
      </c>
      <c r="AL23" s="27"/>
      <c r="AO23" s="28" t="s">
        <v>1956</v>
      </c>
      <c r="AW23" s="27"/>
      <c r="AX23" s="27"/>
      <c r="AY23" s="27"/>
      <c r="BJ23" s="27"/>
      <c r="BK23" s="27"/>
      <c r="BL23" s="27"/>
      <c r="BW23" s="27"/>
      <c r="BX23" s="27"/>
      <c r="BY23" s="27"/>
      <c r="CH23" s="29"/>
      <c r="CI23" s="23" t="s">
        <v>397</v>
      </c>
      <c r="CJ23" s="28">
        <v>88</v>
      </c>
    </row>
    <row r="24" spans="1:88" x14ac:dyDescent="0.2">
      <c r="A24" s="18">
        <v>901</v>
      </c>
      <c r="B24" s="19">
        <v>20</v>
      </c>
      <c r="C24" s="19">
        <f t="shared" si="0"/>
        <v>9010020</v>
      </c>
      <c r="D24" s="19" t="s">
        <v>1722</v>
      </c>
      <c r="E24" s="20" t="s">
        <v>270</v>
      </c>
      <c r="I24" s="21" t="s">
        <v>486</v>
      </c>
      <c r="J24" s="21"/>
      <c r="K24" s="21"/>
      <c r="L24" s="21"/>
      <c r="M24" s="21"/>
      <c r="N24" s="22" t="s">
        <v>271</v>
      </c>
      <c r="O24" s="22" t="s">
        <v>271</v>
      </c>
      <c r="P24" s="22"/>
      <c r="Q24" s="22" t="s">
        <v>2041</v>
      </c>
      <c r="R24" s="22"/>
      <c r="S24" s="22"/>
      <c r="T24" s="22" t="s">
        <v>2132</v>
      </c>
      <c r="U24" s="116" t="s">
        <v>2157</v>
      </c>
      <c r="V24" s="22"/>
      <c r="W24" s="169">
        <v>6</v>
      </c>
      <c r="X24" s="22"/>
      <c r="Y24" s="23" t="s">
        <v>120</v>
      </c>
      <c r="Z24" s="22"/>
      <c r="AA24" s="22"/>
      <c r="AB24" s="22"/>
      <c r="AC24" s="22"/>
      <c r="AD24" s="22"/>
      <c r="AE24" s="24" t="s">
        <v>548</v>
      </c>
      <c r="AF24" s="24" t="s">
        <v>2041</v>
      </c>
      <c r="AG24" s="22"/>
      <c r="AH24" s="25" t="s">
        <v>1806</v>
      </c>
      <c r="AJ24" s="26"/>
      <c r="AK24" s="27">
        <v>2900</v>
      </c>
      <c r="AL24" s="27"/>
      <c r="AO24" s="28" t="s">
        <v>1956</v>
      </c>
      <c r="AW24" s="27"/>
      <c r="AX24" s="27"/>
      <c r="AY24" s="27"/>
      <c r="BJ24" s="27"/>
      <c r="BK24" s="27"/>
      <c r="BL24" s="27"/>
      <c r="BW24" s="27"/>
      <c r="BX24" s="27"/>
      <c r="BY24" s="27"/>
      <c r="CH24" s="29"/>
      <c r="CI24" s="23" t="s">
        <v>397</v>
      </c>
      <c r="CJ24" s="28">
        <v>92</v>
      </c>
    </row>
    <row r="25" spans="1:88" x14ac:dyDescent="0.2">
      <c r="A25" s="18">
        <v>902</v>
      </c>
      <c r="B25" s="19">
        <v>1</v>
      </c>
      <c r="C25" s="19">
        <f t="shared" si="0"/>
        <v>9020001</v>
      </c>
      <c r="D25" s="19" t="s">
        <v>1682</v>
      </c>
      <c r="E25" s="20" t="s">
        <v>653</v>
      </c>
      <c r="I25" s="21" t="s">
        <v>486</v>
      </c>
      <c r="J25" s="21"/>
      <c r="K25" s="21"/>
      <c r="L25" s="21"/>
      <c r="M25" s="21"/>
      <c r="N25" s="22" t="s">
        <v>271</v>
      </c>
      <c r="O25" s="22" t="s">
        <v>662</v>
      </c>
      <c r="P25" s="22"/>
      <c r="Q25" s="22" t="s">
        <v>2041</v>
      </c>
      <c r="R25" s="22"/>
      <c r="S25" s="22"/>
      <c r="T25" s="22" t="s">
        <v>2132</v>
      </c>
      <c r="U25" s="116" t="s">
        <v>2158</v>
      </c>
      <c r="V25" s="22"/>
      <c r="W25" s="169">
        <v>6</v>
      </c>
      <c r="X25" s="22"/>
      <c r="Y25" s="23" t="s">
        <v>120</v>
      </c>
      <c r="Z25" s="22"/>
      <c r="AA25" s="22"/>
      <c r="AB25" s="22"/>
      <c r="AC25" s="22"/>
      <c r="AD25" s="22"/>
      <c r="AE25" s="24" t="s">
        <v>548</v>
      </c>
      <c r="AF25" s="24" t="s">
        <v>2041</v>
      </c>
      <c r="AG25" s="22"/>
      <c r="AH25" s="25">
        <v>902031</v>
      </c>
      <c r="AJ25" s="26"/>
      <c r="AK25" s="27">
        <v>1000</v>
      </c>
      <c r="AL25" s="27"/>
      <c r="AO25" s="28" t="s">
        <v>2037</v>
      </c>
      <c r="AW25" s="27"/>
      <c r="AX25" s="27"/>
      <c r="AY25" s="27"/>
      <c r="BJ25" s="27"/>
      <c r="BK25" s="27"/>
      <c r="BL25" s="27"/>
      <c r="BW25" s="27"/>
      <c r="BX25" s="27"/>
      <c r="BY25" s="27"/>
      <c r="CH25" s="29"/>
      <c r="CI25" s="23" t="s">
        <v>397</v>
      </c>
      <c r="CJ25" s="28">
        <v>32</v>
      </c>
    </row>
    <row r="26" spans="1:88" x14ac:dyDescent="0.2">
      <c r="A26" s="18">
        <v>902</v>
      </c>
      <c r="B26" s="19">
        <v>2</v>
      </c>
      <c r="C26" s="19">
        <f t="shared" si="0"/>
        <v>9020002</v>
      </c>
      <c r="D26" s="19" t="s">
        <v>1683</v>
      </c>
      <c r="E26" s="20" t="s">
        <v>653</v>
      </c>
      <c r="I26" s="21" t="s">
        <v>486</v>
      </c>
      <c r="J26" s="21"/>
      <c r="K26" s="21"/>
      <c r="L26" s="21"/>
      <c r="M26" s="21"/>
      <c r="N26" s="22" t="s">
        <v>271</v>
      </c>
      <c r="O26" s="22" t="s">
        <v>662</v>
      </c>
      <c r="P26" s="22"/>
      <c r="Q26" s="22" t="s">
        <v>2041</v>
      </c>
      <c r="R26" s="22"/>
      <c r="S26" s="22"/>
      <c r="T26" s="22" t="s">
        <v>2132</v>
      </c>
      <c r="U26" s="116" t="s">
        <v>2159</v>
      </c>
      <c r="V26" s="22"/>
      <c r="W26" s="169">
        <v>6</v>
      </c>
      <c r="X26" s="22"/>
      <c r="Y26" s="23" t="s">
        <v>120</v>
      </c>
      <c r="Z26" s="22"/>
      <c r="AA26" s="22"/>
      <c r="AB26" s="22"/>
      <c r="AC26" s="22"/>
      <c r="AD26" s="22"/>
      <c r="AE26" s="24" t="s">
        <v>548</v>
      </c>
      <c r="AF26" s="24" t="s">
        <v>2041</v>
      </c>
      <c r="AG26" s="22"/>
      <c r="AH26" s="25">
        <v>902032</v>
      </c>
      <c r="AJ26" s="26"/>
      <c r="AK26" s="27">
        <v>1100</v>
      </c>
      <c r="AL26" s="27"/>
      <c r="AO26" s="28" t="s">
        <v>2037</v>
      </c>
      <c r="AW26" s="27"/>
      <c r="AX26" s="27"/>
      <c r="AY26" s="27"/>
      <c r="BJ26" s="27"/>
      <c r="BK26" s="27"/>
      <c r="BL26" s="27"/>
      <c r="BW26" s="27"/>
      <c r="BX26" s="27"/>
      <c r="BY26" s="27"/>
      <c r="CH26" s="29"/>
      <c r="CI26" s="23" t="s">
        <v>397</v>
      </c>
      <c r="CJ26" s="28">
        <v>32</v>
      </c>
    </row>
    <row r="27" spans="1:88" x14ac:dyDescent="0.2">
      <c r="A27" s="18">
        <v>902</v>
      </c>
      <c r="B27" s="19">
        <v>3</v>
      </c>
      <c r="C27" s="19">
        <f t="shared" si="0"/>
        <v>9020003</v>
      </c>
      <c r="D27" s="19" t="s">
        <v>1684</v>
      </c>
      <c r="E27" s="20" t="s">
        <v>653</v>
      </c>
      <c r="I27" s="21" t="s">
        <v>486</v>
      </c>
      <c r="J27" s="21"/>
      <c r="K27" s="21"/>
      <c r="L27" s="21"/>
      <c r="M27" s="21"/>
      <c r="N27" s="22" t="s">
        <v>271</v>
      </c>
      <c r="O27" s="22" t="s">
        <v>662</v>
      </c>
      <c r="P27" s="22"/>
      <c r="Q27" s="22" t="s">
        <v>2041</v>
      </c>
      <c r="R27" s="22"/>
      <c r="S27" s="22"/>
      <c r="T27" s="22" t="s">
        <v>2132</v>
      </c>
      <c r="U27" s="116" t="s">
        <v>2160</v>
      </c>
      <c r="V27" s="22"/>
      <c r="W27" s="169">
        <v>6</v>
      </c>
      <c r="X27" s="22"/>
      <c r="Y27" s="23" t="s">
        <v>120</v>
      </c>
      <c r="Z27" s="22"/>
      <c r="AA27" s="22"/>
      <c r="AB27" s="22"/>
      <c r="AC27" s="22"/>
      <c r="AD27" s="22"/>
      <c r="AE27" s="24" t="s">
        <v>548</v>
      </c>
      <c r="AF27" s="24" t="s">
        <v>2041</v>
      </c>
      <c r="AG27" s="22"/>
      <c r="AH27" s="25">
        <v>902041</v>
      </c>
      <c r="AJ27" s="26"/>
      <c r="AK27" s="27">
        <v>1200</v>
      </c>
      <c r="AL27" s="27"/>
      <c r="AO27" s="28" t="s">
        <v>2037</v>
      </c>
      <c r="AW27" s="27"/>
      <c r="AX27" s="27"/>
      <c r="AY27" s="27"/>
      <c r="BJ27" s="27"/>
      <c r="BK27" s="27"/>
      <c r="BL27" s="27"/>
      <c r="BW27" s="27"/>
      <c r="BX27" s="27"/>
      <c r="BY27" s="27"/>
      <c r="CH27" s="29"/>
      <c r="CI27" s="23" t="s">
        <v>397</v>
      </c>
      <c r="CJ27" s="28">
        <v>36</v>
      </c>
    </row>
    <row r="28" spans="1:88" x14ac:dyDescent="0.2">
      <c r="A28" s="18">
        <v>902</v>
      </c>
      <c r="B28" s="19">
        <v>4</v>
      </c>
      <c r="C28" s="19">
        <f t="shared" si="0"/>
        <v>9020004</v>
      </c>
      <c r="D28" s="19" t="s">
        <v>1685</v>
      </c>
      <c r="E28" s="20" t="s">
        <v>653</v>
      </c>
      <c r="I28" s="21" t="s">
        <v>486</v>
      </c>
      <c r="J28" s="21"/>
      <c r="K28" s="21"/>
      <c r="L28" s="21"/>
      <c r="M28" s="21"/>
      <c r="N28" s="22" t="s">
        <v>271</v>
      </c>
      <c r="O28" s="22" t="s">
        <v>662</v>
      </c>
      <c r="P28" s="22"/>
      <c r="Q28" s="22" t="s">
        <v>2041</v>
      </c>
      <c r="R28" s="22"/>
      <c r="S28" s="22"/>
      <c r="T28" s="22" t="s">
        <v>2132</v>
      </c>
      <c r="U28" s="116" t="s">
        <v>2161</v>
      </c>
      <c r="V28" s="22"/>
      <c r="W28" s="169">
        <v>6</v>
      </c>
      <c r="X28" s="22"/>
      <c r="Y28" s="23" t="s">
        <v>120</v>
      </c>
      <c r="Z28" s="22"/>
      <c r="AA28" s="22"/>
      <c r="AB28" s="22"/>
      <c r="AC28" s="22"/>
      <c r="AD28" s="22"/>
      <c r="AE28" s="24" t="s">
        <v>548</v>
      </c>
      <c r="AF28" s="24" t="s">
        <v>2041</v>
      </c>
      <c r="AG28" s="22"/>
      <c r="AH28" s="25">
        <v>902042</v>
      </c>
      <c r="AJ28" s="26"/>
      <c r="AK28" s="27">
        <v>1300</v>
      </c>
      <c r="AL28" s="27"/>
      <c r="AO28" s="28" t="s">
        <v>2037</v>
      </c>
      <c r="AW28" s="27"/>
      <c r="AX28" s="27"/>
      <c r="AY28" s="27"/>
      <c r="BJ28" s="27"/>
      <c r="BK28" s="27"/>
      <c r="BL28" s="27"/>
      <c r="BW28" s="27"/>
      <c r="BX28" s="27"/>
      <c r="BY28" s="27"/>
      <c r="CH28" s="29"/>
      <c r="CI28" s="23" t="s">
        <v>397</v>
      </c>
      <c r="CJ28" s="28">
        <v>36</v>
      </c>
    </row>
    <row r="29" spans="1:88" x14ac:dyDescent="0.2">
      <c r="A29" s="18">
        <v>902</v>
      </c>
      <c r="B29" s="19">
        <v>5</v>
      </c>
      <c r="C29" s="19">
        <f t="shared" si="0"/>
        <v>9020005</v>
      </c>
      <c r="D29" s="19" t="s">
        <v>1686</v>
      </c>
      <c r="E29" s="20" t="s">
        <v>653</v>
      </c>
      <c r="I29" s="21" t="s">
        <v>486</v>
      </c>
      <c r="J29" s="21"/>
      <c r="K29" s="21"/>
      <c r="L29" s="21"/>
      <c r="M29" s="21"/>
      <c r="N29" s="22" t="s">
        <v>271</v>
      </c>
      <c r="O29" s="22" t="s">
        <v>662</v>
      </c>
      <c r="P29" s="22"/>
      <c r="Q29" s="22" t="s">
        <v>2041</v>
      </c>
      <c r="R29" s="22"/>
      <c r="S29" s="22"/>
      <c r="T29" s="22" t="s">
        <v>2132</v>
      </c>
      <c r="U29" s="116" t="s">
        <v>2162</v>
      </c>
      <c r="V29" s="22"/>
      <c r="W29" s="169">
        <v>6</v>
      </c>
      <c r="X29" s="22"/>
      <c r="Y29" s="23" t="s">
        <v>120</v>
      </c>
      <c r="Z29" s="22"/>
      <c r="AA29" s="22"/>
      <c r="AB29" s="22"/>
      <c r="AC29" s="22"/>
      <c r="AD29" s="22"/>
      <c r="AE29" s="24" t="s">
        <v>548</v>
      </c>
      <c r="AF29" s="24" t="s">
        <v>2041</v>
      </c>
      <c r="AG29" s="22"/>
      <c r="AH29" s="25">
        <v>902051</v>
      </c>
      <c r="AJ29" s="26"/>
      <c r="AK29" s="27">
        <v>1400</v>
      </c>
      <c r="AL29" s="27"/>
      <c r="AO29" s="28" t="s">
        <v>2037</v>
      </c>
      <c r="AW29" s="27"/>
      <c r="AX29" s="27"/>
      <c r="AY29" s="27"/>
      <c r="BJ29" s="27"/>
      <c r="BK29" s="27"/>
      <c r="BL29" s="27"/>
      <c r="BW29" s="27"/>
      <c r="BX29" s="27"/>
      <c r="BY29" s="27"/>
      <c r="CH29" s="29"/>
      <c r="CI29" s="23" t="s">
        <v>397</v>
      </c>
      <c r="CJ29" s="28">
        <v>40</v>
      </c>
    </row>
    <row r="30" spans="1:88" x14ac:dyDescent="0.2">
      <c r="A30" s="18">
        <v>902</v>
      </c>
      <c r="B30" s="19">
        <v>6</v>
      </c>
      <c r="C30" s="19">
        <f t="shared" si="0"/>
        <v>9020006</v>
      </c>
      <c r="D30" s="19" t="s">
        <v>1687</v>
      </c>
      <c r="E30" s="20" t="s">
        <v>653</v>
      </c>
      <c r="I30" s="21" t="s">
        <v>486</v>
      </c>
      <c r="J30" s="21"/>
      <c r="K30" s="21"/>
      <c r="L30" s="21"/>
      <c r="M30" s="21"/>
      <c r="N30" s="22" t="s">
        <v>271</v>
      </c>
      <c r="O30" s="22" t="s">
        <v>662</v>
      </c>
      <c r="P30" s="22"/>
      <c r="Q30" s="22" t="s">
        <v>2041</v>
      </c>
      <c r="R30" s="22"/>
      <c r="S30" s="22"/>
      <c r="T30" s="22" t="s">
        <v>2132</v>
      </c>
      <c r="U30" s="116" t="s">
        <v>2163</v>
      </c>
      <c r="V30" s="22"/>
      <c r="W30" s="169">
        <v>6</v>
      </c>
      <c r="X30" s="22"/>
      <c r="Y30" s="23" t="s">
        <v>120</v>
      </c>
      <c r="Z30" s="22"/>
      <c r="AA30" s="22"/>
      <c r="AB30" s="22"/>
      <c r="AC30" s="22"/>
      <c r="AD30" s="22"/>
      <c r="AE30" s="24" t="s">
        <v>548</v>
      </c>
      <c r="AF30" s="24" t="s">
        <v>2041</v>
      </c>
      <c r="AG30" s="22"/>
      <c r="AH30" s="25">
        <v>902052</v>
      </c>
      <c r="AJ30" s="26"/>
      <c r="AK30" s="27">
        <v>1500</v>
      </c>
      <c r="AL30" s="27"/>
      <c r="AO30" s="28" t="s">
        <v>2037</v>
      </c>
      <c r="AW30" s="27"/>
      <c r="AX30" s="27"/>
      <c r="AY30" s="27"/>
      <c r="BJ30" s="27"/>
      <c r="BK30" s="27"/>
      <c r="BL30" s="27"/>
      <c r="BW30" s="27"/>
      <c r="BX30" s="27"/>
      <c r="BY30" s="27"/>
      <c r="CH30" s="29"/>
      <c r="CI30" s="23" t="s">
        <v>397</v>
      </c>
      <c r="CJ30" s="28">
        <v>40</v>
      </c>
    </row>
    <row r="31" spans="1:88" x14ac:dyDescent="0.2">
      <c r="A31" s="18">
        <v>902</v>
      </c>
      <c r="B31" s="19">
        <v>7</v>
      </c>
      <c r="C31" s="19">
        <f t="shared" si="0"/>
        <v>9020007</v>
      </c>
      <c r="D31" s="19" t="s">
        <v>1688</v>
      </c>
      <c r="E31" s="20" t="s">
        <v>653</v>
      </c>
      <c r="I31" s="21" t="s">
        <v>486</v>
      </c>
      <c r="J31" s="21"/>
      <c r="K31" s="21"/>
      <c r="L31" s="21"/>
      <c r="M31" s="21"/>
      <c r="N31" s="22" t="s">
        <v>271</v>
      </c>
      <c r="O31" s="22" t="s">
        <v>662</v>
      </c>
      <c r="P31" s="22"/>
      <c r="Q31" s="22" t="s">
        <v>2041</v>
      </c>
      <c r="R31" s="22"/>
      <c r="S31" s="22"/>
      <c r="T31" s="22" t="s">
        <v>2132</v>
      </c>
      <c r="U31" s="116" t="s">
        <v>2164</v>
      </c>
      <c r="V31" s="22"/>
      <c r="W31" s="169">
        <v>6</v>
      </c>
      <c r="X31" s="22"/>
      <c r="Y31" s="23" t="s">
        <v>120</v>
      </c>
      <c r="Z31" s="22"/>
      <c r="AA31" s="22"/>
      <c r="AB31" s="22"/>
      <c r="AC31" s="22"/>
      <c r="AD31" s="22"/>
      <c r="AE31" s="24" t="s">
        <v>548</v>
      </c>
      <c r="AF31" s="24" t="s">
        <v>2041</v>
      </c>
      <c r="AG31" s="22"/>
      <c r="AH31" s="25">
        <v>902061</v>
      </c>
      <c r="AJ31" s="26"/>
      <c r="AK31" s="27">
        <v>1600</v>
      </c>
      <c r="AL31" s="27"/>
      <c r="AO31" s="28" t="s">
        <v>2037</v>
      </c>
      <c r="AW31" s="27"/>
      <c r="AX31" s="27"/>
      <c r="AY31" s="27"/>
      <c r="BJ31" s="27"/>
      <c r="BK31" s="27"/>
      <c r="BL31" s="27"/>
      <c r="BW31" s="27"/>
      <c r="BX31" s="27"/>
      <c r="BY31" s="27"/>
      <c r="CH31" s="29"/>
      <c r="CI31" s="23" t="s">
        <v>397</v>
      </c>
      <c r="CJ31" s="28">
        <v>48</v>
      </c>
    </row>
    <row r="32" spans="1:88" x14ac:dyDescent="0.2">
      <c r="A32" s="18">
        <v>902</v>
      </c>
      <c r="B32" s="19">
        <v>8</v>
      </c>
      <c r="C32" s="19">
        <f t="shared" si="0"/>
        <v>9020008</v>
      </c>
      <c r="D32" s="19" t="s">
        <v>1689</v>
      </c>
      <c r="E32" s="20" t="s">
        <v>653</v>
      </c>
      <c r="I32" s="21" t="s">
        <v>486</v>
      </c>
      <c r="J32" s="21"/>
      <c r="K32" s="21"/>
      <c r="L32" s="21"/>
      <c r="M32" s="21"/>
      <c r="N32" s="22" t="s">
        <v>271</v>
      </c>
      <c r="O32" s="22" t="s">
        <v>662</v>
      </c>
      <c r="P32" s="22"/>
      <c r="Q32" s="22" t="s">
        <v>2041</v>
      </c>
      <c r="R32" s="22"/>
      <c r="S32" s="22"/>
      <c r="T32" s="22" t="s">
        <v>2132</v>
      </c>
      <c r="U32" s="116" t="s">
        <v>2165</v>
      </c>
      <c r="V32" s="22"/>
      <c r="W32" s="169">
        <v>6</v>
      </c>
      <c r="X32" s="22"/>
      <c r="Y32" s="23" t="s">
        <v>120</v>
      </c>
      <c r="Z32" s="22"/>
      <c r="AA32" s="22"/>
      <c r="AB32" s="22"/>
      <c r="AC32" s="22"/>
      <c r="AD32" s="22"/>
      <c r="AE32" s="24" t="s">
        <v>548</v>
      </c>
      <c r="AF32" s="24" t="s">
        <v>2041</v>
      </c>
      <c r="AG32" s="22"/>
      <c r="AH32" s="25">
        <v>902062</v>
      </c>
      <c r="AJ32" s="26"/>
      <c r="AK32" s="27">
        <v>1700</v>
      </c>
      <c r="AL32" s="27"/>
      <c r="AO32" s="28" t="s">
        <v>2037</v>
      </c>
      <c r="AW32" s="27"/>
      <c r="AX32" s="27"/>
      <c r="AY32" s="27"/>
      <c r="BJ32" s="27"/>
      <c r="BK32" s="27"/>
      <c r="BL32" s="27"/>
      <c r="BW32" s="27"/>
      <c r="BX32" s="27"/>
      <c r="BY32" s="27"/>
      <c r="CH32" s="29"/>
      <c r="CI32" s="23" t="s">
        <v>397</v>
      </c>
      <c r="CJ32" s="28">
        <v>48</v>
      </c>
    </row>
    <row r="33" spans="1:88" x14ac:dyDescent="0.2">
      <c r="A33" s="18">
        <v>902</v>
      </c>
      <c r="B33" s="19">
        <v>9</v>
      </c>
      <c r="C33" s="19">
        <f t="shared" si="0"/>
        <v>9020009</v>
      </c>
      <c r="D33" s="19" t="s">
        <v>1690</v>
      </c>
      <c r="E33" s="20" t="s">
        <v>653</v>
      </c>
      <c r="I33" s="21" t="s">
        <v>486</v>
      </c>
      <c r="J33" s="21"/>
      <c r="K33" s="21"/>
      <c r="L33" s="21"/>
      <c r="M33" s="21"/>
      <c r="N33" s="22" t="s">
        <v>271</v>
      </c>
      <c r="O33" s="22" t="s">
        <v>662</v>
      </c>
      <c r="P33" s="22"/>
      <c r="Q33" s="22" t="s">
        <v>2041</v>
      </c>
      <c r="R33" s="22"/>
      <c r="S33" s="22"/>
      <c r="T33" s="22" t="s">
        <v>2132</v>
      </c>
      <c r="U33" s="116" t="s">
        <v>2166</v>
      </c>
      <c r="V33" s="22"/>
      <c r="W33" s="169">
        <v>6</v>
      </c>
      <c r="X33" s="22"/>
      <c r="Y33" s="23" t="s">
        <v>120</v>
      </c>
      <c r="Z33" s="22"/>
      <c r="AA33" s="22"/>
      <c r="AB33" s="22"/>
      <c r="AC33" s="22"/>
      <c r="AD33" s="22"/>
      <c r="AE33" s="24" t="s">
        <v>548</v>
      </c>
      <c r="AF33" s="24" t="s">
        <v>2041</v>
      </c>
      <c r="AG33" s="22"/>
      <c r="AH33" s="25">
        <v>902071</v>
      </c>
      <c r="AJ33" s="26"/>
      <c r="AK33" s="27">
        <v>1800</v>
      </c>
      <c r="AL33" s="27"/>
      <c r="AO33" s="28" t="s">
        <v>2037</v>
      </c>
      <c r="AW33" s="27"/>
      <c r="AX33" s="27"/>
      <c r="AY33" s="27"/>
      <c r="BJ33" s="27"/>
      <c r="BK33" s="27"/>
      <c r="BL33" s="27"/>
      <c r="BW33" s="27"/>
      <c r="BX33" s="27"/>
      <c r="BY33" s="27"/>
      <c r="CH33" s="29"/>
      <c r="CI33" s="23" t="s">
        <v>397</v>
      </c>
      <c r="CJ33" s="28">
        <v>52</v>
      </c>
    </row>
    <row r="34" spans="1:88" x14ac:dyDescent="0.2">
      <c r="A34" s="18">
        <v>902</v>
      </c>
      <c r="B34" s="19">
        <v>10</v>
      </c>
      <c r="C34" s="19">
        <f t="shared" si="0"/>
        <v>9020010</v>
      </c>
      <c r="D34" s="19" t="s">
        <v>1691</v>
      </c>
      <c r="E34" s="20" t="s">
        <v>653</v>
      </c>
      <c r="I34" s="21" t="s">
        <v>486</v>
      </c>
      <c r="J34" s="21"/>
      <c r="K34" s="21"/>
      <c r="L34" s="21"/>
      <c r="M34" s="21"/>
      <c r="N34" s="22" t="s">
        <v>271</v>
      </c>
      <c r="O34" s="22" t="s">
        <v>662</v>
      </c>
      <c r="P34" s="22"/>
      <c r="Q34" s="22" t="s">
        <v>2041</v>
      </c>
      <c r="R34" s="22"/>
      <c r="S34" s="22"/>
      <c r="T34" s="22" t="s">
        <v>2132</v>
      </c>
      <c r="U34" s="116" t="s">
        <v>2167</v>
      </c>
      <c r="V34" s="22"/>
      <c r="W34" s="169">
        <v>6</v>
      </c>
      <c r="X34" s="22"/>
      <c r="Y34" s="23" t="s">
        <v>120</v>
      </c>
      <c r="Z34" s="22"/>
      <c r="AA34" s="22"/>
      <c r="AB34" s="22"/>
      <c r="AC34" s="22"/>
      <c r="AD34" s="22"/>
      <c r="AE34" s="24" t="s">
        <v>548</v>
      </c>
      <c r="AF34" s="24" t="s">
        <v>2041</v>
      </c>
      <c r="AG34" s="22"/>
      <c r="AH34" s="25">
        <v>902072</v>
      </c>
      <c r="AJ34" s="26"/>
      <c r="AK34" s="27">
        <v>1900</v>
      </c>
      <c r="AL34" s="27"/>
      <c r="AO34" s="28" t="s">
        <v>2037</v>
      </c>
      <c r="AW34" s="27"/>
      <c r="AX34" s="27"/>
      <c r="AY34" s="27"/>
      <c r="BJ34" s="27"/>
      <c r="BK34" s="27"/>
      <c r="BL34" s="27"/>
      <c r="BW34" s="27"/>
      <c r="BX34" s="27"/>
      <c r="BY34" s="27"/>
      <c r="CH34" s="29"/>
      <c r="CI34" s="23" t="s">
        <v>397</v>
      </c>
      <c r="CJ34" s="28">
        <v>52</v>
      </c>
    </row>
    <row r="35" spans="1:88" x14ac:dyDescent="0.2">
      <c r="A35" s="18">
        <v>902</v>
      </c>
      <c r="B35" s="19">
        <v>11</v>
      </c>
      <c r="C35" s="19">
        <f t="shared" si="0"/>
        <v>9020011</v>
      </c>
      <c r="D35" s="19" t="s">
        <v>1692</v>
      </c>
      <c r="E35" s="20" t="s">
        <v>653</v>
      </c>
      <c r="I35" s="21" t="s">
        <v>486</v>
      </c>
      <c r="J35" s="21"/>
      <c r="K35" s="21"/>
      <c r="L35" s="21"/>
      <c r="M35" s="21"/>
      <c r="N35" s="22" t="s">
        <v>271</v>
      </c>
      <c r="O35" s="22" t="s">
        <v>662</v>
      </c>
      <c r="P35" s="22"/>
      <c r="Q35" s="22" t="s">
        <v>2041</v>
      </c>
      <c r="R35" s="22"/>
      <c r="S35" s="22"/>
      <c r="T35" s="22" t="s">
        <v>2132</v>
      </c>
      <c r="U35" s="116" t="s">
        <v>2168</v>
      </c>
      <c r="V35" s="22"/>
      <c r="W35" s="169">
        <v>6</v>
      </c>
      <c r="X35" s="22"/>
      <c r="Y35" s="23" t="s">
        <v>120</v>
      </c>
      <c r="Z35" s="22"/>
      <c r="AA35" s="22"/>
      <c r="AB35" s="22"/>
      <c r="AC35" s="22"/>
      <c r="AD35" s="22"/>
      <c r="AE35" s="24" t="s">
        <v>548</v>
      </c>
      <c r="AF35" s="24" t="s">
        <v>2041</v>
      </c>
      <c r="AG35" s="22"/>
      <c r="AH35" s="25">
        <v>902081</v>
      </c>
      <c r="AJ35" s="26"/>
      <c r="AK35" s="27">
        <v>2000</v>
      </c>
      <c r="AL35" s="27"/>
      <c r="AO35" s="28" t="s">
        <v>2037</v>
      </c>
      <c r="AW35" s="27"/>
      <c r="AX35" s="27"/>
      <c r="AY35" s="27"/>
      <c r="BJ35" s="27"/>
      <c r="BK35" s="27"/>
      <c r="BL35" s="27"/>
      <c r="BW35" s="27"/>
      <c r="BX35" s="27"/>
      <c r="BY35" s="27"/>
      <c r="CH35" s="29"/>
      <c r="CI35" s="23" t="s">
        <v>397</v>
      </c>
      <c r="CJ35" s="28">
        <v>56</v>
      </c>
    </row>
    <row r="36" spans="1:88" x14ac:dyDescent="0.2">
      <c r="A36" s="18">
        <v>902</v>
      </c>
      <c r="B36" s="19">
        <v>12</v>
      </c>
      <c r="C36" s="19">
        <f t="shared" si="0"/>
        <v>9020012</v>
      </c>
      <c r="D36" s="19" t="s">
        <v>1693</v>
      </c>
      <c r="E36" s="20" t="s">
        <v>653</v>
      </c>
      <c r="I36" s="21" t="s">
        <v>486</v>
      </c>
      <c r="J36" s="21"/>
      <c r="K36" s="21"/>
      <c r="L36" s="21"/>
      <c r="M36" s="21"/>
      <c r="N36" s="22" t="s">
        <v>271</v>
      </c>
      <c r="O36" s="22" t="s">
        <v>662</v>
      </c>
      <c r="P36" s="22"/>
      <c r="Q36" s="22" t="s">
        <v>2041</v>
      </c>
      <c r="R36" s="22"/>
      <c r="S36" s="22"/>
      <c r="T36" s="22" t="s">
        <v>2132</v>
      </c>
      <c r="U36" s="116" t="s">
        <v>2169</v>
      </c>
      <c r="V36" s="22"/>
      <c r="W36" s="169">
        <v>6</v>
      </c>
      <c r="X36" s="22"/>
      <c r="Y36" s="23" t="s">
        <v>120</v>
      </c>
      <c r="Z36" s="22"/>
      <c r="AA36" s="22"/>
      <c r="AB36" s="22"/>
      <c r="AC36" s="22"/>
      <c r="AD36" s="22"/>
      <c r="AE36" s="24" t="s">
        <v>548</v>
      </c>
      <c r="AF36" s="24" t="s">
        <v>2041</v>
      </c>
      <c r="AG36" s="22"/>
      <c r="AH36" s="25">
        <v>902082</v>
      </c>
      <c r="AJ36" s="26"/>
      <c r="AK36" s="27">
        <v>2100</v>
      </c>
      <c r="AL36" s="27"/>
      <c r="AO36" s="28" t="s">
        <v>2037</v>
      </c>
      <c r="AW36" s="27"/>
      <c r="AX36" s="27"/>
      <c r="AY36" s="27"/>
      <c r="BJ36" s="27"/>
      <c r="BK36" s="27"/>
      <c r="BL36" s="27"/>
      <c r="BW36" s="27"/>
      <c r="BX36" s="27"/>
      <c r="BY36" s="27"/>
      <c r="CH36" s="29"/>
      <c r="CI36" s="23" t="s">
        <v>397</v>
      </c>
      <c r="CJ36" s="28">
        <v>60</v>
      </c>
    </row>
    <row r="37" spans="1:88" x14ac:dyDescent="0.2">
      <c r="A37" s="18">
        <v>902</v>
      </c>
      <c r="B37" s="19">
        <v>13</v>
      </c>
      <c r="C37" s="19">
        <f t="shared" si="0"/>
        <v>9020013</v>
      </c>
      <c r="D37" s="19" t="s">
        <v>1694</v>
      </c>
      <c r="E37" s="20" t="s">
        <v>653</v>
      </c>
      <c r="I37" s="21" t="s">
        <v>486</v>
      </c>
      <c r="J37" s="21"/>
      <c r="K37" s="21"/>
      <c r="L37" s="21"/>
      <c r="M37" s="21"/>
      <c r="N37" s="22" t="s">
        <v>271</v>
      </c>
      <c r="O37" s="22" t="s">
        <v>662</v>
      </c>
      <c r="P37" s="22"/>
      <c r="Q37" s="22" t="s">
        <v>2041</v>
      </c>
      <c r="R37" s="22"/>
      <c r="S37" s="22"/>
      <c r="T37" s="22" t="s">
        <v>2132</v>
      </c>
      <c r="U37" s="116" t="s">
        <v>2170</v>
      </c>
      <c r="V37" s="22"/>
      <c r="W37" s="169">
        <v>6</v>
      </c>
      <c r="X37" s="22"/>
      <c r="Y37" s="23" t="s">
        <v>120</v>
      </c>
      <c r="Z37" s="22"/>
      <c r="AA37" s="22"/>
      <c r="AB37" s="22"/>
      <c r="AC37" s="22"/>
      <c r="AD37" s="22"/>
      <c r="AE37" s="24" t="s">
        <v>548</v>
      </c>
      <c r="AF37" s="24" t="s">
        <v>2041</v>
      </c>
      <c r="AG37" s="22"/>
      <c r="AH37" s="25">
        <v>902083</v>
      </c>
      <c r="AJ37" s="26"/>
      <c r="AK37" s="27">
        <v>2200</v>
      </c>
      <c r="AL37" s="27"/>
      <c r="AO37" s="28" t="s">
        <v>2037</v>
      </c>
      <c r="AW37" s="27"/>
      <c r="AX37" s="27"/>
      <c r="AY37" s="27"/>
      <c r="BJ37" s="27"/>
      <c r="BK37" s="27"/>
      <c r="BL37" s="27"/>
      <c r="BW37" s="27"/>
      <c r="BX37" s="27"/>
      <c r="BY37" s="27"/>
      <c r="CH37" s="29"/>
      <c r="CI37" s="23" t="s">
        <v>397</v>
      </c>
      <c r="CJ37" s="28">
        <v>64</v>
      </c>
    </row>
    <row r="38" spans="1:88" x14ac:dyDescent="0.2">
      <c r="A38" s="18">
        <v>902</v>
      </c>
      <c r="B38" s="19">
        <v>14</v>
      </c>
      <c r="C38" s="19">
        <f t="shared" si="0"/>
        <v>9020014</v>
      </c>
      <c r="D38" s="19" t="s">
        <v>1695</v>
      </c>
      <c r="E38" s="20" t="s">
        <v>653</v>
      </c>
      <c r="I38" s="21" t="s">
        <v>486</v>
      </c>
      <c r="J38" s="21"/>
      <c r="K38" s="21"/>
      <c r="L38" s="21"/>
      <c r="M38" s="21"/>
      <c r="N38" s="22" t="s">
        <v>271</v>
      </c>
      <c r="O38" s="22" t="s">
        <v>662</v>
      </c>
      <c r="P38" s="22"/>
      <c r="Q38" s="22" t="s">
        <v>2041</v>
      </c>
      <c r="R38" s="22"/>
      <c r="S38" s="22"/>
      <c r="T38" s="22" t="s">
        <v>2132</v>
      </c>
      <c r="U38" s="116" t="s">
        <v>2171</v>
      </c>
      <c r="V38" s="22"/>
      <c r="W38" s="169">
        <v>6</v>
      </c>
      <c r="X38" s="22"/>
      <c r="Y38" s="23" t="s">
        <v>120</v>
      </c>
      <c r="Z38" s="22"/>
      <c r="AA38" s="22"/>
      <c r="AB38" s="22"/>
      <c r="AC38" s="22"/>
      <c r="AD38" s="22"/>
      <c r="AE38" s="24" t="s">
        <v>548</v>
      </c>
      <c r="AF38" s="24" t="s">
        <v>2041</v>
      </c>
      <c r="AG38" s="22"/>
      <c r="AH38" s="25">
        <v>902084</v>
      </c>
      <c r="AJ38" s="26"/>
      <c r="AK38" s="27">
        <v>2300</v>
      </c>
      <c r="AL38" s="27"/>
      <c r="AO38" s="28" t="s">
        <v>2037</v>
      </c>
      <c r="AW38" s="27"/>
      <c r="AX38" s="27"/>
      <c r="AY38" s="27"/>
      <c r="BJ38" s="27"/>
      <c r="BK38" s="27"/>
      <c r="BL38" s="27"/>
      <c r="BW38" s="27"/>
      <c r="BX38" s="27"/>
      <c r="BY38" s="27"/>
      <c r="CH38" s="29"/>
      <c r="CI38" s="23" t="s">
        <v>397</v>
      </c>
      <c r="CJ38" s="28">
        <v>68</v>
      </c>
    </row>
    <row r="39" spans="1:88" x14ac:dyDescent="0.2">
      <c r="A39" s="18">
        <v>902</v>
      </c>
      <c r="B39" s="19">
        <v>15</v>
      </c>
      <c r="C39" s="19">
        <f t="shared" si="0"/>
        <v>9020015</v>
      </c>
      <c r="D39" s="19" t="s">
        <v>1696</v>
      </c>
      <c r="E39" s="20" t="s">
        <v>653</v>
      </c>
      <c r="I39" s="21" t="s">
        <v>486</v>
      </c>
      <c r="J39" s="21"/>
      <c r="K39" s="21"/>
      <c r="L39" s="21"/>
      <c r="M39" s="21"/>
      <c r="N39" s="22" t="s">
        <v>271</v>
      </c>
      <c r="O39" s="22" t="s">
        <v>662</v>
      </c>
      <c r="P39" s="22"/>
      <c r="Q39" s="22" t="s">
        <v>2041</v>
      </c>
      <c r="R39" s="22"/>
      <c r="S39" s="22"/>
      <c r="T39" s="22" t="s">
        <v>2132</v>
      </c>
      <c r="U39" s="116" t="s">
        <v>2172</v>
      </c>
      <c r="V39" s="22"/>
      <c r="W39" s="169">
        <v>6</v>
      </c>
      <c r="X39" s="22"/>
      <c r="Y39" s="23" t="s">
        <v>120</v>
      </c>
      <c r="Z39" s="22"/>
      <c r="AA39" s="22"/>
      <c r="AB39" s="22"/>
      <c r="AC39" s="22"/>
      <c r="AD39" s="22"/>
      <c r="AE39" s="24" t="s">
        <v>548</v>
      </c>
      <c r="AF39" s="24" t="s">
        <v>2041</v>
      </c>
      <c r="AG39" s="22"/>
      <c r="AH39" s="25">
        <v>902085</v>
      </c>
      <c r="AJ39" s="26"/>
      <c r="AK39" s="27">
        <v>2400</v>
      </c>
      <c r="AL39" s="27"/>
      <c r="AO39" s="28" t="s">
        <v>2037</v>
      </c>
      <c r="AW39" s="27"/>
      <c r="AX39" s="27"/>
      <c r="AY39" s="27"/>
      <c r="BJ39" s="27"/>
      <c r="BK39" s="27"/>
      <c r="BL39" s="27"/>
      <c r="BW39" s="27"/>
      <c r="BX39" s="27"/>
      <c r="BY39" s="27"/>
      <c r="CH39" s="29"/>
      <c r="CI39" s="23" t="s">
        <v>397</v>
      </c>
      <c r="CJ39" s="28">
        <v>72</v>
      </c>
    </row>
    <row r="40" spans="1:88" x14ac:dyDescent="0.2">
      <c r="A40" s="18">
        <v>902</v>
      </c>
      <c r="B40" s="19">
        <v>16</v>
      </c>
      <c r="C40" s="19">
        <f t="shared" si="0"/>
        <v>9020016</v>
      </c>
      <c r="D40" s="19" t="s">
        <v>1697</v>
      </c>
      <c r="E40" s="20" t="s">
        <v>653</v>
      </c>
      <c r="I40" s="21" t="s">
        <v>486</v>
      </c>
      <c r="J40" s="21"/>
      <c r="K40" s="21"/>
      <c r="L40" s="21"/>
      <c r="M40" s="21"/>
      <c r="N40" s="22" t="s">
        <v>271</v>
      </c>
      <c r="O40" s="22" t="s">
        <v>662</v>
      </c>
      <c r="P40" s="22"/>
      <c r="Q40" s="22" t="s">
        <v>2041</v>
      </c>
      <c r="R40" s="22"/>
      <c r="S40" s="22"/>
      <c r="T40" s="22" t="s">
        <v>2132</v>
      </c>
      <c r="U40" s="116" t="s">
        <v>2173</v>
      </c>
      <c r="V40" s="22"/>
      <c r="W40" s="169">
        <v>6</v>
      </c>
      <c r="X40" s="22"/>
      <c r="Y40" s="23" t="s">
        <v>120</v>
      </c>
      <c r="Z40" s="22"/>
      <c r="AA40" s="22"/>
      <c r="AB40" s="22"/>
      <c r="AC40" s="22"/>
      <c r="AD40" s="22"/>
      <c r="AE40" s="24" t="s">
        <v>548</v>
      </c>
      <c r="AF40" s="24" t="s">
        <v>2041</v>
      </c>
      <c r="AG40" s="22"/>
      <c r="AH40" s="25">
        <v>902086</v>
      </c>
      <c r="AJ40" s="26"/>
      <c r="AK40" s="27">
        <v>2500</v>
      </c>
      <c r="AL40" s="27"/>
      <c r="AO40" s="28" t="s">
        <v>2037</v>
      </c>
      <c r="AW40" s="27"/>
      <c r="AX40" s="27"/>
      <c r="AY40" s="27"/>
      <c r="BJ40" s="27"/>
      <c r="BK40" s="27"/>
      <c r="BL40" s="27"/>
      <c r="BW40" s="27"/>
      <c r="BX40" s="27"/>
      <c r="BY40" s="27"/>
      <c r="CH40" s="29"/>
      <c r="CI40" s="23" t="s">
        <v>397</v>
      </c>
      <c r="CJ40" s="28">
        <v>76</v>
      </c>
    </row>
    <row r="41" spans="1:88" x14ac:dyDescent="0.2">
      <c r="A41" s="18">
        <v>902</v>
      </c>
      <c r="B41" s="19">
        <v>17</v>
      </c>
      <c r="C41" s="19">
        <f t="shared" si="0"/>
        <v>9020017</v>
      </c>
      <c r="D41" s="19" t="s">
        <v>1698</v>
      </c>
      <c r="E41" s="20" t="s">
        <v>653</v>
      </c>
      <c r="I41" s="21" t="s">
        <v>486</v>
      </c>
      <c r="J41" s="21"/>
      <c r="K41" s="21"/>
      <c r="L41" s="21"/>
      <c r="M41" s="21"/>
      <c r="N41" s="22" t="s">
        <v>271</v>
      </c>
      <c r="O41" s="22" t="s">
        <v>662</v>
      </c>
      <c r="P41" s="22"/>
      <c r="Q41" s="22" t="s">
        <v>2041</v>
      </c>
      <c r="R41" s="22"/>
      <c r="S41" s="22"/>
      <c r="T41" s="22" t="s">
        <v>2132</v>
      </c>
      <c r="U41" s="116" t="s">
        <v>2174</v>
      </c>
      <c r="V41" s="22"/>
      <c r="W41" s="169">
        <v>6</v>
      </c>
      <c r="X41" s="22"/>
      <c r="Y41" s="23" t="s">
        <v>120</v>
      </c>
      <c r="Z41" s="22"/>
      <c r="AA41" s="22"/>
      <c r="AB41" s="22"/>
      <c r="AC41" s="22"/>
      <c r="AD41" s="22"/>
      <c r="AE41" s="24" t="s">
        <v>548</v>
      </c>
      <c r="AF41" s="24" t="s">
        <v>2041</v>
      </c>
      <c r="AG41" s="22"/>
      <c r="AH41" s="25">
        <v>902087</v>
      </c>
      <c r="AJ41" s="26"/>
      <c r="AK41" s="27">
        <v>2600</v>
      </c>
      <c r="AL41" s="27"/>
      <c r="AO41" s="28" t="s">
        <v>2037</v>
      </c>
      <c r="AW41" s="27"/>
      <c r="AX41" s="27"/>
      <c r="AY41" s="27"/>
      <c r="BJ41" s="27"/>
      <c r="BK41" s="27"/>
      <c r="BL41" s="27"/>
      <c r="BW41" s="27"/>
      <c r="BX41" s="27"/>
      <c r="BY41" s="27"/>
      <c r="CH41" s="29"/>
      <c r="CI41" s="23" t="s">
        <v>397</v>
      </c>
      <c r="CJ41" s="28">
        <v>80</v>
      </c>
    </row>
    <row r="42" spans="1:88" x14ac:dyDescent="0.2">
      <c r="A42" s="18">
        <v>902</v>
      </c>
      <c r="B42" s="19">
        <v>18</v>
      </c>
      <c r="C42" s="19">
        <f t="shared" si="0"/>
        <v>9020018</v>
      </c>
      <c r="D42" s="19" t="s">
        <v>1699</v>
      </c>
      <c r="E42" s="20" t="s">
        <v>653</v>
      </c>
      <c r="I42" s="21" t="s">
        <v>486</v>
      </c>
      <c r="J42" s="21"/>
      <c r="K42" s="21"/>
      <c r="L42" s="21"/>
      <c r="M42" s="21"/>
      <c r="N42" s="22" t="s">
        <v>271</v>
      </c>
      <c r="O42" s="22" t="s">
        <v>662</v>
      </c>
      <c r="P42" s="22"/>
      <c r="Q42" s="22" t="s">
        <v>2041</v>
      </c>
      <c r="R42" s="22"/>
      <c r="S42" s="22"/>
      <c r="T42" s="22" t="s">
        <v>2132</v>
      </c>
      <c r="U42" s="116" t="s">
        <v>2175</v>
      </c>
      <c r="V42" s="22"/>
      <c r="W42" s="169">
        <v>6</v>
      </c>
      <c r="X42" s="22"/>
      <c r="Y42" s="23" t="s">
        <v>120</v>
      </c>
      <c r="Z42" s="22"/>
      <c r="AA42" s="22"/>
      <c r="AB42" s="22"/>
      <c r="AC42" s="22"/>
      <c r="AD42" s="22"/>
      <c r="AE42" s="24" t="s">
        <v>548</v>
      </c>
      <c r="AF42" s="24" t="s">
        <v>2041</v>
      </c>
      <c r="AG42" s="22"/>
      <c r="AH42" s="25">
        <v>902088</v>
      </c>
      <c r="AJ42" s="26"/>
      <c r="AK42" s="27">
        <v>2700</v>
      </c>
      <c r="AL42" s="27"/>
      <c r="AO42" s="28" t="s">
        <v>2037</v>
      </c>
      <c r="AW42" s="27"/>
      <c r="AX42" s="27"/>
      <c r="AY42" s="27"/>
      <c r="BJ42" s="27"/>
      <c r="BK42" s="27"/>
      <c r="BL42" s="27"/>
      <c r="BW42" s="27"/>
      <c r="BX42" s="27"/>
      <c r="BY42" s="27"/>
      <c r="CH42" s="29"/>
      <c r="CI42" s="23" t="s">
        <v>397</v>
      </c>
      <c r="CJ42" s="28">
        <v>84</v>
      </c>
    </row>
    <row r="43" spans="1:88" x14ac:dyDescent="0.2">
      <c r="A43" s="18">
        <v>902</v>
      </c>
      <c r="B43" s="19">
        <v>19</v>
      </c>
      <c r="C43" s="19">
        <f t="shared" si="0"/>
        <v>9020019</v>
      </c>
      <c r="D43" s="19" t="s">
        <v>1700</v>
      </c>
      <c r="E43" s="20" t="s">
        <v>653</v>
      </c>
      <c r="I43" s="21" t="s">
        <v>486</v>
      </c>
      <c r="J43" s="21"/>
      <c r="K43" s="21"/>
      <c r="L43" s="21"/>
      <c r="M43" s="21"/>
      <c r="N43" s="22" t="s">
        <v>271</v>
      </c>
      <c r="O43" s="22" t="s">
        <v>662</v>
      </c>
      <c r="P43" s="22"/>
      <c r="Q43" s="22" t="s">
        <v>2041</v>
      </c>
      <c r="R43" s="22"/>
      <c r="S43" s="22"/>
      <c r="T43" s="22" t="s">
        <v>2132</v>
      </c>
      <c r="U43" s="116" t="s">
        <v>2176</v>
      </c>
      <c r="V43" s="22"/>
      <c r="W43" s="169">
        <v>6</v>
      </c>
      <c r="X43" s="22"/>
      <c r="Y43" s="23" t="s">
        <v>120</v>
      </c>
      <c r="Z43" s="22"/>
      <c r="AA43" s="22"/>
      <c r="AB43" s="22"/>
      <c r="AC43" s="22"/>
      <c r="AD43" s="22"/>
      <c r="AE43" s="24" t="s">
        <v>548</v>
      </c>
      <c r="AF43" s="24" t="s">
        <v>2041</v>
      </c>
      <c r="AG43" s="22"/>
      <c r="AH43" s="25">
        <v>902089</v>
      </c>
      <c r="AJ43" s="26"/>
      <c r="AK43" s="27">
        <v>2800</v>
      </c>
      <c r="AL43" s="27"/>
      <c r="AO43" s="28" t="s">
        <v>2037</v>
      </c>
      <c r="AW43" s="27"/>
      <c r="AX43" s="27"/>
      <c r="AY43" s="27"/>
      <c r="BJ43" s="27"/>
      <c r="BK43" s="27"/>
      <c r="BL43" s="27"/>
      <c r="BW43" s="27"/>
      <c r="BX43" s="27"/>
      <c r="BY43" s="27"/>
      <c r="CH43" s="29"/>
      <c r="CI43" s="23" t="s">
        <v>397</v>
      </c>
      <c r="CJ43" s="28">
        <v>88</v>
      </c>
    </row>
    <row r="44" spans="1:88" x14ac:dyDescent="0.2">
      <c r="A44" s="18">
        <v>902</v>
      </c>
      <c r="B44" s="19">
        <v>20</v>
      </c>
      <c r="C44" s="19">
        <f t="shared" si="0"/>
        <v>9020020</v>
      </c>
      <c r="D44" s="19" t="s">
        <v>1701</v>
      </c>
      <c r="E44" s="20" t="s">
        <v>653</v>
      </c>
      <c r="I44" s="21" t="s">
        <v>486</v>
      </c>
      <c r="J44" s="21"/>
      <c r="K44" s="21"/>
      <c r="L44" s="21"/>
      <c r="M44" s="21"/>
      <c r="N44" s="22" t="s">
        <v>271</v>
      </c>
      <c r="O44" s="22" t="s">
        <v>662</v>
      </c>
      <c r="P44" s="22"/>
      <c r="Q44" s="22" t="s">
        <v>2041</v>
      </c>
      <c r="R44" s="22"/>
      <c r="S44" s="22"/>
      <c r="T44" s="22" t="s">
        <v>2132</v>
      </c>
      <c r="U44" s="116" t="s">
        <v>2177</v>
      </c>
      <c r="V44" s="22"/>
      <c r="W44" s="169">
        <v>6</v>
      </c>
      <c r="X44" s="22"/>
      <c r="Y44" s="23" t="s">
        <v>120</v>
      </c>
      <c r="Z44" s="22"/>
      <c r="AA44" s="22"/>
      <c r="AB44" s="22"/>
      <c r="AC44" s="22"/>
      <c r="AD44" s="22"/>
      <c r="AE44" s="24" t="s">
        <v>548</v>
      </c>
      <c r="AF44" s="24" t="s">
        <v>2041</v>
      </c>
      <c r="AG44" s="22"/>
      <c r="AH44" s="25">
        <v>902090</v>
      </c>
      <c r="AJ44" s="26"/>
      <c r="AK44" s="27">
        <v>2900</v>
      </c>
      <c r="AL44" s="27"/>
      <c r="AO44" s="28" t="s">
        <v>2037</v>
      </c>
      <c r="AW44" s="27"/>
      <c r="AX44" s="27"/>
      <c r="AY44" s="27"/>
      <c r="BJ44" s="27"/>
      <c r="BK44" s="27"/>
      <c r="BL44" s="27"/>
      <c r="BW44" s="27"/>
      <c r="BX44" s="27"/>
      <c r="BY44" s="27"/>
      <c r="CH44" s="29"/>
      <c r="CI44" s="23" t="s">
        <v>397</v>
      </c>
      <c r="CJ44" s="28">
        <v>92</v>
      </c>
    </row>
    <row r="45" spans="1:88" x14ac:dyDescent="0.2">
      <c r="A45" s="18">
        <v>903</v>
      </c>
      <c r="B45" s="19">
        <v>1</v>
      </c>
      <c r="C45" s="19">
        <f t="shared" si="0"/>
        <v>9030001</v>
      </c>
      <c r="D45" s="19" t="s">
        <v>1723</v>
      </c>
      <c r="E45" s="20" t="s">
        <v>694</v>
      </c>
      <c r="I45" s="21" t="s">
        <v>486</v>
      </c>
      <c r="J45" s="21"/>
      <c r="K45" s="21"/>
      <c r="L45" s="21"/>
      <c r="M45" s="21"/>
      <c r="N45" s="22" t="s">
        <v>271</v>
      </c>
      <c r="O45" s="22" t="s">
        <v>692</v>
      </c>
      <c r="P45" s="22"/>
      <c r="Q45" s="22" t="s">
        <v>2041</v>
      </c>
      <c r="R45" s="22"/>
      <c r="S45" s="22"/>
      <c r="T45" s="22" t="s">
        <v>2132</v>
      </c>
      <c r="U45" s="116" t="s">
        <v>2178</v>
      </c>
      <c r="V45" s="22"/>
      <c r="W45" s="169">
        <v>6</v>
      </c>
      <c r="X45" s="22"/>
      <c r="Y45" s="23" t="s">
        <v>120</v>
      </c>
      <c r="Z45" s="22"/>
      <c r="AA45" s="22"/>
      <c r="AB45" s="22"/>
      <c r="AC45" s="22"/>
      <c r="AD45" s="22"/>
      <c r="AE45" s="24" t="s">
        <v>548</v>
      </c>
      <c r="AF45" s="24" t="s">
        <v>2041</v>
      </c>
      <c r="AG45" s="22"/>
      <c r="AH45" s="25">
        <v>903031</v>
      </c>
      <c r="AJ45" s="26"/>
      <c r="AK45" s="27">
        <v>1000</v>
      </c>
      <c r="AL45" s="27"/>
      <c r="AO45" s="28" t="s">
        <v>2038</v>
      </c>
      <c r="AW45" s="27"/>
      <c r="AX45" s="27"/>
      <c r="AY45" s="27"/>
      <c r="BJ45" s="27"/>
      <c r="BK45" s="27"/>
      <c r="BL45" s="27"/>
      <c r="BW45" s="27"/>
      <c r="BX45" s="27"/>
      <c r="BY45" s="27"/>
      <c r="CH45" s="29"/>
      <c r="CI45" s="23" t="s">
        <v>397</v>
      </c>
      <c r="CJ45" s="28">
        <v>32</v>
      </c>
    </row>
    <row r="46" spans="1:88" x14ac:dyDescent="0.2">
      <c r="A46" s="18">
        <v>903</v>
      </c>
      <c r="B46" s="19">
        <v>2</v>
      </c>
      <c r="C46" s="19">
        <f t="shared" si="0"/>
        <v>9030002</v>
      </c>
      <c r="D46" s="19" t="s">
        <v>1724</v>
      </c>
      <c r="E46" s="20" t="s">
        <v>694</v>
      </c>
      <c r="I46" s="21" t="s">
        <v>486</v>
      </c>
      <c r="J46" s="21"/>
      <c r="K46" s="21"/>
      <c r="L46" s="21"/>
      <c r="M46" s="21"/>
      <c r="N46" s="22" t="s">
        <v>271</v>
      </c>
      <c r="O46" s="22" t="s">
        <v>692</v>
      </c>
      <c r="P46" s="22"/>
      <c r="Q46" s="22" t="s">
        <v>2041</v>
      </c>
      <c r="R46" s="22"/>
      <c r="S46" s="22"/>
      <c r="T46" s="22" t="s">
        <v>2132</v>
      </c>
      <c r="U46" s="116" t="s">
        <v>2179</v>
      </c>
      <c r="V46" s="22"/>
      <c r="W46" s="169">
        <v>6</v>
      </c>
      <c r="X46" s="22"/>
      <c r="Y46" s="23" t="s">
        <v>120</v>
      </c>
      <c r="Z46" s="22"/>
      <c r="AA46" s="22"/>
      <c r="AB46" s="22"/>
      <c r="AC46" s="22"/>
      <c r="AD46" s="22"/>
      <c r="AE46" s="24" t="s">
        <v>548</v>
      </c>
      <c r="AF46" s="24" t="s">
        <v>2041</v>
      </c>
      <c r="AG46" s="22"/>
      <c r="AH46" s="25">
        <v>903032</v>
      </c>
      <c r="AJ46" s="26"/>
      <c r="AK46" s="27">
        <v>1100</v>
      </c>
      <c r="AL46" s="27"/>
      <c r="AO46" s="28" t="s">
        <v>2038</v>
      </c>
      <c r="AW46" s="27"/>
      <c r="AX46" s="27"/>
      <c r="AY46" s="27"/>
      <c r="BJ46" s="27"/>
      <c r="BK46" s="27"/>
      <c r="BL46" s="27"/>
      <c r="BW46" s="27"/>
      <c r="BX46" s="27"/>
      <c r="BY46" s="27"/>
      <c r="CH46" s="29"/>
      <c r="CI46" s="23" t="s">
        <v>397</v>
      </c>
      <c r="CJ46" s="28">
        <v>32</v>
      </c>
    </row>
    <row r="47" spans="1:88" x14ac:dyDescent="0.2">
      <c r="A47" s="18">
        <v>903</v>
      </c>
      <c r="B47" s="19">
        <v>3</v>
      </c>
      <c r="C47" s="19">
        <f t="shared" si="0"/>
        <v>9030003</v>
      </c>
      <c r="D47" s="19" t="s">
        <v>1725</v>
      </c>
      <c r="E47" s="20" t="s">
        <v>694</v>
      </c>
      <c r="I47" s="21" t="s">
        <v>486</v>
      </c>
      <c r="J47" s="21"/>
      <c r="K47" s="21"/>
      <c r="L47" s="21"/>
      <c r="M47" s="21"/>
      <c r="N47" s="22" t="s">
        <v>271</v>
      </c>
      <c r="O47" s="22" t="s">
        <v>692</v>
      </c>
      <c r="P47" s="22"/>
      <c r="Q47" s="22" t="s">
        <v>2041</v>
      </c>
      <c r="R47" s="22"/>
      <c r="S47" s="22"/>
      <c r="T47" s="22" t="s">
        <v>2132</v>
      </c>
      <c r="U47" s="116" t="s">
        <v>2180</v>
      </c>
      <c r="V47" s="22"/>
      <c r="W47" s="169">
        <v>6</v>
      </c>
      <c r="X47" s="22"/>
      <c r="Y47" s="23" t="s">
        <v>120</v>
      </c>
      <c r="Z47" s="22"/>
      <c r="AA47" s="22"/>
      <c r="AB47" s="22"/>
      <c r="AC47" s="22"/>
      <c r="AD47" s="22"/>
      <c r="AE47" s="24" t="s">
        <v>548</v>
      </c>
      <c r="AF47" s="24" t="s">
        <v>2041</v>
      </c>
      <c r="AG47" s="22"/>
      <c r="AH47" s="25">
        <v>903041</v>
      </c>
      <c r="AJ47" s="26"/>
      <c r="AK47" s="27">
        <v>1200</v>
      </c>
      <c r="AL47" s="27"/>
      <c r="AO47" s="28" t="s">
        <v>2038</v>
      </c>
      <c r="AW47" s="27"/>
      <c r="AX47" s="27"/>
      <c r="AY47" s="27"/>
      <c r="BJ47" s="27"/>
      <c r="BK47" s="27"/>
      <c r="BL47" s="27"/>
      <c r="BW47" s="27"/>
      <c r="BX47" s="27"/>
      <c r="BY47" s="27"/>
      <c r="CH47" s="29"/>
      <c r="CI47" s="23" t="s">
        <v>397</v>
      </c>
      <c r="CJ47" s="28">
        <v>36</v>
      </c>
    </row>
    <row r="48" spans="1:88" x14ac:dyDescent="0.2">
      <c r="A48" s="18">
        <v>903</v>
      </c>
      <c r="B48" s="19">
        <v>4</v>
      </c>
      <c r="C48" s="19">
        <f t="shared" si="0"/>
        <v>9030004</v>
      </c>
      <c r="D48" s="19" t="s">
        <v>1726</v>
      </c>
      <c r="E48" s="20" t="s">
        <v>694</v>
      </c>
      <c r="I48" s="21" t="s">
        <v>486</v>
      </c>
      <c r="J48" s="21"/>
      <c r="K48" s="21"/>
      <c r="L48" s="21"/>
      <c r="M48" s="21"/>
      <c r="N48" s="22" t="s">
        <v>271</v>
      </c>
      <c r="O48" s="22" t="s">
        <v>692</v>
      </c>
      <c r="P48" s="22"/>
      <c r="Q48" s="22" t="s">
        <v>2041</v>
      </c>
      <c r="R48" s="22"/>
      <c r="S48" s="22"/>
      <c r="T48" s="22" t="s">
        <v>2132</v>
      </c>
      <c r="U48" s="116" t="s">
        <v>2181</v>
      </c>
      <c r="V48" s="22"/>
      <c r="W48" s="169">
        <v>6</v>
      </c>
      <c r="X48" s="22"/>
      <c r="Y48" s="23" t="s">
        <v>120</v>
      </c>
      <c r="Z48" s="22"/>
      <c r="AA48" s="22"/>
      <c r="AB48" s="22"/>
      <c r="AC48" s="22"/>
      <c r="AD48" s="22"/>
      <c r="AE48" s="24" t="s">
        <v>548</v>
      </c>
      <c r="AF48" s="24" t="s">
        <v>2041</v>
      </c>
      <c r="AG48" s="22"/>
      <c r="AH48" s="25">
        <v>903042</v>
      </c>
      <c r="AJ48" s="26"/>
      <c r="AK48" s="27">
        <v>1300</v>
      </c>
      <c r="AL48" s="27"/>
      <c r="AO48" s="28" t="s">
        <v>2038</v>
      </c>
      <c r="AW48" s="27"/>
      <c r="AX48" s="27"/>
      <c r="AY48" s="27"/>
      <c r="BJ48" s="27"/>
      <c r="BK48" s="27"/>
      <c r="BL48" s="27"/>
      <c r="BW48" s="27"/>
      <c r="BX48" s="27"/>
      <c r="BY48" s="27"/>
      <c r="CH48" s="29"/>
      <c r="CI48" s="23" t="s">
        <v>397</v>
      </c>
      <c r="CJ48" s="28">
        <v>36</v>
      </c>
    </row>
    <row r="49" spans="1:88" x14ac:dyDescent="0.2">
      <c r="A49" s="18">
        <v>903</v>
      </c>
      <c r="B49" s="19">
        <v>5</v>
      </c>
      <c r="C49" s="19">
        <f t="shared" si="0"/>
        <v>9030005</v>
      </c>
      <c r="D49" s="19" t="s">
        <v>1727</v>
      </c>
      <c r="E49" s="20" t="s">
        <v>694</v>
      </c>
      <c r="I49" s="21" t="s">
        <v>486</v>
      </c>
      <c r="J49" s="21"/>
      <c r="K49" s="21"/>
      <c r="L49" s="21"/>
      <c r="M49" s="21"/>
      <c r="N49" s="22" t="s">
        <v>271</v>
      </c>
      <c r="O49" s="22" t="s">
        <v>692</v>
      </c>
      <c r="P49" s="22"/>
      <c r="Q49" s="22" t="s">
        <v>2041</v>
      </c>
      <c r="R49" s="22"/>
      <c r="S49" s="22"/>
      <c r="T49" s="22" t="s">
        <v>2132</v>
      </c>
      <c r="U49" s="116" t="s">
        <v>2182</v>
      </c>
      <c r="V49" s="22"/>
      <c r="W49" s="169">
        <v>6</v>
      </c>
      <c r="X49" s="22"/>
      <c r="Y49" s="23" t="s">
        <v>120</v>
      </c>
      <c r="Z49" s="22"/>
      <c r="AA49" s="22"/>
      <c r="AB49" s="22"/>
      <c r="AC49" s="22"/>
      <c r="AD49" s="22"/>
      <c r="AE49" s="24" t="s">
        <v>548</v>
      </c>
      <c r="AF49" s="24" t="s">
        <v>2041</v>
      </c>
      <c r="AG49" s="22"/>
      <c r="AH49" s="25">
        <v>903051</v>
      </c>
      <c r="AJ49" s="26"/>
      <c r="AK49" s="27">
        <v>1400</v>
      </c>
      <c r="AL49" s="27"/>
      <c r="AO49" s="28" t="s">
        <v>2038</v>
      </c>
      <c r="AW49" s="27"/>
      <c r="AX49" s="27"/>
      <c r="AY49" s="27"/>
      <c r="BJ49" s="27"/>
      <c r="BK49" s="27"/>
      <c r="BL49" s="27"/>
      <c r="BW49" s="27"/>
      <c r="BX49" s="27"/>
      <c r="BY49" s="27"/>
      <c r="CH49" s="29"/>
      <c r="CI49" s="23" t="s">
        <v>397</v>
      </c>
      <c r="CJ49" s="28">
        <v>40</v>
      </c>
    </row>
    <row r="50" spans="1:88" x14ac:dyDescent="0.2">
      <c r="A50" s="18">
        <v>903</v>
      </c>
      <c r="B50" s="19">
        <v>6</v>
      </c>
      <c r="C50" s="19">
        <f t="shared" si="0"/>
        <v>9030006</v>
      </c>
      <c r="D50" s="19" t="s">
        <v>1728</v>
      </c>
      <c r="E50" s="20" t="s">
        <v>694</v>
      </c>
      <c r="I50" s="21" t="s">
        <v>486</v>
      </c>
      <c r="J50" s="21"/>
      <c r="K50" s="21"/>
      <c r="L50" s="21"/>
      <c r="M50" s="21"/>
      <c r="N50" s="22" t="s">
        <v>271</v>
      </c>
      <c r="O50" s="22" t="s">
        <v>692</v>
      </c>
      <c r="P50" s="22"/>
      <c r="Q50" s="22" t="s">
        <v>2041</v>
      </c>
      <c r="R50" s="22"/>
      <c r="S50" s="22"/>
      <c r="T50" s="22" t="s">
        <v>2132</v>
      </c>
      <c r="U50" s="116" t="s">
        <v>2183</v>
      </c>
      <c r="V50" s="22"/>
      <c r="W50" s="169">
        <v>6</v>
      </c>
      <c r="X50" s="22"/>
      <c r="Y50" s="23" t="s">
        <v>120</v>
      </c>
      <c r="Z50" s="22"/>
      <c r="AA50" s="22"/>
      <c r="AB50" s="22"/>
      <c r="AC50" s="22"/>
      <c r="AD50" s="22"/>
      <c r="AE50" s="24" t="s">
        <v>548</v>
      </c>
      <c r="AF50" s="24" t="s">
        <v>2041</v>
      </c>
      <c r="AG50" s="22"/>
      <c r="AH50" s="25">
        <v>903052</v>
      </c>
      <c r="AJ50" s="26"/>
      <c r="AK50" s="27">
        <v>1500</v>
      </c>
      <c r="AL50" s="27"/>
      <c r="AO50" s="28" t="s">
        <v>2038</v>
      </c>
      <c r="AW50" s="27"/>
      <c r="AX50" s="27"/>
      <c r="AY50" s="27"/>
      <c r="BJ50" s="27"/>
      <c r="BK50" s="27"/>
      <c r="BL50" s="27"/>
      <c r="BW50" s="27"/>
      <c r="BX50" s="27"/>
      <c r="BY50" s="27"/>
      <c r="CH50" s="29"/>
      <c r="CI50" s="23" t="s">
        <v>397</v>
      </c>
      <c r="CJ50" s="28">
        <v>40</v>
      </c>
    </row>
    <row r="51" spans="1:88" x14ac:dyDescent="0.2">
      <c r="A51" s="18">
        <v>903</v>
      </c>
      <c r="B51" s="19">
        <v>7</v>
      </c>
      <c r="C51" s="19">
        <f t="shared" si="0"/>
        <v>9030007</v>
      </c>
      <c r="D51" s="19" t="s">
        <v>1729</v>
      </c>
      <c r="E51" s="20" t="s">
        <v>694</v>
      </c>
      <c r="I51" s="21" t="s">
        <v>486</v>
      </c>
      <c r="J51" s="21"/>
      <c r="K51" s="21"/>
      <c r="L51" s="21"/>
      <c r="M51" s="21"/>
      <c r="N51" s="22" t="s">
        <v>271</v>
      </c>
      <c r="O51" s="22" t="s">
        <v>692</v>
      </c>
      <c r="P51" s="22"/>
      <c r="Q51" s="22" t="s">
        <v>2041</v>
      </c>
      <c r="R51" s="22"/>
      <c r="S51" s="22"/>
      <c r="T51" s="22" t="s">
        <v>2132</v>
      </c>
      <c r="U51" s="116" t="s">
        <v>2184</v>
      </c>
      <c r="V51" s="22"/>
      <c r="W51" s="169">
        <v>6</v>
      </c>
      <c r="X51" s="22"/>
      <c r="Y51" s="23" t="s">
        <v>120</v>
      </c>
      <c r="Z51" s="22"/>
      <c r="AA51" s="22"/>
      <c r="AB51" s="22"/>
      <c r="AC51" s="22"/>
      <c r="AD51" s="22"/>
      <c r="AE51" s="24" t="s">
        <v>548</v>
      </c>
      <c r="AF51" s="24" t="s">
        <v>2041</v>
      </c>
      <c r="AG51" s="22"/>
      <c r="AH51" s="25">
        <v>903061</v>
      </c>
      <c r="AJ51" s="26"/>
      <c r="AK51" s="27">
        <v>1600</v>
      </c>
      <c r="AL51" s="27"/>
      <c r="AO51" s="28" t="s">
        <v>2038</v>
      </c>
      <c r="AW51" s="27"/>
      <c r="AX51" s="27"/>
      <c r="AY51" s="27"/>
      <c r="BJ51" s="27"/>
      <c r="BK51" s="27"/>
      <c r="BL51" s="27"/>
      <c r="BW51" s="27"/>
      <c r="BX51" s="27"/>
      <c r="BY51" s="27"/>
      <c r="CH51" s="29"/>
      <c r="CI51" s="23" t="s">
        <v>397</v>
      </c>
      <c r="CJ51" s="28">
        <v>48</v>
      </c>
    </row>
    <row r="52" spans="1:88" x14ac:dyDescent="0.2">
      <c r="A52" s="18">
        <v>903</v>
      </c>
      <c r="B52" s="19">
        <v>8</v>
      </c>
      <c r="C52" s="19">
        <f t="shared" si="0"/>
        <v>9030008</v>
      </c>
      <c r="D52" s="19" t="s">
        <v>1730</v>
      </c>
      <c r="E52" s="20" t="s">
        <v>694</v>
      </c>
      <c r="I52" s="21" t="s">
        <v>486</v>
      </c>
      <c r="J52" s="21"/>
      <c r="K52" s="21"/>
      <c r="L52" s="21"/>
      <c r="M52" s="21"/>
      <c r="N52" s="22" t="s">
        <v>271</v>
      </c>
      <c r="O52" s="22" t="s">
        <v>692</v>
      </c>
      <c r="P52" s="22"/>
      <c r="Q52" s="22" t="s">
        <v>2041</v>
      </c>
      <c r="R52" s="22"/>
      <c r="S52" s="22"/>
      <c r="T52" s="22" t="s">
        <v>2132</v>
      </c>
      <c r="U52" s="116" t="s">
        <v>2185</v>
      </c>
      <c r="V52" s="22"/>
      <c r="W52" s="169">
        <v>6</v>
      </c>
      <c r="X52" s="22"/>
      <c r="Y52" s="23" t="s">
        <v>120</v>
      </c>
      <c r="Z52" s="22"/>
      <c r="AA52" s="22"/>
      <c r="AB52" s="22"/>
      <c r="AC52" s="22"/>
      <c r="AD52" s="22"/>
      <c r="AE52" s="24" t="s">
        <v>548</v>
      </c>
      <c r="AF52" s="24" t="s">
        <v>2041</v>
      </c>
      <c r="AG52" s="22"/>
      <c r="AH52" s="25">
        <v>903062</v>
      </c>
      <c r="AJ52" s="26"/>
      <c r="AK52" s="27">
        <v>1700</v>
      </c>
      <c r="AL52" s="27"/>
      <c r="AO52" s="28" t="s">
        <v>2038</v>
      </c>
      <c r="AW52" s="27"/>
      <c r="AX52" s="27"/>
      <c r="AY52" s="27"/>
      <c r="BJ52" s="27"/>
      <c r="BK52" s="27"/>
      <c r="BL52" s="27"/>
      <c r="BW52" s="27"/>
      <c r="BX52" s="27"/>
      <c r="BY52" s="27"/>
      <c r="CH52" s="29"/>
      <c r="CI52" s="23" t="s">
        <v>397</v>
      </c>
      <c r="CJ52" s="28">
        <v>48</v>
      </c>
    </row>
    <row r="53" spans="1:88" x14ac:dyDescent="0.2">
      <c r="A53" s="18">
        <v>903</v>
      </c>
      <c r="B53" s="19">
        <v>9</v>
      </c>
      <c r="C53" s="19">
        <f t="shared" si="0"/>
        <v>9030009</v>
      </c>
      <c r="D53" s="19" t="s">
        <v>1731</v>
      </c>
      <c r="E53" s="20" t="s">
        <v>694</v>
      </c>
      <c r="I53" s="21" t="s">
        <v>486</v>
      </c>
      <c r="J53" s="21"/>
      <c r="K53" s="21"/>
      <c r="L53" s="21"/>
      <c r="M53" s="21"/>
      <c r="N53" s="22" t="s">
        <v>271</v>
      </c>
      <c r="O53" s="22" t="s">
        <v>692</v>
      </c>
      <c r="P53" s="22"/>
      <c r="Q53" s="22" t="s">
        <v>2041</v>
      </c>
      <c r="R53" s="22"/>
      <c r="S53" s="22"/>
      <c r="T53" s="22" t="s">
        <v>2132</v>
      </c>
      <c r="U53" s="116" t="s">
        <v>2186</v>
      </c>
      <c r="V53" s="22"/>
      <c r="W53" s="169">
        <v>6</v>
      </c>
      <c r="X53" s="22"/>
      <c r="Y53" s="23" t="s">
        <v>120</v>
      </c>
      <c r="Z53" s="22"/>
      <c r="AA53" s="22"/>
      <c r="AB53" s="22"/>
      <c r="AC53" s="22"/>
      <c r="AD53" s="22"/>
      <c r="AE53" s="24" t="s">
        <v>548</v>
      </c>
      <c r="AF53" s="24" t="s">
        <v>2041</v>
      </c>
      <c r="AG53" s="22"/>
      <c r="AH53" s="25">
        <v>903071</v>
      </c>
      <c r="AJ53" s="26"/>
      <c r="AK53" s="27">
        <v>1800</v>
      </c>
      <c r="AL53" s="27"/>
      <c r="AO53" s="28" t="s">
        <v>2038</v>
      </c>
      <c r="AW53" s="27"/>
      <c r="AX53" s="27"/>
      <c r="AY53" s="27"/>
      <c r="BJ53" s="27"/>
      <c r="BK53" s="27"/>
      <c r="BL53" s="27"/>
      <c r="BW53" s="27"/>
      <c r="BX53" s="27"/>
      <c r="BY53" s="27"/>
      <c r="CH53" s="29"/>
      <c r="CI53" s="23" t="s">
        <v>397</v>
      </c>
      <c r="CJ53" s="28">
        <v>52</v>
      </c>
    </row>
    <row r="54" spans="1:88" x14ac:dyDescent="0.2">
      <c r="A54" s="18">
        <v>903</v>
      </c>
      <c r="B54" s="19">
        <v>10</v>
      </c>
      <c r="C54" s="19">
        <f t="shared" si="0"/>
        <v>9030010</v>
      </c>
      <c r="D54" s="19" t="s">
        <v>1732</v>
      </c>
      <c r="E54" s="20" t="s">
        <v>694</v>
      </c>
      <c r="I54" s="21" t="s">
        <v>486</v>
      </c>
      <c r="J54" s="21"/>
      <c r="K54" s="21"/>
      <c r="L54" s="21"/>
      <c r="M54" s="21"/>
      <c r="N54" s="22" t="s">
        <v>271</v>
      </c>
      <c r="O54" s="22" t="s">
        <v>692</v>
      </c>
      <c r="P54" s="22"/>
      <c r="Q54" s="22" t="s">
        <v>2041</v>
      </c>
      <c r="R54" s="22"/>
      <c r="S54" s="22"/>
      <c r="T54" s="22" t="s">
        <v>2132</v>
      </c>
      <c r="U54" s="116" t="s">
        <v>2187</v>
      </c>
      <c r="V54" s="22"/>
      <c r="W54" s="169">
        <v>6</v>
      </c>
      <c r="X54" s="22"/>
      <c r="Y54" s="23" t="s">
        <v>120</v>
      </c>
      <c r="Z54" s="22"/>
      <c r="AA54" s="22"/>
      <c r="AB54" s="22"/>
      <c r="AC54" s="22"/>
      <c r="AD54" s="22"/>
      <c r="AE54" s="24" t="s">
        <v>548</v>
      </c>
      <c r="AF54" s="24" t="s">
        <v>2041</v>
      </c>
      <c r="AG54" s="22"/>
      <c r="AH54" s="25">
        <v>903072</v>
      </c>
      <c r="AJ54" s="26"/>
      <c r="AK54" s="27">
        <v>1900</v>
      </c>
      <c r="AL54" s="27"/>
      <c r="AO54" s="28" t="s">
        <v>2038</v>
      </c>
      <c r="AW54" s="27"/>
      <c r="AX54" s="27"/>
      <c r="AY54" s="27"/>
      <c r="BJ54" s="27"/>
      <c r="BK54" s="27"/>
      <c r="BL54" s="27"/>
      <c r="BW54" s="27"/>
      <c r="BX54" s="27"/>
      <c r="BY54" s="27"/>
      <c r="CH54" s="29"/>
      <c r="CI54" s="23" t="s">
        <v>397</v>
      </c>
      <c r="CJ54" s="28">
        <v>52</v>
      </c>
    </row>
    <row r="55" spans="1:88" x14ac:dyDescent="0.2">
      <c r="A55" s="18">
        <v>903</v>
      </c>
      <c r="B55" s="19">
        <v>11</v>
      </c>
      <c r="C55" s="19">
        <f t="shared" si="0"/>
        <v>9030011</v>
      </c>
      <c r="D55" s="19" t="s">
        <v>1733</v>
      </c>
      <c r="E55" s="20" t="s">
        <v>694</v>
      </c>
      <c r="I55" s="21" t="s">
        <v>486</v>
      </c>
      <c r="J55" s="21"/>
      <c r="K55" s="21"/>
      <c r="L55" s="21"/>
      <c r="M55" s="21"/>
      <c r="N55" s="22" t="s">
        <v>271</v>
      </c>
      <c r="O55" s="22" t="s">
        <v>692</v>
      </c>
      <c r="P55" s="22"/>
      <c r="Q55" s="22" t="s">
        <v>2041</v>
      </c>
      <c r="R55" s="22"/>
      <c r="S55" s="22"/>
      <c r="T55" s="22" t="s">
        <v>2132</v>
      </c>
      <c r="U55" s="116" t="s">
        <v>2188</v>
      </c>
      <c r="V55" s="22"/>
      <c r="W55" s="169">
        <v>6</v>
      </c>
      <c r="X55" s="22"/>
      <c r="Y55" s="23" t="s">
        <v>120</v>
      </c>
      <c r="Z55" s="22"/>
      <c r="AA55" s="22"/>
      <c r="AB55" s="22"/>
      <c r="AC55" s="22"/>
      <c r="AD55" s="22"/>
      <c r="AE55" s="24" t="s">
        <v>548</v>
      </c>
      <c r="AF55" s="24" t="s">
        <v>2041</v>
      </c>
      <c r="AG55" s="22"/>
      <c r="AH55" s="25">
        <v>903081</v>
      </c>
      <c r="AJ55" s="26"/>
      <c r="AK55" s="27">
        <v>2000</v>
      </c>
      <c r="AL55" s="27"/>
      <c r="AO55" s="28" t="s">
        <v>2038</v>
      </c>
      <c r="AW55" s="27"/>
      <c r="AX55" s="27"/>
      <c r="AY55" s="27"/>
      <c r="BJ55" s="27"/>
      <c r="BK55" s="27"/>
      <c r="BL55" s="27"/>
      <c r="BW55" s="27"/>
      <c r="BX55" s="27"/>
      <c r="BY55" s="27"/>
      <c r="CH55" s="29"/>
      <c r="CI55" s="23" t="s">
        <v>397</v>
      </c>
      <c r="CJ55" s="28">
        <v>56</v>
      </c>
    </row>
    <row r="56" spans="1:88" x14ac:dyDescent="0.2">
      <c r="A56" s="18">
        <v>903</v>
      </c>
      <c r="B56" s="19">
        <v>12</v>
      </c>
      <c r="C56" s="19">
        <f t="shared" si="0"/>
        <v>9030012</v>
      </c>
      <c r="D56" s="19" t="s">
        <v>1734</v>
      </c>
      <c r="E56" s="20" t="s">
        <v>694</v>
      </c>
      <c r="I56" s="21" t="s">
        <v>486</v>
      </c>
      <c r="J56" s="21"/>
      <c r="K56" s="21"/>
      <c r="L56" s="21"/>
      <c r="M56" s="21"/>
      <c r="N56" s="22" t="s">
        <v>271</v>
      </c>
      <c r="O56" s="22" t="s">
        <v>692</v>
      </c>
      <c r="P56" s="22"/>
      <c r="Q56" s="22" t="s">
        <v>2041</v>
      </c>
      <c r="R56" s="22"/>
      <c r="S56" s="22"/>
      <c r="T56" s="22" t="s">
        <v>2132</v>
      </c>
      <c r="U56" s="116" t="s">
        <v>2189</v>
      </c>
      <c r="V56" s="22"/>
      <c r="W56" s="169">
        <v>6</v>
      </c>
      <c r="X56" s="22"/>
      <c r="Y56" s="23" t="s">
        <v>120</v>
      </c>
      <c r="Z56" s="22"/>
      <c r="AA56" s="22"/>
      <c r="AB56" s="22"/>
      <c r="AC56" s="22"/>
      <c r="AD56" s="22"/>
      <c r="AE56" s="24" t="s">
        <v>548</v>
      </c>
      <c r="AF56" s="24" t="s">
        <v>2041</v>
      </c>
      <c r="AG56" s="22"/>
      <c r="AH56" s="25">
        <v>903082</v>
      </c>
      <c r="AJ56" s="26"/>
      <c r="AK56" s="27">
        <v>2100</v>
      </c>
      <c r="AL56" s="27"/>
      <c r="AO56" s="28" t="s">
        <v>2038</v>
      </c>
      <c r="AW56" s="27"/>
      <c r="AX56" s="27"/>
      <c r="AY56" s="27"/>
      <c r="BJ56" s="27"/>
      <c r="BK56" s="27"/>
      <c r="BL56" s="27"/>
      <c r="BW56" s="27"/>
      <c r="BX56" s="27"/>
      <c r="BY56" s="27"/>
      <c r="CH56" s="29"/>
      <c r="CI56" s="23" t="s">
        <v>397</v>
      </c>
      <c r="CJ56" s="28">
        <v>60</v>
      </c>
    </row>
    <row r="57" spans="1:88" x14ac:dyDescent="0.2">
      <c r="A57" s="18">
        <v>903</v>
      </c>
      <c r="B57" s="19">
        <v>13</v>
      </c>
      <c r="C57" s="19">
        <f t="shared" si="0"/>
        <v>9030013</v>
      </c>
      <c r="D57" s="19" t="s">
        <v>1735</v>
      </c>
      <c r="E57" s="20" t="s">
        <v>694</v>
      </c>
      <c r="I57" s="21" t="s">
        <v>486</v>
      </c>
      <c r="J57" s="21"/>
      <c r="K57" s="21"/>
      <c r="L57" s="21"/>
      <c r="M57" s="21"/>
      <c r="N57" s="22" t="s">
        <v>271</v>
      </c>
      <c r="O57" s="22" t="s">
        <v>692</v>
      </c>
      <c r="P57" s="22"/>
      <c r="Q57" s="22" t="s">
        <v>2041</v>
      </c>
      <c r="R57" s="22"/>
      <c r="S57" s="22"/>
      <c r="T57" s="22" t="s">
        <v>2132</v>
      </c>
      <c r="U57" s="116" t="s">
        <v>2190</v>
      </c>
      <c r="V57" s="22"/>
      <c r="W57" s="169">
        <v>6</v>
      </c>
      <c r="X57" s="22"/>
      <c r="Y57" s="23" t="s">
        <v>120</v>
      </c>
      <c r="Z57" s="22"/>
      <c r="AA57" s="22"/>
      <c r="AB57" s="22"/>
      <c r="AC57" s="22"/>
      <c r="AD57" s="22"/>
      <c r="AE57" s="24" t="s">
        <v>548</v>
      </c>
      <c r="AF57" s="24" t="s">
        <v>2041</v>
      </c>
      <c r="AG57" s="22"/>
      <c r="AH57" s="25">
        <v>903083</v>
      </c>
      <c r="AJ57" s="26"/>
      <c r="AK57" s="27">
        <v>2200</v>
      </c>
      <c r="AL57" s="27"/>
      <c r="AO57" s="28" t="s">
        <v>2038</v>
      </c>
      <c r="AW57" s="27"/>
      <c r="AX57" s="27"/>
      <c r="AY57" s="27"/>
      <c r="BJ57" s="27"/>
      <c r="BK57" s="27"/>
      <c r="BL57" s="27"/>
      <c r="BW57" s="27"/>
      <c r="BX57" s="27"/>
      <c r="BY57" s="27"/>
      <c r="CH57" s="29"/>
      <c r="CI57" s="23" t="s">
        <v>397</v>
      </c>
      <c r="CJ57" s="28">
        <v>64</v>
      </c>
    </row>
    <row r="58" spans="1:88" x14ac:dyDescent="0.2">
      <c r="A58" s="18">
        <v>903</v>
      </c>
      <c r="B58" s="19">
        <v>14</v>
      </c>
      <c r="C58" s="19">
        <f t="shared" si="0"/>
        <v>9030014</v>
      </c>
      <c r="D58" s="19" t="s">
        <v>1736</v>
      </c>
      <c r="E58" s="20" t="s">
        <v>694</v>
      </c>
      <c r="I58" s="21" t="s">
        <v>486</v>
      </c>
      <c r="J58" s="21"/>
      <c r="K58" s="21"/>
      <c r="L58" s="21"/>
      <c r="M58" s="21"/>
      <c r="N58" s="22" t="s">
        <v>271</v>
      </c>
      <c r="O58" s="22" t="s">
        <v>692</v>
      </c>
      <c r="P58" s="22"/>
      <c r="Q58" s="22" t="s">
        <v>2041</v>
      </c>
      <c r="R58" s="22"/>
      <c r="S58" s="22"/>
      <c r="T58" s="22" t="s">
        <v>2132</v>
      </c>
      <c r="U58" s="116" t="s">
        <v>2191</v>
      </c>
      <c r="V58" s="22"/>
      <c r="W58" s="169">
        <v>6</v>
      </c>
      <c r="X58" s="22"/>
      <c r="Y58" s="23" t="s">
        <v>120</v>
      </c>
      <c r="Z58" s="22"/>
      <c r="AA58" s="22"/>
      <c r="AB58" s="22"/>
      <c r="AC58" s="22"/>
      <c r="AD58" s="22"/>
      <c r="AE58" s="24" t="s">
        <v>548</v>
      </c>
      <c r="AF58" s="24" t="s">
        <v>2041</v>
      </c>
      <c r="AG58" s="22"/>
      <c r="AH58" s="25">
        <v>903084</v>
      </c>
      <c r="AJ58" s="26"/>
      <c r="AK58" s="27">
        <v>2300</v>
      </c>
      <c r="AL58" s="27"/>
      <c r="AO58" s="28" t="s">
        <v>2038</v>
      </c>
      <c r="AW58" s="27"/>
      <c r="AX58" s="27"/>
      <c r="AY58" s="27"/>
      <c r="BJ58" s="27"/>
      <c r="BK58" s="27"/>
      <c r="BL58" s="27"/>
      <c r="BW58" s="27"/>
      <c r="BX58" s="27"/>
      <c r="BY58" s="27"/>
      <c r="CH58" s="29"/>
      <c r="CI58" s="23" t="s">
        <v>397</v>
      </c>
      <c r="CJ58" s="28">
        <v>68</v>
      </c>
    </row>
    <row r="59" spans="1:88" x14ac:dyDescent="0.2">
      <c r="A59" s="18">
        <v>903</v>
      </c>
      <c r="B59" s="19">
        <v>15</v>
      </c>
      <c r="C59" s="19">
        <f t="shared" si="0"/>
        <v>9030015</v>
      </c>
      <c r="D59" s="19" t="s">
        <v>1737</v>
      </c>
      <c r="E59" s="20" t="s">
        <v>694</v>
      </c>
      <c r="I59" s="21" t="s">
        <v>486</v>
      </c>
      <c r="J59" s="21"/>
      <c r="K59" s="21"/>
      <c r="L59" s="21"/>
      <c r="M59" s="21"/>
      <c r="N59" s="22" t="s">
        <v>271</v>
      </c>
      <c r="O59" s="22" t="s">
        <v>692</v>
      </c>
      <c r="P59" s="22"/>
      <c r="Q59" s="22" t="s">
        <v>2041</v>
      </c>
      <c r="R59" s="22"/>
      <c r="S59" s="22"/>
      <c r="T59" s="22" t="s">
        <v>2132</v>
      </c>
      <c r="U59" s="116" t="s">
        <v>2192</v>
      </c>
      <c r="V59" s="22"/>
      <c r="W59" s="169">
        <v>6</v>
      </c>
      <c r="X59" s="22"/>
      <c r="Y59" s="23" t="s">
        <v>120</v>
      </c>
      <c r="Z59" s="22"/>
      <c r="AA59" s="22"/>
      <c r="AB59" s="22"/>
      <c r="AC59" s="22"/>
      <c r="AD59" s="22"/>
      <c r="AE59" s="24" t="s">
        <v>548</v>
      </c>
      <c r="AF59" s="24" t="s">
        <v>2041</v>
      </c>
      <c r="AG59" s="22"/>
      <c r="AH59" s="25">
        <v>903085</v>
      </c>
      <c r="AJ59" s="26"/>
      <c r="AK59" s="27">
        <v>2400</v>
      </c>
      <c r="AL59" s="27"/>
      <c r="AO59" s="28" t="s">
        <v>2038</v>
      </c>
      <c r="AW59" s="27"/>
      <c r="AX59" s="27"/>
      <c r="AY59" s="27"/>
      <c r="BJ59" s="27"/>
      <c r="BK59" s="27"/>
      <c r="BL59" s="27"/>
      <c r="BW59" s="27"/>
      <c r="BX59" s="27"/>
      <c r="BY59" s="27"/>
      <c r="CH59" s="29"/>
      <c r="CI59" s="23" t="s">
        <v>397</v>
      </c>
      <c r="CJ59" s="28">
        <v>72</v>
      </c>
    </row>
    <row r="60" spans="1:88" x14ac:dyDescent="0.2">
      <c r="A60" s="18">
        <v>903</v>
      </c>
      <c r="B60" s="19">
        <v>16</v>
      </c>
      <c r="C60" s="19">
        <f t="shared" si="0"/>
        <v>9030016</v>
      </c>
      <c r="D60" s="19" t="s">
        <v>1738</v>
      </c>
      <c r="E60" s="20" t="s">
        <v>694</v>
      </c>
      <c r="I60" s="21" t="s">
        <v>486</v>
      </c>
      <c r="J60" s="21"/>
      <c r="K60" s="21"/>
      <c r="L60" s="21"/>
      <c r="M60" s="21"/>
      <c r="N60" s="22" t="s">
        <v>271</v>
      </c>
      <c r="O60" s="22" t="s">
        <v>692</v>
      </c>
      <c r="P60" s="22"/>
      <c r="Q60" s="22" t="s">
        <v>2041</v>
      </c>
      <c r="R60" s="22"/>
      <c r="S60" s="22"/>
      <c r="T60" s="22" t="s">
        <v>2132</v>
      </c>
      <c r="U60" s="116" t="s">
        <v>2193</v>
      </c>
      <c r="V60" s="22"/>
      <c r="W60" s="169">
        <v>6</v>
      </c>
      <c r="X60" s="22"/>
      <c r="Y60" s="23" t="s">
        <v>120</v>
      </c>
      <c r="Z60" s="22"/>
      <c r="AA60" s="22"/>
      <c r="AB60" s="22"/>
      <c r="AC60" s="22"/>
      <c r="AD60" s="22"/>
      <c r="AE60" s="24" t="s">
        <v>548</v>
      </c>
      <c r="AF60" s="24" t="s">
        <v>2041</v>
      </c>
      <c r="AG60" s="22"/>
      <c r="AH60" s="25">
        <v>903086</v>
      </c>
      <c r="AJ60" s="26"/>
      <c r="AK60" s="27">
        <v>2500</v>
      </c>
      <c r="AL60" s="27"/>
      <c r="AO60" s="28" t="s">
        <v>2038</v>
      </c>
      <c r="AW60" s="27"/>
      <c r="AX60" s="27"/>
      <c r="AY60" s="27"/>
      <c r="BJ60" s="27"/>
      <c r="BK60" s="27"/>
      <c r="BL60" s="27"/>
      <c r="BW60" s="27"/>
      <c r="BX60" s="27"/>
      <c r="BY60" s="27"/>
      <c r="CH60" s="29"/>
      <c r="CI60" s="23" t="s">
        <v>397</v>
      </c>
      <c r="CJ60" s="28">
        <v>76</v>
      </c>
    </row>
    <row r="61" spans="1:88" x14ac:dyDescent="0.2">
      <c r="A61" s="18">
        <v>903</v>
      </c>
      <c r="B61" s="19">
        <v>17</v>
      </c>
      <c r="C61" s="19">
        <f t="shared" si="0"/>
        <v>9030017</v>
      </c>
      <c r="D61" s="19" t="s">
        <v>1739</v>
      </c>
      <c r="E61" s="20" t="s">
        <v>694</v>
      </c>
      <c r="I61" s="21" t="s">
        <v>486</v>
      </c>
      <c r="J61" s="21"/>
      <c r="K61" s="21"/>
      <c r="L61" s="21"/>
      <c r="M61" s="21"/>
      <c r="N61" s="22" t="s">
        <v>271</v>
      </c>
      <c r="O61" s="22" t="s">
        <v>692</v>
      </c>
      <c r="P61" s="22"/>
      <c r="Q61" s="22" t="s">
        <v>2041</v>
      </c>
      <c r="R61" s="22"/>
      <c r="S61" s="22"/>
      <c r="T61" s="22" t="s">
        <v>2132</v>
      </c>
      <c r="U61" s="116" t="s">
        <v>2194</v>
      </c>
      <c r="V61" s="22"/>
      <c r="W61" s="169">
        <v>6</v>
      </c>
      <c r="X61" s="22"/>
      <c r="Y61" s="23" t="s">
        <v>120</v>
      </c>
      <c r="Z61" s="22"/>
      <c r="AA61" s="22"/>
      <c r="AB61" s="22"/>
      <c r="AC61" s="22"/>
      <c r="AD61" s="22"/>
      <c r="AE61" s="24" t="s">
        <v>548</v>
      </c>
      <c r="AF61" s="24" t="s">
        <v>2041</v>
      </c>
      <c r="AG61" s="22"/>
      <c r="AH61" s="25">
        <v>903087</v>
      </c>
      <c r="AJ61" s="26"/>
      <c r="AK61" s="27">
        <v>2600</v>
      </c>
      <c r="AL61" s="27"/>
      <c r="AO61" s="28" t="s">
        <v>2038</v>
      </c>
      <c r="AW61" s="27"/>
      <c r="AX61" s="27"/>
      <c r="AY61" s="27"/>
      <c r="BJ61" s="27"/>
      <c r="BK61" s="27"/>
      <c r="BL61" s="27"/>
      <c r="BW61" s="27"/>
      <c r="BX61" s="27"/>
      <c r="BY61" s="27"/>
      <c r="CH61" s="29"/>
      <c r="CI61" s="23" t="s">
        <v>397</v>
      </c>
      <c r="CJ61" s="28">
        <v>80</v>
      </c>
    </row>
    <row r="62" spans="1:88" x14ac:dyDescent="0.2">
      <c r="A62" s="18">
        <v>903</v>
      </c>
      <c r="B62" s="19">
        <v>18</v>
      </c>
      <c r="C62" s="19">
        <f t="shared" si="0"/>
        <v>9030018</v>
      </c>
      <c r="D62" s="19" t="s">
        <v>1740</v>
      </c>
      <c r="E62" s="20" t="s">
        <v>694</v>
      </c>
      <c r="I62" s="21" t="s">
        <v>486</v>
      </c>
      <c r="J62" s="21"/>
      <c r="K62" s="21"/>
      <c r="L62" s="21"/>
      <c r="M62" s="21"/>
      <c r="N62" s="22" t="s">
        <v>271</v>
      </c>
      <c r="O62" s="22" t="s">
        <v>692</v>
      </c>
      <c r="P62" s="22"/>
      <c r="Q62" s="22" t="s">
        <v>2041</v>
      </c>
      <c r="R62" s="22"/>
      <c r="S62" s="22"/>
      <c r="T62" s="22" t="s">
        <v>2132</v>
      </c>
      <c r="U62" s="116" t="s">
        <v>2195</v>
      </c>
      <c r="V62" s="22"/>
      <c r="W62" s="169">
        <v>6</v>
      </c>
      <c r="X62" s="22"/>
      <c r="Y62" s="23" t="s">
        <v>120</v>
      </c>
      <c r="Z62" s="22"/>
      <c r="AA62" s="22"/>
      <c r="AB62" s="22"/>
      <c r="AC62" s="22"/>
      <c r="AD62" s="22"/>
      <c r="AE62" s="24" t="s">
        <v>548</v>
      </c>
      <c r="AF62" s="24" t="s">
        <v>2041</v>
      </c>
      <c r="AG62" s="22"/>
      <c r="AH62" s="25">
        <v>903088</v>
      </c>
      <c r="AJ62" s="26"/>
      <c r="AK62" s="27">
        <v>2700</v>
      </c>
      <c r="AL62" s="27"/>
      <c r="AO62" s="28" t="s">
        <v>2038</v>
      </c>
      <c r="AW62" s="27"/>
      <c r="AX62" s="27"/>
      <c r="AY62" s="27"/>
      <c r="BJ62" s="27"/>
      <c r="BK62" s="27"/>
      <c r="BL62" s="27"/>
      <c r="BW62" s="27"/>
      <c r="BX62" s="27"/>
      <c r="BY62" s="27"/>
      <c r="CH62" s="29"/>
      <c r="CI62" s="23" t="s">
        <v>397</v>
      </c>
      <c r="CJ62" s="28">
        <v>84</v>
      </c>
    </row>
    <row r="63" spans="1:88" x14ac:dyDescent="0.2">
      <c r="A63" s="18">
        <v>903</v>
      </c>
      <c r="B63" s="19">
        <v>19</v>
      </c>
      <c r="C63" s="19">
        <f t="shared" si="0"/>
        <v>9030019</v>
      </c>
      <c r="D63" s="19" t="s">
        <v>1741</v>
      </c>
      <c r="E63" s="20" t="s">
        <v>694</v>
      </c>
      <c r="I63" s="21" t="s">
        <v>486</v>
      </c>
      <c r="J63" s="21"/>
      <c r="K63" s="21"/>
      <c r="L63" s="21"/>
      <c r="M63" s="21"/>
      <c r="N63" s="22" t="s">
        <v>271</v>
      </c>
      <c r="O63" s="22" t="s">
        <v>692</v>
      </c>
      <c r="P63" s="22"/>
      <c r="Q63" s="22" t="s">
        <v>2041</v>
      </c>
      <c r="R63" s="22"/>
      <c r="S63" s="22"/>
      <c r="T63" s="22" t="s">
        <v>2132</v>
      </c>
      <c r="U63" s="116" t="s">
        <v>2196</v>
      </c>
      <c r="V63" s="22"/>
      <c r="W63" s="169">
        <v>6</v>
      </c>
      <c r="X63" s="22"/>
      <c r="Y63" s="23" t="s">
        <v>120</v>
      </c>
      <c r="Z63" s="22"/>
      <c r="AA63" s="22"/>
      <c r="AB63" s="22"/>
      <c r="AC63" s="22"/>
      <c r="AD63" s="22"/>
      <c r="AE63" s="24" t="s">
        <v>548</v>
      </c>
      <c r="AF63" s="24" t="s">
        <v>2041</v>
      </c>
      <c r="AG63" s="22"/>
      <c r="AH63" s="25">
        <v>903089</v>
      </c>
      <c r="AJ63" s="26"/>
      <c r="AK63" s="27">
        <v>2800</v>
      </c>
      <c r="AL63" s="27"/>
      <c r="AO63" s="28" t="s">
        <v>2038</v>
      </c>
      <c r="AW63" s="27"/>
      <c r="AX63" s="27"/>
      <c r="AY63" s="27"/>
      <c r="BJ63" s="27"/>
      <c r="BK63" s="27"/>
      <c r="BL63" s="27"/>
      <c r="BW63" s="27"/>
      <c r="BX63" s="27"/>
      <c r="BY63" s="27"/>
      <c r="CH63" s="29"/>
      <c r="CI63" s="23" t="s">
        <v>397</v>
      </c>
      <c r="CJ63" s="28">
        <v>88</v>
      </c>
    </row>
    <row r="64" spans="1:88" x14ac:dyDescent="0.2">
      <c r="A64" s="18">
        <v>903</v>
      </c>
      <c r="B64" s="19">
        <v>20</v>
      </c>
      <c r="C64" s="19">
        <f t="shared" si="0"/>
        <v>9030020</v>
      </c>
      <c r="D64" s="19" t="s">
        <v>1742</v>
      </c>
      <c r="E64" s="20" t="s">
        <v>694</v>
      </c>
      <c r="I64" s="21" t="s">
        <v>486</v>
      </c>
      <c r="J64" s="21"/>
      <c r="K64" s="21"/>
      <c r="L64" s="21"/>
      <c r="M64" s="21"/>
      <c r="N64" s="22" t="s">
        <v>271</v>
      </c>
      <c r="O64" s="22" t="s">
        <v>692</v>
      </c>
      <c r="P64" s="22"/>
      <c r="Q64" s="22" t="s">
        <v>2041</v>
      </c>
      <c r="R64" s="22"/>
      <c r="S64" s="22"/>
      <c r="T64" s="22" t="s">
        <v>2132</v>
      </c>
      <c r="U64" s="116" t="s">
        <v>2197</v>
      </c>
      <c r="V64" s="22"/>
      <c r="W64" s="169">
        <v>6</v>
      </c>
      <c r="X64" s="22"/>
      <c r="Y64" s="23" t="s">
        <v>120</v>
      </c>
      <c r="Z64" s="22"/>
      <c r="AA64" s="22"/>
      <c r="AB64" s="22"/>
      <c r="AC64" s="22"/>
      <c r="AD64" s="22"/>
      <c r="AE64" s="24" t="s">
        <v>548</v>
      </c>
      <c r="AF64" s="24" t="s">
        <v>2041</v>
      </c>
      <c r="AG64" s="22"/>
      <c r="AH64" s="25">
        <v>903090</v>
      </c>
      <c r="AJ64" s="26"/>
      <c r="AK64" s="27">
        <v>2900</v>
      </c>
      <c r="AL64" s="27"/>
      <c r="AO64" s="28" t="s">
        <v>2038</v>
      </c>
      <c r="AW64" s="27"/>
      <c r="AX64" s="27"/>
      <c r="AY64" s="27"/>
      <c r="BJ64" s="27"/>
      <c r="BK64" s="27"/>
      <c r="BL64" s="27"/>
      <c r="BW64" s="27"/>
      <c r="BX64" s="27"/>
      <c r="BY64" s="27"/>
      <c r="CH64" s="29"/>
      <c r="CI64" s="23" t="s">
        <v>397</v>
      </c>
      <c r="CJ64" s="28">
        <v>92</v>
      </c>
    </row>
    <row r="65" spans="1:88" x14ac:dyDescent="0.2">
      <c r="A65" s="18">
        <v>904</v>
      </c>
      <c r="B65" s="19">
        <v>1</v>
      </c>
      <c r="C65" s="19">
        <f t="shared" si="0"/>
        <v>9040001</v>
      </c>
      <c r="D65" s="19" t="s">
        <v>1743</v>
      </c>
      <c r="E65" s="20" t="s">
        <v>693</v>
      </c>
      <c r="I65" s="21" t="s">
        <v>633</v>
      </c>
      <c r="J65" s="21"/>
      <c r="K65" s="21"/>
      <c r="L65" s="21"/>
      <c r="M65" s="21"/>
      <c r="N65" s="22" t="s">
        <v>271</v>
      </c>
      <c r="O65" s="22" t="s">
        <v>634</v>
      </c>
      <c r="P65" s="22"/>
      <c r="Q65" s="22" t="s">
        <v>2041</v>
      </c>
      <c r="R65" s="22"/>
      <c r="S65" s="22"/>
      <c r="T65" s="22" t="s">
        <v>2132</v>
      </c>
      <c r="U65" s="116" t="s">
        <v>2198</v>
      </c>
      <c r="V65" s="22"/>
      <c r="W65" s="169">
        <v>6</v>
      </c>
      <c r="X65" s="22"/>
      <c r="Y65" s="23" t="s">
        <v>120</v>
      </c>
      <c r="Z65" s="22"/>
      <c r="AA65" s="22"/>
      <c r="AB65" s="22"/>
      <c r="AC65" s="22"/>
      <c r="AD65" s="22"/>
      <c r="AE65" s="24" t="s">
        <v>548</v>
      </c>
      <c r="AF65" s="24" t="s">
        <v>2041</v>
      </c>
      <c r="AG65" s="22"/>
      <c r="AH65" s="25" t="s">
        <v>1769</v>
      </c>
      <c r="AJ65" s="26"/>
      <c r="AK65" s="27">
        <v>1000</v>
      </c>
      <c r="AL65" s="27"/>
      <c r="AO65" s="28" t="s">
        <v>2039</v>
      </c>
      <c r="AW65" s="27"/>
      <c r="AX65" s="27"/>
      <c r="AY65" s="27"/>
      <c r="BJ65" s="27"/>
      <c r="BK65" s="27"/>
      <c r="BL65" s="27"/>
      <c r="BW65" s="27"/>
      <c r="BX65" s="27"/>
      <c r="BY65" s="27"/>
      <c r="CH65" s="29"/>
      <c r="CI65" s="23" t="s">
        <v>397</v>
      </c>
      <c r="CJ65" s="28">
        <v>32</v>
      </c>
    </row>
    <row r="66" spans="1:88" x14ac:dyDescent="0.2">
      <c r="A66" s="18">
        <v>904</v>
      </c>
      <c r="B66" s="19">
        <v>2</v>
      </c>
      <c r="C66" s="19">
        <f t="shared" si="0"/>
        <v>9040002</v>
      </c>
      <c r="D66" s="19" t="s">
        <v>1744</v>
      </c>
      <c r="E66" s="20" t="s">
        <v>547</v>
      </c>
      <c r="I66" s="21" t="s">
        <v>633</v>
      </c>
      <c r="J66" s="21"/>
      <c r="K66" s="21"/>
      <c r="L66" s="21"/>
      <c r="M66" s="21"/>
      <c r="N66" s="22" t="s">
        <v>271</v>
      </c>
      <c r="O66" s="22" t="s">
        <v>634</v>
      </c>
      <c r="P66" s="22"/>
      <c r="Q66" s="22" t="s">
        <v>2041</v>
      </c>
      <c r="R66" s="22"/>
      <c r="S66" s="22"/>
      <c r="T66" s="22" t="s">
        <v>2132</v>
      </c>
      <c r="U66" s="116" t="s">
        <v>2199</v>
      </c>
      <c r="V66" s="22"/>
      <c r="W66" s="169">
        <v>6</v>
      </c>
      <c r="X66" s="22"/>
      <c r="Y66" s="23" t="s">
        <v>120</v>
      </c>
      <c r="Z66" s="22"/>
      <c r="AA66" s="22"/>
      <c r="AB66" s="22"/>
      <c r="AC66" s="22"/>
      <c r="AD66" s="22"/>
      <c r="AE66" s="24" t="s">
        <v>548</v>
      </c>
      <c r="AF66" s="24" t="s">
        <v>2041</v>
      </c>
      <c r="AG66" s="22"/>
      <c r="AH66" s="25" t="s">
        <v>1770</v>
      </c>
      <c r="AJ66" s="26"/>
      <c r="AK66" s="27">
        <v>1100</v>
      </c>
      <c r="AL66" s="27"/>
      <c r="AO66" s="28" t="s">
        <v>2039</v>
      </c>
      <c r="AW66" s="27"/>
      <c r="AX66" s="27"/>
      <c r="AY66" s="27"/>
      <c r="BJ66" s="27"/>
      <c r="BK66" s="27"/>
      <c r="BL66" s="27"/>
      <c r="BW66" s="27"/>
      <c r="BX66" s="27"/>
      <c r="BY66" s="27"/>
      <c r="CH66" s="29"/>
      <c r="CI66" s="23" t="s">
        <v>397</v>
      </c>
      <c r="CJ66" s="28">
        <v>32</v>
      </c>
    </row>
    <row r="67" spans="1:88" x14ac:dyDescent="0.2">
      <c r="A67" s="18">
        <v>904</v>
      </c>
      <c r="B67" s="19">
        <v>3</v>
      </c>
      <c r="C67" s="19">
        <f t="shared" si="0"/>
        <v>9040003</v>
      </c>
      <c r="D67" s="19" t="s">
        <v>1745</v>
      </c>
      <c r="E67" s="20" t="s">
        <v>547</v>
      </c>
      <c r="I67" s="21" t="s">
        <v>633</v>
      </c>
      <c r="J67" s="21"/>
      <c r="K67" s="21"/>
      <c r="L67" s="21"/>
      <c r="M67" s="21"/>
      <c r="N67" s="22" t="s">
        <v>271</v>
      </c>
      <c r="O67" s="22" t="s">
        <v>634</v>
      </c>
      <c r="P67" s="22"/>
      <c r="Q67" s="22" t="s">
        <v>2041</v>
      </c>
      <c r="R67" s="22"/>
      <c r="S67" s="22"/>
      <c r="T67" s="22" t="s">
        <v>2132</v>
      </c>
      <c r="U67" s="116" t="s">
        <v>2200</v>
      </c>
      <c r="V67" s="22"/>
      <c r="W67" s="169">
        <v>6</v>
      </c>
      <c r="X67" s="22"/>
      <c r="Y67" s="23" t="s">
        <v>120</v>
      </c>
      <c r="Z67" s="22"/>
      <c r="AA67" s="22"/>
      <c r="AB67" s="22"/>
      <c r="AC67" s="22"/>
      <c r="AD67" s="22"/>
      <c r="AE67" s="24" t="s">
        <v>548</v>
      </c>
      <c r="AF67" s="24" t="s">
        <v>2041</v>
      </c>
      <c r="AG67" s="22"/>
      <c r="AH67" s="25" t="s">
        <v>1771</v>
      </c>
      <c r="AJ67" s="26"/>
      <c r="AK67" s="27">
        <v>1200</v>
      </c>
      <c r="AL67" s="27"/>
      <c r="AO67" s="28" t="s">
        <v>2039</v>
      </c>
      <c r="AW67" s="27"/>
      <c r="AX67" s="27"/>
      <c r="AY67" s="27"/>
      <c r="BJ67" s="27"/>
      <c r="BK67" s="27"/>
      <c r="BL67" s="27"/>
      <c r="BW67" s="27"/>
      <c r="BX67" s="27"/>
      <c r="BY67" s="27"/>
      <c r="CH67" s="29"/>
      <c r="CI67" s="23" t="s">
        <v>397</v>
      </c>
      <c r="CJ67" s="28">
        <v>36</v>
      </c>
    </row>
    <row r="68" spans="1:88" x14ac:dyDescent="0.2">
      <c r="A68" s="18">
        <v>904</v>
      </c>
      <c r="B68" s="19">
        <v>4</v>
      </c>
      <c r="C68" s="19">
        <f t="shared" si="0"/>
        <v>9040004</v>
      </c>
      <c r="D68" s="19" t="s">
        <v>1746</v>
      </c>
      <c r="E68" s="20" t="s">
        <v>547</v>
      </c>
      <c r="I68" s="21" t="s">
        <v>633</v>
      </c>
      <c r="J68" s="21"/>
      <c r="K68" s="21"/>
      <c r="L68" s="21"/>
      <c r="M68" s="21"/>
      <c r="N68" s="22" t="s">
        <v>271</v>
      </c>
      <c r="O68" s="22" t="s">
        <v>634</v>
      </c>
      <c r="P68" s="22"/>
      <c r="Q68" s="22" t="s">
        <v>2041</v>
      </c>
      <c r="R68" s="22"/>
      <c r="S68" s="22"/>
      <c r="T68" s="22" t="s">
        <v>2132</v>
      </c>
      <c r="U68" s="116" t="s">
        <v>2201</v>
      </c>
      <c r="V68" s="22"/>
      <c r="W68" s="169">
        <v>6</v>
      </c>
      <c r="X68" s="22"/>
      <c r="Y68" s="23" t="s">
        <v>120</v>
      </c>
      <c r="Z68" s="22"/>
      <c r="AA68" s="22"/>
      <c r="AB68" s="22"/>
      <c r="AC68" s="22"/>
      <c r="AD68" s="22"/>
      <c r="AE68" s="24" t="s">
        <v>548</v>
      </c>
      <c r="AF68" s="24" t="s">
        <v>2041</v>
      </c>
      <c r="AG68" s="22"/>
      <c r="AH68" s="25" t="s">
        <v>1772</v>
      </c>
      <c r="AJ68" s="26"/>
      <c r="AK68" s="27">
        <v>1300</v>
      </c>
      <c r="AL68" s="27"/>
      <c r="AO68" s="28" t="s">
        <v>2039</v>
      </c>
      <c r="AW68" s="27"/>
      <c r="AX68" s="27"/>
      <c r="AY68" s="27"/>
      <c r="BJ68" s="27"/>
      <c r="BK68" s="27"/>
      <c r="BL68" s="27"/>
      <c r="BW68" s="27"/>
      <c r="BX68" s="27"/>
      <c r="BY68" s="27"/>
      <c r="CH68" s="29"/>
      <c r="CI68" s="23" t="s">
        <v>397</v>
      </c>
      <c r="CJ68" s="28">
        <v>36</v>
      </c>
    </row>
    <row r="69" spans="1:88" x14ac:dyDescent="0.2">
      <c r="A69" s="18">
        <v>904</v>
      </c>
      <c r="B69" s="19">
        <v>5</v>
      </c>
      <c r="C69" s="19">
        <f t="shared" ref="C69:C132" si="1">A69*10000+B69</f>
        <v>9040005</v>
      </c>
      <c r="D69" s="19" t="s">
        <v>1747</v>
      </c>
      <c r="E69" s="20" t="s">
        <v>547</v>
      </c>
      <c r="I69" s="21" t="s">
        <v>633</v>
      </c>
      <c r="J69" s="21"/>
      <c r="K69" s="21"/>
      <c r="L69" s="21"/>
      <c r="M69" s="21"/>
      <c r="N69" s="22" t="s">
        <v>271</v>
      </c>
      <c r="O69" s="22" t="s">
        <v>634</v>
      </c>
      <c r="P69" s="22"/>
      <c r="Q69" s="22" t="s">
        <v>2041</v>
      </c>
      <c r="R69" s="22"/>
      <c r="S69" s="22"/>
      <c r="T69" s="22" t="s">
        <v>2132</v>
      </c>
      <c r="U69" s="116" t="s">
        <v>2202</v>
      </c>
      <c r="V69" s="22"/>
      <c r="W69" s="169">
        <v>6</v>
      </c>
      <c r="X69" s="22"/>
      <c r="Y69" s="23" t="s">
        <v>120</v>
      </c>
      <c r="Z69" s="22"/>
      <c r="AA69" s="22"/>
      <c r="AB69" s="22"/>
      <c r="AC69" s="22"/>
      <c r="AD69" s="22"/>
      <c r="AE69" s="24" t="s">
        <v>548</v>
      </c>
      <c r="AF69" s="24" t="s">
        <v>2041</v>
      </c>
      <c r="AG69" s="22"/>
      <c r="AH69" s="25" t="s">
        <v>1773</v>
      </c>
      <c r="AJ69" s="26"/>
      <c r="AK69" s="27">
        <v>1400</v>
      </c>
      <c r="AL69" s="27"/>
      <c r="AO69" s="28" t="s">
        <v>2039</v>
      </c>
      <c r="AW69" s="27"/>
      <c r="AX69" s="27"/>
      <c r="AY69" s="27"/>
      <c r="BJ69" s="27"/>
      <c r="BK69" s="27"/>
      <c r="BL69" s="27"/>
      <c r="BW69" s="27"/>
      <c r="BX69" s="27"/>
      <c r="BY69" s="27"/>
      <c r="CH69" s="29"/>
      <c r="CI69" s="23" t="s">
        <v>397</v>
      </c>
      <c r="CJ69" s="28">
        <v>40</v>
      </c>
    </row>
    <row r="70" spans="1:88" x14ac:dyDescent="0.2">
      <c r="A70" s="18">
        <v>904</v>
      </c>
      <c r="B70" s="19">
        <v>6</v>
      </c>
      <c r="C70" s="19">
        <f t="shared" si="1"/>
        <v>9040006</v>
      </c>
      <c r="D70" s="19" t="s">
        <v>1748</v>
      </c>
      <c r="E70" s="20" t="s">
        <v>547</v>
      </c>
      <c r="I70" s="21" t="s">
        <v>633</v>
      </c>
      <c r="J70" s="21"/>
      <c r="K70" s="21"/>
      <c r="L70" s="21"/>
      <c r="M70" s="21"/>
      <c r="N70" s="22" t="s">
        <v>271</v>
      </c>
      <c r="O70" s="22" t="s">
        <v>634</v>
      </c>
      <c r="P70" s="22"/>
      <c r="Q70" s="22" t="s">
        <v>2041</v>
      </c>
      <c r="R70" s="22"/>
      <c r="S70" s="22"/>
      <c r="T70" s="22" t="s">
        <v>2132</v>
      </c>
      <c r="U70" s="116" t="s">
        <v>2203</v>
      </c>
      <c r="V70" s="22"/>
      <c r="W70" s="169">
        <v>6</v>
      </c>
      <c r="X70" s="22"/>
      <c r="Y70" s="23" t="s">
        <v>120</v>
      </c>
      <c r="Z70" s="22"/>
      <c r="AA70" s="22"/>
      <c r="AB70" s="22"/>
      <c r="AC70" s="22"/>
      <c r="AD70" s="22"/>
      <c r="AE70" s="24" t="s">
        <v>548</v>
      </c>
      <c r="AF70" s="24" t="s">
        <v>2041</v>
      </c>
      <c r="AG70" s="22"/>
      <c r="AH70" s="25" t="s">
        <v>1774</v>
      </c>
      <c r="AJ70" s="26"/>
      <c r="AK70" s="27">
        <v>1500</v>
      </c>
      <c r="AL70" s="27"/>
      <c r="AO70" s="28" t="s">
        <v>2039</v>
      </c>
      <c r="AW70" s="27"/>
      <c r="AX70" s="27"/>
      <c r="AY70" s="27"/>
      <c r="BJ70" s="27"/>
      <c r="BK70" s="27"/>
      <c r="BL70" s="27"/>
      <c r="BW70" s="27"/>
      <c r="BX70" s="27"/>
      <c r="BY70" s="27"/>
      <c r="CH70" s="29"/>
      <c r="CI70" s="23" t="s">
        <v>397</v>
      </c>
      <c r="CJ70" s="28">
        <v>40</v>
      </c>
    </row>
    <row r="71" spans="1:88" x14ac:dyDescent="0.2">
      <c r="A71" s="18">
        <v>904</v>
      </c>
      <c r="B71" s="19">
        <v>7</v>
      </c>
      <c r="C71" s="19">
        <f t="shared" si="1"/>
        <v>9040007</v>
      </c>
      <c r="D71" s="19" t="s">
        <v>1749</v>
      </c>
      <c r="E71" s="20" t="s">
        <v>547</v>
      </c>
      <c r="I71" s="21" t="s">
        <v>633</v>
      </c>
      <c r="J71" s="21"/>
      <c r="K71" s="21"/>
      <c r="L71" s="21"/>
      <c r="M71" s="21"/>
      <c r="N71" s="22" t="s">
        <v>271</v>
      </c>
      <c r="O71" s="22" t="s">
        <v>634</v>
      </c>
      <c r="P71" s="22"/>
      <c r="Q71" s="22" t="s">
        <v>2041</v>
      </c>
      <c r="R71" s="22"/>
      <c r="S71" s="22"/>
      <c r="T71" s="22" t="s">
        <v>2132</v>
      </c>
      <c r="U71" s="116" t="s">
        <v>2204</v>
      </c>
      <c r="V71" s="22"/>
      <c r="W71" s="169">
        <v>6</v>
      </c>
      <c r="X71" s="22"/>
      <c r="Y71" s="23" t="s">
        <v>120</v>
      </c>
      <c r="Z71" s="22"/>
      <c r="AA71" s="22"/>
      <c r="AB71" s="22"/>
      <c r="AC71" s="22"/>
      <c r="AD71" s="22"/>
      <c r="AE71" s="24" t="s">
        <v>548</v>
      </c>
      <c r="AF71" s="24" t="s">
        <v>2041</v>
      </c>
      <c r="AG71" s="22"/>
      <c r="AH71" s="25" t="s">
        <v>1775</v>
      </c>
      <c r="AJ71" s="26"/>
      <c r="AK71" s="27">
        <v>1600</v>
      </c>
      <c r="AL71" s="27"/>
      <c r="AO71" s="28" t="s">
        <v>2039</v>
      </c>
      <c r="AW71" s="27"/>
      <c r="AX71" s="27"/>
      <c r="AY71" s="27"/>
      <c r="BJ71" s="27"/>
      <c r="BK71" s="27"/>
      <c r="BL71" s="27"/>
      <c r="BW71" s="27"/>
      <c r="BX71" s="27"/>
      <c r="BY71" s="27"/>
      <c r="CH71" s="29"/>
      <c r="CI71" s="23" t="s">
        <v>397</v>
      </c>
      <c r="CJ71" s="28">
        <v>48</v>
      </c>
    </row>
    <row r="72" spans="1:88" x14ac:dyDescent="0.2">
      <c r="A72" s="18">
        <v>904</v>
      </c>
      <c r="B72" s="19">
        <v>8</v>
      </c>
      <c r="C72" s="19">
        <f t="shared" si="1"/>
        <v>9040008</v>
      </c>
      <c r="D72" s="19" t="s">
        <v>1750</v>
      </c>
      <c r="E72" s="20" t="s">
        <v>547</v>
      </c>
      <c r="I72" s="21" t="s">
        <v>633</v>
      </c>
      <c r="J72" s="21"/>
      <c r="K72" s="21"/>
      <c r="L72" s="21"/>
      <c r="M72" s="21"/>
      <c r="N72" s="22" t="s">
        <v>271</v>
      </c>
      <c r="O72" s="22" t="s">
        <v>634</v>
      </c>
      <c r="P72" s="22"/>
      <c r="Q72" s="22" t="s">
        <v>2041</v>
      </c>
      <c r="R72" s="22"/>
      <c r="S72" s="22"/>
      <c r="T72" s="22" t="s">
        <v>2132</v>
      </c>
      <c r="U72" s="116" t="s">
        <v>2205</v>
      </c>
      <c r="V72" s="22"/>
      <c r="W72" s="169">
        <v>6</v>
      </c>
      <c r="X72" s="22"/>
      <c r="Y72" s="23" t="s">
        <v>120</v>
      </c>
      <c r="Z72" s="22"/>
      <c r="AA72" s="22"/>
      <c r="AB72" s="22"/>
      <c r="AC72" s="22"/>
      <c r="AD72" s="22"/>
      <c r="AE72" s="24" t="s">
        <v>548</v>
      </c>
      <c r="AF72" s="24" t="s">
        <v>2041</v>
      </c>
      <c r="AG72" s="22"/>
      <c r="AH72" s="25" t="s">
        <v>1776</v>
      </c>
      <c r="AJ72" s="26"/>
      <c r="AK72" s="27">
        <v>1700</v>
      </c>
      <c r="AL72" s="27"/>
      <c r="AO72" s="28" t="s">
        <v>2039</v>
      </c>
      <c r="AW72" s="27"/>
      <c r="AX72" s="27"/>
      <c r="AY72" s="27"/>
      <c r="BJ72" s="27"/>
      <c r="BK72" s="27"/>
      <c r="BL72" s="27"/>
      <c r="BW72" s="27"/>
      <c r="BX72" s="27"/>
      <c r="BY72" s="27"/>
      <c r="CH72" s="29"/>
      <c r="CI72" s="23" t="s">
        <v>397</v>
      </c>
      <c r="CJ72" s="28">
        <v>48</v>
      </c>
    </row>
    <row r="73" spans="1:88" x14ac:dyDescent="0.2">
      <c r="A73" s="18">
        <v>904</v>
      </c>
      <c r="B73" s="19">
        <v>9</v>
      </c>
      <c r="C73" s="19">
        <f t="shared" si="1"/>
        <v>9040009</v>
      </c>
      <c r="D73" s="19" t="s">
        <v>1751</v>
      </c>
      <c r="E73" s="20" t="s">
        <v>547</v>
      </c>
      <c r="I73" s="21" t="s">
        <v>633</v>
      </c>
      <c r="J73" s="21"/>
      <c r="K73" s="21"/>
      <c r="L73" s="21"/>
      <c r="M73" s="21"/>
      <c r="N73" s="22" t="s">
        <v>271</v>
      </c>
      <c r="O73" s="22" t="s">
        <v>634</v>
      </c>
      <c r="P73" s="22"/>
      <c r="Q73" s="22" t="s">
        <v>2041</v>
      </c>
      <c r="R73" s="22"/>
      <c r="S73" s="22"/>
      <c r="T73" s="22" t="s">
        <v>2132</v>
      </c>
      <c r="U73" s="116" t="s">
        <v>2206</v>
      </c>
      <c r="V73" s="22"/>
      <c r="W73" s="169">
        <v>6</v>
      </c>
      <c r="X73" s="22"/>
      <c r="Y73" s="23" t="s">
        <v>120</v>
      </c>
      <c r="Z73" s="22"/>
      <c r="AA73" s="22"/>
      <c r="AB73" s="22"/>
      <c r="AC73" s="22"/>
      <c r="AD73" s="22"/>
      <c r="AE73" s="24" t="s">
        <v>548</v>
      </c>
      <c r="AF73" s="24" t="s">
        <v>2041</v>
      </c>
      <c r="AG73" s="22"/>
      <c r="AH73" s="25" t="s">
        <v>1777</v>
      </c>
      <c r="AJ73" s="26"/>
      <c r="AK73" s="27">
        <v>1800</v>
      </c>
      <c r="AL73" s="27"/>
      <c r="AO73" s="28" t="s">
        <v>2039</v>
      </c>
      <c r="AW73" s="27"/>
      <c r="AX73" s="27"/>
      <c r="AY73" s="27"/>
      <c r="BJ73" s="27"/>
      <c r="BK73" s="27"/>
      <c r="BL73" s="27"/>
      <c r="BW73" s="27"/>
      <c r="BX73" s="27"/>
      <c r="BY73" s="27"/>
      <c r="CH73" s="29"/>
      <c r="CI73" s="23" t="s">
        <v>397</v>
      </c>
      <c r="CJ73" s="28">
        <v>52</v>
      </c>
    </row>
    <row r="74" spans="1:88" x14ac:dyDescent="0.2">
      <c r="A74" s="18">
        <v>904</v>
      </c>
      <c r="B74" s="19">
        <v>10</v>
      </c>
      <c r="C74" s="19">
        <f t="shared" si="1"/>
        <v>9040010</v>
      </c>
      <c r="D74" s="19" t="s">
        <v>1752</v>
      </c>
      <c r="E74" s="20" t="s">
        <v>547</v>
      </c>
      <c r="I74" s="21" t="s">
        <v>633</v>
      </c>
      <c r="J74" s="21"/>
      <c r="K74" s="21"/>
      <c r="L74" s="21"/>
      <c r="M74" s="21"/>
      <c r="N74" s="22" t="s">
        <v>271</v>
      </c>
      <c r="O74" s="22" t="s">
        <v>634</v>
      </c>
      <c r="P74" s="22"/>
      <c r="Q74" s="22" t="s">
        <v>2041</v>
      </c>
      <c r="R74" s="22"/>
      <c r="S74" s="22"/>
      <c r="T74" s="22" t="s">
        <v>2132</v>
      </c>
      <c r="U74" s="116" t="s">
        <v>2207</v>
      </c>
      <c r="V74" s="22"/>
      <c r="W74" s="169">
        <v>6</v>
      </c>
      <c r="X74" s="22"/>
      <c r="Y74" s="23" t="s">
        <v>120</v>
      </c>
      <c r="Z74" s="22"/>
      <c r="AA74" s="22"/>
      <c r="AB74" s="22"/>
      <c r="AC74" s="22"/>
      <c r="AD74" s="22"/>
      <c r="AE74" s="24" t="s">
        <v>548</v>
      </c>
      <c r="AF74" s="24" t="s">
        <v>2041</v>
      </c>
      <c r="AG74" s="22"/>
      <c r="AH74" s="25" t="s">
        <v>1778</v>
      </c>
      <c r="AJ74" s="26"/>
      <c r="AK74" s="27">
        <v>1900</v>
      </c>
      <c r="AL74" s="27"/>
      <c r="AO74" s="28" t="s">
        <v>2039</v>
      </c>
      <c r="AW74" s="27"/>
      <c r="AX74" s="27"/>
      <c r="AY74" s="27"/>
      <c r="BJ74" s="27"/>
      <c r="BK74" s="27"/>
      <c r="BL74" s="27"/>
      <c r="BW74" s="27"/>
      <c r="BX74" s="27"/>
      <c r="BY74" s="27"/>
      <c r="CH74" s="29"/>
      <c r="CI74" s="23" t="s">
        <v>397</v>
      </c>
      <c r="CJ74" s="28">
        <v>52</v>
      </c>
    </row>
    <row r="75" spans="1:88" x14ac:dyDescent="0.2">
      <c r="A75" s="18">
        <v>904</v>
      </c>
      <c r="B75" s="19">
        <v>11</v>
      </c>
      <c r="C75" s="19">
        <f t="shared" si="1"/>
        <v>9040011</v>
      </c>
      <c r="D75" s="19" t="s">
        <v>1753</v>
      </c>
      <c r="E75" s="20" t="s">
        <v>547</v>
      </c>
      <c r="I75" s="21" t="s">
        <v>633</v>
      </c>
      <c r="J75" s="21"/>
      <c r="K75" s="21"/>
      <c r="L75" s="21"/>
      <c r="M75" s="21"/>
      <c r="N75" s="22" t="s">
        <v>271</v>
      </c>
      <c r="O75" s="22" t="s">
        <v>634</v>
      </c>
      <c r="P75" s="22"/>
      <c r="Q75" s="22" t="s">
        <v>2041</v>
      </c>
      <c r="R75" s="22"/>
      <c r="S75" s="22"/>
      <c r="T75" s="22" t="s">
        <v>2132</v>
      </c>
      <c r="U75" s="116" t="s">
        <v>2208</v>
      </c>
      <c r="V75" s="22"/>
      <c r="W75" s="169">
        <v>6</v>
      </c>
      <c r="X75" s="22"/>
      <c r="Y75" s="23" t="s">
        <v>120</v>
      </c>
      <c r="Z75" s="22"/>
      <c r="AA75" s="22"/>
      <c r="AB75" s="22"/>
      <c r="AC75" s="22"/>
      <c r="AD75" s="22"/>
      <c r="AE75" s="24" t="s">
        <v>548</v>
      </c>
      <c r="AF75" s="24" t="s">
        <v>2041</v>
      </c>
      <c r="AG75" s="22"/>
      <c r="AH75" s="25" t="s">
        <v>1779</v>
      </c>
      <c r="AJ75" s="26"/>
      <c r="AK75" s="27">
        <v>2000</v>
      </c>
      <c r="AL75" s="27"/>
      <c r="AO75" s="28" t="s">
        <v>2039</v>
      </c>
      <c r="AW75" s="27"/>
      <c r="AX75" s="27"/>
      <c r="AY75" s="27"/>
      <c r="BJ75" s="27"/>
      <c r="BK75" s="27"/>
      <c r="BL75" s="27"/>
      <c r="BW75" s="27"/>
      <c r="BX75" s="27"/>
      <c r="BY75" s="27"/>
      <c r="CH75" s="29"/>
      <c r="CI75" s="23" t="s">
        <v>397</v>
      </c>
      <c r="CJ75" s="28">
        <v>56</v>
      </c>
    </row>
    <row r="76" spans="1:88" x14ac:dyDescent="0.2">
      <c r="A76" s="18">
        <v>904</v>
      </c>
      <c r="B76" s="19">
        <v>12</v>
      </c>
      <c r="C76" s="19">
        <f t="shared" si="1"/>
        <v>9040012</v>
      </c>
      <c r="D76" s="19" t="s">
        <v>1754</v>
      </c>
      <c r="E76" s="20" t="s">
        <v>547</v>
      </c>
      <c r="I76" s="21" t="s">
        <v>633</v>
      </c>
      <c r="J76" s="21"/>
      <c r="K76" s="21"/>
      <c r="L76" s="21"/>
      <c r="M76" s="21"/>
      <c r="N76" s="22" t="s">
        <v>271</v>
      </c>
      <c r="O76" s="22" t="s">
        <v>634</v>
      </c>
      <c r="P76" s="22"/>
      <c r="Q76" s="22" t="s">
        <v>2041</v>
      </c>
      <c r="R76" s="22"/>
      <c r="S76" s="22"/>
      <c r="T76" s="22" t="s">
        <v>2132</v>
      </c>
      <c r="U76" s="116" t="s">
        <v>2209</v>
      </c>
      <c r="V76" s="22"/>
      <c r="W76" s="169">
        <v>6</v>
      </c>
      <c r="X76" s="22"/>
      <c r="Y76" s="23" t="s">
        <v>120</v>
      </c>
      <c r="Z76" s="22"/>
      <c r="AA76" s="22"/>
      <c r="AB76" s="22"/>
      <c r="AC76" s="22"/>
      <c r="AD76" s="22"/>
      <c r="AE76" s="24" t="s">
        <v>548</v>
      </c>
      <c r="AF76" s="24" t="s">
        <v>2041</v>
      </c>
      <c r="AG76" s="22"/>
      <c r="AH76" s="25" t="s">
        <v>1780</v>
      </c>
      <c r="AJ76" s="26"/>
      <c r="AK76" s="27">
        <v>2100</v>
      </c>
      <c r="AL76" s="27"/>
      <c r="AO76" s="28" t="s">
        <v>2039</v>
      </c>
      <c r="AW76" s="27"/>
      <c r="AX76" s="27"/>
      <c r="AY76" s="27"/>
      <c r="BJ76" s="27"/>
      <c r="BK76" s="27"/>
      <c r="BL76" s="27"/>
      <c r="BW76" s="27"/>
      <c r="BX76" s="27"/>
      <c r="BY76" s="27"/>
      <c r="CH76" s="29"/>
      <c r="CI76" s="23" t="s">
        <v>397</v>
      </c>
      <c r="CJ76" s="28">
        <v>60</v>
      </c>
    </row>
    <row r="77" spans="1:88" x14ac:dyDescent="0.2">
      <c r="A77" s="18">
        <v>904</v>
      </c>
      <c r="B77" s="19">
        <v>13</v>
      </c>
      <c r="C77" s="19">
        <f t="shared" si="1"/>
        <v>9040013</v>
      </c>
      <c r="D77" s="19" t="s">
        <v>1755</v>
      </c>
      <c r="E77" s="20" t="s">
        <v>547</v>
      </c>
      <c r="I77" s="21" t="s">
        <v>633</v>
      </c>
      <c r="J77" s="21"/>
      <c r="K77" s="21"/>
      <c r="L77" s="21"/>
      <c r="M77" s="21"/>
      <c r="N77" s="22" t="s">
        <v>271</v>
      </c>
      <c r="O77" s="22" t="s">
        <v>634</v>
      </c>
      <c r="P77" s="22"/>
      <c r="Q77" s="22" t="s">
        <v>2041</v>
      </c>
      <c r="R77" s="22"/>
      <c r="S77" s="22"/>
      <c r="T77" s="22" t="s">
        <v>2132</v>
      </c>
      <c r="U77" s="116" t="s">
        <v>2210</v>
      </c>
      <c r="V77" s="22"/>
      <c r="W77" s="169">
        <v>6</v>
      </c>
      <c r="X77" s="22"/>
      <c r="Y77" s="23" t="s">
        <v>120</v>
      </c>
      <c r="Z77" s="22"/>
      <c r="AA77" s="22"/>
      <c r="AB77" s="22"/>
      <c r="AC77" s="22"/>
      <c r="AD77" s="22"/>
      <c r="AE77" s="24" t="s">
        <v>548</v>
      </c>
      <c r="AF77" s="24" t="s">
        <v>2041</v>
      </c>
      <c r="AG77" s="22"/>
      <c r="AH77" s="25" t="s">
        <v>1781</v>
      </c>
      <c r="AJ77" s="26"/>
      <c r="AK77" s="27">
        <v>2200</v>
      </c>
      <c r="AL77" s="27"/>
      <c r="AO77" s="28" t="s">
        <v>2039</v>
      </c>
      <c r="AW77" s="27"/>
      <c r="AX77" s="27"/>
      <c r="AY77" s="27"/>
      <c r="BJ77" s="27"/>
      <c r="BK77" s="27"/>
      <c r="BL77" s="27"/>
      <c r="BW77" s="27"/>
      <c r="BX77" s="27"/>
      <c r="BY77" s="27"/>
      <c r="CH77" s="29"/>
      <c r="CI77" s="23" t="s">
        <v>397</v>
      </c>
      <c r="CJ77" s="28">
        <v>64</v>
      </c>
    </row>
    <row r="78" spans="1:88" x14ac:dyDescent="0.2">
      <c r="A78" s="18">
        <v>904</v>
      </c>
      <c r="B78" s="19">
        <v>14</v>
      </c>
      <c r="C78" s="19">
        <f t="shared" si="1"/>
        <v>9040014</v>
      </c>
      <c r="D78" s="19" t="s">
        <v>1756</v>
      </c>
      <c r="E78" s="20" t="s">
        <v>547</v>
      </c>
      <c r="I78" s="21" t="s">
        <v>633</v>
      </c>
      <c r="J78" s="21"/>
      <c r="K78" s="21"/>
      <c r="L78" s="21"/>
      <c r="M78" s="21"/>
      <c r="N78" s="22" t="s">
        <v>271</v>
      </c>
      <c r="O78" s="22" t="s">
        <v>634</v>
      </c>
      <c r="P78" s="22"/>
      <c r="Q78" s="22" t="s">
        <v>2041</v>
      </c>
      <c r="R78" s="22"/>
      <c r="S78" s="22"/>
      <c r="T78" s="22" t="s">
        <v>2132</v>
      </c>
      <c r="U78" s="116" t="s">
        <v>2211</v>
      </c>
      <c r="V78" s="22"/>
      <c r="W78" s="169">
        <v>6</v>
      </c>
      <c r="X78" s="22"/>
      <c r="Y78" s="23" t="s">
        <v>120</v>
      </c>
      <c r="Z78" s="22"/>
      <c r="AA78" s="22"/>
      <c r="AB78" s="22"/>
      <c r="AC78" s="22"/>
      <c r="AD78" s="22"/>
      <c r="AE78" s="24" t="s">
        <v>548</v>
      </c>
      <c r="AF78" s="24" t="s">
        <v>2041</v>
      </c>
      <c r="AG78" s="22"/>
      <c r="AH78" s="25" t="s">
        <v>1782</v>
      </c>
      <c r="AJ78" s="26"/>
      <c r="AK78" s="27">
        <v>2300</v>
      </c>
      <c r="AL78" s="27"/>
      <c r="AO78" s="28" t="s">
        <v>2039</v>
      </c>
      <c r="AW78" s="27"/>
      <c r="AX78" s="27"/>
      <c r="AY78" s="27"/>
      <c r="BJ78" s="27"/>
      <c r="BK78" s="27"/>
      <c r="BL78" s="27"/>
      <c r="BW78" s="27"/>
      <c r="BX78" s="27"/>
      <c r="BY78" s="27"/>
      <c r="CH78" s="29"/>
      <c r="CI78" s="23" t="s">
        <v>397</v>
      </c>
      <c r="CJ78" s="28">
        <v>68</v>
      </c>
    </row>
    <row r="79" spans="1:88" x14ac:dyDescent="0.2">
      <c r="A79" s="18">
        <v>904</v>
      </c>
      <c r="B79" s="19">
        <v>15</v>
      </c>
      <c r="C79" s="19">
        <f t="shared" si="1"/>
        <v>9040015</v>
      </c>
      <c r="D79" s="19" t="s">
        <v>1757</v>
      </c>
      <c r="E79" s="20" t="s">
        <v>547</v>
      </c>
      <c r="I79" s="21" t="s">
        <v>633</v>
      </c>
      <c r="J79" s="21"/>
      <c r="K79" s="21"/>
      <c r="L79" s="21"/>
      <c r="M79" s="21"/>
      <c r="N79" s="22" t="s">
        <v>271</v>
      </c>
      <c r="O79" s="22" t="s">
        <v>634</v>
      </c>
      <c r="P79" s="22"/>
      <c r="Q79" s="22" t="s">
        <v>2041</v>
      </c>
      <c r="R79" s="22"/>
      <c r="S79" s="22"/>
      <c r="T79" s="22" t="s">
        <v>2132</v>
      </c>
      <c r="U79" s="116" t="s">
        <v>2212</v>
      </c>
      <c r="V79" s="22"/>
      <c r="W79" s="169">
        <v>6</v>
      </c>
      <c r="X79" s="22"/>
      <c r="Y79" s="23" t="s">
        <v>120</v>
      </c>
      <c r="Z79" s="22"/>
      <c r="AA79" s="22"/>
      <c r="AB79" s="22"/>
      <c r="AC79" s="22"/>
      <c r="AD79" s="22"/>
      <c r="AE79" s="24" t="s">
        <v>548</v>
      </c>
      <c r="AF79" s="24" t="s">
        <v>2041</v>
      </c>
      <c r="AG79" s="22"/>
      <c r="AH79" s="25" t="s">
        <v>1783</v>
      </c>
      <c r="AJ79" s="26"/>
      <c r="AK79" s="27">
        <v>2400</v>
      </c>
      <c r="AL79" s="27"/>
      <c r="AO79" s="28" t="s">
        <v>2039</v>
      </c>
      <c r="AW79" s="27"/>
      <c r="AX79" s="27"/>
      <c r="AY79" s="27"/>
      <c r="BJ79" s="27"/>
      <c r="BK79" s="27"/>
      <c r="BL79" s="27"/>
      <c r="BW79" s="27"/>
      <c r="BX79" s="27"/>
      <c r="BY79" s="27"/>
      <c r="CH79" s="29"/>
      <c r="CI79" s="23" t="s">
        <v>397</v>
      </c>
      <c r="CJ79" s="28">
        <v>72</v>
      </c>
    </row>
    <row r="80" spans="1:88" x14ac:dyDescent="0.2">
      <c r="A80" s="18">
        <v>904</v>
      </c>
      <c r="B80" s="19">
        <v>16</v>
      </c>
      <c r="C80" s="19">
        <f t="shared" si="1"/>
        <v>9040016</v>
      </c>
      <c r="D80" s="19" t="s">
        <v>1758</v>
      </c>
      <c r="E80" s="20" t="s">
        <v>547</v>
      </c>
      <c r="I80" s="21" t="s">
        <v>633</v>
      </c>
      <c r="J80" s="21"/>
      <c r="K80" s="21"/>
      <c r="L80" s="21"/>
      <c r="M80" s="21"/>
      <c r="N80" s="22" t="s">
        <v>271</v>
      </c>
      <c r="O80" s="22" t="s">
        <v>634</v>
      </c>
      <c r="P80" s="22"/>
      <c r="Q80" s="22" t="s">
        <v>2041</v>
      </c>
      <c r="R80" s="22"/>
      <c r="S80" s="22"/>
      <c r="T80" s="22" t="s">
        <v>2132</v>
      </c>
      <c r="U80" s="116" t="s">
        <v>2213</v>
      </c>
      <c r="V80" s="22"/>
      <c r="W80" s="169">
        <v>6</v>
      </c>
      <c r="X80" s="22"/>
      <c r="Y80" s="23" t="s">
        <v>120</v>
      </c>
      <c r="Z80" s="22"/>
      <c r="AA80" s="22"/>
      <c r="AB80" s="22"/>
      <c r="AC80" s="22"/>
      <c r="AD80" s="22"/>
      <c r="AE80" s="24" t="s">
        <v>548</v>
      </c>
      <c r="AF80" s="24" t="s">
        <v>2041</v>
      </c>
      <c r="AG80" s="22"/>
      <c r="AH80" s="25" t="s">
        <v>1784</v>
      </c>
      <c r="AJ80" s="26"/>
      <c r="AK80" s="27">
        <v>2500</v>
      </c>
      <c r="AL80" s="27"/>
      <c r="AO80" s="28" t="s">
        <v>2039</v>
      </c>
      <c r="AW80" s="27"/>
      <c r="AX80" s="27"/>
      <c r="AY80" s="27"/>
      <c r="BJ80" s="27"/>
      <c r="BK80" s="27"/>
      <c r="BL80" s="27"/>
      <c r="BW80" s="27"/>
      <c r="BX80" s="27"/>
      <c r="BY80" s="27"/>
      <c r="CH80" s="29"/>
      <c r="CI80" s="23" t="s">
        <v>397</v>
      </c>
      <c r="CJ80" s="28">
        <v>76</v>
      </c>
    </row>
    <row r="81" spans="1:108" x14ac:dyDescent="0.2">
      <c r="A81" s="18">
        <v>904</v>
      </c>
      <c r="B81" s="19">
        <v>17</v>
      </c>
      <c r="C81" s="19">
        <f t="shared" si="1"/>
        <v>9040017</v>
      </c>
      <c r="D81" s="19" t="s">
        <v>1759</v>
      </c>
      <c r="E81" s="20" t="s">
        <v>547</v>
      </c>
      <c r="I81" s="21" t="s">
        <v>633</v>
      </c>
      <c r="J81" s="21"/>
      <c r="K81" s="21"/>
      <c r="L81" s="21"/>
      <c r="M81" s="21"/>
      <c r="N81" s="22" t="s">
        <v>271</v>
      </c>
      <c r="O81" s="22" t="s">
        <v>634</v>
      </c>
      <c r="P81" s="22"/>
      <c r="Q81" s="22" t="s">
        <v>2041</v>
      </c>
      <c r="R81" s="22"/>
      <c r="S81" s="22"/>
      <c r="T81" s="22" t="s">
        <v>2132</v>
      </c>
      <c r="U81" s="116" t="s">
        <v>2214</v>
      </c>
      <c r="V81" s="22"/>
      <c r="W81" s="169">
        <v>6</v>
      </c>
      <c r="X81" s="22"/>
      <c r="Y81" s="23" t="s">
        <v>120</v>
      </c>
      <c r="Z81" s="22"/>
      <c r="AA81" s="22"/>
      <c r="AB81" s="22"/>
      <c r="AC81" s="22"/>
      <c r="AD81" s="22"/>
      <c r="AE81" s="24" t="s">
        <v>548</v>
      </c>
      <c r="AF81" s="24" t="s">
        <v>2041</v>
      </c>
      <c r="AG81" s="22"/>
      <c r="AH81" s="25" t="s">
        <v>1785</v>
      </c>
      <c r="AJ81" s="26"/>
      <c r="AK81" s="27">
        <v>2600</v>
      </c>
      <c r="AL81" s="27"/>
      <c r="AO81" s="28" t="s">
        <v>2039</v>
      </c>
      <c r="AW81" s="27"/>
      <c r="AX81" s="27"/>
      <c r="AY81" s="27"/>
      <c r="BJ81" s="27"/>
      <c r="BK81" s="27"/>
      <c r="BL81" s="27"/>
      <c r="BW81" s="27"/>
      <c r="BX81" s="27"/>
      <c r="BY81" s="27"/>
      <c r="CH81" s="29"/>
      <c r="CI81" s="23" t="s">
        <v>397</v>
      </c>
      <c r="CJ81" s="28">
        <v>80</v>
      </c>
    </row>
    <row r="82" spans="1:108" x14ac:dyDescent="0.2">
      <c r="A82" s="18">
        <v>904</v>
      </c>
      <c r="B82" s="19">
        <v>18</v>
      </c>
      <c r="C82" s="19">
        <f t="shared" si="1"/>
        <v>9040018</v>
      </c>
      <c r="D82" s="19" t="s">
        <v>1760</v>
      </c>
      <c r="E82" s="20" t="s">
        <v>547</v>
      </c>
      <c r="I82" s="21" t="s">
        <v>633</v>
      </c>
      <c r="J82" s="21"/>
      <c r="K82" s="21"/>
      <c r="L82" s="21"/>
      <c r="M82" s="21"/>
      <c r="N82" s="22" t="s">
        <v>271</v>
      </c>
      <c r="O82" s="22" t="s">
        <v>634</v>
      </c>
      <c r="P82" s="22"/>
      <c r="Q82" s="22" t="s">
        <v>2041</v>
      </c>
      <c r="R82" s="22"/>
      <c r="S82" s="22"/>
      <c r="T82" s="22" t="s">
        <v>2132</v>
      </c>
      <c r="U82" s="116" t="s">
        <v>2215</v>
      </c>
      <c r="V82" s="22"/>
      <c r="W82" s="169">
        <v>6</v>
      </c>
      <c r="X82" s="22"/>
      <c r="Y82" s="23" t="s">
        <v>120</v>
      </c>
      <c r="Z82" s="22"/>
      <c r="AA82" s="22"/>
      <c r="AB82" s="22"/>
      <c r="AC82" s="22"/>
      <c r="AD82" s="22"/>
      <c r="AE82" s="24" t="s">
        <v>548</v>
      </c>
      <c r="AF82" s="24" t="s">
        <v>2041</v>
      </c>
      <c r="AG82" s="22"/>
      <c r="AH82" s="25" t="s">
        <v>1786</v>
      </c>
      <c r="AJ82" s="26"/>
      <c r="AK82" s="27">
        <v>2700</v>
      </c>
      <c r="AL82" s="27"/>
      <c r="AO82" s="28" t="s">
        <v>2039</v>
      </c>
      <c r="AW82" s="27"/>
      <c r="AX82" s="27"/>
      <c r="AY82" s="27"/>
      <c r="BJ82" s="27"/>
      <c r="BK82" s="27"/>
      <c r="BL82" s="27"/>
      <c r="BW82" s="27"/>
      <c r="BX82" s="27"/>
      <c r="BY82" s="27"/>
      <c r="CH82" s="29"/>
      <c r="CI82" s="23" t="s">
        <v>397</v>
      </c>
      <c r="CJ82" s="28">
        <v>84</v>
      </c>
    </row>
    <row r="83" spans="1:108" x14ac:dyDescent="0.2">
      <c r="A83" s="18">
        <v>904</v>
      </c>
      <c r="B83" s="19">
        <v>19</v>
      </c>
      <c r="C83" s="19">
        <f t="shared" si="1"/>
        <v>9040019</v>
      </c>
      <c r="D83" s="19" t="s">
        <v>1761</v>
      </c>
      <c r="E83" s="20" t="s">
        <v>547</v>
      </c>
      <c r="I83" s="21" t="s">
        <v>633</v>
      </c>
      <c r="J83" s="21"/>
      <c r="K83" s="21"/>
      <c r="L83" s="21"/>
      <c r="M83" s="21"/>
      <c r="N83" s="22" t="s">
        <v>271</v>
      </c>
      <c r="O83" s="22" t="s">
        <v>634</v>
      </c>
      <c r="P83" s="22"/>
      <c r="Q83" s="22" t="s">
        <v>2041</v>
      </c>
      <c r="R83" s="22"/>
      <c r="S83" s="22"/>
      <c r="T83" s="22" t="s">
        <v>2132</v>
      </c>
      <c r="U83" s="116" t="s">
        <v>2216</v>
      </c>
      <c r="V83" s="22"/>
      <c r="W83" s="169">
        <v>6</v>
      </c>
      <c r="X83" s="22"/>
      <c r="Y83" s="23" t="s">
        <v>120</v>
      </c>
      <c r="Z83" s="22"/>
      <c r="AA83" s="22"/>
      <c r="AB83" s="22"/>
      <c r="AC83" s="22"/>
      <c r="AD83" s="22"/>
      <c r="AE83" s="24" t="s">
        <v>548</v>
      </c>
      <c r="AF83" s="24" t="s">
        <v>2041</v>
      </c>
      <c r="AG83" s="22"/>
      <c r="AH83" s="25" t="s">
        <v>1787</v>
      </c>
      <c r="AJ83" s="26"/>
      <c r="AK83" s="27">
        <v>2800</v>
      </c>
      <c r="AL83" s="27"/>
      <c r="AO83" s="28" t="s">
        <v>2039</v>
      </c>
      <c r="AW83" s="27"/>
      <c r="AX83" s="27"/>
      <c r="AY83" s="27"/>
      <c r="BJ83" s="27"/>
      <c r="BK83" s="27"/>
      <c r="BL83" s="27"/>
      <c r="BW83" s="27"/>
      <c r="BX83" s="27"/>
      <c r="BY83" s="27"/>
      <c r="CH83" s="29"/>
      <c r="CI83" s="23" t="s">
        <v>397</v>
      </c>
      <c r="CJ83" s="28">
        <v>88</v>
      </c>
    </row>
    <row r="84" spans="1:108" x14ac:dyDescent="0.2">
      <c r="A84" s="18">
        <v>904</v>
      </c>
      <c r="B84" s="19">
        <v>20</v>
      </c>
      <c r="C84" s="19">
        <f t="shared" si="1"/>
        <v>9040020</v>
      </c>
      <c r="D84" s="19" t="s">
        <v>1762</v>
      </c>
      <c r="E84" s="20" t="s">
        <v>547</v>
      </c>
      <c r="I84" s="21" t="s">
        <v>633</v>
      </c>
      <c r="J84" s="21"/>
      <c r="K84" s="21"/>
      <c r="L84" s="21"/>
      <c r="M84" s="21"/>
      <c r="N84" s="22" t="s">
        <v>271</v>
      </c>
      <c r="O84" s="22" t="s">
        <v>634</v>
      </c>
      <c r="P84" s="22"/>
      <c r="Q84" s="22" t="s">
        <v>2041</v>
      </c>
      <c r="R84" s="22"/>
      <c r="S84" s="22"/>
      <c r="T84" s="22" t="s">
        <v>2132</v>
      </c>
      <c r="U84" s="116" t="s">
        <v>2217</v>
      </c>
      <c r="V84" s="22"/>
      <c r="W84" s="169">
        <v>6</v>
      </c>
      <c r="X84" s="22"/>
      <c r="Y84" s="23" t="s">
        <v>120</v>
      </c>
      <c r="Z84" s="22"/>
      <c r="AA84" s="22"/>
      <c r="AB84" s="22"/>
      <c r="AC84" s="22"/>
      <c r="AD84" s="22"/>
      <c r="AE84" s="24" t="s">
        <v>548</v>
      </c>
      <c r="AF84" s="24" t="s">
        <v>2041</v>
      </c>
      <c r="AG84" s="22"/>
      <c r="AH84" s="25" t="s">
        <v>1788</v>
      </c>
      <c r="AJ84" s="26"/>
      <c r="AK84" s="27">
        <v>2900</v>
      </c>
      <c r="AL84" s="27"/>
      <c r="AO84" s="28" t="s">
        <v>2039</v>
      </c>
      <c r="AW84" s="27"/>
      <c r="AX84" s="27"/>
      <c r="AY84" s="27"/>
      <c r="BJ84" s="27"/>
      <c r="BK84" s="27"/>
      <c r="BL84" s="27"/>
      <c r="BW84" s="27"/>
      <c r="BX84" s="27"/>
      <c r="BY84" s="27"/>
      <c r="CH84" s="29"/>
      <c r="CI84" s="23" t="s">
        <v>397</v>
      </c>
      <c r="CJ84" s="28">
        <v>92</v>
      </c>
    </row>
    <row r="85" spans="1:108" s="14" customFormat="1" ht="17.25" x14ac:dyDescent="0.3">
      <c r="A85" s="8"/>
      <c r="B85" s="8"/>
      <c r="C85" s="8">
        <f t="shared" si="1"/>
        <v>0</v>
      </c>
      <c r="D85" s="8"/>
      <c r="E85" s="9" t="s">
        <v>1766</v>
      </c>
      <c r="F85" s="9"/>
      <c r="G85" s="9"/>
      <c r="H85" s="9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1"/>
      <c r="Z85" s="10"/>
      <c r="AA85" s="10"/>
      <c r="AB85" s="10"/>
      <c r="AC85" s="10"/>
      <c r="AD85" s="10"/>
      <c r="AE85" s="12"/>
      <c r="AF85" s="24" t="s">
        <v>2041</v>
      </c>
      <c r="AG85" s="10"/>
      <c r="AH85" s="13"/>
      <c r="AI85" s="13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Z85" s="15"/>
      <c r="BA85" s="15"/>
      <c r="BB85" s="15"/>
      <c r="BC85" s="15"/>
      <c r="BD85" s="15"/>
      <c r="BE85" s="15"/>
      <c r="BF85" s="15"/>
      <c r="BG85" s="15"/>
      <c r="BM85" s="15"/>
      <c r="BN85" s="15"/>
      <c r="BO85" s="15"/>
      <c r="BP85" s="15"/>
      <c r="BQ85" s="15"/>
      <c r="BR85" s="15"/>
      <c r="BS85" s="15"/>
      <c r="BT85" s="15"/>
      <c r="BZ85" s="15"/>
      <c r="CA85" s="15"/>
      <c r="CB85" s="15"/>
      <c r="CC85" s="15"/>
      <c r="CD85" s="15"/>
      <c r="CE85" s="15"/>
      <c r="CF85" s="15"/>
      <c r="CG85" s="15"/>
      <c r="CH85" s="10"/>
      <c r="CI85" s="8"/>
      <c r="CJ85" s="16"/>
      <c r="CK85" s="8"/>
      <c r="CT85" s="17"/>
      <c r="CU85" s="17"/>
      <c r="CV85" s="17"/>
      <c r="CW85" s="17"/>
      <c r="CX85" s="17"/>
      <c r="CY85" s="17"/>
      <c r="CZ85" s="17"/>
      <c r="DA85" s="17"/>
      <c r="DB85" s="17"/>
      <c r="DC85" s="15"/>
    </row>
    <row r="86" spans="1:108" x14ac:dyDescent="0.2">
      <c r="A86" s="18">
        <v>905</v>
      </c>
      <c r="B86" s="19">
        <v>1</v>
      </c>
      <c r="C86" s="19">
        <f t="shared" si="1"/>
        <v>9050001</v>
      </c>
      <c r="D86" s="19" t="s">
        <v>1703</v>
      </c>
      <c r="E86" s="20" t="s">
        <v>1669</v>
      </c>
      <c r="I86" s="21" t="s">
        <v>1670</v>
      </c>
      <c r="J86" s="21"/>
      <c r="K86" s="21"/>
      <c r="L86" s="21"/>
      <c r="M86" s="21"/>
      <c r="N86" s="22" t="s">
        <v>1671</v>
      </c>
      <c r="O86" s="22" t="s">
        <v>1674</v>
      </c>
      <c r="P86" s="22"/>
      <c r="Q86" s="22" t="s">
        <v>2041</v>
      </c>
      <c r="R86" s="22"/>
      <c r="S86" s="22"/>
      <c r="T86" s="22" t="s">
        <v>2225</v>
      </c>
      <c r="U86" s="116" t="s">
        <v>2138</v>
      </c>
      <c r="V86" s="22" t="s">
        <v>1813</v>
      </c>
      <c r="W86" s="169">
        <v>3</v>
      </c>
      <c r="X86" s="169">
        <v>3</v>
      </c>
      <c r="Y86" s="23" t="s">
        <v>120</v>
      </c>
      <c r="Z86" s="22"/>
      <c r="AA86" s="22"/>
      <c r="AB86" s="22"/>
      <c r="AC86" s="22"/>
      <c r="AD86" s="22"/>
      <c r="AE86" s="24"/>
      <c r="AF86" s="24" t="s">
        <v>2041</v>
      </c>
      <c r="AG86" s="22"/>
      <c r="AH86" s="23" t="s">
        <v>1789</v>
      </c>
      <c r="AJ86" s="26"/>
      <c r="AK86" s="27">
        <v>1000</v>
      </c>
      <c r="AL86" s="27"/>
      <c r="AO86" s="28" t="s">
        <v>1956</v>
      </c>
      <c r="AP86" s="23" t="s">
        <v>1957</v>
      </c>
      <c r="AQ86" s="23"/>
      <c r="AR86" s="23"/>
      <c r="AS86" s="23"/>
      <c r="AW86" s="27"/>
      <c r="AX86" s="27"/>
      <c r="AY86" s="27"/>
      <c r="BB86" s="28" t="s">
        <v>1956</v>
      </c>
      <c r="BC86" s="23" t="s">
        <v>1957</v>
      </c>
      <c r="BD86" s="23"/>
      <c r="BE86" s="23"/>
      <c r="BF86" s="23"/>
      <c r="BJ86" s="27"/>
      <c r="BK86" s="27"/>
      <c r="BL86" s="27"/>
      <c r="BO86" s="28" t="s">
        <v>1956</v>
      </c>
      <c r="BP86" s="23" t="s">
        <v>1957</v>
      </c>
      <c r="BQ86" s="23"/>
      <c r="BR86" s="23"/>
      <c r="BS86" s="23"/>
      <c r="BW86" s="27"/>
      <c r="BX86" s="27"/>
      <c r="BY86" s="27"/>
      <c r="CB86" s="28" t="s">
        <v>1956</v>
      </c>
      <c r="CC86" s="23" t="s">
        <v>1957</v>
      </c>
      <c r="CD86" s="23"/>
      <c r="CE86" s="23"/>
      <c r="CF86" s="23"/>
      <c r="CH86" s="29"/>
      <c r="CI86" s="23" t="s">
        <v>397</v>
      </c>
      <c r="CJ86" s="28">
        <v>32</v>
      </c>
      <c r="DD86" s="23" t="s">
        <v>120</v>
      </c>
    </row>
    <row r="87" spans="1:108" x14ac:dyDescent="0.2">
      <c r="A87" s="18">
        <v>905</v>
      </c>
      <c r="B87" s="19">
        <v>2</v>
      </c>
      <c r="C87" s="19">
        <f t="shared" si="1"/>
        <v>9050002</v>
      </c>
      <c r="D87" s="19" t="s">
        <v>1704</v>
      </c>
      <c r="E87" s="20" t="s">
        <v>1669</v>
      </c>
      <c r="I87" s="21" t="s">
        <v>1670</v>
      </c>
      <c r="J87" s="21"/>
      <c r="K87" s="21"/>
      <c r="L87" s="21"/>
      <c r="M87" s="21"/>
      <c r="N87" s="22" t="s">
        <v>1671</v>
      </c>
      <c r="O87" s="22" t="s">
        <v>1674</v>
      </c>
      <c r="P87" s="22"/>
      <c r="Q87" s="22" t="s">
        <v>2041</v>
      </c>
      <c r="R87" s="22"/>
      <c r="S87" s="22"/>
      <c r="T87" s="22" t="s">
        <v>2225</v>
      </c>
      <c r="U87" s="116" t="s">
        <v>2139</v>
      </c>
      <c r="V87" s="22" t="s">
        <v>1813</v>
      </c>
      <c r="W87" s="169">
        <v>3</v>
      </c>
      <c r="X87" s="169">
        <v>3</v>
      </c>
      <c r="Y87" s="23" t="s">
        <v>120</v>
      </c>
      <c r="Z87" s="22"/>
      <c r="AA87" s="22"/>
      <c r="AB87" s="22"/>
      <c r="AC87" s="22"/>
      <c r="AD87" s="22"/>
      <c r="AE87" s="24"/>
      <c r="AF87" s="24" t="s">
        <v>2041</v>
      </c>
      <c r="AG87" s="22"/>
      <c r="AH87" s="23">
        <v>901032</v>
      </c>
      <c r="AJ87" s="26"/>
      <c r="AK87" s="27">
        <v>1100</v>
      </c>
      <c r="AL87" s="27"/>
      <c r="AO87" s="28" t="s">
        <v>1956</v>
      </c>
      <c r="AP87" s="23" t="s">
        <v>1958</v>
      </c>
      <c r="AQ87" s="23"/>
      <c r="AR87" s="23"/>
      <c r="AS87" s="23"/>
      <c r="AW87" s="27"/>
      <c r="AX87" s="27"/>
      <c r="AY87" s="27"/>
      <c r="BB87" s="28" t="s">
        <v>1956</v>
      </c>
      <c r="BC87" s="23" t="s">
        <v>1958</v>
      </c>
      <c r="BD87" s="23"/>
      <c r="BE87" s="23"/>
      <c r="BF87" s="23"/>
      <c r="BJ87" s="27"/>
      <c r="BK87" s="27"/>
      <c r="BL87" s="27"/>
      <c r="BO87" s="28" t="s">
        <v>1956</v>
      </c>
      <c r="BP87" s="23" t="s">
        <v>1958</v>
      </c>
      <c r="BQ87" s="23"/>
      <c r="BR87" s="23"/>
      <c r="BS87" s="23"/>
      <c r="BW87" s="27"/>
      <c r="BX87" s="27"/>
      <c r="BY87" s="27"/>
      <c r="CB87" s="28" t="s">
        <v>1956</v>
      </c>
      <c r="CC87" s="23" t="s">
        <v>1958</v>
      </c>
      <c r="CD87" s="23"/>
      <c r="CE87" s="23"/>
      <c r="CF87" s="23"/>
      <c r="CH87" s="29"/>
      <c r="CI87" s="23" t="s">
        <v>397</v>
      </c>
      <c r="CJ87" s="28">
        <v>32</v>
      </c>
      <c r="DD87" s="23" t="s">
        <v>3</v>
      </c>
    </row>
    <row r="88" spans="1:108" x14ac:dyDescent="0.2">
      <c r="A88" s="18">
        <v>905</v>
      </c>
      <c r="B88" s="19">
        <v>3</v>
      </c>
      <c r="C88" s="19">
        <f t="shared" si="1"/>
        <v>9050003</v>
      </c>
      <c r="D88" s="19" t="s">
        <v>1705</v>
      </c>
      <c r="E88" s="20" t="s">
        <v>1669</v>
      </c>
      <c r="I88" s="21" t="s">
        <v>1670</v>
      </c>
      <c r="J88" s="21"/>
      <c r="K88" s="21"/>
      <c r="L88" s="21"/>
      <c r="M88" s="21"/>
      <c r="N88" s="22" t="s">
        <v>1671</v>
      </c>
      <c r="O88" s="22" t="s">
        <v>1674</v>
      </c>
      <c r="P88" s="22"/>
      <c r="Q88" s="22" t="s">
        <v>2041</v>
      </c>
      <c r="R88" s="22"/>
      <c r="S88" s="22"/>
      <c r="T88" s="22" t="s">
        <v>2225</v>
      </c>
      <c r="U88" s="116" t="s">
        <v>2140</v>
      </c>
      <c r="V88" s="22" t="s">
        <v>1813</v>
      </c>
      <c r="W88" s="169">
        <v>3</v>
      </c>
      <c r="X88" s="169">
        <v>3</v>
      </c>
      <c r="Y88" s="23" t="s">
        <v>120</v>
      </c>
      <c r="Z88" s="22"/>
      <c r="AA88" s="22"/>
      <c r="AB88" s="22"/>
      <c r="AC88" s="22"/>
      <c r="AD88" s="22"/>
      <c r="AE88" s="24"/>
      <c r="AF88" s="24" t="s">
        <v>2041</v>
      </c>
      <c r="AG88" s="22"/>
      <c r="AH88" s="23">
        <v>901041</v>
      </c>
      <c r="AJ88" s="26"/>
      <c r="AK88" s="27">
        <v>1200</v>
      </c>
      <c r="AL88" s="27"/>
      <c r="AO88" s="28" t="s">
        <v>1956</v>
      </c>
      <c r="AP88" s="23" t="s">
        <v>1959</v>
      </c>
      <c r="AQ88" s="23"/>
      <c r="AR88" s="23"/>
      <c r="AS88" s="23"/>
      <c r="AW88" s="27"/>
      <c r="AX88" s="27"/>
      <c r="AY88" s="27"/>
      <c r="BB88" s="28" t="s">
        <v>1956</v>
      </c>
      <c r="BC88" s="23" t="s">
        <v>1959</v>
      </c>
      <c r="BD88" s="23"/>
      <c r="BE88" s="23"/>
      <c r="BF88" s="23"/>
      <c r="BJ88" s="27"/>
      <c r="BK88" s="27"/>
      <c r="BL88" s="27"/>
      <c r="BO88" s="28" t="s">
        <v>1956</v>
      </c>
      <c r="BP88" s="23" t="s">
        <v>1959</v>
      </c>
      <c r="BQ88" s="23"/>
      <c r="BR88" s="23"/>
      <c r="BS88" s="23"/>
      <c r="BW88" s="27"/>
      <c r="BX88" s="27"/>
      <c r="BY88" s="27"/>
      <c r="CB88" s="28" t="s">
        <v>1956</v>
      </c>
      <c r="CC88" s="23" t="s">
        <v>1959</v>
      </c>
      <c r="CD88" s="23"/>
      <c r="CE88" s="23"/>
      <c r="CF88" s="23"/>
      <c r="CH88" s="29"/>
      <c r="CI88" s="23" t="s">
        <v>397</v>
      </c>
      <c r="CJ88" s="28">
        <v>36</v>
      </c>
      <c r="DD88" s="23" t="s">
        <v>3</v>
      </c>
    </row>
    <row r="89" spans="1:108" x14ac:dyDescent="0.2">
      <c r="A89" s="18">
        <v>905</v>
      </c>
      <c r="B89" s="19">
        <v>4</v>
      </c>
      <c r="C89" s="19">
        <f t="shared" si="1"/>
        <v>9050004</v>
      </c>
      <c r="D89" s="19" t="s">
        <v>1706</v>
      </c>
      <c r="E89" s="20" t="s">
        <v>1669</v>
      </c>
      <c r="I89" s="21" t="s">
        <v>1670</v>
      </c>
      <c r="J89" s="21"/>
      <c r="K89" s="21"/>
      <c r="L89" s="21"/>
      <c r="M89" s="21"/>
      <c r="N89" s="22" t="s">
        <v>1671</v>
      </c>
      <c r="O89" s="22" t="s">
        <v>1674</v>
      </c>
      <c r="P89" s="22"/>
      <c r="Q89" s="22" t="s">
        <v>2041</v>
      </c>
      <c r="R89" s="22"/>
      <c r="S89" s="22"/>
      <c r="T89" s="22" t="s">
        <v>2225</v>
      </c>
      <c r="U89" s="116" t="s">
        <v>2141</v>
      </c>
      <c r="V89" s="22" t="s">
        <v>1813</v>
      </c>
      <c r="W89" s="169">
        <v>3</v>
      </c>
      <c r="X89" s="169">
        <v>3</v>
      </c>
      <c r="Y89" s="23" t="s">
        <v>120</v>
      </c>
      <c r="Z89" s="22"/>
      <c r="AA89" s="22"/>
      <c r="AB89" s="22"/>
      <c r="AC89" s="22"/>
      <c r="AD89" s="22"/>
      <c r="AE89" s="24"/>
      <c r="AF89" s="24" t="s">
        <v>2041</v>
      </c>
      <c r="AG89" s="22"/>
      <c r="AH89" s="23" t="s">
        <v>1790</v>
      </c>
      <c r="AJ89" s="26"/>
      <c r="AK89" s="27">
        <v>1300</v>
      </c>
      <c r="AL89" s="27"/>
      <c r="AO89" s="28" t="s">
        <v>1956</v>
      </c>
      <c r="AP89" s="23" t="s">
        <v>1960</v>
      </c>
      <c r="AQ89" s="23"/>
      <c r="AR89" s="23"/>
      <c r="AS89" s="23"/>
      <c r="AW89" s="27"/>
      <c r="AX89" s="27"/>
      <c r="AY89" s="27"/>
      <c r="BB89" s="28" t="s">
        <v>1956</v>
      </c>
      <c r="BC89" s="23" t="s">
        <v>1960</v>
      </c>
      <c r="BD89" s="23"/>
      <c r="BE89" s="23"/>
      <c r="BF89" s="23"/>
      <c r="BJ89" s="27"/>
      <c r="BK89" s="27"/>
      <c r="BL89" s="27"/>
      <c r="BO89" s="28" t="s">
        <v>1956</v>
      </c>
      <c r="BP89" s="23" t="s">
        <v>1960</v>
      </c>
      <c r="BQ89" s="23"/>
      <c r="BR89" s="23"/>
      <c r="BS89" s="23"/>
      <c r="BW89" s="27"/>
      <c r="BX89" s="27"/>
      <c r="BY89" s="27"/>
      <c r="CB89" s="28" t="s">
        <v>1956</v>
      </c>
      <c r="CC89" s="23" t="s">
        <v>1960</v>
      </c>
      <c r="CD89" s="23"/>
      <c r="CE89" s="23"/>
      <c r="CF89" s="23"/>
      <c r="CH89" s="29"/>
      <c r="CI89" s="23" t="s">
        <v>397</v>
      </c>
      <c r="CJ89" s="28">
        <v>36</v>
      </c>
      <c r="DD89" s="23" t="s">
        <v>3</v>
      </c>
    </row>
    <row r="90" spans="1:108" x14ac:dyDescent="0.2">
      <c r="A90" s="18">
        <v>905</v>
      </c>
      <c r="B90" s="19">
        <v>5</v>
      </c>
      <c r="C90" s="19">
        <f t="shared" si="1"/>
        <v>9050005</v>
      </c>
      <c r="D90" s="19" t="s">
        <v>1707</v>
      </c>
      <c r="E90" s="20" t="s">
        <v>1669</v>
      </c>
      <c r="I90" s="21" t="s">
        <v>1670</v>
      </c>
      <c r="J90" s="21"/>
      <c r="K90" s="21"/>
      <c r="L90" s="21"/>
      <c r="M90" s="21"/>
      <c r="N90" s="22" t="s">
        <v>1671</v>
      </c>
      <c r="O90" s="22" t="s">
        <v>1674</v>
      </c>
      <c r="P90" s="22"/>
      <c r="Q90" s="22" t="s">
        <v>2041</v>
      </c>
      <c r="R90" s="22"/>
      <c r="S90" s="22"/>
      <c r="T90" s="22" t="s">
        <v>2225</v>
      </c>
      <c r="U90" s="116" t="s">
        <v>2142</v>
      </c>
      <c r="V90" s="22" t="s">
        <v>1813</v>
      </c>
      <c r="W90" s="169">
        <v>3</v>
      </c>
      <c r="X90" s="169">
        <v>3</v>
      </c>
      <c r="Y90" s="23" t="s">
        <v>120</v>
      </c>
      <c r="Z90" s="22"/>
      <c r="AA90" s="22"/>
      <c r="AB90" s="22"/>
      <c r="AC90" s="22"/>
      <c r="AD90" s="22"/>
      <c r="AE90" s="24"/>
      <c r="AF90" s="24" t="s">
        <v>2041</v>
      </c>
      <c r="AG90" s="22"/>
      <c r="AH90" s="23" t="s">
        <v>1791</v>
      </c>
      <c r="AJ90" s="26"/>
      <c r="AK90" s="27">
        <v>1400</v>
      </c>
      <c r="AL90" s="27"/>
      <c r="AO90" s="28" t="s">
        <v>1956</v>
      </c>
      <c r="AP90" s="23" t="s">
        <v>1961</v>
      </c>
      <c r="AQ90" s="23"/>
      <c r="AR90" s="23"/>
      <c r="AS90" s="23"/>
      <c r="AW90" s="27"/>
      <c r="AX90" s="27"/>
      <c r="AY90" s="27"/>
      <c r="BB90" s="28" t="s">
        <v>1956</v>
      </c>
      <c r="BC90" s="23" t="s">
        <v>1961</v>
      </c>
      <c r="BD90" s="23"/>
      <c r="BE90" s="23"/>
      <c r="BF90" s="23"/>
      <c r="BJ90" s="27"/>
      <c r="BK90" s="27"/>
      <c r="BL90" s="27"/>
      <c r="BO90" s="28" t="s">
        <v>1956</v>
      </c>
      <c r="BP90" s="23" t="s">
        <v>1961</v>
      </c>
      <c r="BQ90" s="23"/>
      <c r="BR90" s="23"/>
      <c r="BS90" s="23"/>
      <c r="BW90" s="27"/>
      <c r="BX90" s="27"/>
      <c r="BY90" s="27"/>
      <c r="CB90" s="28" t="s">
        <v>1956</v>
      </c>
      <c r="CC90" s="23" t="s">
        <v>1961</v>
      </c>
      <c r="CD90" s="23"/>
      <c r="CE90" s="23"/>
      <c r="CF90" s="23"/>
      <c r="CH90" s="29"/>
      <c r="CI90" s="23" t="s">
        <v>397</v>
      </c>
      <c r="CJ90" s="28">
        <v>40</v>
      </c>
      <c r="DD90" s="23" t="s">
        <v>3</v>
      </c>
    </row>
    <row r="91" spans="1:108" x14ac:dyDescent="0.2">
      <c r="A91" s="18">
        <v>905</v>
      </c>
      <c r="B91" s="19">
        <v>6</v>
      </c>
      <c r="C91" s="19">
        <f t="shared" si="1"/>
        <v>9050006</v>
      </c>
      <c r="D91" s="19" t="s">
        <v>1708</v>
      </c>
      <c r="E91" s="20" t="s">
        <v>1669</v>
      </c>
      <c r="I91" s="21" t="s">
        <v>1670</v>
      </c>
      <c r="J91" s="21"/>
      <c r="K91" s="21"/>
      <c r="L91" s="21"/>
      <c r="M91" s="21"/>
      <c r="N91" s="22" t="s">
        <v>1671</v>
      </c>
      <c r="O91" s="22" t="s">
        <v>1674</v>
      </c>
      <c r="P91" s="22"/>
      <c r="Q91" s="22" t="s">
        <v>2041</v>
      </c>
      <c r="R91" s="22"/>
      <c r="S91" s="22"/>
      <c r="T91" s="22" t="s">
        <v>2225</v>
      </c>
      <c r="U91" s="116" t="s">
        <v>2143</v>
      </c>
      <c r="V91" s="22" t="s">
        <v>1813</v>
      </c>
      <c r="W91" s="169">
        <v>3</v>
      </c>
      <c r="X91" s="169">
        <v>3</v>
      </c>
      <c r="Y91" s="23" t="s">
        <v>120</v>
      </c>
      <c r="Z91" s="22"/>
      <c r="AA91" s="22"/>
      <c r="AB91" s="22"/>
      <c r="AC91" s="22"/>
      <c r="AD91" s="22"/>
      <c r="AE91" s="24"/>
      <c r="AF91" s="24" t="s">
        <v>2041</v>
      </c>
      <c r="AG91" s="22"/>
      <c r="AH91" s="23" t="s">
        <v>1792</v>
      </c>
      <c r="AJ91" s="26"/>
      <c r="AK91" s="27">
        <v>1500</v>
      </c>
      <c r="AL91" s="27"/>
      <c r="AO91" s="28" t="s">
        <v>1956</v>
      </c>
      <c r="AP91" s="23" t="s">
        <v>1962</v>
      </c>
      <c r="AQ91" s="23"/>
      <c r="AR91" s="23"/>
      <c r="AS91" s="23"/>
      <c r="AW91" s="27"/>
      <c r="AX91" s="27"/>
      <c r="AY91" s="27"/>
      <c r="BB91" s="28" t="s">
        <v>1956</v>
      </c>
      <c r="BC91" s="23" t="s">
        <v>1962</v>
      </c>
      <c r="BD91" s="23"/>
      <c r="BE91" s="23"/>
      <c r="BF91" s="23"/>
      <c r="BJ91" s="27"/>
      <c r="BK91" s="27"/>
      <c r="BL91" s="27"/>
      <c r="BO91" s="28" t="s">
        <v>1956</v>
      </c>
      <c r="BP91" s="23" t="s">
        <v>1962</v>
      </c>
      <c r="BQ91" s="23"/>
      <c r="BR91" s="23"/>
      <c r="BS91" s="23"/>
      <c r="BW91" s="27"/>
      <c r="BX91" s="27"/>
      <c r="BY91" s="27"/>
      <c r="CB91" s="28" t="s">
        <v>1956</v>
      </c>
      <c r="CC91" s="23" t="s">
        <v>1962</v>
      </c>
      <c r="CD91" s="23"/>
      <c r="CE91" s="23"/>
      <c r="CF91" s="23"/>
      <c r="CH91" s="29"/>
      <c r="CI91" s="23" t="s">
        <v>397</v>
      </c>
      <c r="CJ91" s="28">
        <v>40</v>
      </c>
      <c r="DD91" s="23" t="s">
        <v>3</v>
      </c>
    </row>
    <row r="92" spans="1:108" x14ac:dyDescent="0.2">
      <c r="A92" s="18">
        <v>905</v>
      </c>
      <c r="B92" s="19">
        <v>7</v>
      </c>
      <c r="C92" s="19">
        <f t="shared" si="1"/>
        <v>9050007</v>
      </c>
      <c r="D92" s="19" t="s">
        <v>1709</v>
      </c>
      <c r="E92" s="20" t="s">
        <v>1669</v>
      </c>
      <c r="I92" s="21" t="s">
        <v>1670</v>
      </c>
      <c r="J92" s="21"/>
      <c r="K92" s="21"/>
      <c r="L92" s="21"/>
      <c r="M92" s="21"/>
      <c r="N92" s="22" t="s">
        <v>1671</v>
      </c>
      <c r="O92" s="22" t="s">
        <v>1674</v>
      </c>
      <c r="P92" s="22"/>
      <c r="Q92" s="22" t="s">
        <v>2041</v>
      </c>
      <c r="R92" s="22"/>
      <c r="S92" s="22"/>
      <c r="T92" s="22" t="s">
        <v>2225</v>
      </c>
      <c r="U92" s="116" t="s">
        <v>2144</v>
      </c>
      <c r="V92" s="22" t="s">
        <v>1813</v>
      </c>
      <c r="W92" s="169">
        <v>3</v>
      </c>
      <c r="X92" s="169">
        <v>3</v>
      </c>
      <c r="Y92" s="23" t="s">
        <v>120</v>
      </c>
      <c r="Z92" s="22"/>
      <c r="AA92" s="22"/>
      <c r="AB92" s="22"/>
      <c r="AC92" s="22"/>
      <c r="AD92" s="22"/>
      <c r="AE92" s="24"/>
      <c r="AF92" s="24" t="s">
        <v>2041</v>
      </c>
      <c r="AG92" s="22"/>
      <c r="AH92" s="23" t="s">
        <v>1793</v>
      </c>
      <c r="AJ92" s="26"/>
      <c r="AK92" s="27">
        <v>1600</v>
      </c>
      <c r="AL92" s="27"/>
      <c r="AO92" s="28" t="s">
        <v>1956</v>
      </c>
      <c r="AP92" s="23" t="s">
        <v>1963</v>
      </c>
      <c r="AQ92" s="23"/>
      <c r="AR92" s="23"/>
      <c r="AS92" s="23"/>
      <c r="AW92" s="27"/>
      <c r="AX92" s="27"/>
      <c r="AY92" s="27"/>
      <c r="BB92" s="28" t="s">
        <v>1956</v>
      </c>
      <c r="BC92" s="23" t="s">
        <v>1963</v>
      </c>
      <c r="BD92" s="23"/>
      <c r="BE92" s="23"/>
      <c r="BF92" s="23"/>
      <c r="BJ92" s="27"/>
      <c r="BK92" s="27"/>
      <c r="BL92" s="27"/>
      <c r="BO92" s="28" t="s">
        <v>1956</v>
      </c>
      <c r="BP92" s="23" t="s">
        <v>1963</v>
      </c>
      <c r="BQ92" s="23"/>
      <c r="BR92" s="23"/>
      <c r="BS92" s="23"/>
      <c r="BW92" s="27"/>
      <c r="BX92" s="27"/>
      <c r="BY92" s="27"/>
      <c r="CB92" s="28" t="s">
        <v>1956</v>
      </c>
      <c r="CC92" s="23" t="s">
        <v>1963</v>
      </c>
      <c r="CD92" s="23"/>
      <c r="CE92" s="23"/>
      <c r="CF92" s="23"/>
      <c r="CH92" s="29"/>
      <c r="CI92" s="23" t="s">
        <v>397</v>
      </c>
      <c r="CJ92" s="28">
        <v>48</v>
      </c>
      <c r="DD92" s="23" t="s">
        <v>3</v>
      </c>
    </row>
    <row r="93" spans="1:108" x14ac:dyDescent="0.2">
      <c r="A93" s="18">
        <v>905</v>
      </c>
      <c r="B93" s="19">
        <v>8</v>
      </c>
      <c r="C93" s="19">
        <f t="shared" si="1"/>
        <v>9050008</v>
      </c>
      <c r="D93" s="19" t="s">
        <v>1710</v>
      </c>
      <c r="E93" s="20" t="s">
        <v>1669</v>
      </c>
      <c r="I93" s="21" t="s">
        <v>1670</v>
      </c>
      <c r="J93" s="21"/>
      <c r="K93" s="21"/>
      <c r="L93" s="21"/>
      <c r="M93" s="21"/>
      <c r="N93" s="22" t="s">
        <v>1671</v>
      </c>
      <c r="O93" s="22" t="s">
        <v>1674</v>
      </c>
      <c r="P93" s="22"/>
      <c r="Q93" s="22" t="s">
        <v>2041</v>
      </c>
      <c r="R93" s="22"/>
      <c r="S93" s="22"/>
      <c r="T93" s="22" t="s">
        <v>2225</v>
      </c>
      <c r="U93" s="116" t="s">
        <v>2145</v>
      </c>
      <c r="V93" s="22" t="s">
        <v>1813</v>
      </c>
      <c r="W93" s="169">
        <v>3</v>
      </c>
      <c r="X93" s="169">
        <v>3</v>
      </c>
      <c r="Y93" s="23" t="s">
        <v>120</v>
      </c>
      <c r="Z93" s="22"/>
      <c r="AA93" s="22"/>
      <c r="AB93" s="22"/>
      <c r="AC93" s="22"/>
      <c r="AD93" s="22"/>
      <c r="AE93" s="24"/>
      <c r="AF93" s="24" t="s">
        <v>2041</v>
      </c>
      <c r="AG93" s="22"/>
      <c r="AH93" s="23" t="s">
        <v>1794</v>
      </c>
      <c r="AJ93" s="26"/>
      <c r="AK93" s="27">
        <v>1700</v>
      </c>
      <c r="AL93" s="27"/>
      <c r="AO93" s="28" t="s">
        <v>1956</v>
      </c>
      <c r="AP93" s="23" t="s">
        <v>1964</v>
      </c>
      <c r="AQ93" s="23"/>
      <c r="AR93" s="23"/>
      <c r="AS93" s="23"/>
      <c r="AW93" s="27"/>
      <c r="AX93" s="27"/>
      <c r="AY93" s="27"/>
      <c r="BB93" s="28" t="s">
        <v>1956</v>
      </c>
      <c r="BC93" s="23" t="s">
        <v>1964</v>
      </c>
      <c r="BD93" s="23"/>
      <c r="BE93" s="23"/>
      <c r="BF93" s="23"/>
      <c r="BJ93" s="27"/>
      <c r="BK93" s="27"/>
      <c r="BL93" s="27"/>
      <c r="BO93" s="28" t="s">
        <v>1956</v>
      </c>
      <c r="BP93" s="23" t="s">
        <v>1964</v>
      </c>
      <c r="BQ93" s="23"/>
      <c r="BR93" s="23"/>
      <c r="BS93" s="23"/>
      <c r="BW93" s="27"/>
      <c r="BX93" s="27"/>
      <c r="BY93" s="27"/>
      <c r="CB93" s="28" t="s">
        <v>1956</v>
      </c>
      <c r="CC93" s="23" t="s">
        <v>1964</v>
      </c>
      <c r="CD93" s="23"/>
      <c r="CE93" s="23"/>
      <c r="CF93" s="23"/>
      <c r="CH93" s="29"/>
      <c r="CI93" s="23" t="s">
        <v>397</v>
      </c>
      <c r="CJ93" s="28">
        <v>48</v>
      </c>
      <c r="DD93" s="23" t="s">
        <v>3</v>
      </c>
    </row>
    <row r="94" spans="1:108" x14ac:dyDescent="0.2">
      <c r="A94" s="18">
        <v>905</v>
      </c>
      <c r="B94" s="19">
        <v>9</v>
      </c>
      <c r="C94" s="19">
        <f t="shared" si="1"/>
        <v>9050009</v>
      </c>
      <c r="D94" s="19" t="s">
        <v>1711</v>
      </c>
      <c r="E94" s="20" t="s">
        <v>1669</v>
      </c>
      <c r="I94" s="21" t="s">
        <v>1670</v>
      </c>
      <c r="J94" s="21"/>
      <c r="K94" s="21"/>
      <c r="L94" s="21"/>
      <c r="M94" s="21"/>
      <c r="N94" s="22" t="s">
        <v>1671</v>
      </c>
      <c r="O94" s="22" t="s">
        <v>1674</v>
      </c>
      <c r="P94" s="22"/>
      <c r="Q94" s="22" t="s">
        <v>2041</v>
      </c>
      <c r="R94" s="22"/>
      <c r="S94" s="22"/>
      <c r="T94" s="22" t="s">
        <v>2225</v>
      </c>
      <c r="U94" s="116" t="s">
        <v>2146</v>
      </c>
      <c r="V94" s="22" t="s">
        <v>1813</v>
      </c>
      <c r="W94" s="169">
        <v>3</v>
      </c>
      <c r="X94" s="169">
        <v>3</v>
      </c>
      <c r="Y94" s="23" t="s">
        <v>120</v>
      </c>
      <c r="Z94" s="22"/>
      <c r="AA94" s="22"/>
      <c r="AB94" s="22"/>
      <c r="AC94" s="22"/>
      <c r="AD94" s="22"/>
      <c r="AE94" s="24"/>
      <c r="AF94" s="24" t="s">
        <v>2041</v>
      </c>
      <c r="AG94" s="22"/>
      <c r="AH94" s="23" t="s">
        <v>1795</v>
      </c>
      <c r="AJ94" s="26"/>
      <c r="AK94" s="27">
        <v>1800</v>
      </c>
      <c r="AL94" s="27"/>
      <c r="AO94" s="28" t="s">
        <v>1956</v>
      </c>
      <c r="AP94" s="23" t="s">
        <v>1965</v>
      </c>
      <c r="AQ94" s="23"/>
      <c r="AR94" s="23"/>
      <c r="AS94" s="23"/>
      <c r="AW94" s="27"/>
      <c r="AX94" s="27"/>
      <c r="AY94" s="27"/>
      <c r="BB94" s="28" t="s">
        <v>1956</v>
      </c>
      <c r="BC94" s="23" t="s">
        <v>1965</v>
      </c>
      <c r="BD94" s="23"/>
      <c r="BE94" s="23"/>
      <c r="BF94" s="23"/>
      <c r="BJ94" s="27"/>
      <c r="BK94" s="27"/>
      <c r="BL94" s="27"/>
      <c r="BO94" s="28" t="s">
        <v>1956</v>
      </c>
      <c r="BP94" s="23" t="s">
        <v>1965</v>
      </c>
      <c r="BQ94" s="23"/>
      <c r="BR94" s="23"/>
      <c r="BS94" s="23"/>
      <c r="BW94" s="27"/>
      <c r="BX94" s="27"/>
      <c r="BY94" s="27"/>
      <c r="CB94" s="28" t="s">
        <v>1956</v>
      </c>
      <c r="CC94" s="23" t="s">
        <v>1965</v>
      </c>
      <c r="CD94" s="23"/>
      <c r="CE94" s="23"/>
      <c r="CF94" s="23"/>
      <c r="CH94" s="29"/>
      <c r="CI94" s="23" t="s">
        <v>397</v>
      </c>
      <c r="CJ94" s="28">
        <v>52</v>
      </c>
      <c r="DD94" s="23" t="s">
        <v>3</v>
      </c>
    </row>
    <row r="95" spans="1:108" x14ac:dyDescent="0.2">
      <c r="A95" s="18">
        <v>905</v>
      </c>
      <c r="B95" s="19">
        <v>10</v>
      </c>
      <c r="C95" s="19">
        <f t="shared" si="1"/>
        <v>9050010</v>
      </c>
      <c r="D95" s="19" t="s">
        <v>1712</v>
      </c>
      <c r="E95" s="20" t="s">
        <v>1669</v>
      </c>
      <c r="I95" s="21" t="s">
        <v>1670</v>
      </c>
      <c r="J95" s="21"/>
      <c r="K95" s="21"/>
      <c r="L95" s="21"/>
      <c r="M95" s="21"/>
      <c r="N95" s="22" t="s">
        <v>1671</v>
      </c>
      <c r="O95" s="22" t="s">
        <v>1674</v>
      </c>
      <c r="P95" s="22"/>
      <c r="Q95" s="22" t="s">
        <v>2041</v>
      </c>
      <c r="R95" s="22"/>
      <c r="S95" s="22"/>
      <c r="T95" s="22" t="s">
        <v>2225</v>
      </c>
      <c r="U95" s="116" t="s">
        <v>2147</v>
      </c>
      <c r="V95" s="22" t="s">
        <v>1813</v>
      </c>
      <c r="W95" s="169">
        <v>3</v>
      </c>
      <c r="X95" s="169">
        <v>3</v>
      </c>
      <c r="Y95" s="23" t="s">
        <v>120</v>
      </c>
      <c r="Z95" s="22"/>
      <c r="AA95" s="22"/>
      <c r="AB95" s="22"/>
      <c r="AC95" s="22"/>
      <c r="AD95" s="22"/>
      <c r="AE95" s="24"/>
      <c r="AF95" s="24" t="s">
        <v>2041</v>
      </c>
      <c r="AG95" s="22"/>
      <c r="AH95" s="23" t="s">
        <v>1796</v>
      </c>
      <c r="AJ95" s="26"/>
      <c r="AK95" s="27">
        <v>1900</v>
      </c>
      <c r="AL95" s="27"/>
      <c r="AO95" s="28" t="s">
        <v>1956</v>
      </c>
      <c r="AP95" s="23" t="s">
        <v>1966</v>
      </c>
      <c r="AQ95" s="23"/>
      <c r="AR95" s="23"/>
      <c r="AS95" s="23"/>
      <c r="AW95" s="27"/>
      <c r="AX95" s="27"/>
      <c r="AY95" s="27"/>
      <c r="BB95" s="28" t="s">
        <v>1956</v>
      </c>
      <c r="BC95" s="23" t="s">
        <v>1966</v>
      </c>
      <c r="BD95" s="23"/>
      <c r="BE95" s="23"/>
      <c r="BF95" s="23"/>
      <c r="BJ95" s="27"/>
      <c r="BK95" s="27"/>
      <c r="BL95" s="27"/>
      <c r="BO95" s="28" t="s">
        <v>1956</v>
      </c>
      <c r="BP95" s="23" t="s">
        <v>1966</v>
      </c>
      <c r="BQ95" s="23"/>
      <c r="BR95" s="23"/>
      <c r="BS95" s="23"/>
      <c r="BW95" s="27"/>
      <c r="BX95" s="27"/>
      <c r="BY95" s="27"/>
      <c r="CB95" s="28" t="s">
        <v>1956</v>
      </c>
      <c r="CC95" s="23" t="s">
        <v>1966</v>
      </c>
      <c r="CD95" s="23"/>
      <c r="CE95" s="23"/>
      <c r="CF95" s="23"/>
      <c r="CH95" s="29"/>
      <c r="CI95" s="23" t="s">
        <v>397</v>
      </c>
      <c r="CJ95" s="28">
        <v>52</v>
      </c>
      <c r="DD95" s="23" t="s">
        <v>3</v>
      </c>
    </row>
    <row r="96" spans="1:108" x14ac:dyDescent="0.2">
      <c r="A96" s="18">
        <v>905</v>
      </c>
      <c r="B96" s="19">
        <v>11</v>
      </c>
      <c r="C96" s="19">
        <f t="shared" si="1"/>
        <v>9050011</v>
      </c>
      <c r="D96" s="19" t="s">
        <v>1713</v>
      </c>
      <c r="E96" s="20" t="s">
        <v>1669</v>
      </c>
      <c r="I96" s="21" t="s">
        <v>1670</v>
      </c>
      <c r="J96" s="21"/>
      <c r="K96" s="21"/>
      <c r="L96" s="21"/>
      <c r="M96" s="21"/>
      <c r="N96" s="22" t="s">
        <v>1671</v>
      </c>
      <c r="O96" s="22" t="s">
        <v>1674</v>
      </c>
      <c r="P96" s="22"/>
      <c r="Q96" s="22" t="s">
        <v>2041</v>
      </c>
      <c r="R96" s="22"/>
      <c r="S96" s="22"/>
      <c r="T96" s="22" t="s">
        <v>2225</v>
      </c>
      <c r="U96" s="116" t="s">
        <v>2148</v>
      </c>
      <c r="V96" s="22" t="s">
        <v>1813</v>
      </c>
      <c r="W96" s="169">
        <v>3</v>
      </c>
      <c r="X96" s="169">
        <v>3</v>
      </c>
      <c r="Y96" s="23" t="s">
        <v>120</v>
      </c>
      <c r="Z96" s="22"/>
      <c r="AA96" s="22"/>
      <c r="AB96" s="22"/>
      <c r="AC96" s="22"/>
      <c r="AD96" s="22"/>
      <c r="AE96" s="24"/>
      <c r="AF96" s="24" t="s">
        <v>2041</v>
      </c>
      <c r="AG96" s="22"/>
      <c r="AH96" s="23" t="s">
        <v>1797</v>
      </c>
      <c r="AJ96" s="26"/>
      <c r="AK96" s="27">
        <v>2000</v>
      </c>
      <c r="AL96" s="27"/>
      <c r="AO96" s="28" t="s">
        <v>1956</v>
      </c>
      <c r="AP96" s="23" t="s">
        <v>1967</v>
      </c>
      <c r="AQ96" s="23"/>
      <c r="AR96" s="23"/>
      <c r="AS96" s="23"/>
      <c r="AW96" s="27"/>
      <c r="AX96" s="27"/>
      <c r="AY96" s="27"/>
      <c r="BB96" s="28" t="s">
        <v>1956</v>
      </c>
      <c r="BC96" s="23" t="s">
        <v>1967</v>
      </c>
      <c r="BD96" s="23"/>
      <c r="BE96" s="23"/>
      <c r="BF96" s="23"/>
      <c r="BJ96" s="27"/>
      <c r="BK96" s="27"/>
      <c r="BL96" s="27"/>
      <c r="BO96" s="28" t="s">
        <v>1956</v>
      </c>
      <c r="BP96" s="23" t="s">
        <v>1967</v>
      </c>
      <c r="BQ96" s="23"/>
      <c r="BR96" s="23"/>
      <c r="BS96" s="23"/>
      <c r="BW96" s="27"/>
      <c r="BX96" s="27"/>
      <c r="BY96" s="27"/>
      <c r="CB96" s="28" t="s">
        <v>1956</v>
      </c>
      <c r="CC96" s="23" t="s">
        <v>1967</v>
      </c>
      <c r="CD96" s="23"/>
      <c r="CE96" s="23"/>
      <c r="CF96" s="23"/>
      <c r="CH96" s="29"/>
      <c r="CI96" s="23" t="s">
        <v>397</v>
      </c>
      <c r="CJ96" s="28">
        <v>56</v>
      </c>
      <c r="DD96" s="23" t="s">
        <v>3</v>
      </c>
    </row>
    <row r="97" spans="1:108" x14ac:dyDescent="0.2">
      <c r="A97" s="18">
        <v>905</v>
      </c>
      <c r="B97" s="19">
        <v>12</v>
      </c>
      <c r="C97" s="19">
        <f t="shared" si="1"/>
        <v>9050012</v>
      </c>
      <c r="D97" s="19" t="s">
        <v>1714</v>
      </c>
      <c r="E97" s="20" t="s">
        <v>1669</v>
      </c>
      <c r="I97" s="21" t="s">
        <v>1670</v>
      </c>
      <c r="J97" s="21"/>
      <c r="K97" s="21"/>
      <c r="L97" s="21"/>
      <c r="M97" s="21"/>
      <c r="N97" s="22" t="s">
        <v>1671</v>
      </c>
      <c r="O97" s="22" t="s">
        <v>1674</v>
      </c>
      <c r="P97" s="22"/>
      <c r="Q97" s="22" t="s">
        <v>2041</v>
      </c>
      <c r="R97" s="22"/>
      <c r="S97" s="22"/>
      <c r="T97" s="22" t="s">
        <v>2225</v>
      </c>
      <c r="U97" s="116" t="s">
        <v>2149</v>
      </c>
      <c r="V97" s="22" t="s">
        <v>1813</v>
      </c>
      <c r="W97" s="169">
        <v>3</v>
      </c>
      <c r="X97" s="169">
        <v>3</v>
      </c>
      <c r="Y97" s="23" t="s">
        <v>120</v>
      </c>
      <c r="Z97" s="22"/>
      <c r="AA97" s="22"/>
      <c r="AB97" s="22"/>
      <c r="AC97" s="22"/>
      <c r="AD97" s="22"/>
      <c r="AE97" s="24"/>
      <c r="AF97" s="24" t="s">
        <v>2041</v>
      </c>
      <c r="AG97" s="22"/>
      <c r="AH97" s="23" t="s">
        <v>1798</v>
      </c>
      <c r="AJ97" s="26"/>
      <c r="AK97" s="27">
        <v>2100</v>
      </c>
      <c r="AL97" s="27"/>
      <c r="AO97" s="28" t="s">
        <v>1956</v>
      </c>
      <c r="AP97" s="23" t="s">
        <v>1968</v>
      </c>
      <c r="AQ97" s="23"/>
      <c r="AR97" s="23"/>
      <c r="AS97" s="23"/>
      <c r="AW97" s="27"/>
      <c r="AX97" s="27"/>
      <c r="AY97" s="27"/>
      <c r="BB97" s="28" t="s">
        <v>1956</v>
      </c>
      <c r="BC97" s="23" t="s">
        <v>1968</v>
      </c>
      <c r="BD97" s="23"/>
      <c r="BE97" s="23"/>
      <c r="BF97" s="23"/>
      <c r="BJ97" s="27"/>
      <c r="BK97" s="27"/>
      <c r="BL97" s="27"/>
      <c r="BO97" s="28" t="s">
        <v>1956</v>
      </c>
      <c r="BP97" s="23" t="s">
        <v>1968</v>
      </c>
      <c r="BQ97" s="23"/>
      <c r="BR97" s="23"/>
      <c r="BS97" s="23"/>
      <c r="BW97" s="27"/>
      <c r="BX97" s="27"/>
      <c r="BY97" s="27"/>
      <c r="CB97" s="28" t="s">
        <v>1956</v>
      </c>
      <c r="CC97" s="23" t="s">
        <v>1968</v>
      </c>
      <c r="CD97" s="23"/>
      <c r="CE97" s="23"/>
      <c r="CF97" s="23"/>
      <c r="CH97" s="29"/>
      <c r="CI97" s="23" t="s">
        <v>397</v>
      </c>
      <c r="CJ97" s="28">
        <v>60</v>
      </c>
      <c r="DD97" s="23" t="s">
        <v>3</v>
      </c>
    </row>
    <row r="98" spans="1:108" x14ac:dyDescent="0.2">
      <c r="A98" s="18">
        <v>905</v>
      </c>
      <c r="B98" s="19">
        <v>13</v>
      </c>
      <c r="C98" s="19">
        <f t="shared" si="1"/>
        <v>9050013</v>
      </c>
      <c r="D98" s="19" t="s">
        <v>1715</v>
      </c>
      <c r="E98" s="20" t="s">
        <v>1669</v>
      </c>
      <c r="I98" s="21" t="s">
        <v>1670</v>
      </c>
      <c r="J98" s="21"/>
      <c r="K98" s="21"/>
      <c r="L98" s="21"/>
      <c r="M98" s="21"/>
      <c r="N98" s="22" t="s">
        <v>1671</v>
      </c>
      <c r="O98" s="22" t="s">
        <v>1674</v>
      </c>
      <c r="P98" s="22"/>
      <c r="Q98" s="22" t="s">
        <v>2041</v>
      </c>
      <c r="R98" s="22"/>
      <c r="S98" s="22"/>
      <c r="T98" s="22" t="s">
        <v>2225</v>
      </c>
      <c r="U98" s="116" t="s">
        <v>2150</v>
      </c>
      <c r="V98" s="22" t="s">
        <v>1813</v>
      </c>
      <c r="W98" s="169">
        <v>3</v>
      </c>
      <c r="X98" s="169">
        <v>3</v>
      </c>
      <c r="Y98" s="23" t="s">
        <v>120</v>
      </c>
      <c r="Z98" s="22"/>
      <c r="AA98" s="22"/>
      <c r="AB98" s="22"/>
      <c r="AC98" s="22"/>
      <c r="AD98" s="22"/>
      <c r="AE98" s="24"/>
      <c r="AF98" s="24" t="s">
        <v>2041</v>
      </c>
      <c r="AG98" s="22"/>
      <c r="AH98" s="23" t="s">
        <v>1799</v>
      </c>
      <c r="AJ98" s="26"/>
      <c r="AK98" s="27">
        <v>2200</v>
      </c>
      <c r="AL98" s="27"/>
      <c r="AO98" s="28" t="s">
        <v>1956</v>
      </c>
      <c r="AP98" s="23" t="s">
        <v>1969</v>
      </c>
      <c r="AQ98" s="23"/>
      <c r="AR98" s="23"/>
      <c r="AS98" s="23"/>
      <c r="AW98" s="27"/>
      <c r="AX98" s="27"/>
      <c r="AY98" s="27"/>
      <c r="BB98" s="28" t="s">
        <v>1956</v>
      </c>
      <c r="BC98" s="23" t="s">
        <v>1969</v>
      </c>
      <c r="BD98" s="23"/>
      <c r="BE98" s="23"/>
      <c r="BF98" s="23"/>
      <c r="BJ98" s="27"/>
      <c r="BK98" s="27"/>
      <c r="BL98" s="27"/>
      <c r="BO98" s="28" t="s">
        <v>1956</v>
      </c>
      <c r="BP98" s="23" t="s">
        <v>1969</v>
      </c>
      <c r="BQ98" s="23"/>
      <c r="BR98" s="23"/>
      <c r="BS98" s="23"/>
      <c r="BW98" s="27"/>
      <c r="BX98" s="27"/>
      <c r="BY98" s="27"/>
      <c r="CB98" s="28" t="s">
        <v>1956</v>
      </c>
      <c r="CC98" s="23" t="s">
        <v>1969</v>
      </c>
      <c r="CD98" s="23"/>
      <c r="CE98" s="23"/>
      <c r="CF98" s="23"/>
      <c r="CH98" s="29"/>
      <c r="CI98" s="23" t="s">
        <v>397</v>
      </c>
      <c r="CJ98" s="28">
        <v>64</v>
      </c>
      <c r="DD98" s="23" t="s">
        <v>3</v>
      </c>
    </row>
    <row r="99" spans="1:108" x14ac:dyDescent="0.2">
      <c r="A99" s="18">
        <v>905</v>
      </c>
      <c r="B99" s="19">
        <v>14</v>
      </c>
      <c r="C99" s="19">
        <f t="shared" si="1"/>
        <v>9050014</v>
      </c>
      <c r="D99" s="19" t="s">
        <v>1716</v>
      </c>
      <c r="E99" s="20" t="s">
        <v>1669</v>
      </c>
      <c r="I99" s="21" t="s">
        <v>1670</v>
      </c>
      <c r="J99" s="21"/>
      <c r="K99" s="21"/>
      <c r="L99" s="21"/>
      <c r="M99" s="21"/>
      <c r="N99" s="22" t="s">
        <v>1671</v>
      </c>
      <c r="O99" s="22" t="s">
        <v>1674</v>
      </c>
      <c r="P99" s="22"/>
      <c r="Q99" s="22" t="s">
        <v>2041</v>
      </c>
      <c r="R99" s="22"/>
      <c r="S99" s="22"/>
      <c r="T99" s="22" t="s">
        <v>2225</v>
      </c>
      <c r="U99" s="116" t="s">
        <v>2151</v>
      </c>
      <c r="V99" s="22" t="s">
        <v>1813</v>
      </c>
      <c r="W99" s="169">
        <v>3</v>
      </c>
      <c r="X99" s="169">
        <v>3</v>
      </c>
      <c r="Y99" s="23" t="s">
        <v>120</v>
      </c>
      <c r="Z99" s="22"/>
      <c r="AA99" s="22"/>
      <c r="AB99" s="22"/>
      <c r="AC99" s="22"/>
      <c r="AD99" s="22"/>
      <c r="AE99" s="24"/>
      <c r="AF99" s="24" t="s">
        <v>2041</v>
      </c>
      <c r="AG99" s="22"/>
      <c r="AH99" s="23" t="s">
        <v>1800</v>
      </c>
      <c r="AJ99" s="26"/>
      <c r="AK99" s="27">
        <v>2300</v>
      </c>
      <c r="AL99" s="27"/>
      <c r="AO99" s="28" t="s">
        <v>1956</v>
      </c>
      <c r="AP99" s="23" t="s">
        <v>1970</v>
      </c>
      <c r="AQ99" s="23"/>
      <c r="AR99" s="23"/>
      <c r="AS99" s="23"/>
      <c r="AW99" s="27"/>
      <c r="AX99" s="27"/>
      <c r="AY99" s="27"/>
      <c r="BB99" s="28" t="s">
        <v>1956</v>
      </c>
      <c r="BC99" s="23" t="s">
        <v>1970</v>
      </c>
      <c r="BD99" s="23"/>
      <c r="BE99" s="23"/>
      <c r="BF99" s="23"/>
      <c r="BJ99" s="27"/>
      <c r="BK99" s="27"/>
      <c r="BL99" s="27"/>
      <c r="BO99" s="28" t="s">
        <v>1956</v>
      </c>
      <c r="BP99" s="23" t="s">
        <v>1970</v>
      </c>
      <c r="BQ99" s="23"/>
      <c r="BR99" s="23"/>
      <c r="BS99" s="23"/>
      <c r="BW99" s="27"/>
      <c r="BX99" s="27"/>
      <c r="BY99" s="27"/>
      <c r="CB99" s="28" t="s">
        <v>1956</v>
      </c>
      <c r="CC99" s="23" t="s">
        <v>1970</v>
      </c>
      <c r="CD99" s="23"/>
      <c r="CE99" s="23"/>
      <c r="CF99" s="23"/>
      <c r="CH99" s="29"/>
      <c r="CI99" s="23" t="s">
        <v>397</v>
      </c>
      <c r="CJ99" s="28">
        <v>68</v>
      </c>
      <c r="DD99" s="23" t="s">
        <v>3</v>
      </c>
    </row>
    <row r="100" spans="1:108" x14ac:dyDescent="0.2">
      <c r="A100" s="18">
        <v>905</v>
      </c>
      <c r="B100" s="19">
        <v>15</v>
      </c>
      <c r="C100" s="19">
        <f t="shared" si="1"/>
        <v>9050015</v>
      </c>
      <c r="D100" s="19" t="s">
        <v>1717</v>
      </c>
      <c r="E100" s="20" t="s">
        <v>1669</v>
      </c>
      <c r="I100" s="21" t="s">
        <v>1670</v>
      </c>
      <c r="J100" s="21"/>
      <c r="K100" s="21"/>
      <c r="L100" s="21"/>
      <c r="M100" s="21"/>
      <c r="N100" s="22" t="s">
        <v>1671</v>
      </c>
      <c r="O100" s="22" t="s">
        <v>1674</v>
      </c>
      <c r="P100" s="22"/>
      <c r="Q100" s="22" t="s">
        <v>2041</v>
      </c>
      <c r="R100" s="22"/>
      <c r="S100" s="22"/>
      <c r="T100" s="22" t="s">
        <v>2225</v>
      </c>
      <c r="U100" s="116" t="s">
        <v>2152</v>
      </c>
      <c r="V100" s="22" t="s">
        <v>1813</v>
      </c>
      <c r="W100" s="169">
        <v>3</v>
      </c>
      <c r="X100" s="169">
        <v>3</v>
      </c>
      <c r="Y100" s="23" t="s">
        <v>120</v>
      </c>
      <c r="Z100" s="22"/>
      <c r="AA100" s="22"/>
      <c r="AB100" s="22"/>
      <c r="AC100" s="22"/>
      <c r="AD100" s="22"/>
      <c r="AE100" s="24"/>
      <c r="AF100" s="24" t="s">
        <v>2041</v>
      </c>
      <c r="AG100" s="22"/>
      <c r="AH100" s="23" t="s">
        <v>1801</v>
      </c>
      <c r="AJ100" s="26"/>
      <c r="AK100" s="27">
        <v>2400</v>
      </c>
      <c r="AL100" s="27"/>
      <c r="AO100" s="28" t="s">
        <v>1956</v>
      </c>
      <c r="AP100" s="23" t="s">
        <v>1971</v>
      </c>
      <c r="AQ100" s="23"/>
      <c r="AR100" s="23"/>
      <c r="AS100" s="23"/>
      <c r="AW100" s="27"/>
      <c r="AX100" s="27"/>
      <c r="AY100" s="27"/>
      <c r="BB100" s="28" t="s">
        <v>1956</v>
      </c>
      <c r="BC100" s="23" t="s">
        <v>1971</v>
      </c>
      <c r="BD100" s="23"/>
      <c r="BE100" s="23"/>
      <c r="BF100" s="23"/>
      <c r="BJ100" s="27"/>
      <c r="BK100" s="27"/>
      <c r="BL100" s="27"/>
      <c r="BO100" s="28" t="s">
        <v>1956</v>
      </c>
      <c r="BP100" s="23" t="s">
        <v>1971</v>
      </c>
      <c r="BQ100" s="23"/>
      <c r="BR100" s="23"/>
      <c r="BS100" s="23"/>
      <c r="BW100" s="27"/>
      <c r="BX100" s="27"/>
      <c r="BY100" s="27"/>
      <c r="CB100" s="28" t="s">
        <v>1956</v>
      </c>
      <c r="CC100" s="23" t="s">
        <v>1971</v>
      </c>
      <c r="CD100" s="23"/>
      <c r="CE100" s="23"/>
      <c r="CF100" s="23"/>
      <c r="CH100" s="29"/>
      <c r="CI100" s="23" t="s">
        <v>397</v>
      </c>
      <c r="CJ100" s="28">
        <v>72</v>
      </c>
      <c r="DD100" s="23" t="s">
        <v>3</v>
      </c>
    </row>
    <row r="101" spans="1:108" x14ac:dyDescent="0.2">
      <c r="A101" s="18">
        <v>905</v>
      </c>
      <c r="B101" s="19">
        <v>16</v>
      </c>
      <c r="C101" s="19">
        <f t="shared" si="1"/>
        <v>9050016</v>
      </c>
      <c r="D101" s="19" t="s">
        <v>1718</v>
      </c>
      <c r="E101" s="20" t="s">
        <v>1669</v>
      </c>
      <c r="I101" s="21" t="s">
        <v>1670</v>
      </c>
      <c r="J101" s="21"/>
      <c r="K101" s="21"/>
      <c r="L101" s="21"/>
      <c r="M101" s="21"/>
      <c r="N101" s="22" t="s">
        <v>1671</v>
      </c>
      <c r="O101" s="22" t="s">
        <v>1674</v>
      </c>
      <c r="P101" s="22"/>
      <c r="Q101" s="22" t="s">
        <v>2041</v>
      </c>
      <c r="R101" s="22"/>
      <c r="S101" s="22"/>
      <c r="T101" s="22" t="s">
        <v>2225</v>
      </c>
      <c r="U101" s="116" t="s">
        <v>2153</v>
      </c>
      <c r="V101" s="22" t="s">
        <v>1813</v>
      </c>
      <c r="W101" s="169">
        <v>3</v>
      </c>
      <c r="X101" s="169">
        <v>3</v>
      </c>
      <c r="Y101" s="23" t="s">
        <v>120</v>
      </c>
      <c r="Z101" s="22"/>
      <c r="AA101" s="22"/>
      <c r="AB101" s="22"/>
      <c r="AC101" s="22"/>
      <c r="AD101" s="22"/>
      <c r="AE101" s="24"/>
      <c r="AF101" s="24" t="s">
        <v>2041</v>
      </c>
      <c r="AG101" s="22"/>
      <c r="AH101" s="23" t="s">
        <v>1802</v>
      </c>
      <c r="AJ101" s="26"/>
      <c r="AK101" s="27">
        <v>2500</v>
      </c>
      <c r="AL101" s="27"/>
      <c r="AO101" s="28" t="s">
        <v>1956</v>
      </c>
      <c r="AP101" s="23" t="s">
        <v>1972</v>
      </c>
      <c r="AQ101" s="23"/>
      <c r="AR101" s="23"/>
      <c r="AS101" s="23"/>
      <c r="AW101" s="27"/>
      <c r="AX101" s="27"/>
      <c r="AY101" s="27"/>
      <c r="BB101" s="28" t="s">
        <v>1956</v>
      </c>
      <c r="BC101" s="23" t="s">
        <v>1972</v>
      </c>
      <c r="BD101" s="23"/>
      <c r="BE101" s="23"/>
      <c r="BF101" s="23"/>
      <c r="BJ101" s="27"/>
      <c r="BK101" s="27"/>
      <c r="BL101" s="27"/>
      <c r="BO101" s="28" t="s">
        <v>1956</v>
      </c>
      <c r="BP101" s="23" t="s">
        <v>1972</v>
      </c>
      <c r="BQ101" s="23"/>
      <c r="BR101" s="23"/>
      <c r="BS101" s="23"/>
      <c r="BW101" s="27"/>
      <c r="BX101" s="27"/>
      <c r="BY101" s="27"/>
      <c r="CB101" s="28" t="s">
        <v>1956</v>
      </c>
      <c r="CC101" s="23" t="s">
        <v>1972</v>
      </c>
      <c r="CD101" s="23"/>
      <c r="CE101" s="23"/>
      <c r="CF101" s="23"/>
      <c r="CH101" s="29"/>
      <c r="CI101" s="23" t="s">
        <v>397</v>
      </c>
      <c r="CJ101" s="28">
        <v>76</v>
      </c>
      <c r="DD101" s="23" t="s">
        <v>3</v>
      </c>
    </row>
    <row r="102" spans="1:108" x14ac:dyDescent="0.2">
      <c r="A102" s="18">
        <v>905</v>
      </c>
      <c r="B102" s="19">
        <v>17</v>
      </c>
      <c r="C102" s="19">
        <f t="shared" si="1"/>
        <v>9050017</v>
      </c>
      <c r="D102" s="19" t="s">
        <v>1719</v>
      </c>
      <c r="E102" s="20" t="s">
        <v>1669</v>
      </c>
      <c r="I102" s="21" t="s">
        <v>1670</v>
      </c>
      <c r="J102" s="21"/>
      <c r="K102" s="21"/>
      <c r="L102" s="21"/>
      <c r="M102" s="21"/>
      <c r="N102" s="22" t="s">
        <v>1671</v>
      </c>
      <c r="O102" s="22" t="s">
        <v>1674</v>
      </c>
      <c r="P102" s="22"/>
      <c r="Q102" s="22" t="s">
        <v>2041</v>
      </c>
      <c r="R102" s="22"/>
      <c r="S102" s="22"/>
      <c r="T102" s="22" t="s">
        <v>2225</v>
      </c>
      <c r="U102" s="116" t="s">
        <v>2154</v>
      </c>
      <c r="V102" s="22" t="s">
        <v>1813</v>
      </c>
      <c r="W102" s="169">
        <v>3</v>
      </c>
      <c r="X102" s="169">
        <v>3</v>
      </c>
      <c r="Y102" s="23" t="s">
        <v>120</v>
      </c>
      <c r="Z102" s="22"/>
      <c r="AA102" s="22"/>
      <c r="AB102" s="22"/>
      <c r="AC102" s="22"/>
      <c r="AD102" s="22"/>
      <c r="AE102" s="24"/>
      <c r="AF102" s="24" t="s">
        <v>2041</v>
      </c>
      <c r="AG102" s="22"/>
      <c r="AH102" s="23" t="s">
        <v>1803</v>
      </c>
      <c r="AJ102" s="26"/>
      <c r="AK102" s="27">
        <v>2600</v>
      </c>
      <c r="AL102" s="27"/>
      <c r="AO102" s="28" t="s">
        <v>1956</v>
      </c>
      <c r="AP102" s="23" t="s">
        <v>1973</v>
      </c>
      <c r="AQ102" s="23"/>
      <c r="AR102" s="23"/>
      <c r="AS102" s="23"/>
      <c r="AW102" s="27"/>
      <c r="AX102" s="27"/>
      <c r="AY102" s="27"/>
      <c r="BB102" s="28" t="s">
        <v>1956</v>
      </c>
      <c r="BC102" s="23" t="s">
        <v>1973</v>
      </c>
      <c r="BD102" s="23"/>
      <c r="BE102" s="23"/>
      <c r="BF102" s="23"/>
      <c r="BJ102" s="27"/>
      <c r="BK102" s="27"/>
      <c r="BL102" s="27"/>
      <c r="BO102" s="28" t="s">
        <v>1956</v>
      </c>
      <c r="BP102" s="23" t="s">
        <v>1973</v>
      </c>
      <c r="BQ102" s="23"/>
      <c r="BR102" s="23"/>
      <c r="BS102" s="23"/>
      <c r="BW102" s="27"/>
      <c r="BX102" s="27"/>
      <c r="BY102" s="27"/>
      <c r="CB102" s="28" t="s">
        <v>1956</v>
      </c>
      <c r="CC102" s="23" t="s">
        <v>1973</v>
      </c>
      <c r="CD102" s="23"/>
      <c r="CE102" s="23"/>
      <c r="CF102" s="23"/>
      <c r="CH102" s="29"/>
      <c r="CI102" s="23" t="s">
        <v>397</v>
      </c>
      <c r="CJ102" s="28">
        <v>80</v>
      </c>
      <c r="DD102" s="23" t="s">
        <v>3</v>
      </c>
    </row>
    <row r="103" spans="1:108" x14ac:dyDescent="0.2">
      <c r="A103" s="18">
        <v>905</v>
      </c>
      <c r="B103" s="19">
        <v>18</v>
      </c>
      <c r="C103" s="19">
        <f t="shared" si="1"/>
        <v>9050018</v>
      </c>
      <c r="D103" s="19" t="s">
        <v>1720</v>
      </c>
      <c r="E103" s="20" t="s">
        <v>1669</v>
      </c>
      <c r="I103" s="21" t="s">
        <v>1670</v>
      </c>
      <c r="J103" s="21"/>
      <c r="K103" s="21"/>
      <c r="L103" s="21"/>
      <c r="M103" s="21"/>
      <c r="N103" s="22" t="s">
        <v>1671</v>
      </c>
      <c r="O103" s="22" t="s">
        <v>1674</v>
      </c>
      <c r="P103" s="22"/>
      <c r="Q103" s="22" t="s">
        <v>2041</v>
      </c>
      <c r="R103" s="22"/>
      <c r="S103" s="22"/>
      <c r="T103" s="22" t="s">
        <v>2225</v>
      </c>
      <c r="U103" s="116" t="s">
        <v>2155</v>
      </c>
      <c r="V103" s="22" t="s">
        <v>1813</v>
      </c>
      <c r="W103" s="169">
        <v>3</v>
      </c>
      <c r="X103" s="169">
        <v>3</v>
      </c>
      <c r="Y103" s="23" t="s">
        <v>120</v>
      </c>
      <c r="Z103" s="22"/>
      <c r="AA103" s="22"/>
      <c r="AB103" s="22"/>
      <c r="AC103" s="22"/>
      <c r="AD103" s="22"/>
      <c r="AE103" s="24"/>
      <c r="AF103" s="24" t="s">
        <v>2041</v>
      </c>
      <c r="AG103" s="22"/>
      <c r="AH103" s="23" t="s">
        <v>1804</v>
      </c>
      <c r="AJ103" s="26"/>
      <c r="AK103" s="27">
        <v>2700</v>
      </c>
      <c r="AL103" s="27"/>
      <c r="AO103" s="28" t="s">
        <v>1956</v>
      </c>
      <c r="AP103" s="23" t="s">
        <v>1974</v>
      </c>
      <c r="AQ103" s="23"/>
      <c r="AR103" s="23"/>
      <c r="AS103" s="23"/>
      <c r="AW103" s="27"/>
      <c r="AX103" s="27"/>
      <c r="AY103" s="27"/>
      <c r="BB103" s="28" t="s">
        <v>1956</v>
      </c>
      <c r="BC103" s="23" t="s">
        <v>1974</v>
      </c>
      <c r="BD103" s="23"/>
      <c r="BE103" s="23"/>
      <c r="BF103" s="23"/>
      <c r="BJ103" s="27"/>
      <c r="BK103" s="27"/>
      <c r="BL103" s="27"/>
      <c r="BO103" s="28" t="s">
        <v>1956</v>
      </c>
      <c r="BP103" s="23" t="s">
        <v>1974</v>
      </c>
      <c r="BQ103" s="23"/>
      <c r="BR103" s="23"/>
      <c r="BS103" s="23"/>
      <c r="BW103" s="27"/>
      <c r="BX103" s="27"/>
      <c r="BY103" s="27"/>
      <c r="CB103" s="28" t="s">
        <v>1956</v>
      </c>
      <c r="CC103" s="23" t="s">
        <v>1974</v>
      </c>
      <c r="CD103" s="23"/>
      <c r="CE103" s="23"/>
      <c r="CF103" s="23"/>
      <c r="CH103" s="29"/>
      <c r="CI103" s="23" t="s">
        <v>397</v>
      </c>
      <c r="CJ103" s="28">
        <v>84</v>
      </c>
      <c r="DD103" s="23" t="s">
        <v>3</v>
      </c>
    </row>
    <row r="104" spans="1:108" x14ac:dyDescent="0.2">
      <c r="A104" s="18">
        <v>905</v>
      </c>
      <c r="B104" s="19">
        <v>19</v>
      </c>
      <c r="C104" s="19">
        <f t="shared" si="1"/>
        <v>9050019</v>
      </c>
      <c r="D104" s="19" t="s">
        <v>1721</v>
      </c>
      <c r="E104" s="20" t="s">
        <v>1669</v>
      </c>
      <c r="I104" s="21" t="s">
        <v>1670</v>
      </c>
      <c r="J104" s="21"/>
      <c r="K104" s="21"/>
      <c r="L104" s="21"/>
      <c r="M104" s="21"/>
      <c r="N104" s="22" t="s">
        <v>1671</v>
      </c>
      <c r="O104" s="22" t="s">
        <v>1674</v>
      </c>
      <c r="P104" s="22"/>
      <c r="Q104" s="22" t="s">
        <v>2041</v>
      </c>
      <c r="R104" s="22"/>
      <c r="S104" s="22"/>
      <c r="T104" s="22" t="s">
        <v>2225</v>
      </c>
      <c r="U104" s="116" t="s">
        <v>2156</v>
      </c>
      <c r="V104" s="22" t="s">
        <v>1813</v>
      </c>
      <c r="W104" s="169">
        <v>3</v>
      </c>
      <c r="X104" s="169">
        <v>3</v>
      </c>
      <c r="Y104" s="23" t="s">
        <v>120</v>
      </c>
      <c r="Z104" s="22"/>
      <c r="AA104" s="22"/>
      <c r="AB104" s="22"/>
      <c r="AC104" s="22"/>
      <c r="AD104" s="22"/>
      <c r="AE104" s="24"/>
      <c r="AF104" s="24" t="s">
        <v>2041</v>
      </c>
      <c r="AG104" s="22"/>
      <c r="AH104" s="23" t="s">
        <v>1805</v>
      </c>
      <c r="AJ104" s="26"/>
      <c r="AK104" s="27">
        <v>2800</v>
      </c>
      <c r="AL104" s="27"/>
      <c r="AO104" s="28" t="s">
        <v>1956</v>
      </c>
      <c r="AP104" s="23" t="s">
        <v>1975</v>
      </c>
      <c r="AQ104" s="23"/>
      <c r="AR104" s="23"/>
      <c r="AS104" s="23"/>
      <c r="AW104" s="27"/>
      <c r="AX104" s="27"/>
      <c r="AY104" s="27"/>
      <c r="BB104" s="28" t="s">
        <v>1956</v>
      </c>
      <c r="BC104" s="23" t="s">
        <v>1975</v>
      </c>
      <c r="BD104" s="23"/>
      <c r="BE104" s="23"/>
      <c r="BF104" s="23"/>
      <c r="BJ104" s="27"/>
      <c r="BK104" s="27"/>
      <c r="BL104" s="27"/>
      <c r="BO104" s="28" t="s">
        <v>1956</v>
      </c>
      <c r="BP104" s="23" t="s">
        <v>1975</v>
      </c>
      <c r="BQ104" s="23"/>
      <c r="BR104" s="23"/>
      <c r="BS104" s="23"/>
      <c r="BW104" s="27"/>
      <c r="BX104" s="27"/>
      <c r="BY104" s="27"/>
      <c r="CB104" s="28" t="s">
        <v>1956</v>
      </c>
      <c r="CC104" s="23" t="s">
        <v>1975</v>
      </c>
      <c r="CD104" s="23"/>
      <c r="CE104" s="23"/>
      <c r="CF104" s="23"/>
      <c r="CH104" s="29"/>
      <c r="CI104" s="23" t="s">
        <v>397</v>
      </c>
      <c r="CJ104" s="28">
        <v>88</v>
      </c>
      <c r="DD104" s="23" t="s">
        <v>3</v>
      </c>
    </row>
    <row r="105" spans="1:108" x14ac:dyDescent="0.2">
      <c r="A105" s="18">
        <v>905</v>
      </c>
      <c r="B105" s="19">
        <v>20</v>
      </c>
      <c r="C105" s="19">
        <f t="shared" si="1"/>
        <v>9050020</v>
      </c>
      <c r="D105" s="19" t="s">
        <v>1722</v>
      </c>
      <c r="E105" s="20" t="s">
        <v>1669</v>
      </c>
      <c r="I105" s="21" t="s">
        <v>1670</v>
      </c>
      <c r="J105" s="21"/>
      <c r="K105" s="21"/>
      <c r="L105" s="21"/>
      <c r="M105" s="21"/>
      <c r="N105" s="22" t="s">
        <v>1671</v>
      </c>
      <c r="O105" s="22" t="s">
        <v>1674</v>
      </c>
      <c r="P105" s="22"/>
      <c r="Q105" s="22" t="s">
        <v>2041</v>
      </c>
      <c r="R105" s="22"/>
      <c r="S105" s="22"/>
      <c r="T105" s="22" t="s">
        <v>2225</v>
      </c>
      <c r="U105" s="116" t="s">
        <v>2157</v>
      </c>
      <c r="V105" s="22" t="s">
        <v>1813</v>
      </c>
      <c r="W105" s="169">
        <v>3</v>
      </c>
      <c r="X105" s="169">
        <v>3</v>
      </c>
      <c r="Y105" s="23" t="s">
        <v>120</v>
      </c>
      <c r="Z105" s="22"/>
      <c r="AA105" s="22"/>
      <c r="AB105" s="22"/>
      <c r="AC105" s="22"/>
      <c r="AD105" s="22"/>
      <c r="AE105" s="24"/>
      <c r="AF105" s="24" t="s">
        <v>2041</v>
      </c>
      <c r="AG105" s="22"/>
      <c r="AH105" s="23" t="s">
        <v>1806</v>
      </c>
      <c r="AJ105" s="26"/>
      <c r="AK105" s="27">
        <v>2900</v>
      </c>
      <c r="AL105" s="27"/>
      <c r="AO105" s="28" t="s">
        <v>1956</v>
      </c>
      <c r="AP105" s="23" t="s">
        <v>1976</v>
      </c>
      <c r="AQ105" s="23"/>
      <c r="AR105" s="23"/>
      <c r="AS105" s="23"/>
      <c r="AW105" s="27"/>
      <c r="AX105" s="27"/>
      <c r="AY105" s="27"/>
      <c r="BB105" s="28" t="s">
        <v>1956</v>
      </c>
      <c r="BC105" s="23" t="s">
        <v>1976</v>
      </c>
      <c r="BD105" s="23"/>
      <c r="BE105" s="23"/>
      <c r="BF105" s="23"/>
      <c r="BJ105" s="27"/>
      <c r="BK105" s="27"/>
      <c r="BL105" s="27"/>
      <c r="BO105" s="28" t="s">
        <v>1956</v>
      </c>
      <c r="BP105" s="23" t="s">
        <v>1976</v>
      </c>
      <c r="BQ105" s="23"/>
      <c r="BR105" s="23"/>
      <c r="BS105" s="23"/>
      <c r="BW105" s="27"/>
      <c r="BX105" s="27"/>
      <c r="BY105" s="27"/>
      <c r="CB105" s="28" t="s">
        <v>1956</v>
      </c>
      <c r="CC105" s="23" t="s">
        <v>1976</v>
      </c>
      <c r="CD105" s="23"/>
      <c r="CE105" s="23"/>
      <c r="CF105" s="23"/>
      <c r="CH105" s="29"/>
      <c r="CI105" s="23" t="s">
        <v>397</v>
      </c>
      <c r="CJ105" s="28">
        <v>92</v>
      </c>
      <c r="DD105" s="23" t="s">
        <v>3</v>
      </c>
    </row>
    <row r="106" spans="1:108" x14ac:dyDescent="0.2">
      <c r="A106" s="18">
        <v>906</v>
      </c>
      <c r="B106" s="19">
        <v>1</v>
      </c>
      <c r="C106" s="19">
        <f t="shared" si="1"/>
        <v>9060001</v>
      </c>
      <c r="D106" s="19" t="s">
        <v>1682</v>
      </c>
      <c r="E106" s="20" t="s">
        <v>653</v>
      </c>
      <c r="I106" s="21" t="s">
        <v>1670</v>
      </c>
      <c r="J106" s="21"/>
      <c r="K106" s="21"/>
      <c r="L106" s="21"/>
      <c r="M106" s="21"/>
      <c r="N106" s="22" t="s">
        <v>1671</v>
      </c>
      <c r="O106" s="22" t="s">
        <v>1675</v>
      </c>
      <c r="P106" s="22"/>
      <c r="Q106" s="22" t="s">
        <v>2041</v>
      </c>
      <c r="R106" s="22"/>
      <c r="S106" s="22"/>
      <c r="T106" s="22" t="s">
        <v>2225</v>
      </c>
      <c r="U106" s="116" t="s">
        <v>2158</v>
      </c>
      <c r="V106" s="22" t="s">
        <v>1814</v>
      </c>
      <c r="W106" s="169">
        <v>3</v>
      </c>
      <c r="X106" s="169">
        <v>3</v>
      </c>
      <c r="Y106" s="23" t="s">
        <v>120</v>
      </c>
      <c r="Z106" s="22"/>
      <c r="AA106" s="22"/>
      <c r="AB106" s="22"/>
      <c r="AC106" s="22"/>
      <c r="AD106" s="22"/>
      <c r="AE106" s="24"/>
      <c r="AF106" s="24" t="s">
        <v>2041</v>
      </c>
      <c r="AG106" s="22"/>
      <c r="AH106" s="23">
        <v>902031</v>
      </c>
      <c r="AJ106" s="26"/>
      <c r="AK106" s="27">
        <v>1000</v>
      </c>
      <c r="AL106" s="27"/>
      <c r="AO106" s="28" t="s">
        <v>2037</v>
      </c>
      <c r="AP106" s="23" t="s">
        <v>1977</v>
      </c>
      <c r="AQ106" s="23"/>
      <c r="AR106" s="23"/>
      <c r="AS106" s="23"/>
      <c r="AW106" s="27"/>
      <c r="AX106" s="27"/>
      <c r="AY106" s="27"/>
      <c r="BB106" s="28" t="s">
        <v>2037</v>
      </c>
      <c r="BC106" s="23" t="s">
        <v>1977</v>
      </c>
      <c r="BD106" s="23"/>
      <c r="BE106" s="23"/>
      <c r="BF106" s="23"/>
      <c r="BJ106" s="27"/>
      <c r="BK106" s="27"/>
      <c r="BL106" s="27"/>
      <c r="BO106" s="28" t="s">
        <v>2037</v>
      </c>
      <c r="BP106" s="23" t="s">
        <v>1977</v>
      </c>
      <c r="BQ106" s="23"/>
      <c r="BR106" s="23"/>
      <c r="BS106" s="23"/>
      <c r="BW106" s="27"/>
      <c r="BX106" s="27"/>
      <c r="BY106" s="27"/>
      <c r="CB106" s="28" t="s">
        <v>2037</v>
      </c>
      <c r="CC106" s="23" t="s">
        <v>1977</v>
      </c>
      <c r="CD106" s="23"/>
      <c r="CE106" s="23"/>
      <c r="CF106" s="23"/>
      <c r="CH106" s="29"/>
      <c r="CI106" s="23" t="s">
        <v>397</v>
      </c>
      <c r="CJ106" s="28">
        <v>32</v>
      </c>
      <c r="DD106" s="23" t="s">
        <v>3</v>
      </c>
    </row>
    <row r="107" spans="1:108" x14ac:dyDescent="0.2">
      <c r="A107" s="18">
        <v>906</v>
      </c>
      <c r="B107" s="19">
        <v>2</v>
      </c>
      <c r="C107" s="19">
        <f t="shared" si="1"/>
        <v>9060002</v>
      </c>
      <c r="D107" s="19" t="s">
        <v>1683</v>
      </c>
      <c r="E107" s="20" t="s">
        <v>653</v>
      </c>
      <c r="I107" s="21" t="s">
        <v>1670</v>
      </c>
      <c r="J107" s="21"/>
      <c r="K107" s="21"/>
      <c r="L107" s="21"/>
      <c r="M107" s="21"/>
      <c r="N107" s="22" t="s">
        <v>1671</v>
      </c>
      <c r="O107" s="22" t="s">
        <v>1675</v>
      </c>
      <c r="P107" s="22"/>
      <c r="Q107" s="22" t="s">
        <v>2041</v>
      </c>
      <c r="R107" s="22"/>
      <c r="S107" s="22"/>
      <c r="T107" s="22" t="s">
        <v>2225</v>
      </c>
      <c r="U107" s="116" t="s">
        <v>2159</v>
      </c>
      <c r="V107" s="22" t="s">
        <v>1814</v>
      </c>
      <c r="W107" s="169">
        <v>3</v>
      </c>
      <c r="X107" s="169">
        <v>3</v>
      </c>
      <c r="Y107" s="23" t="s">
        <v>120</v>
      </c>
      <c r="Z107" s="22"/>
      <c r="AA107" s="22"/>
      <c r="AB107" s="22"/>
      <c r="AC107" s="22"/>
      <c r="AD107" s="22"/>
      <c r="AE107" s="24"/>
      <c r="AF107" s="24" t="s">
        <v>2041</v>
      </c>
      <c r="AG107" s="22"/>
      <c r="AH107" s="23">
        <v>902032</v>
      </c>
      <c r="AJ107" s="26"/>
      <c r="AK107" s="27">
        <v>1100</v>
      </c>
      <c r="AL107" s="27"/>
      <c r="AO107" s="28" t="s">
        <v>2037</v>
      </c>
      <c r="AP107" s="23" t="s">
        <v>1978</v>
      </c>
      <c r="AQ107" s="23"/>
      <c r="AR107" s="23"/>
      <c r="AS107" s="23"/>
      <c r="AW107" s="27"/>
      <c r="AX107" s="27"/>
      <c r="AY107" s="27"/>
      <c r="BB107" s="28" t="s">
        <v>2037</v>
      </c>
      <c r="BC107" s="23" t="s">
        <v>1978</v>
      </c>
      <c r="BD107" s="23"/>
      <c r="BE107" s="23"/>
      <c r="BF107" s="23"/>
      <c r="BJ107" s="27"/>
      <c r="BK107" s="27"/>
      <c r="BL107" s="27"/>
      <c r="BO107" s="28" t="s">
        <v>2037</v>
      </c>
      <c r="BP107" s="23" t="s">
        <v>1978</v>
      </c>
      <c r="BQ107" s="23"/>
      <c r="BR107" s="23"/>
      <c r="BS107" s="23"/>
      <c r="BW107" s="27"/>
      <c r="BX107" s="27"/>
      <c r="BY107" s="27"/>
      <c r="CB107" s="28" t="s">
        <v>2037</v>
      </c>
      <c r="CC107" s="23" t="s">
        <v>1978</v>
      </c>
      <c r="CD107" s="23"/>
      <c r="CE107" s="23"/>
      <c r="CF107" s="23"/>
      <c r="CH107" s="29"/>
      <c r="CI107" s="23" t="s">
        <v>397</v>
      </c>
      <c r="CJ107" s="28">
        <v>32</v>
      </c>
      <c r="DD107" s="23" t="s">
        <v>3</v>
      </c>
    </row>
    <row r="108" spans="1:108" x14ac:dyDescent="0.2">
      <c r="A108" s="18">
        <v>906</v>
      </c>
      <c r="B108" s="19">
        <v>3</v>
      </c>
      <c r="C108" s="19">
        <f t="shared" si="1"/>
        <v>9060003</v>
      </c>
      <c r="D108" s="19" t="s">
        <v>1684</v>
      </c>
      <c r="E108" s="20" t="s">
        <v>653</v>
      </c>
      <c r="I108" s="21" t="s">
        <v>1670</v>
      </c>
      <c r="J108" s="21"/>
      <c r="K108" s="21"/>
      <c r="L108" s="21"/>
      <c r="M108" s="21"/>
      <c r="N108" s="22" t="s">
        <v>1671</v>
      </c>
      <c r="O108" s="22" t="s">
        <v>1675</v>
      </c>
      <c r="P108" s="22"/>
      <c r="Q108" s="22" t="s">
        <v>2041</v>
      </c>
      <c r="R108" s="22"/>
      <c r="S108" s="22"/>
      <c r="T108" s="22" t="s">
        <v>2225</v>
      </c>
      <c r="U108" s="116" t="s">
        <v>2160</v>
      </c>
      <c r="V108" s="22" t="s">
        <v>1814</v>
      </c>
      <c r="W108" s="169">
        <v>3</v>
      </c>
      <c r="X108" s="169">
        <v>3</v>
      </c>
      <c r="Y108" s="23" t="s">
        <v>120</v>
      </c>
      <c r="Z108" s="22"/>
      <c r="AA108" s="22"/>
      <c r="AB108" s="22"/>
      <c r="AC108" s="22"/>
      <c r="AD108" s="22"/>
      <c r="AE108" s="24"/>
      <c r="AF108" s="24" t="s">
        <v>2041</v>
      </c>
      <c r="AG108" s="22"/>
      <c r="AH108" s="23">
        <v>902041</v>
      </c>
      <c r="AJ108" s="26"/>
      <c r="AK108" s="27">
        <v>1200</v>
      </c>
      <c r="AL108" s="27"/>
      <c r="AO108" s="28" t="s">
        <v>2037</v>
      </c>
      <c r="AP108" s="23" t="s">
        <v>1979</v>
      </c>
      <c r="AQ108" s="23"/>
      <c r="AR108" s="23"/>
      <c r="AS108" s="23"/>
      <c r="AW108" s="27"/>
      <c r="AX108" s="27"/>
      <c r="AY108" s="27"/>
      <c r="BB108" s="28" t="s">
        <v>2037</v>
      </c>
      <c r="BC108" s="23" t="s">
        <v>1979</v>
      </c>
      <c r="BD108" s="23"/>
      <c r="BE108" s="23"/>
      <c r="BF108" s="23"/>
      <c r="BJ108" s="27"/>
      <c r="BK108" s="27"/>
      <c r="BL108" s="27"/>
      <c r="BO108" s="28" t="s">
        <v>2037</v>
      </c>
      <c r="BP108" s="23" t="s">
        <v>1979</v>
      </c>
      <c r="BQ108" s="23"/>
      <c r="BR108" s="23"/>
      <c r="BS108" s="23"/>
      <c r="BW108" s="27"/>
      <c r="BX108" s="27"/>
      <c r="BY108" s="27"/>
      <c r="CB108" s="28" t="s">
        <v>2037</v>
      </c>
      <c r="CC108" s="23" t="s">
        <v>1979</v>
      </c>
      <c r="CD108" s="23"/>
      <c r="CE108" s="23"/>
      <c r="CF108" s="23"/>
      <c r="CH108" s="29"/>
      <c r="CI108" s="23" t="s">
        <v>397</v>
      </c>
      <c r="CJ108" s="28">
        <v>36</v>
      </c>
      <c r="DD108" s="23" t="s">
        <v>3</v>
      </c>
    </row>
    <row r="109" spans="1:108" x14ac:dyDescent="0.2">
      <c r="A109" s="18">
        <v>906</v>
      </c>
      <c r="B109" s="19">
        <v>4</v>
      </c>
      <c r="C109" s="19">
        <f t="shared" si="1"/>
        <v>9060004</v>
      </c>
      <c r="D109" s="19" t="s">
        <v>1685</v>
      </c>
      <c r="E109" s="20" t="s">
        <v>653</v>
      </c>
      <c r="I109" s="21" t="s">
        <v>1670</v>
      </c>
      <c r="J109" s="21"/>
      <c r="K109" s="21"/>
      <c r="L109" s="21"/>
      <c r="M109" s="21"/>
      <c r="N109" s="22" t="s">
        <v>1671</v>
      </c>
      <c r="O109" s="22" t="s">
        <v>1675</v>
      </c>
      <c r="P109" s="22"/>
      <c r="Q109" s="22" t="s">
        <v>2041</v>
      </c>
      <c r="R109" s="22"/>
      <c r="S109" s="22"/>
      <c r="T109" s="22" t="s">
        <v>2225</v>
      </c>
      <c r="U109" s="116" t="s">
        <v>2161</v>
      </c>
      <c r="V109" s="22" t="s">
        <v>1814</v>
      </c>
      <c r="W109" s="169">
        <v>3</v>
      </c>
      <c r="X109" s="169">
        <v>3</v>
      </c>
      <c r="Y109" s="23" t="s">
        <v>120</v>
      </c>
      <c r="Z109" s="22"/>
      <c r="AA109" s="22"/>
      <c r="AB109" s="22"/>
      <c r="AC109" s="22"/>
      <c r="AD109" s="22"/>
      <c r="AE109" s="24"/>
      <c r="AF109" s="24" t="s">
        <v>2041</v>
      </c>
      <c r="AG109" s="22"/>
      <c r="AH109" s="23">
        <v>902042</v>
      </c>
      <c r="AJ109" s="26"/>
      <c r="AK109" s="27">
        <v>1300</v>
      </c>
      <c r="AL109" s="27"/>
      <c r="AO109" s="28" t="s">
        <v>2037</v>
      </c>
      <c r="AP109" s="23" t="s">
        <v>1980</v>
      </c>
      <c r="AQ109" s="23"/>
      <c r="AR109" s="23"/>
      <c r="AS109" s="23"/>
      <c r="AW109" s="27"/>
      <c r="AX109" s="27"/>
      <c r="AY109" s="27"/>
      <c r="BB109" s="28" t="s">
        <v>2037</v>
      </c>
      <c r="BC109" s="23" t="s">
        <v>1980</v>
      </c>
      <c r="BD109" s="23"/>
      <c r="BE109" s="23"/>
      <c r="BF109" s="23"/>
      <c r="BJ109" s="27"/>
      <c r="BK109" s="27"/>
      <c r="BL109" s="27"/>
      <c r="BO109" s="28" t="s">
        <v>2037</v>
      </c>
      <c r="BP109" s="23" t="s">
        <v>1980</v>
      </c>
      <c r="BQ109" s="23"/>
      <c r="BR109" s="23"/>
      <c r="BS109" s="23"/>
      <c r="BW109" s="27"/>
      <c r="BX109" s="27"/>
      <c r="BY109" s="27"/>
      <c r="CB109" s="28" t="s">
        <v>2037</v>
      </c>
      <c r="CC109" s="23" t="s">
        <v>1980</v>
      </c>
      <c r="CD109" s="23"/>
      <c r="CE109" s="23"/>
      <c r="CF109" s="23"/>
      <c r="CH109" s="29"/>
      <c r="CI109" s="23" t="s">
        <v>397</v>
      </c>
      <c r="CJ109" s="28">
        <v>36</v>
      </c>
      <c r="DD109" s="23" t="s">
        <v>3</v>
      </c>
    </row>
    <row r="110" spans="1:108" x14ac:dyDescent="0.2">
      <c r="A110" s="18">
        <v>906</v>
      </c>
      <c r="B110" s="19">
        <v>5</v>
      </c>
      <c r="C110" s="19">
        <f t="shared" si="1"/>
        <v>9060005</v>
      </c>
      <c r="D110" s="19" t="s">
        <v>1686</v>
      </c>
      <c r="E110" s="20" t="s">
        <v>653</v>
      </c>
      <c r="I110" s="21" t="s">
        <v>1670</v>
      </c>
      <c r="J110" s="21"/>
      <c r="K110" s="21"/>
      <c r="L110" s="21"/>
      <c r="M110" s="21"/>
      <c r="N110" s="22" t="s">
        <v>1671</v>
      </c>
      <c r="O110" s="22" t="s">
        <v>1675</v>
      </c>
      <c r="P110" s="22"/>
      <c r="Q110" s="22" t="s">
        <v>2041</v>
      </c>
      <c r="R110" s="22"/>
      <c r="S110" s="22"/>
      <c r="T110" s="22" t="s">
        <v>2225</v>
      </c>
      <c r="U110" s="116" t="s">
        <v>2162</v>
      </c>
      <c r="V110" s="22" t="s">
        <v>1814</v>
      </c>
      <c r="W110" s="169">
        <v>3</v>
      </c>
      <c r="X110" s="169">
        <v>3</v>
      </c>
      <c r="Y110" s="23" t="s">
        <v>120</v>
      </c>
      <c r="Z110" s="22"/>
      <c r="AA110" s="22"/>
      <c r="AB110" s="22"/>
      <c r="AC110" s="22"/>
      <c r="AD110" s="22"/>
      <c r="AE110" s="24"/>
      <c r="AF110" s="24" t="s">
        <v>2041</v>
      </c>
      <c r="AG110" s="22"/>
      <c r="AH110" s="23">
        <v>902051</v>
      </c>
      <c r="AJ110" s="26"/>
      <c r="AK110" s="27">
        <v>1400</v>
      </c>
      <c r="AL110" s="27"/>
      <c r="AO110" s="28" t="s">
        <v>2037</v>
      </c>
      <c r="AP110" s="23" t="s">
        <v>1981</v>
      </c>
      <c r="AQ110" s="23"/>
      <c r="AR110" s="23"/>
      <c r="AS110" s="23"/>
      <c r="AW110" s="27"/>
      <c r="AX110" s="27"/>
      <c r="AY110" s="27"/>
      <c r="BB110" s="28" t="s">
        <v>2037</v>
      </c>
      <c r="BC110" s="23" t="s">
        <v>1981</v>
      </c>
      <c r="BD110" s="23"/>
      <c r="BE110" s="23"/>
      <c r="BF110" s="23"/>
      <c r="BJ110" s="27"/>
      <c r="BK110" s="27"/>
      <c r="BL110" s="27"/>
      <c r="BO110" s="28" t="s">
        <v>2037</v>
      </c>
      <c r="BP110" s="23" t="s">
        <v>1981</v>
      </c>
      <c r="BQ110" s="23"/>
      <c r="BR110" s="23"/>
      <c r="BS110" s="23"/>
      <c r="BW110" s="27"/>
      <c r="BX110" s="27"/>
      <c r="BY110" s="27"/>
      <c r="CB110" s="28" t="s">
        <v>2037</v>
      </c>
      <c r="CC110" s="23" t="s">
        <v>1981</v>
      </c>
      <c r="CD110" s="23"/>
      <c r="CE110" s="23"/>
      <c r="CF110" s="23"/>
      <c r="CH110" s="29"/>
      <c r="CI110" s="23" t="s">
        <v>397</v>
      </c>
      <c r="CJ110" s="28">
        <v>40</v>
      </c>
      <c r="DD110" s="23" t="s">
        <v>3</v>
      </c>
    </row>
    <row r="111" spans="1:108" x14ac:dyDescent="0.2">
      <c r="A111" s="18">
        <v>906</v>
      </c>
      <c r="B111" s="19">
        <v>6</v>
      </c>
      <c r="C111" s="19">
        <f t="shared" si="1"/>
        <v>9060006</v>
      </c>
      <c r="D111" s="19" t="s">
        <v>1687</v>
      </c>
      <c r="E111" s="20" t="s">
        <v>653</v>
      </c>
      <c r="I111" s="21" t="s">
        <v>1670</v>
      </c>
      <c r="J111" s="21"/>
      <c r="K111" s="21"/>
      <c r="L111" s="21"/>
      <c r="M111" s="21"/>
      <c r="N111" s="22" t="s">
        <v>1671</v>
      </c>
      <c r="O111" s="22" t="s">
        <v>1675</v>
      </c>
      <c r="P111" s="22"/>
      <c r="Q111" s="22" t="s">
        <v>2041</v>
      </c>
      <c r="R111" s="22"/>
      <c r="S111" s="22"/>
      <c r="T111" s="22" t="s">
        <v>2225</v>
      </c>
      <c r="U111" s="116" t="s">
        <v>2163</v>
      </c>
      <c r="V111" s="22" t="s">
        <v>1814</v>
      </c>
      <c r="W111" s="169">
        <v>3</v>
      </c>
      <c r="X111" s="169">
        <v>3</v>
      </c>
      <c r="Y111" s="23" t="s">
        <v>120</v>
      </c>
      <c r="Z111" s="22"/>
      <c r="AA111" s="22"/>
      <c r="AB111" s="22"/>
      <c r="AC111" s="22"/>
      <c r="AD111" s="22"/>
      <c r="AE111" s="24"/>
      <c r="AF111" s="24" t="s">
        <v>2041</v>
      </c>
      <c r="AG111" s="22"/>
      <c r="AH111" s="23">
        <v>902052</v>
      </c>
      <c r="AJ111" s="26"/>
      <c r="AK111" s="27">
        <v>1500</v>
      </c>
      <c r="AL111" s="27"/>
      <c r="AO111" s="28" t="s">
        <v>2037</v>
      </c>
      <c r="AP111" s="23" t="s">
        <v>1982</v>
      </c>
      <c r="AQ111" s="23"/>
      <c r="AR111" s="23"/>
      <c r="AS111" s="23"/>
      <c r="AW111" s="27"/>
      <c r="AX111" s="27"/>
      <c r="AY111" s="27"/>
      <c r="BB111" s="28" t="s">
        <v>2037</v>
      </c>
      <c r="BC111" s="23" t="s">
        <v>1982</v>
      </c>
      <c r="BD111" s="23"/>
      <c r="BE111" s="23"/>
      <c r="BF111" s="23"/>
      <c r="BJ111" s="27"/>
      <c r="BK111" s="27"/>
      <c r="BL111" s="27"/>
      <c r="BO111" s="28" t="s">
        <v>2037</v>
      </c>
      <c r="BP111" s="23" t="s">
        <v>1982</v>
      </c>
      <c r="BQ111" s="23"/>
      <c r="BR111" s="23"/>
      <c r="BS111" s="23"/>
      <c r="BW111" s="27"/>
      <c r="BX111" s="27"/>
      <c r="BY111" s="27"/>
      <c r="CB111" s="28" t="s">
        <v>2037</v>
      </c>
      <c r="CC111" s="23" t="s">
        <v>1982</v>
      </c>
      <c r="CD111" s="23"/>
      <c r="CE111" s="23"/>
      <c r="CF111" s="23"/>
      <c r="CH111" s="29"/>
      <c r="CI111" s="23" t="s">
        <v>397</v>
      </c>
      <c r="CJ111" s="28">
        <v>40</v>
      </c>
      <c r="DD111" s="23" t="s">
        <v>3</v>
      </c>
    </row>
    <row r="112" spans="1:108" x14ac:dyDescent="0.2">
      <c r="A112" s="18">
        <v>906</v>
      </c>
      <c r="B112" s="19">
        <v>7</v>
      </c>
      <c r="C112" s="19">
        <f t="shared" si="1"/>
        <v>9060007</v>
      </c>
      <c r="D112" s="19" t="s">
        <v>1688</v>
      </c>
      <c r="E112" s="20" t="s">
        <v>653</v>
      </c>
      <c r="I112" s="21" t="s">
        <v>1670</v>
      </c>
      <c r="J112" s="21"/>
      <c r="K112" s="21"/>
      <c r="L112" s="21"/>
      <c r="M112" s="21"/>
      <c r="N112" s="22" t="s">
        <v>1671</v>
      </c>
      <c r="O112" s="22" t="s">
        <v>1675</v>
      </c>
      <c r="P112" s="22"/>
      <c r="Q112" s="22" t="s">
        <v>2041</v>
      </c>
      <c r="R112" s="22"/>
      <c r="S112" s="22"/>
      <c r="T112" s="22" t="s">
        <v>2225</v>
      </c>
      <c r="U112" s="116" t="s">
        <v>2164</v>
      </c>
      <c r="V112" s="22" t="s">
        <v>1814</v>
      </c>
      <c r="W112" s="169">
        <v>3</v>
      </c>
      <c r="X112" s="169">
        <v>3</v>
      </c>
      <c r="Y112" s="23" t="s">
        <v>120</v>
      </c>
      <c r="Z112" s="22"/>
      <c r="AA112" s="22"/>
      <c r="AB112" s="22"/>
      <c r="AC112" s="22"/>
      <c r="AD112" s="22"/>
      <c r="AE112" s="24"/>
      <c r="AF112" s="24" t="s">
        <v>2041</v>
      </c>
      <c r="AG112" s="22"/>
      <c r="AH112" s="23">
        <v>902061</v>
      </c>
      <c r="AJ112" s="26"/>
      <c r="AK112" s="27">
        <v>1600</v>
      </c>
      <c r="AL112" s="27"/>
      <c r="AO112" s="28" t="s">
        <v>2037</v>
      </c>
      <c r="AP112" s="23" t="s">
        <v>1983</v>
      </c>
      <c r="AQ112" s="23"/>
      <c r="AR112" s="23"/>
      <c r="AS112" s="23"/>
      <c r="AW112" s="27"/>
      <c r="AX112" s="27"/>
      <c r="AY112" s="27"/>
      <c r="BB112" s="28" t="s">
        <v>2037</v>
      </c>
      <c r="BC112" s="23" t="s">
        <v>1983</v>
      </c>
      <c r="BD112" s="23"/>
      <c r="BE112" s="23"/>
      <c r="BF112" s="23"/>
      <c r="BJ112" s="27"/>
      <c r="BK112" s="27"/>
      <c r="BL112" s="27"/>
      <c r="BO112" s="28" t="s">
        <v>2037</v>
      </c>
      <c r="BP112" s="23" t="s">
        <v>1983</v>
      </c>
      <c r="BQ112" s="23"/>
      <c r="BR112" s="23"/>
      <c r="BS112" s="23"/>
      <c r="BW112" s="27"/>
      <c r="BX112" s="27"/>
      <c r="BY112" s="27"/>
      <c r="CB112" s="28" t="s">
        <v>2037</v>
      </c>
      <c r="CC112" s="23" t="s">
        <v>1983</v>
      </c>
      <c r="CD112" s="23"/>
      <c r="CE112" s="23"/>
      <c r="CF112" s="23"/>
      <c r="CH112" s="29"/>
      <c r="CI112" s="23" t="s">
        <v>397</v>
      </c>
      <c r="CJ112" s="28">
        <v>48</v>
      </c>
      <c r="DD112" s="23" t="s">
        <v>3</v>
      </c>
    </row>
    <row r="113" spans="1:108" x14ac:dyDescent="0.2">
      <c r="A113" s="18">
        <v>906</v>
      </c>
      <c r="B113" s="19">
        <v>8</v>
      </c>
      <c r="C113" s="19">
        <f t="shared" si="1"/>
        <v>9060008</v>
      </c>
      <c r="D113" s="19" t="s">
        <v>1689</v>
      </c>
      <c r="E113" s="20" t="s">
        <v>653</v>
      </c>
      <c r="I113" s="21" t="s">
        <v>1670</v>
      </c>
      <c r="J113" s="21"/>
      <c r="K113" s="21"/>
      <c r="L113" s="21"/>
      <c r="M113" s="21"/>
      <c r="N113" s="22" t="s">
        <v>1671</v>
      </c>
      <c r="O113" s="22" t="s">
        <v>1675</v>
      </c>
      <c r="P113" s="22"/>
      <c r="Q113" s="22" t="s">
        <v>2041</v>
      </c>
      <c r="R113" s="22"/>
      <c r="S113" s="22"/>
      <c r="T113" s="22" t="s">
        <v>2225</v>
      </c>
      <c r="U113" s="116" t="s">
        <v>2165</v>
      </c>
      <c r="V113" s="22" t="s">
        <v>1814</v>
      </c>
      <c r="W113" s="169">
        <v>3</v>
      </c>
      <c r="X113" s="169">
        <v>3</v>
      </c>
      <c r="Y113" s="23" t="s">
        <v>120</v>
      </c>
      <c r="Z113" s="22"/>
      <c r="AA113" s="22"/>
      <c r="AB113" s="22"/>
      <c r="AC113" s="22"/>
      <c r="AD113" s="22"/>
      <c r="AE113" s="24"/>
      <c r="AF113" s="24" t="s">
        <v>2041</v>
      </c>
      <c r="AG113" s="22"/>
      <c r="AH113" s="23">
        <v>902062</v>
      </c>
      <c r="AJ113" s="26"/>
      <c r="AK113" s="27">
        <v>1700</v>
      </c>
      <c r="AL113" s="27"/>
      <c r="AO113" s="28" t="s">
        <v>2037</v>
      </c>
      <c r="AP113" s="23" t="s">
        <v>1984</v>
      </c>
      <c r="AQ113" s="23"/>
      <c r="AR113" s="23"/>
      <c r="AS113" s="23"/>
      <c r="AW113" s="27"/>
      <c r="AX113" s="27"/>
      <c r="AY113" s="27"/>
      <c r="BB113" s="28" t="s">
        <v>2037</v>
      </c>
      <c r="BC113" s="23" t="s">
        <v>1984</v>
      </c>
      <c r="BD113" s="23"/>
      <c r="BE113" s="23"/>
      <c r="BF113" s="23"/>
      <c r="BJ113" s="27"/>
      <c r="BK113" s="27"/>
      <c r="BL113" s="27"/>
      <c r="BO113" s="28" t="s">
        <v>2037</v>
      </c>
      <c r="BP113" s="23" t="s">
        <v>1984</v>
      </c>
      <c r="BQ113" s="23"/>
      <c r="BR113" s="23"/>
      <c r="BS113" s="23"/>
      <c r="BW113" s="27"/>
      <c r="BX113" s="27"/>
      <c r="BY113" s="27"/>
      <c r="CB113" s="28" t="s">
        <v>2037</v>
      </c>
      <c r="CC113" s="23" t="s">
        <v>1984</v>
      </c>
      <c r="CD113" s="23"/>
      <c r="CE113" s="23"/>
      <c r="CF113" s="23"/>
      <c r="CH113" s="29"/>
      <c r="CI113" s="23" t="s">
        <v>397</v>
      </c>
      <c r="CJ113" s="28">
        <v>48</v>
      </c>
      <c r="DD113" s="23" t="s">
        <v>3</v>
      </c>
    </row>
    <row r="114" spans="1:108" x14ac:dyDescent="0.2">
      <c r="A114" s="18">
        <v>906</v>
      </c>
      <c r="B114" s="19">
        <v>9</v>
      </c>
      <c r="C114" s="19">
        <f t="shared" si="1"/>
        <v>9060009</v>
      </c>
      <c r="D114" s="19" t="s">
        <v>1690</v>
      </c>
      <c r="E114" s="20" t="s">
        <v>653</v>
      </c>
      <c r="I114" s="21" t="s">
        <v>1670</v>
      </c>
      <c r="J114" s="21"/>
      <c r="K114" s="21"/>
      <c r="L114" s="21"/>
      <c r="M114" s="21"/>
      <c r="N114" s="22" t="s">
        <v>1671</v>
      </c>
      <c r="O114" s="22" t="s">
        <v>1675</v>
      </c>
      <c r="P114" s="22"/>
      <c r="Q114" s="22" t="s">
        <v>2041</v>
      </c>
      <c r="R114" s="22"/>
      <c r="S114" s="22"/>
      <c r="T114" s="22" t="s">
        <v>2225</v>
      </c>
      <c r="U114" s="116" t="s">
        <v>2166</v>
      </c>
      <c r="V114" s="22" t="s">
        <v>1814</v>
      </c>
      <c r="W114" s="169">
        <v>3</v>
      </c>
      <c r="X114" s="169">
        <v>3</v>
      </c>
      <c r="Y114" s="23" t="s">
        <v>120</v>
      </c>
      <c r="Z114" s="22"/>
      <c r="AA114" s="22"/>
      <c r="AB114" s="22"/>
      <c r="AC114" s="22"/>
      <c r="AD114" s="22"/>
      <c r="AE114" s="24"/>
      <c r="AF114" s="24" t="s">
        <v>2041</v>
      </c>
      <c r="AG114" s="22"/>
      <c r="AH114" s="23">
        <v>902071</v>
      </c>
      <c r="AJ114" s="26"/>
      <c r="AK114" s="27">
        <v>1800</v>
      </c>
      <c r="AL114" s="27"/>
      <c r="AO114" s="28" t="s">
        <v>2037</v>
      </c>
      <c r="AP114" s="23" t="s">
        <v>1985</v>
      </c>
      <c r="AQ114" s="23"/>
      <c r="AR114" s="23"/>
      <c r="AS114" s="23"/>
      <c r="AW114" s="27"/>
      <c r="AX114" s="27"/>
      <c r="AY114" s="27"/>
      <c r="BB114" s="28" t="s">
        <v>2037</v>
      </c>
      <c r="BC114" s="23" t="s">
        <v>1985</v>
      </c>
      <c r="BD114" s="23"/>
      <c r="BE114" s="23"/>
      <c r="BF114" s="23"/>
      <c r="BJ114" s="27"/>
      <c r="BK114" s="27"/>
      <c r="BL114" s="27"/>
      <c r="BO114" s="28" t="s">
        <v>2037</v>
      </c>
      <c r="BP114" s="23" t="s">
        <v>1985</v>
      </c>
      <c r="BQ114" s="23"/>
      <c r="BR114" s="23"/>
      <c r="BS114" s="23"/>
      <c r="BW114" s="27"/>
      <c r="BX114" s="27"/>
      <c r="BY114" s="27"/>
      <c r="CB114" s="28" t="s">
        <v>2037</v>
      </c>
      <c r="CC114" s="23" t="s">
        <v>1985</v>
      </c>
      <c r="CD114" s="23"/>
      <c r="CE114" s="23"/>
      <c r="CF114" s="23"/>
      <c r="CH114" s="29"/>
      <c r="CI114" s="23" t="s">
        <v>397</v>
      </c>
      <c r="CJ114" s="28">
        <v>52</v>
      </c>
      <c r="DD114" s="23" t="s">
        <v>3</v>
      </c>
    </row>
    <row r="115" spans="1:108" x14ac:dyDescent="0.2">
      <c r="A115" s="18">
        <v>906</v>
      </c>
      <c r="B115" s="19">
        <v>10</v>
      </c>
      <c r="C115" s="19">
        <f t="shared" si="1"/>
        <v>9060010</v>
      </c>
      <c r="D115" s="19" t="s">
        <v>1691</v>
      </c>
      <c r="E115" s="20" t="s">
        <v>653</v>
      </c>
      <c r="I115" s="21" t="s">
        <v>1670</v>
      </c>
      <c r="J115" s="21"/>
      <c r="K115" s="21"/>
      <c r="L115" s="21"/>
      <c r="M115" s="21"/>
      <c r="N115" s="22" t="s">
        <v>1671</v>
      </c>
      <c r="O115" s="22" t="s">
        <v>1675</v>
      </c>
      <c r="P115" s="22"/>
      <c r="Q115" s="22" t="s">
        <v>2041</v>
      </c>
      <c r="R115" s="22"/>
      <c r="S115" s="22"/>
      <c r="T115" s="22" t="s">
        <v>2225</v>
      </c>
      <c r="U115" s="116" t="s">
        <v>2167</v>
      </c>
      <c r="V115" s="22" t="s">
        <v>1814</v>
      </c>
      <c r="W115" s="169">
        <v>3</v>
      </c>
      <c r="X115" s="169">
        <v>3</v>
      </c>
      <c r="Y115" s="23" t="s">
        <v>120</v>
      </c>
      <c r="Z115" s="22"/>
      <c r="AA115" s="22"/>
      <c r="AB115" s="22"/>
      <c r="AC115" s="22"/>
      <c r="AD115" s="22"/>
      <c r="AE115" s="24"/>
      <c r="AF115" s="24" t="s">
        <v>2041</v>
      </c>
      <c r="AG115" s="22"/>
      <c r="AH115" s="23">
        <v>902072</v>
      </c>
      <c r="AJ115" s="26"/>
      <c r="AK115" s="27">
        <v>1900</v>
      </c>
      <c r="AL115" s="27"/>
      <c r="AO115" s="28" t="s">
        <v>2037</v>
      </c>
      <c r="AP115" s="23" t="s">
        <v>1986</v>
      </c>
      <c r="AQ115" s="23"/>
      <c r="AR115" s="23"/>
      <c r="AS115" s="23"/>
      <c r="AW115" s="27"/>
      <c r="AX115" s="27"/>
      <c r="AY115" s="27"/>
      <c r="BB115" s="28" t="s">
        <v>2037</v>
      </c>
      <c r="BC115" s="23" t="s">
        <v>1986</v>
      </c>
      <c r="BD115" s="23"/>
      <c r="BE115" s="23"/>
      <c r="BF115" s="23"/>
      <c r="BJ115" s="27"/>
      <c r="BK115" s="27"/>
      <c r="BL115" s="27"/>
      <c r="BO115" s="28" t="s">
        <v>2037</v>
      </c>
      <c r="BP115" s="23" t="s">
        <v>1986</v>
      </c>
      <c r="BQ115" s="23"/>
      <c r="BR115" s="23"/>
      <c r="BS115" s="23"/>
      <c r="BW115" s="27"/>
      <c r="BX115" s="27"/>
      <c r="BY115" s="27"/>
      <c r="CB115" s="28" t="s">
        <v>2037</v>
      </c>
      <c r="CC115" s="23" t="s">
        <v>1986</v>
      </c>
      <c r="CD115" s="23"/>
      <c r="CE115" s="23"/>
      <c r="CF115" s="23"/>
      <c r="CH115" s="29"/>
      <c r="CI115" s="23" t="s">
        <v>397</v>
      </c>
      <c r="CJ115" s="28">
        <v>52</v>
      </c>
      <c r="DD115" s="23" t="s">
        <v>3</v>
      </c>
    </row>
    <row r="116" spans="1:108" x14ac:dyDescent="0.2">
      <c r="A116" s="18">
        <v>906</v>
      </c>
      <c r="B116" s="19">
        <v>11</v>
      </c>
      <c r="C116" s="19">
        <f t="shared" si="1"/>
        <v>9060011</v>
      </c>
      <c r="D116" s="19" t="s">
        <v>1692</v>
      </c>
      <c r="E116" s="20" t="s">
        <v>653</v>
      </c>
      <c r="I116" s="21" t="s">
        <v>1670</v>
      </c>
      <c r="J116" s="21"/>
      <c r="K116" s="21"/>
      <c r="L116" s="21"/>
      <c r="M116" s="21"/>
      <c r="N116" s="22" t="s">
        <v>1671</v>
      </c>
      <c r="O116" s="22" t="s">
        <v>1675</v>
      </c>
      <c r="P116" s="22"/>
      <c r="Q116" s="22" t="s">
        <v>2041</v>
      </c>
      <c r="R116" s="22"/>
      <c r="S116" s="22"/>
      <c r="T116" s="22" t="s">
        <v>2225</v>
      </c>
      <c r="U116" s="116" t="s">
        <v>2168</v>
      </c>
      <c r="V116" s="22" t="s">
        <v>1814</v>
      </c>
      <c r="W116" s="169">
        <v>3</v>
      </c>
      <c r="X116" s="169">
        <v>3</v>
      </c>
      <c r="Y116" s="23" t="s">
        <v>120</v>
      </c>
      <c r="Z116" s="22"/>
      <c r="AA116" s="22"/>
      <c r="AB116" s="22"/>
      <c r="AC116" s="22"/>
      <c r="AD116" s="22"/>
      <c r="AE116" s="24"/>
      <c r="AF116" s="24" t="s">
        <v>2041</v>
      </c>
      <c r="AG116" s="22"/>
      <c r="AH116" s="23">
        <v>902081</v>
      </c>
      <c r="AJ116" s="26"/>
      <c r="AK116" s="27">
        <v>2000</v>
      </c>
      <c r="AL116" s="27"/>
      <c r="AO116" s="28" t="s">
        <v>2037</v>
      </c>
      <c r="AP116" s="23" t="s">
        <v>1987</v>
      </c>
      <c r="AQ116" s="23"/>
      <c r="AR116" s="23"/>
      <c r="AS116" s="23"/>
      <c r="AW116" s="27"/>
      <c r="AX116" s="27"/>
      <c r="AY116" s="27"/>
      <c r="BB116" s="28" t="s">
        <v>2037</v>
      </c>
      <c r="BC116" s="23" t="s">
        <v>1987</v>
      </c>
      <c r="BD116" s="23"/>
      <c r="BE116" s="23"/>
      <c r="BF116" s="23"/>
      <c r="BJ116" s="27"/>
      <c r="BK116" s="27"/>
      <c r="BL116" s="27"/>
      <c r="BO116" s="28" t="s">
        <v>2037</v>
      </c>
      <c r="BP116" s="23" t="s">
        <v>1987</v>
      </c>
      <c r="BQ116" s="23"/>
      <c r="BR116" s="23"/>
      <c r="BS116" s="23"/>
      <c r="BW116" s="27"/>
      <c r="BX116" s="27"/>
      <c r="BY116" s="27"/>
      <c r="CB116" s="28" t="s">
        <v>2037</v>
      </c>
      <c r="CC116" s="23" t="s">
        <v>1987</v>
      </c>
      <c r="CD116" s="23"/>
      <c r="CE116" s="23"/>
      <c r="CF116" s="23"/>
      <c r="CH116" s="29"/>
      <c r="CI116" s="23" t="s">
        <v>397</v>
      </c>
      <c r="CJ116" s="28">
        <v>56</v>
      </c>
      <c r="DD116" s="23" t="s">
        <v>3</v>
      </c>
    </row>
    <row r="117" spans="1:108" x14ac:dyDescent="0.2">
      <c r="A117" s="18">
        <v>906</v>
      </c>
      <c r="B117" s="19">
        <v>12</v>
      </c>
      <c r="C117" s="19">
        <f t="shared" si="1"/>
        <v>9060012</v>
      </c>
      <c r="D117" s="19" t="s">
        <v>1693</v>
      </c>
      <c r="E117" s="20" t="s">
        <v>653</v>
      </c>
      <c r="I117" s="21" t="s">
        <v>1670</v>
      </c>
      <c r="J117" s="21"/>
      <c r="K117" s="21"/>
      <c r="L117" s="21"/>
      <c r="M117" s="21"/>
      <c r="N117" s="22" t="s">
        <v>1671</v>
      </c>
      <c r="O117" s="22" t="s">
        <v>1675</v>
      </c>
      <c r="P117" s="22"/>
      <c r="Q117" s="22" t="s">
        <v>2041</v>
      </c>
      <c r="R117" s="22"/>
      <c r="S117" s="22"/>
      <c r="T117" s="22" t="s">
        <v>2225</v>
      </c>
      <c r="U117" s="116" t="s">
        <v>2169</v>
      </c>
      <c r="V117" s="22" t="s">
        <v>1814</v>
      </c>
      <c r="W117" s="169">
        <v>3</v>
      </c>
      <c r="X117" s="169">
        <v>3</v>
      </c>
      <c r="Y117" s="23" t="s">
        <v>120</v>
      </c>
      <c r="Z117" s="22"/>
      <c r="AA117" s="22"/>
      <c r="AB117" s="22"/>
      <c r="AC117" s="22"/>
      <c r="AD117" s="22"/>
      <c r="AE117" s="24"/>
      <c r="AF117" s="24" t="s">
        <v>2041</v>
      </c>
      <c r="AG117" s="22"/>
      <c r="AH117" s="23">
        <v>902082</v>
      </c>
      <c r="AJ117" s="26"/>
      <c r="AK117" s="27">
        <v>2100</v>
      </c>
      <c r="AL117" s="27"/>
      <c r="AO117" s="28" t="s">
        <v>2037</v>
      </c>
      <c r="AP117" s="23" t="s">
        <v>1988</v>
      </c>
      <c r="AQ117" s="23"/>
      <c r="AR117" s="23"/>
      <c r="AS117" s="23"/>
      <c r="AW117" s="27"/>
      <c r="AX117" s="27"/>
      <c r="AY117" s="27"/>
      <c r="BB117" s="28" t="s">
        <v>2037</v>
      </c>
      <c r="BC117" s="23" t="s">
        <v>1988</v>
      </c>
      <c r="BD117" s="23"/>
      <c r="BE117" s="23"/>
      <c r="BF117" s="23"/>
      <c r="BJ117" s="27"/>
      <c r="BK117" s="27"/>
      <c r="BL117" s="27"/>
      <c r="BO117" s="28" t="s">
        <v>2037</v>
      </c>
      <c r="BP117" s="23" t="s">
        <v>1988</v>
      </c>
      <c r="BQ117" s="23"/>
      <c r="BR117" s="23"/>
      <c r="BS117" s="23"/>
      <c r="BW117" s="27"/>
      <c r="BX117" s="27"/>
      <c r="BY117" s="27"/>
      <c r="CB117" s="28" t="s">
        <v>2037</v>
      </c>
      <c r="CC117" s="23" t="s">
        <v>1988</v>
      </c>
      <c r="CD117" s="23"/>
      <c r="CE117" s="23"/>
      <c r="CF117" s="23"/>
      <c r="CH117" s="29"/>
      <c r="CI117" s="23" t="s">
        <v>397</v>
      </c>
      <c r="CJ117" s="28">
        <v>60</v>
      </c>
      <c r="DD117" s="23" t="s">
        <v>3</v>
      </c>
    </row>
    <row r="118" spans="1:108" x14ac:dyDescent="0.2">
      <c r="A118" s="18">
        <v>906</v>
      </c>
      <c r="B118" s="19">
        <v>13</v>
      </c>
      <c r="C118" s="19">
        <f t="shared" si="1"/>
        <v>9060013</v>
      </c>
      <c r="D118" s="19" t="s">
        <v>1694</v>
      </c>
      <c r="E118" s="20" t="s">
        <v>653</v>
      </c>
      <c r="I118" s="21" t="s">
        <v>1670</v>
      </c>
      <c r="J118" s="21"/>
      <c r="K118" s="21"/>
      <c r="L118" s="21"/>
      <c r="M118" s="21"/>
      <c r="N118" s="22" t="s">
        <v>1671</v>
      </c>
      <c r="O118" s="22" t="s">
        <v>1675</v>
      </c>
      <c r="P118" s="22"/>
      <c r="Q118" s="22" t="s">
        <v>2041</v>
      </c>
      <c r="R118" s="22"/>
      <c r="S118" s="22"/>
      <c r="T118" s="22" t="s">
        <v>2225</v>
      </c>
      <c r="U118" s="116" t="s">
        <v>2170</v>
      </c>
      <c r="V118" s="22" t="s">
        <v>1814</v>
      </c>
      <c r="W118" s="169">
        <v>3</v>
      </c>
      <c r="X118" s="169">
        <v>3</v>
      </c>
      <c r="Y118" s="23" t="s">
        <v>120</v>
      </c>
      <c r="Z118" s="22"/>
      <c r="AA118" s="22"/>
      <c r="AB118" s="22"/>
      <c r="AC118" s="22"/>
      <c r="AD118" s="22"/>
      <c r="AE118" s="24"/>
      <c r="AF118" s="24" t="s">
        <v>2041</v>
      </c>
      <c r="AG118" s="22"/>
      <c r="AH118" s="23">
        <v>902083</v>
      </c>
      <c r="AJ118" s="26"/>
      <c r="AK118" s="27">
        <v>2200</v>
      </c>
      <c r="AL118" s="27"/>
      <c r="AO118" s="28" t="s">
        <v>2037</v>
      </c>
      <c r="AP118" s="23" t="s">
        <v>1989</v>
      </c>
      <c r="AQ118" s="23"/>
      <c r="AR118" s="23"/>
      <c r="AS118" s="23"/>
      <c r="AW118" s="27"/>
      <c r="AX118" s="27"/>
      <c r="AY118" s="27"/>
      <c r="BB118" s="28" t="s">
        <v>2037</v>
      </c>
      <c r="BC118" s="23" t="s">
        <v>1989</v>
      </c>
      <c r="BD118" s="23"/>
      <c r="BE118" s="23"/>
      <c r="BF118" s="23"/>
      <c r="BJ118" s="27"/>
      <c r="BK118" s="27"/>
      <c r="BL118" s="27"/>
      <c r="BO118" s="28" t="s">
        <v>2037</v>
      </c>
      <c r="BP118" s="23" t="s">
        <v>1989</v>
      </c>
      <c r="BQ118" s="23"/>
      <c r="BR118" s="23"/>
      <c r="BS118" s="23"/>
      <c r="BW118" s="27"/>
      <c r="BX118" s="27"/>
      <c r="BY118" s="27"/>
      <c r="CB118" s="28" t="s">
        <v>2037</v>
      </c>
      <c r="CC118" s="23" t="s">
        <v>1989</v>
      </c>
      <c r="CD118" s="23"/>
      <c r="CE118" s="23"/>
      <c r="CF118" s="23"/>
      <c r="CH118" s="29"/>
      <c r="CI118" s="23" t="s">
        <v>397</v>
      </c>
      <c r="CJ118" s="28">
        <v>64</v>
      </c>
      <c r="DD118" s="23" t="s">
        <v>3</v>
      </c>
    </row>
    <row r="119" spans="1:108" x14ac:dyDescent="0.2">
      <c r="A119" s="18">
        <v>906</v>
      </c>
      <c r="B119" s="19">
        <v>14</v>
      </c>
      <c r="C119" s="19">
        <f t="shared" si="1"/>
        <v>9060014</v>
      </c>
      <c r="D119" s="19" t="s">
        <v>1695</v>
      </c>
      <c r="E119" s="20" t="s">
        <v>653</v>
      </c>
      <c r="I119" s="21" t="s">
        <v>1670</v>
      </c>
      <c r="J119" s="21"/>
      <c r="K119" s="21"/>
      <c r="L119" s="21"/>
      <c r="M119" s="21"/>
      <c r="N119" s="22" t="s">
        <v>1671</v>
      </c>
      <c r="O119" s="22" t="s">
        <v>1675</v>
      </c>
      <c r="P119" s="22"/>
      <c r="Q119" s="22" t="s">
        <v>2041</v>
      </c>
      <c r="R119" s="22"/>
      <c r="S119" s="22"/>
      <c r="T119" s="22" t="s">
        <v>2225</v>
      </c>
      <c r="U119" s="116" t="s">
        <v>2171</v>
      </c>
      <c r="V119" s="22" t="s">
        <v>1814</v>
      </c>
      <c r="W119" s="169">
        <v>3</v>
      </c>
      <c r="X119" s="169">
        <v>3</v>
      </c>
      <c r="Y119" s="23" t="s">
        <v>120</v>
      </c>
      <c r="Z119" s="22"/>
      <c r="AA119" s="22"/>
      <c r="AB119" s="22"/>
      <c r="AC119" s="22"/>
      <c r="AD119" s="22"/>
      <c r="AE119" s="24"/>
      <c r="AF119" s="24" t="s">
        <v>2041</v>
      </c>
      <c r="AG119" s="22"/>
      <c r="AH119" s="23">
        <v>902084</v>
      </c>
      <c r="AJ119" s="26"/>
      <c r="AK119" s="27">
        <v>2300</v>
      </c>
      <c r="AL119" s="27"/>
      <c r="AO119" s="28" t="s">
        <v>2037</v>
      </c>
      <c r="AP119" s="23" t="s">
        <v>1990</v>
      </c>
      <c r="AQ119" s="23"/>
      <c r="AR119" s="23"/>
      <c r="AS119" s="23"/>
      <c r="AW119" s="27"/>
      <c r="AX119" s="27"/>
      <c r="AY119" s="27"/>
      <c r="BB119" s="28" t="s">
        <v>2037</v>
      </c>
      <c r="BC119" s="23" t="s">
        <v>1990</v>
      </c>
      <c r="BD119" s="23"/>
      <c r="BE119" s="23"/>
      <c r="BF119" s="23"/>
      <c r="BJ119" s="27"/>
      <c r="BK119" s="27"/>
      <c r="BL119" s="27"/>
      <c r="BO119" s="28" t="s">
        <v>2037</v>
      </c>
      <c r="BP119" s="23" t="s">
        <v>1990</v>
      </c>
      <c r="BQ119" s="23"/>
      <c r="BR119" s="23"/>
      <c r="BS119" s="23"/>
      <c r="BW119" s="27"/>
      <c r="BX119" s="27"/>
      <c r="BY119" s="27"/>
      <c r="CB119" s="28" t="s">
        <v>2037</v>
      </c>
      <c r="CC119" s="23" t="s">
        <v>1990</v>
      </c>
      <c r="CD119" s="23"/>
      <c r="CE119" s="23"/>
      <c r="CF119" s="23"/>
      <c r="CH119" s="29"/>
      <c r="CI119" s="23" t="s">
        <v>397</v>
      </c>
      <c r="CJ119" s="28">
        <v>68</v>
      </c>
      <c r="DD119" s="23" t="s">
        <v>3</v>
      </c>
    </row>
    <row r="120" spans="1:108" x14ac:dyDescent="0.2">
      <c r="A120" s="18">
        <v>906</v>
      </c>
      <c r="B120" s="19">
        <v>15</v>
      </c>
      <c r="C120" s="19">
        <f t="shared" si="1"/>
        <v>9060015</v>
      </c>
      <c r="D120" s="19" t="s">
        <v>1696</v>
      </c>
      <c r="E120" s="20" t="s">
        <v>653</v>
      </c>
      <c r="I120" s="21" t="s">
        <v>1670</v>
      </c>
      <c r="J120" s="21"/>
      <c r="K120" s="21"/>
      <c r="L120" s="21"/>
      <c r="M120" s="21"/>
      <c r="N120" s="22" t="s">
        <v>1671</v>
      </c>
      <c r="O120" s="22" t="s">
        <v>1675</v>
      </c>
      <c r="P120" s="22"/>
      <c r="Q120" s="22" t="s">
        <v>2041</v>
      </c>
      <c r="R120" s="22"/>
      <c r="S120" s="22"/>
      <c r="T120" s="22" t="s">
        <v>2225</v>
      </c>
      <c r="U120" s="116" t="s">
        <v>2172</v>
      </c>
      <c r="V120" s="22" t="s">
        <v>1814</v>
      </c>
      <c r="W120" s="169">
        <v>3</v>
      </c>
      <c r="X120" s="169">
        <v>3</v>
      </c>
      <c r="Y120" s="23" t="s">
        <v>120</v>
      </c>
      <c r="Z120" s="22"/>
      <c r="AA120" s="22"/>
      <c r="AB120" s="22"/>
      <c r="AC120" s="22"/>
      <c r="AD120" s="22"/>
      <c r="AE120" s="24"/>
      <c r="AF120" s="24" t="s">
        <v>2041</v>
      </c>
      <c r="AG120" s="22"/>
      <c r="AH120" s="23">
        <v>902085</v>
      </c>
      <c r="AJ120" s="26"/>
      <c r="AK120" s="27">
        <v>2400</v>
      </c>
      <c r="AL120" s="27"/>
      <c r="AO120" s="28" t="s">
        <v>2037</v>
      </c>
      <c r="AP120" s="23" t="s">
        <v>1991</v>
      </c>
      <c r="AQ120" s="23"/>
      <c r="AR120" s="23"/>
      <c r="AS120" s="23"/>
      <c r="AW120" s="27"/>
      <c r="AX120" s="27"/>
      <c r="AY120" s="27"/>
      <c r="BB120" s="28" t="s">
        <v>2037</v>
      </c>
      <c r="BC120" s="23" t="s">
        <v>1991</v>
      </c>
      <c r="BD120" s="23"/>
      <c r="BE120" s="23"/>
      <c r="BF120" s="23"/>
      <c r="BJ120" s="27"/>
      <c r="BK120" s="27"/>
      <c r="BL120" s="27"/>
      <c r="BO120" s="28" t="s">
        <v>2037</v>
      </c>
      <c r="BP120" s="23" t="s">
        <v>1991</v>
      </c>
      <c r="BQ120" s="23"/>
      <c r="BR120" s="23"/>
      <c r="BS120" s="23"/>
      <c r="BW120" s="27"/>
      <c r="BX120" s="27"/>
      <c r="BY120" s="27"/>
      <c r="CB120" s="28" t="s">
        <v>2037</v>
      </c>
      <c r="CC120" s="23" t="s">
        <v>1991</v>
      </c>
      <c r="CD120" s="23"/>
      <c r="CE120" s="23"/>
      <c r="CF120" s="23"/>
      <c r="CH120" s="29"/>
      <c r="CI120" s="23" t="s">
        <v>397</v>
      </c>
      <c r="CJ120" s="28">
        <v>72</v>
      </c>
      <c r="DD120" s="23" t="s">
        <v>3</v>
      </c>
    </row>
    <row r="121" spans="1:108" x14ac:dyDescent="0.2">
      <c r="A121" s="18">
        <v>906</v>
      </c>
      <c r="B121" s="19">
        <v>16</v>
      </c>
      <c r="C121" s="19">
        <f t="shared" si="1"/>
        <v>9060016</v>
      </c>
      <c r="D121" s="19" t="s">
        <v>1697</v>
      </c>
      <c r="E121" s="20" t="s">
        <v>653</v>
      </c>
      <c r="I121" s="21" t="s">
        <v>1670</v>
      </c>
      <c r="J121" s="21"/>
      <c r="K121" s="21"/>
      <c r="L121" s="21"/>
      <c r="M121" s="21"/>
      <c r="N121" s="22" t="s">
        <v>1671</v>
      </c>
      <c r="O121" s="22" t="s">
        <v>1675</v>
      </c>
      <c r="P121" s="22"/>
      <c r="Q121" s="22" t="s">
        <v>2041</v>
      </c>
      <c r="R121" s="22"/>
      <c r="S121" s="22"/>
      <c r="T121" s="22" t="s">
        <v>2225</v>
      </c>
      <c r="U121" s="116" t="s">
        <v>2173</v>
      </c>
      <c r="V121" s="22" t="s">
        <v>1814</v>
      </c>
      <c r="W121" s="169">
        <v>3</v>
      </c>
      <c r="X121" s="169">
        <v>3</v>
      </c>
      <c r="Y121" s="23" t="s">
        <v>120</v>
      </c>
      <c r="Z121" s="22"/>
      <c r="AA121" s="22"/>
      <c r="AB121" s="22"/>
      <c r="AC121" s="22"/>
      <c r="AD121" s="22"/>
      <c r="AE121" s="24"/>
      <c r="AF121" s="24" t="s">
        <v>2041</v>
      </c>
      <c r="AG121" s="22"/>
      <c r="AH121" s="23">
        <v>902086</v>
      </c>
      <c r="AJ121" s="26"/>
      <c r="AK121" s="27">
        <v>2500</v>
      </c>
      <c r="AL121" s="27"/>
      <c r="AO121" s="28" t="s">
        <v>2037</v>
      </c>
      <c r="AP121" s="23" t="s">
        <v>1992</v>
      </c>
      <c r="AQ121" s="23"/>
      <c r="AR121" s="23"/>
      <c r="AS121" s="23"/>
      <c r="AW121" s="27"/>
      <c r="AX121" s="27"/>
      <c r="AY121" s="27"/>
      <c r="BB121" s="28" t="s">
        <v>2037</v>
      </c>
      <c r="BC121" s="23" t="s">
        <v>1992</v>
      </c>
      <c r="BD121" s="23"/>
      <c r="BE121" s="23"/>
      <c r="BF121" s="23"/>
      <c r="BJ121" s="27"/>
      <c r="BK121" s="27"/>
      <c r="BL121" s="27"/>
      <c r="BO121" s="28" t="s">
        <v>2037</v>
      </c>
      <c r="BP121" s="23" t="s">
        <v>1992</v>
      </c>
      <c r="BQ121" s="23"/>
      <c r="BR121" s="23"/>
      <c r="BS121" s="23"/>
      <c r="BW121" s="27"/>
      <c r="BX121" s="27"/>
      <c r="BY121" s="27"/>
      <c r="CB121" s="28" t="s">
        <v>2037</v>
      </c>
      <c r="CC121" s="23" t="s">
        <v>1992</v>
      </c>
      <c r="CD121" s="23"/>
      <c r="CE121" s="23"/>
      <c r="CF121" s="23"/>
      <c r="CH121" s="29"/>
      <c r="CI121" s="23" t="s">
        <v>397</v>
      </c>
      <c r="CJ121" s="28">
        <v>76</v>
      </c>
      <c r="DD121" s="23" t="s">
        <v>3</v>
      </c>
    </row>
    <row r="122" spans="1:108" x14ac:dyDescent="0.2">
      <c r="A122" s="18">
        <v>906</v>
      </c>
      <c r="B122" s="19">
        <v>17</v>
      </c>
      <c r="C122" s="19">
        <f t="shared" si="1"/>
        <v>9060017</v>
      </c>
      <c r="D122" s="19" t="s">
        <v>1698</v>
      </c>
      <c r="E122" s="20" t="s">
        <v>653</v>
      </c>
      <c r="I122" s="21" t="s">
        <v>1670</v>
      </c>
      <c r="J122" s="21"/>
      <c r="K122" s="21"/>
      <c r="L122" s="21"/>
      <c r="M122" s="21"/>
      <c r="N122" s="22" t="s">
        <v>1671</v>
      </c>
      <c r="O122" s="22" t="s">
        <v>1675</v>
      </c>
      <c r="P122" s="22"/>
      <c r="Q122" s="22" t="s">
        <v>2041</v>
      </c>
      <c r="R122" s="22"/>
      <c r="S122" s="22"/>
      <c r="T122" s="22" t="s">
        <v>2225</v>
      </c>
      <c r="U122" s="116" t="s">
        <v>2174</v>
      </c>
      <c r="V122" s="22" t="s">
        <v>1814</v>
      </c>
      <c r="W122" s="169">
        <v>3</v>
      </c>
      <c r="X122" s="169">
        <v>3</v>
      </c>
      <c r="Y122" s="23" t="s">
        <v>120</v>
      </c>
      <c r="Z122" s="22"/>
      <c r="AA122" s="22"/>
      <c r="AB122" s="22"/>
      <c r="AC122" s="22"/>
      <c r="AD122" s="22"/>
      <c r="AE122" s="24"/>
      <c r="AF122" s="24" t="s">
        <v>2041</v>
      </c>
      <c r="AG122" s="22"/>
      <c r="AH122" s="23">
        <v>902087</v>
      </c>
      <c r="AJ122" s="26"/>
      <c r="AK122" s="27">
        <v>2600</v>
      </c>
      <c r="AL122" s="27"/>
      <c r="AO122" s="28" t="s">
        <v>2037</v>
      </c>
      <c r="AP122" s="23" t="s">
        <v>1993</v>
      </c>
      <c r="AQ122" s="23"/>
      <c r="AR122" s="23"/>
      <c r="AS122" s="23"/>
      <c r="AW122" s="27"/>
      <c r="AX122" s="27"/>
      <c r="AY122" s="27"/>
      <c r="BB122" s="28" t="s">
        <v>2037</v>
      </c>
      <c r="BC122" s="23" t="s">
        <v>1993</v>
      </c>
      <c r="BD122" s="23"/>
      <c r="BE122" s="23"/>
      <c r="BF122" s="23"/>
      <c r="BJ122" s="27"/>
      <c r="BK122" s="27"/>
      <c r="BL122" s="27"/>
      <c r="BO122" s="28" t="s">
        <v>2037</v>
      </c>
      <c r="BP122" s="23" t="s">
        <v>1993</v>
      </c>
      <c r="BQ122" s="23"/>
      <c r="BR122" s="23"/>
      <c r="BS122" s="23"/>
      <c r="BW122" s="27"/>
      <c r="BX122" s="27"/>
      <c r="BY122" s="27"/>
      <c r="CB122" s="28" t="s">
        <v>2037</v>
      </c>
      <c r="CC122" s="23" t="s">
        <v>1993</v>
      </c>
      <c r="CD122" s="23"/>
      <c r="CE122" s="23"/>
      <c r="CF122" s="23"/>
      <c r="CH122" s="29"/>
      <c r="CI122" s="23" t="s">
        <v>397</v>
      </c>
      <c r="CJ122" s="28">
        <v>80</v>
      </c>
      <c r="DD122" s="23" t="s">
        <v>3</v>
      </c>
    </row>
    <row r="123" spans="1:108" x14ac:dyDescent="0.2">
      <c r="A123" s="18">
        <v>906</v>
      </c>
      <c r="B123" s="19">
        <v>18</v>
      </c>
      <c r="C123" s="19">
        <f t="shared" si="1"/>
        <v>9060018</v>
      </c>
      <c r="D123" s="19" t="s">
        <v>1699</v>
      </c>
      <c r="E123" s="20" t="s">
        <v>653</v>
      </c>
      <c r="I123" s="21" t="s">
        <v>1670</v>
      </c>
      <c r="J123" s="21"/>
      <c r="K123" s="21"/>
      <c r="L123" s="21"/>
      <c r="M123" s="21"/>
      <c r="N123" s="22" t="s">
        <v>1671</v>
      </c>
      <c r="O123" s="22" t="s">
        <v>1675</v>
      </c>
      <c r="P123" s="22"/>
      <c r="Q123" s="22" t="s">
        <v>2041</v>
      </c>
      <c r="R123" s="22"/>
      <c r="S123" s="22"/>
      <c r="T123" s="22" t="s">
        <v>2225</v>
      </c>
      <c r="U123" s="116" t="s">
        <v>2175</v>
      </c>
      <c r="V123" s="22" t="s">
        <v>1814</v>
      </c>
      <c r="W123" s="169">
        <v>3</v>
      </c>
      <c r="X123" s="169">
        <v>3</v>
      </c>
      <c r="Y123" s="23" t="s">
        <v>120</v>
      </c>
      <c r="Z123" s="22"/>
      <c r="AA123" s="22"/>
      <c r="AB123" s="22"/>
      <c r="AC123" s="22"/>
      <c r="AD123" s="22"/>
      <c r="AE123" s="24"/>
      <c r="AF123" s="24" t="s">
        <v>2041</v>
      </c>
      <c r="AG123" s="22"/>
      <c r="AH123" s="23">
        <v>902088</v>
      </c>
      <c r="AJ123" s="26"/>
      <c r="AK123" s="27">
        <v>2700</v>
      </c>
      <c r="AL123" s="27"/>
      <c r="AO123" s="28" t="s">
        <v>2037</v>
      </c>
      <c r="AP123" s="23" t="s">
        <v>1994</v>
      </c>
      <c r="AQ123" s="23"/>
      <c r="AR123" s="23"/>
      <c r="AS123" s="23"/>
      <c r="AW123" s="27"/>
      <c r="AX123" s="27"/>
      <c r="AY123" s="27"/>
      <c r="BB123" s="28" t="s">
        <v>2037</v>
      </c>
      <c r="BC123" s="23" t="s">
        <v>1994</v>
      </c>
      <c r="BD123" s="23"/>
      <c r="BE123" s="23"/>
      <c r="BF123" s="23"/>
      <c r="BJ123" s="27"/>
      <c r="BK123" s="27"/>
      <c r="BL123" s="27"/>
      <c r="BO123" s="28" t="s">
        <v>2037</v>
      </c>
      <c r="BP123" s="23" t="s">
        <v>1994</v>
      </c>
      <c r="BQ123" s="23"/>
      <c r="BR123" s="23"/>
      <c r="BS123" s="23"/>
      <c r="BW123" s="27"/>
      <c r="BX123" s="27"/>
      <c r="BY123" s="27"/>
      <c r="CB123" s="28" t="s">
        <v>2037</v>
      </c>
      <c r="CC123" s="23" t="s">
        <v>1994</v>
      </c>
      <c r="CD123" s="23"/>
      <c r="CE123" s="23"/>
      <c r="CF123" s="23"/>
      <c r="CH123" s="29"/>
      <c r="CI123" s="23" t="s">
        <v>397</v>
      </c>
      <c r="CJ123" s="28">
        <v>84</v>
      </c>
      <c r="DD123" s="23" t="s">
        <v>3</v>
      </c>
    </row>
    <row r="124" spans="1:108" x14ac:dyDescent="0.2">
      <c r="A124" s="18">
        <v>906</v>
      </c>
      <c r="B124" s="19">
        <v>19</v>
      </c>
      <c r="C124" s="19">
        <f t="shared" si="1"/>
        <v>9060019</v>
      </c>
      <c r="D124" s="19" t="s">
        <v>1700</v>
      </c>
      <c r="E124" s="20" t="s">
        <v>653</v>
      </c>
      <c r="I124" s="21" t="s">
        <v>1670</v>
      </c>
      <c r="J124" s="21"/>
      <c r="K124" s="21"/>
      <c r="L124" s="21"/>
      <c r="M124" s="21"/>
      <c r="N124" s="22" t="s">
        <v>1671</v>
      </c>
      <c r="O124" s="22" t="s">
        <v>1675</v>
      </c>
      <c r="P124" s="22"/>
      <c r="Q124" s="22" t="s">
        <v>2041</v>
      </c>
      <c r="R124" s="22"/>
      <c r="S124" s="22"/>
      <c r="T124" s="22" t="s">
        <v>2225</v>
      </c>
      <c r="U124" s="116" t="s">
        <v>2176</v>
      </c>
      <c r="V124" s="22" t="s">
        <v>1814</v>
      </c>
      <c r="W124" s="169">
        <v>3</v>
      </c>
      <c r="X124" s="169">
        <v>3</v>
      </c>
      <c r="Y124" s="23" t="s">
        <v>120</v>
      </c>
      <c r="Z124" s="22"/>
      <c r="AA124" s="22"/>
      <c r="AB124" s="22"/>
      <c r="AC124" s="22"/>
      <c r="AD124" s="22"/>
      <c r="AE124" s="24"/>
      <c r="AF124" s="24" t="s">
        <v>2041</v>
      </c>
      <c r="AG124" s="22"/>
      <c r="AH124" s="23">
        <v>902089</v>
      </c>
      <c r="AJ124" s="26"/>
      <c r="AK124" s="27">
        <v>2800</v>
      </c>
      <c r="AL124" s="27"/>
      <c r="AO124" s="28" t="s">
        <v>2037</v>
      </c>
      <c r="AP124" s="23" t="s">
        <v>1995</v>
      </c>
      <c r="AQ124" s="23"/>
      <c r="AR124" s="23"/>
      <c r="AS124" s="23"/>
      <c r="AW124" s="27"/>
      <c r="AX124" s="27"/>
      <c r="AY124" s="27"/>
      <c r="BB124" s="28" t="s">
        <v>2037</v>
      </c>
      <c r="BC124" s="23" t="s">
        <v>1995</v>
      </c>
      <c r="BD124" s="23"/>
      <c r="BE124" s="23"/>
      <c r="BF124" s="23"/>
      <c r="BJ124" s="27"/>
      <c r="BK124" s="27"/>
      <c r="BL124" s="27"/>
      <c r="BO124" s="28" t="s">
        <v>2037</v>
      </c>
      <c r="BP124" s="23" t="s">
        <v>1995</v>
      </c>
      <c r="BQ124" s="23"/>
      <c r="BR124" s="23"/>
      <c r="BS124" s="23"/>
      <c r="BW124" s="27"/>
      <c r="BX124" s="27"/>
      <c r="BY124" s="27"/>
      <c r="CB124" s="28" t="s">
        <v>2037</v>
      </c>
      <c r="CC124" s="23" t="s">
        <v>1995</v>
      </c>
      <c r="CD124" s="23"/>
      <c r="CE124" s="23"/>
      <c r="CF124" s="23"/>
      <c r="CH124" s="29"/>
      <c r="CI124" s="23" t="s">
        <v>397</v>
      </c>
      <c r="CJ124" s="28">
        <v>88</v>
      </c>
      <c r="DD124" s="23" t="s">
        <v>3</v>
      </c>
    </row>
    <row r="125" spans="1:108" x14ac:dyDescent="0.2">
      <c r="A125" s="18">
        <v>906</v>
      </c>
      <c r="B125" s="19">
        <v>20</v>
      </c>
      <c r="C125" s="19">
        <f t="shared" si="1"/>
        <v>9060020</v>
      </c>
      <c r="D125" s="19" t="s">
        <v>1701</v>
      </c>
      <c r="E125" s="20" t="s">
        <v>653</v>
      </c>
      <c r="I125" s="21" t="s">
        <v>1670</v>
      </c>
      <c r="J125" s="21"/>
      <c r="K125" s="21"/>
      <c r="L125" s="21"/>
      <c r="M125" s="21"/>
      <c r="N125" s="22" t="s">
        <v>1671</v>
      </c>
      <c r="O125" s="22" t="s">
        <v>1675</v>
      </c>
      <c r="P125" s="22"/>
      <c r="Q125" s="22" t="s">
        <v>2041</v>
      </c>
      <c r="R125" s="22"/>
      <c r="S125" s="22"/>
      <c r="T125" s="22" t="s">
        <v>2225</v>
      </c>
      <c r="U125" s="116" t="s">
        <v>2177</v>
      </c>
      <c r="V125" s="22" t="s">
        <v>1814</v>
      </c>
      <c r="W125" s="169">
        <v>3</v>
      </c>
      <c r="X125" s="169">
        <v>3</v>
      </c>
      <c r="Y125" s="23" t="s">
        <v>120</v>
      </c>
      <c r="Z125" s="22"/>
      <c r="AA125" s="22"/>
      <c r="AB125" s="22"/>
      <c r="AC125" s="22"/>
      <c r="AD125" s="22"/>
      <c r="AE125" s="24"/>
      <c r="AF125" s="24" t="s">
        <v>2041</v>
      </c>
      <c r="AG125" s="22"/>
      <c r="AH125" s="23">
        <v>902090</v>
      </c>
      <c r="AJ125" s="26"/>
      <c r="AK125" s="27">
        <v>2900</v>
      </c>
      <c r="AL125" s="27"/>
      <c r="AO125" s="28" t="s">
        <v>2037</v>
      </c>
      <c r="AP125" s="23" t="s">
        <v>1996</v>
      </c>
      <c r="AQ125" s="23"/>
      <c r="AR125" s="23"/>
      <c r="AS125" s="23"/>
      <c r="AW125" s="27"/>
      <c r="AX125" s="27"/>
      <c r="AY125" s="27"/>
      <c r="BB125" s="28" t="s">
        <v>2037</v>
      </c>
      <c r="BC125" s="23" t="s">
        <v>1996</v>
      </c>
      <c r="BD125" s="23"/>
      <c r="BE125" s="23"/>
      <c r="BF125" s="23"/>
      <c r="BJ125" s="27"/>
      <c r="BK125" s="27"/>
      <c r="BL125" s="27"/>
      <c r="BO125" s="28" t="s">
        <v>2037</v>
      </c>
      <c r="BP125" s="23" t="s">
        <v>1996</v>
      </c>
      <c r="BQ125" s="23"/>
      <c r="BR125" s="23"/>
      <c r="BS125" s="23"/>
      <c r="BW125" s="27"/>
      <c r="BX125" s="27"/>
      <c r="BY125" s="27"/>
      <c r="CB125" s="28" t="s">
        <v>2037</v>
      </c>
      <c r="CC125" s="23" t="s">
        <v>1996</v>
      </c>
      <c r="CD125" s="23"/>
      <c r="CE125" s="23"/>
      <c r="CF125" s="23"/>
      <c r="CH125" s="29"/>
      <c r="CI125" s="23" t="s">
        <v>397</v>
      </c>
      <c r="CJ125" s="28">
        <v>92</v>
      </c>
      <c r="DD125" s="23" t="s">
        <v>3</v>
      </c>
    </row>
    <row r="126" spans="1:108" x14ac:dyDescent="0.2">
      <c r="A126" s="18">
        <v>907</v>
      </c>
      <c r="B126" s="19">
        <v>1</v>
      </c>
      <c r="C126" s="19">
        <f t="shared" si="1"/>
        <v>9070001</v>
      </c>
      <c r="D126" s="19" t="s">
        <v>1723</v>
      </c>
      <c r="E126" s="20" t="s">
        <v>1672</v>
      </c>
      <c r="I126" s="21" t="s">
        <v>1670</v>
      </c>
      <c r="J126" s="21"/>
      <c r="K126" s="21"/>
      <c r="L126" s="21"/>
      <c r="M126" s="21"/>
      <c r="N126" s="22" t="s">
        <v>1671</v>
      </c>
      <c r="O126" s="22" t="s">
        <v>1676</v>
      </c>
      <c r="P126" s="22"/>
      <c r="Q126" s="22" t="s">
        <v>2041</v>
      </c>
      <c r="R126" s="22"/>
      <c r="S126" s="22"/>
      <c r="T126" s="22" t="s">
        <v>2225</v>
      </c>
      <c r="U126" s="116" t="s">
        <v>2178</v>
      </c>
      <c r="V126" s="22" t="s">
        <v>1815</v>
      </c>
      <c r="W126" s="169">
        <v>3</v>
      </c>
      <c r="X126" s="169">
        <v>3</v>
      </c>
      <c r="Y126" s="23" t="s">
        <v>120</v>
      </c>
      <c r="Z126" s="22"/>
      <c r="AA126" s="22"/>
      <c r="AB126" s="22"/>
      <c r="AC126" s="22"/>
      <c r="AD126" s="22"/>
      <c r="AE126" s="24"/>
      <c r="AF126" s="24" t="s">
        <v>2041</v>
      </c>
      <c r="AG126" s="22"/>
      <c r="AH126" s="23">
        <v>903031</v>
      </c>
      <c r="AJ126" s="26"/>
      <c r="AK126" s="27">
        <v>1000</v>
      </c>
      <c r="AL126" s="27"/>
      <c r="AO126" s="28" t="s">
        <v>2038</v>
      </c>
      <c r="AP126" s="23" t="s">
        <v>1997</v>
      </c>
      <c r="AQ126" s="23"/>
      <c r="AR126" s="23"/>
      <c r="AS126" s="23"/>
      <c r="AW126" s="27"/>
      <c r="AX126" s="27"/>
      <c r="AY126" s="27"/>
      <c r="BB126" s="28" t="s">
        <v>2038</v>
      </c>
      <c r="BC126" s="23" t="s">
        <v>1997</v>
      </c>
      <c r="BD126" s="23"/>
      <c r="BE126" s="23"/>
      <c r="BF126" s="23"/>
      <c r="BJ126" s="27"/>
      <c r="BK126" s="27"/>
      <c r="BL126" s="27"/>
      <c r="BO126" s="28" t="s">
        <v>2038</v>
      </c>
      <c r="BP126" s="23" t="s">
        <v>1997</v>
      </c>
      <c r="BQ126" s="23"/>
      <c r="BR126" s="23"/>
      <c r="BS126" s="23"/>
      <c r="BW126" s="27"/>
      <c r="BX126" s="27"/>
      <c r="BY126" s="27"/>
      <c r="CB126" s="28" t="s">
        <v>2038</v>
      </c>
      <c r="CC126" s="23" t="s">
        <v>1997</v>
      </c>
      <c r="CD126" s="23"/>
      <c r="CE126" s="23"/>
      <c r="CF126" s="23"/>
      <c r="CH126" s="29"/>
      <c r="CI126" s="23" t="s">
        <v>397</v>
      </c>
      <c r="CJ126" s="28">
        <v>32</v>
      </c>
      <c r="DD126" s="23" t="s">
        <v>3</v>
      </c>
    </row>
    <row r="127" spans="1:108" x14ac:dyDescent="0.2">
      <c r="A127" s="18">
        <v>907</v>
      </c>
      <c r="B127" s="19">
        <v>2</v>
      </c>
      <c r="C127" s="19">
        <f t="shared" si="1"/>
        <v>9070002</v>
      </c>
      <c r="D127" s="19" t="s">
        <v>1724</v>
      </c>
      <c r="E127" s="20" t="s">
        <v>1672</v>
      </c>
      <c r="I127" s="21" t="s">
        <v>1670</v>
      </c>
      <c r="J127" s="21"/>
      <c r="K127" s="21"/>
      <c r="L127" s="21"/>
      <c r="M127" s="21"/>
      <c r="N127" s="22" t="s">
        <v>1671</v>
      </c>
      <c r="O127" s="22" t="s">
        <v>1676</v>
      </c>
      <c r="P127" s="22"/>
      <c r="Q127" s="22" t="s">
        <v>2041</v>
      </c>
      <c r="R127" s="22"/>
      <c r="S127" s="22"/>
      <c r="T127" s="22" t="s">
        <v>2225</v>
      </c>
      <c r="U127" s="116" t="s">
        <v>2179</v>
      </c>
      <c r="V127" s="22" t="s">
        <v>1815</v>
      </c>
      <c r="W127" s="169">
        <v>3</v>
      </c>
      <c r="X127" s="169">
        <v>3</v>
      </c>
      <c r="Y127" s="23" t="s">
        <v>120</v>
      </c>
      <c r="Z127" s="22"/>
      <c r="AA127" s="22"/>
      <c r="AB127" s="22"/>
      <c r="AC127" s="22"/>
      <c r="AD127" s="22"/>
      <c r="AE127" s="24"/>
      <c r="AF127" s="24" t="s">
        <v>2041</v>
      </c>
      <c r="AG127" s="22"/>
      <c r="AH127" s="23">
        <v>903032</v>
      </c>
      <c r="AJ127" s="26"/>
      <c r="AK127" s="27">
        <v>1100</v>
      </c>
      <c r="AL127" s="27"/>
      <c r="AO127" s="28" t="s">
        <v>2038</v>
      </c>
      <c r="AP127" s="23" t="s">
        <v>1998</v>
      </c>
      <c r="AQ127" s="23"/>
      <c r="AR127" s="23"/>
      <c r="AS127" s="23"/>
      <c r="AW127" s="27"/>
      <c r="AX127" s="27"/>
      <c r="AY127" s="27"/>
      <c r="BB127" s="28" t="s">
        <v>2038</v>
      </c>
      <c r="BC127" s="23" t="s">
        <v>1998</v>
      </c>
      <c r="BD127" s="23"/>
      <c r="BE127" s="23"/>
      <c r="BF127" s="23"/>
      <c r="BJ127" s="27"/>
      <c r="BK127" s="27"/>
      <c r="BL127" s="27"/>
      <c r="BO127" s="28" t="s">
        <v>2038</v>
      </c>
      <c r="BP127" s="23" t="s">
        <v>1998</v>
      </c>
      <c r="BQ127" s="23"/>
      <c r="BR127" s="23"/>
      <c r="BS127" s="23"/>
      <c r="BW127" s="27"/>
      <c r="BX127" s="27"/>
      <c r="BY127" s="27"/>
      <c r="CB127" s="28" t="s">
        <v>2038</v>
      </c>
      <c r="CC127" s="23" t="s">
        <v>1998</v>
      </c>
      <c r="CD127" s="23"/>
      <c r="CE127" s="23"/>
      <c r="CF127" s="23"/>
      <c r="CH127" s="29"/>
      <c r="CI127" s="23" t="s">
        <v>397</v>
      </c>
      <c r="CJ127" s="28">
        <v>32</v>
      </c>
      <c r="DD127" s="23" t="s">
        <v>3</v>
      </c>
    </row>
    <row r="128" spans="1:108" x14ac:dyDescent="0.2">
      <c r="A128" s="18">
        <v>907</v>
      </c>
      <c r="B128" s="19">
        <v>3</v>
      </c>
      <c r="C128" s="19">
        <f t="shared" si="1"/>
        <v>9070003</v>
      </c>
      <c r="D128" s="19" t="s">
        <v>1725</v>
      </c>
      <c r="E128" s="20" t="s">
        <v>1672</v>
      </c>
      <c r="I128" s="21" t="s">
        <v>1670</v>
      </c>
      <c r="J128" s="21"/>
      <c r="K128" s="21"/>
      <c r="L128" s="21"/>
      <c r="M128" s="21"/>
      <c r="N128" s="22" t="s">
        <v>1671</v>
      </c>
      <c r="O128" s="22" t="s">
        <v>1676</v>
      </c>
      <c r="P128" s="22"/>
      <c r="Q128" s="22" t="s">
        <v>2041</v>
      </c>
      <c r="R128" s="22"/>
      <c r="S128" s="22"/>
      <c r="T128" s="22" t="s">
        <v>2225</v>
      </c>
      <c r="U128" s="116" t="s">
        <v>2180</v>
      </c>
      <c r="V128" s="22" t="s">
        <v>1815</v>
      </c>
      <c r="W128" s="169">
        <v>3</v>
      </c>
      <c r="X128" s="169">
        <v>3</v>
      </c>
      <c r="Y128" s="23" t="s">
        <v>120</v>
      </c>
      <c r="Z128" s="22"/>
      <c r="AA128" s="22"/>
      <c r="AB128" s="22"/>
      <c r="AC128" s="22"/>
      <c r="AD128" s="22"/>
      <c r="AE128" s="24"/>
      <c r="AF128" s="24" t="s">
        <v>2041</v>
      </c>
      <c r="AG128" s="22"/>
      <c r="AH128" s="23">
        <v>903041</v>
      </c>
      <c r="AJ128" s="26"/>
      <c r="AK128" s="27">
        <v>1200</v>
      </c>
      <c r="AL128" s="27"/>
      <c r="AO128" s="28" t="s">
        <v>2038</v>
      </c>
      <c r="AP128" s="23" t="s">
        <v>1999</v>
      </c>
      <c r="AQ128" s="23"/>
      <c r="AR128" s="23"/>
      <c r="AS128" s="23"/>
      <c r="AW128" s="27"/>
      <c r="AX128" s="27"/>
      <c r="AY128" s="27"/>
      <c r="BB128" s="28" t="s">
        <v>2038</v>
      </c>
      <c r="BC128" s="23" t="s">
        <v>1999</v>
      </c>
      <c r="BD128" s="23"/>
      <c r="BE128" s="23"/>
      <c r="BF128" s="23"/>
      <c r="BJ128" s="27"/>
      <c r="BK128" s="27"/>
      <c r="BL128" s="27"/>
      <c r="BO128" s="28" t="s">
        <v>2038</v>
      </c>
      <c r="BP128" s="23" t="s">
        <v>1999</v>
      </c>
      <c r="BQ128" s="23"/>
      <c r="BR128" s="23"/>
      <c r="BS128" s="23"/>
      <c r="BW128" s="27"/>
      <c r="BX128" s="27"/>
      <c r="BY128" s="27"/>
      <c r="CB128" s="28" t="s">
        <v>2038</v>
      </c>
      <c r="CC128" s="23" t="s">
        <v>1999</v>
      </c>
      <c r="CD128" s="23"/>
      <c r="CE128" s="23"/>
      <c r="CF128" s="23"/>
      <c r="CH128" s="29"/>
      <c r="CI128" s="23" t="s">
        <v>397</v>
      </c>
      <c r="CJ128" s="28">
        <v>36</v>
      </c>
      <c r="DD128" s="23" t="s">
        <v>3</v>
      </c>
    </row>
    <row r="129" spans="1:108" x14ac:dyDescent="0.2">
      <c r="A129" s="18">
        <v>907</v>
      </c>
      <c r="B129" s="19">
        <v>4</v>
      </c>
      <c r="C129" s="19">
        <f t="shared" si="1"/>
        <v>9070004</v>
      </c>
      <c r="D129" s="19" t="s">
        <v>1726</v>
      </c>
      <c r="E129" s="20" t="s">
        <v>1672</v>
      </c>
      <c r="I129" s="21" t="s">
        <v>1670</v>
      </c>
      <c r="J129" s="21"/>
      <c r="K129" s="21"/>
      <c r="L129" s="21"/>
      <c r="M129" s="21"/>
      <c r="N129" s="22" t="s">
        <v>1671</v>
      </c>
      <c r="O129" s="22" t="s">
        <v>1676</v>
      </c>
      <c r="P129" s="22"/>
      <c r="Q129" s="22" t="s">
        <v>2041</v>
      </c>
      <c r="R129" s="22"/>
      <c r="S129" s="22"/>
      <c r="T129" s="22" t="s">
        <v>2225</v>
      </c>
      <c r="U129" s="116" t="s">
        <v>2181</v>
      </c>
      <c r="V129" s="22" t="s">
        <v>1815</v>
      </c>
      <c r="W129" s="169">
        <v>3</v>
      </c>
      <c r="X129" s="169">
        <v>3</v>
      </c>
      <c r="Y129" s="23" t="s">
        <v>120</v>
      </c>
      <c r="Z129" s="22"/>
      <c r="AA129" s="22"/>
      <c r="AB129" s="22"/>
      <c r="AC129" s="22"/>
      <c r="AD129" s="22"/>
      <c r="AE129" s="24"/>
      <c r="AF129" s="24" t="s">
        <v>2041</v>
      </c>
      <c r="AG129" s="22"/>
      <c r="AH129" s="23">
        <v>903042</v>
      </c>
      <c r="AJ129" s="26"/>
      <c r="AK129" s="27">
        <v>1300</v>
      </c>
      <c r="AL129" s="27"/>
      <c r="AO129" s="28" t="s">
        <v>2038</v>
      </c>
      <c r="AP129" s="23" t="s">
        <v>2000</v>
      </c>
      <c r="AQ129" s="23"/>
      <c r="AR129" s="23"/>
      <c r="AS129" s="23"/>
      <c r="AW129" s="27"/>
      <c r="AX129" s="27"/>
      <c r="AY129" s="27"/>
      <c r="BB129" s="28" t="s">
        <v>2038</v>
      </c>
      <c r="BC129" s="23" t="s">
        <v>2000</v>
      </c>
      <c r="BD129" s="23"/>
      <c r="BE129" s="23"/>
      <c r="BF129" s="23"/>
      <c r="BJ129" s="27"/>
      <c r="BK129" s="27"/>
      <c r="BL129" s="27"/>
      <c r="BO129" s="28" t="s">
        <v>2038</v>
      </c>
      <c r="BP129" s="23" t="s">
        <v>2000</v>
      </c>
      <c r="BQ129" s="23"/>
      <c r="BR129" s="23"/>
      <c r="BS129" s="23"/>
      <c r="BW129" s="27"/>
      <c r="BX129" s="27"/>
      <c r="BY129" s="27"/>
      <c r="CB129" s="28" t="s">
        <v>2038</v>
      </c>
      <c r="CC129" s="23" t="s">
        <v>2000</v>
      </c>
      <c r="CD129" s="23"/>
      <c r="CE129" s="23"/>
      <c r="CF129" s="23"/>
      <c r="CH129" s="29"/>
      <c r="CI129" s="23" t="s">
        <v>397</v>
      </c>
      <c r="CJ129" s="28">
        <v>36</v>
      </c>
      <c r="DD129" s="23" t="s">
        <v>3</v>
      </c>
    </row>
    <row r="130" spans="1:108" x14ac:dyDescent="0.2">
      <c r="A130" s="18">
        <v>907</v>
      </c>
      <c r="B130" s="19">
        <v>5</v>
      </c>
      <c r="C130" s="19">
        <f t="shared" si="1"/>
        <v>9070005</v>
      </c>
      <c r="D130" s="19" t="s">
        <v>1727</v>
      </c>
      <c r="E130" s="20" t="s">
        <v>1672</v>
      </c>
      <c r="I130" s="21" t="s">
        <v>1670</v>
      </c>
      <c r="J130" s="21"/>
      <c r="K130" s="21"/>
      <c r="L130" s="21"/>
      <c r="M130" s="21"/>
      <c r="N130" s="22" t="s">
        <v>1671</v>
      </c>
      <c r="O130" s="22" t="s">
        <v>1676</v>
      </c>
      <c r="P130" s="22"/>
      <c r="Q130" s="22" t="s">
        <v>2041</v>
      </c>
      <c r="R130" s="22"/>
      <c r="S130" s="22"/>
      <c r="T130" s="22" t="s">
        <v>2225</v>
      </c>
      <c r="U130" s="116" t="s">
        <v>2182</v>
      </c>
      <c r="V130" s="22" t="s">
        <v>1815</v>
      </c>
      <c r="W130" s="169">
        <v>3</v>
      </c>
      <c r="X130" s="169">
        <v>3</v>
      </c>
      <c r="Y130" s="23" t="s">
        <v>120</v>
      </c>
      <c r="Z130" s="22"/>
      <c r="AA130" s="22"/>
      <c r="AB130" s="22"/>
      <c r="AC130" s="22"/>
      <c r="AD130" s="22"/>
      <c r="AE130" s="24"/>
      <c r="AF130" s="24" t="s">
        <v>2041</v>
      </c>
      <c r="AG130" s="22"/>
      <c r="AH130" s="23">
        <v>903051</v>
      </c>
      <c r="AJ130" s="26"/>
      <c r="AK130" s="27">
        <v>1400</v>
      </c>
      <c r="AL130" s="27"/>
      <c r="AO130" s="28" t="s">
        <v>2038</v>
      </c>
      <c r="AP130" s="23" t="s">
        <v>2001</v>
      </c>
      <c r="AQ130" s="23"/>
      <c r="AR130" s="23"/>
      <c r="AS130" s="23"/>
      <c r="AW130" s="27"/>
      <c r="AX130" s="27"/>
      <c r="AY130" s="27"/>
      <c r="BB130" s="28" t="s">
        <v>2038</v>
      </c>
      <c r="BC130" s="23" t="s">
        <v>2001</v>
      </c>
      <c r="BD130" s="23"/>
      <c r="BE130" s="23"/>
      <c r="BF130" s="23"/>
      <c r="BJ130" s="27"/>
      <c r="BK130" s="27"/>
      <c r="BL130" s="27"/>
      <c r="BO130" s="28" t="s">
        <v>2038</v>
      </c>
      <c r="BP130" s="23" t="s">
        <v>2001</v>
      </c>
      <c r="BQ130" s="23"/>
      <c r="BR130" s="23"/>
      <c r="BS130" s="23"/>
      <c r="BW130" s="27"/>
      <c r="BX130" s="27"/>
      <c r="BY130" s="27"/>
      <c r="CB130" s="28" t="s">
        <v>2038</v>
      </c>
      <c r="CC130" s="23" t="s">
        <v>2001</v>
      </c>
      <c r="CD130" s="23"/>
      <c r="CE130" s="23"/>
      <c r="CF130" s="23"/>
      <c r="CH130" s="29"/>
      <c r="CI130" s="23" t="s">
        <v>397</v>
      </c>
      <c r="CJ130" s="28">
        <v>40</v>
      </c>
      <c r="DD130" s="23" t="s">
        <v>3</v>
      </c>
    </row>
    <row r="131" spans="1:108" x14ac:dyDescent="0.2">
      <c r="A131" s="18">
        <v>907</v>
      </c>
      <c r="B131" s="19">
        <v>6</v>
      </c>
      <c r="C131" s="19">
        <f t="shared" si="1"/>
        <v>9070006</v>
      </c>
      <c r="D131" s="19" t="s">
        <v>1728</v>
      </c>
      <c r="E131" s="20" t="s">
        <v>1672</v>
      </c>
      <c r="I131" s="21" t="s">
        <v>1670</v>
      </c>
      <c r="J131" s="21"/>
      <c r="K131" s="21"/>
      <c r="L131" s="21"/>
      <c r="M131" s="21"/>
      <c r="N131" s="22" t="s">
        <v>1671</v>
      </c>
      <c r="O131" s="22" t="s">
        <v>1676</v>
      </c>
      <c r="P131" s="22"/>
      <c r="Q131" s="22" t="s">
        <v>2041</v>
      </c>
      <c r="R131" s="22"/>
      <c r="S131" s="22"/>
      <c r="T131" s="22" t="s">
        <v>2225</v>
      </c>
      <c r="U131" s="116" t="s">
        <v>2183</v>
      </c>
      <c r="V131" s="22" t="s">
        <v>1815</v>
      </c>
      <c r="W131" s="169">
        <v>3</v>
      </c>
      <c r="X131" s="169">
        <v>3</v>
      </c>
      <c r="Y131" s="23" t="s">
        <v>120</v>
      </c>
      <c r="Z131" s="22"/>
      <c r="AA131" s="22"/>
      <c r="AB131" s="22"/>
      <c r="AC131" s="22"/>
      <c r="AD131" s="22"/>
      <c r="AE131" s="24"/>
      <c r="AF131" s="24" t="s">
        <v>2041</v>
      </c>
      <c r="AG131" s="22"/>
      <c r="AH131" s="23">
        <v>903052</v>
      </c>
      <c r="AJ131" s="26"/>
      <c r="AK131" s="27">
        <v>1500</v>
      </c>
      <c r="AL131" s="27"/>
      <c r="AO131" s="28" t="s">
        <v>2038</v>
      </c>
      <c r="AP131" s="23" t="s">
        <v>2002</v>
      </c>
      <c r="AQ131" s="23"/>
      <c r="AR131" s="23"/>
      <c r="AS131" s="23"/>
      <c r="AW131" s="27"/>
      <c r="AX131" s="27"/>
      <c r="AY131" s="27"/>
      <c r="BB131" s="28" t="s">
        <v>2038</v>
      </c>
      <c r="BC131" s="23" t="s">
        <v>2002</v>
      </c>
      <c r="BD131" s="23"/>
      <c r="BE131" s="23"/>
      <c r="BF131" s="23"/>
      <c r="BJ131" s="27"/>
      <c r="BK131" s="27"/>
      <c r="BL131" s="27"/>
      <c r="BO131" s="28" t="s">
        <v>2038</v>
      </c>
      <c r="BP131" s="23" t="s">
        <v>2002</v>
      </c>
      <c r="BQ131" s="23"/>
      <c r="BR131" s="23"/>
      <c r="BS131" s="23"/>
      <c r="BW131" s="27"/>
      <c r="BX131" s="27"/>
      <c r="BY131" s="27"/>
      <c r="CB131" s="28" t="s">
        <v>2038</v>
      </c>
      <c r="CC131" s="23" t="s">
        <v>2002</v>
      </c>
      <c r="CD131" s="23"/>
      <c r="CE131" s="23"/>
      <c r="CF131" s="23"/>
      <c r="CH131" s="29"/>
      <c r="CI131" s="23" t="s">
        <v>397</v>
      </c>
      <c r="CJ131" s="28">
        <v>40</v>
      </c>
      <c r="DD131" s="23" t="s">
        <v>3</v>
      </c>
    </row>
    <row r="132" spans="1:108" x14ac:dyDescent="0.2">
      <c r="A132" s="18">
        <v>907</v>
      </c>
      <c r="B132" s="19">
        <v>7</v>
      </c>
      <c r="C132" s="19">
        <f t="shared" si="1"/>
        <v>9070007</v>
      </c>
      <c r="D132" s="19" t="s">
        <v>1729</v>
      </c>
      <c r="E132" s="20" t="s">
        <v>1672</v>
      </c>
      <c r="I132" s="21" t="s">
        <v>1670</v>
      </c>
      <c r="J132" s="21"/>
      <c r="K132" s="21"/>
      <c r="L132" s="21"/>
      <c r="M132" s="21"/>
      <c r="N132" s="22" t="s">
        <v>1671</v>
      </c>
      <c r="O132" s="22" t="s">
        <v>1676</v>
      </c>
      <c r="P132" s="22"/>
      <c r="Q132" s="22" t="s">
        <v>2041</v>
      </c>
      <c r="R132" s="22"/>
      <c r="S132" s="22"/>
      <c r="T132" s="22" t="s">
        <v>2225</v>
      </c>
      <c r="U132" s="116" t="s">
        <v>2184</v>
      </c>
      <c r="V132" s="22" t="s">
        <v>1815</v>
      </c>
      <c r="W132" s="169">
        <v>3</v>
      </c>
      <c r="X132" s="169">
        <v>3</v>
      </c>
      <c r="Y132" s="23" t="s">
        <v>120</v>
      </c>
      <c r="Z132" s="22"/>
      <c r="AA132" s="22"/>
      <c r="AB132" s="22"/>
      <c r="AC132" s="22"/>
      <c r="AD132" s="22"/>
      <c r="AE132" s="24"/>
      <c r="AF132" s="24" t="s">
        <v>2041</v>
      </c>
      <c r="AG132" s="22"/>
      <c r="AH132" s="23">
        <v>903061</v>
      </c>
      <c r="AJ132" s="26"/>
      <c r="AK132" s="27">
        <v>1600</v>
      </c>
      <c r="AL132" s="27"/>
      <c r="AO132" s="28" t="s">
        <v>2038</v>
      </c>
      <c r="AP132" s="23" t="s">
        <v>2003</v>
      </c>
      <c r="AQ132" s="23"/>
      <c r="AR132" s="23"/>
      <c r="AS132" s="23"/>
      <c r="AW132" s="27"/>
      <c r="AX132" s="27"/>
      <c r="AY132" s="27"/>
      <c r="BB132" s="28" t="s">
        <v>2038</v>
      </c>
      <c r="BC132" s="23" t="s">
        <v>2003</v>
      </c>
      <c r="BD132" s="23"/>
      <c r="BE132" s="23"/>
      <c r="BF132" s="23"/>
      <c r="BJ132" s="27"/>
      <c r="BK132" s="27"/>
      <c r="BL132" s="27"/>
      <c r="BO132" s="28" t="s">
        <v>2038</v>
      </c>
      <c r="BP132" s="23" t="s">
        <v>2003</v>
      </c>
      <c r="BQ132" s="23"/>
      <c r="BR132" s="23"/>
      <c r="BS132" s="23"/>
      <c r="BW132" s="27"/>
      <c r="BX132" s="27"/>
      <c r="BY132" s="27"/>
      <c r="CB132" s="28" t="s">
        <v>2038</v>
      </c>
      <c r="CC132" s="23" t="s">
        <v>2003</v>
      </c>
      <c r="CD132" s="23"/>
      <c r="CE132" s="23"/>
      <c r="CF132" s="23"/>
      <c r="CH132" s="29"/>
      <c r="CI132" s="23" t="s">
        <v>397</v>
      </c>
      <c r="CJ132" s="28">
        <v>48</v>
      </c>
      <c r="DD132" s="23" t="s">
        <v>3</v>
      </c>
    </row>
    <row r="133" spans="1:108" x14ac:dyDescent="0.2">
      <c r="A133" s="18">
        <v>907</v>
      </c>
      <c r="B133" s="19">
        <v>8</v>
      </c>
      <c r="C133" s="19">
        <f t="shared" ref="C133:C196" si="2">A133*10000+B133</f>
        <v>9070008</v>
      </c>
      <c r="D133" s="19" t="s">
        <v>1730</v>
      </c>
      <c r="E133" s="20" t="s">
        <v>1672</v>
      </c>
      <c r="I133" s="21" t="s">
        <v>1670</v>
      </c>
      <c r="J133" s="21"/>
      <c r="K133" s="21"/>
      <c r="L133" s="21"/>
      <c r="M133" s="21"/>
      <c r="N133" s="22" t="s">
        <v>1671</v>
      </c>
      <c r="O133" s="22" t="s">
        <v>1676</v>
      </c>
      <c r="P133" s="22"/>
      <c r="Q133" s="22" t="s">
        <v>2041</v>
      </c>
      <c r="R133" s="22"/>
      <c r="S133" s="22"/>
      <c r="T133" s="22" t="s">
        <v>2225</v>
      </c>
      <c r="U133" s="116" t="s">
        <v>2185</v>
      </c>
      <c r="V133" s="22" t="s">
        <v>1815</v>
      </c>
      <c r="W133" s="169">
        <v>3</v>
      </c>
      <c r="X133" s="169">
        <v>3</v>
      </c>
      <c r="Y133" s="23" t="s">
        <v>120</v>
      </c>
      <c r="Z133" s="22"/>
      <c r="AA133" s="22"/>
      <c r="AB133" s="22"/>
      <c r="AC133" s="22"/>
      <c r="AD133" s="22"/>
      <c r="AE133" s="24"/>
      <c r="AF133" s="24" t="s">
        <v>2041</v>
      </c>
      <c r="AG133" s="22"/>
      <c r="AH133" s="23">
        <v>903062</v>
      </c>
      <c r="AJ133" s="26"/>
      <c r="AK133" s="27">
        <v>1700</v>
      </c>
      <c r="AL133" s="27"/>
      <c r="AO133" s="28" t="s">
        <v>2038</v>
      </c>
      <c r="AP133" s="23" t="s">
        <v>2004</v>
      </c>
      <c r="AQ133" s="23"/>
      <c r="AR133" s="23"/>
      <c r="AS133" s="23"/>
      <c r="AW133" s="27"/>
      <c r="AX133" s="27"/>
      <c r="AY133" s="27"/>
      <c r="BB133" s="28" t="s">
        <v>2038</v>
      </c>
      <c r="BC133" s="23" t="s">
        <v>2004</v>
      </c>
      <c r="BD133" s="23"/>
      <c r="BE133" s="23"/>
      <c r="BF133" s="23"/>
      <c r="BJ133" s="27"/>
      <c r="BK133" s="27"/>
      <c r="BL133" s="27"/>
      <c r="BO133" s="28" t="s">
        <v>2038</v>
      </c>
      <c r="BP133" s="23" t="s">
        <v>2004</v>
      </c>
      <c r="BQ133" s="23"/>
      <c r="BR133" s="23"/>
      <c r="BS133" s="23"/>
      <c r="BW133" s="27"/>
      <c r="BX133" s="27"/>
      <c r="BY133" s="27"/>
      <c r="CB133" s="28" t="s">
        <v>2038</v>
      </c>
      <c r="CC133" s="23" t="s">
        <v>2004</v>
      </c>
      <c r="CD133" s="23"/>
      <c r="CE133" s="23"/>
      <c r="CF133" s="23"/>
      <c r="CH133" s="29"/>
      <c r="CI133" s="23" t="s">
        <v>397</v>
      </c>
      <c r="CJ133" s="28">
        <v>48</v>
      </c>
      <c r="DD133" s="23" t="s">
        <v>3</v>
      </c>
    </row>
    <row r="134" spans="1:108" x14ac:dyDescent="0.2">
      <c r="A134" s="18">
        <v>907</v>
      </c>
      <c r="B134" s="19">
        <v>9</v>
      </c>
      <c r="C134" s="19">
        <f t="shared" si="2"/>
        <v>9070009</v>
      </c>
      <c r="D134" s="19" t="s">
        <v>1731</v>
      </c>
      <c r="E134" s="20" t="s">
        <v>1672</v>
      </c>
      <c r="I134" s="21" t="s">
        <v>1670</v>
      </c>
      <c r="J134" s="21"/>
      <c r="K134" s="21"/>
      <c r="L134" s="21"/>
      <c r="M134" s="21"/>
      <c r="N134" s="22" t="s">
        <v>1671</v>
      </c>
      <c r="O134" s="22" t="s">
        <v>1676</v>
      </c>
      <c r="P134" s="22"/>
      <c r="Q134" s="22" t="s">
        <v>2041</v>
      </c>
      <c r="R134" s="22"/>
      <c r="S134" s="22"/>
      <c r="T134" s="22" t="s">
        <v>2225</v>
      </c>
      <c r="U134" s="116" t="s">
        <v>2186</v>
      </c>
      <c r="V134" s="22" t="s">
        <v>1815</v>
      </c>
      <c r="W134" s="169">
        <v>3</v>
      </c>
      <c r="X134" s="169">
        <v>3</v>
      </c>
      <c r="Y134" s="23" t="s">
        <v>120</v>
      </c>
      <c r="Z134" s="22"/>
      <c r="AA134" s="22"/>
      <c r="AB134" s="22"/>
      <c r="AC134" s="22"/>
      <c r="AD134" s="22"/>
      <c r="AE134" s="24"/>
      <c r="AF134" s="24" t="s">
        <v>2041</v>
      </c>
      <c r="AG134" s="22"/>
      <c r="AH134" s="23">
        <v>903071</v>
      </c>
      <c r="AJ134" s="26"/>
      <c r="AK134" s="27">
        <v>1800</v>
      </c>
      <c r="AL134" s="27"/>
      <c r="AO134" s="28" t="s">
        <v>2038</v>
      </c>
      <c r="AP134" s="23" t="s">
        <v>2005</v>
      </c>
      <c r="AQ134" s="23"/>
      <c r="AR134" s="23"/>
      <c r="AS134" s="23"/>
      <c r="AW134" s="27"/>
      <c r="AX134" s="27"/>
      <c r="AY134" s="27"/>
      <c r="BB134" s="28" t="s">
        <v>2038</v>
      </c>
      <c r="BC134" s="23" t="s">
        <v>2005</v>
      </c>
      <c r="BD134" s="23"/>
      <c r="BE134" s="23"/>
      <c r="BF134" s="23"/>
      <c r="BJ134" s="27"/>
      <c r="BK134" s="27"/>
      <c r="BL134" s="27"/>
      <c r="BO134" s="28" t="s">
        <v>2038</v>
      </c>
      <c r="BP134" s="23" t="s">
        <v>2005</v>
      </c>
      <c r="BQ134" s="23"/>
      <c r="BR134" s="23"/>
      <c r="BS134" s="23"/>
      <c r="BW134" s="27"/>
      <c r="BX134" s="27"/>
      <c r="BY134" s="27"/>
      <c r="CB134" s="28" t="s">
        <v>2038</v>
      </c>
      <c r="CC134" s="23" t="s">
        <v>2005</v>
      </c>
      <c r="CD134" s="23"/>
      <c r="CE134" s="23"/>
      <c r="CF134" s="23"/>
      <c r="CH134" s="29"/>
      <c r="CI134" s="23" t="s">
        <v>397</v>
      </c>
      <c r="CJ134" s="28">
        <v>52</v>
      </c>
      <c r="DD134" s="23" t="s">
        <v>3</v>
      </c>
    </row>
    <row r="135" spans="1:108" x14ac:dyDescent="0.2">
      <c r="A135" s="18">
        <v>907</v>
      </c>
      <c r="B135" s="19">
        <v>10</v>
      </c>
      <c r="C135" s="19">
        <f t="shared" si="2"/>
        <v>9070010</v>
      </c>
      <c r="D135" s="19" t="s">
        <v>1732</v>
      </c>
      <c r="E135" s="20" t="s">
        <v>1672</v>
      </c>
      <c r="I135" s="21" t="s">
        <v>1670</v>
      </c>
      <c r="J135" s="21"/>
      <c r="K135" s="21"/>
      <c r="L135" s="21"/>
      <c r="M135" s="21"/>
      <c r="N135" s="22" t="s">
        <v>1671</v>
      </c>
      <c r="O135" s="22" t="s">
        <v>1676</v>
      </c>
      <c r="P135" s="22"/>
      <c r="Q135" s="22" t="s">
        <v>2041</v>
      </c>
      <c r="R135" s="22"/>
      <c r="S135" s="22"/>
      <c r="T135" s="22" t="s">
        <v>2225</v>
      </c>
      <c r="U135" s="116" t="s">
        <v>2187</v>
      </c>
      <c r="V135" s="22" t="s">
        <v>1815</v>
      </c>
      <c r="W135" s="169">
        <v>3</v>
      </c>
      <c r="X135" s="169">
        <v>3</v>
      </c>
      <c r="Y135" s="23" t="s">
        <v>120</v>
      </c>
      <c r="Z135" s="22"/>
      <c r="AA135" s="22"/>
      <c r="AB135" s="22"/>
      <c r="AC135" s="22"/>
      <c r="AD135" s="22"/>
      <c r="AE135" s="24"/>
      <c r="AF135" s="24" t="s">
        <v>2041</v>
      </c>
      <c r="AG135" s="22"/>
      <c r="AH135" s="23">
        <v>903072</v>
      </c>
      <c r="AJ135" s="26"/>
      <c r="AK135" s="27">
        <v>1900</v>
      </c>
      <c r="AL135" s="27"/>
      <c r="AO135" s="28" t="s">
        <v>2038</v>
      </c>
      <c r="AP135" s="23" t="s">
        <v>2006</v>
      </c>
      <c r="AQ135" s="23"/>
      <c r="AR135" s="23"/>
      <c r="AS135" s="23"/>
      <c r="AW135" s="27"/>
      <c r="AX135" s="27"/>
      <c r="AY135" s="27"/>
      <c r="BB135" s="28" t="s">
        <v>2038</v>
      </c>
      <c r="BC135" s="23" t="s">
        <v>2006</v>
      </c>
      <c r="BD135" s="23"/>
      <c r="BE135" s="23"/>
      <c r="BF135" s="23"/>
      <c r="BJ135" s="27"/>
      <c r="BK135" s="27"/>
      <c r="BL135" s="27"/>
      <c r="BO135" s="28" t="s">
        <v>2038</v>
      </c>
      <c r="BP135" s="23" t="s">
        <v>2006</v>
      </c>
      <c r="BQ135" s="23"/>
      <c r="BR135" s="23"/>
      <c r="BS135" s="23"/>
      <c r="BW135" s="27"/>
      <c r="BX135" s="27"/>
      <c r="BY135" s="27"/>
      <c r="CB135" s="28" t="s">
        <v>2038</v>
      </c>
      <c r="CC135" s="23" t="s">
        <v>2006</v>
      </c>
      <c r="CD135" s="23"/>
      <c r="CE135" s="23"/>
      <c r="CF135" s="23"/>
      <c r="CH135" s="29"/>
      <c r="CI135" s="23" t="s">
        <v>397</v>
      </c>
      <c r="CJ135" s="28">
        <v>52</v>
      </c>
      <c r="DD135" s="23" t="s">
        <v>3</v>
      </c>
    </row>
    <row r="136" spans="1:108" x14ac:dyDescent="0.2">
      <c r="A136" s="18">
        <v>907</v>
      </c>
      <c r="B136" s="19">
        <v>11</v>
      </c>
      <c r="C136" s="19">
        <f t="shared" si="2"/>
        <v>9070011</v>
      </c>
      <c r="D136" s="19" t="s">
        <v>1733</v>
      </c>
      <c r="E136" s="20" t="s">
        <v>1672</v>
      </c>
      <c r="I136" s="21" t="s">
        <v>1670</v>
      </c>
      <c r="J136" s="21"/>
      <c r="K136" s="21"/>
      <c r="L136" s="21"/>
      <c r="M136" s="21"/>
      <c r="N136" s="22" t="s">
        <v>1671</v>
      </c>
      <c r="O136" s="22" t="s">
        <v>1676</v>
      </c>
      <c r="P136" s="22"/>
      <c r="Q136" s="22" t="s">
        <v>2041</v>
      </c>
      <c r="R136" s="22"/>
      <c r="S136" s="22"/>
      <c r="T136" s="22" t="s">
        <v>2225</v>
      </c>
      <c r="U136" s="116" t="s">
        <v>2188</v>
      </c>
      <c r="V136" s="22" t="s">
        <v>1815</v>
      </c>
      <c r="W136" s="169">
        <v>3</v>
      </c>
      <c r="X136" s="169">
        <v>3</v>
      </c>
      <c r="Y136" s="23" t="s">
        <v>120</v>
      </c>
      <c r="Z136" s="22"/>
      <c r="AA136" s="22"/>
      <c r="AB136" s="22"/>
      <c r="AC136" s="22"/>
      <c r="AD136" s="22"/>
      <c r="AE136" s="24"/>
      <c r="AF136" s="24" t="s">
        <v>2041</v>
      </c>
      <c r="AG136" s="22"/>
      <c r="AH136" s="23">
        <v>903081</v>
      </c>
      <c r="AJ136" s="26"/>
      <c r="AK136" s="27">
        <v>2000</v>
      </c>
      <c r="AL136" s="27"/>
      <c r="AO136" s="28" t="s">
        <v>2038</v>
      </c>
      <c r="AP136" s="23" t="s">
        <v>2007</v>
      </c>
      <c r="AQ136" s="23"/>
      <c r="AR136" s="23"/>
      <c r="AS136" s="23"/>
      <c r="AW136" s="27"/>
      <c r="AX136" s="27"/>
      <c r="AY136" s="27"/>
      <c r="BB136" s="28" t="s">
        <v>2038</v>
      </c>
      <c r="BC136" s="23" t="s">
        <v>2007</v>
      </c>
      <c r="BD136" s="23"/>
      <c r="BE136" s="23"/>
      <c r="BF136" s="23"/>
      <c r="BJ136" s="27"/>
      <c r="BK136" s="27"/>
      <c r="BL136" s="27"/>
      <c r="BO136" s="28" t="s">
        <v>2038</v>
      </c>
      <c r="BP136" s="23" t="s">
        <v>2007</v>
      </c>
      <c r="BQ136" s="23"/>
      <c r="BR136" s="23"/>
      <c r="BS136" s="23"/>
      <c r="BW136" s="27"/>
      <c r="BX136" s="27"/>
      <c r="BY136" s="27"/>
      <c r="CB136" s="28" t="s">
        <v>2038</v>
      </c>
      <c r="CC136" s="23" t="s">
        <v>2007</v>
      </c>
      <c r="CD136" s="23"/>
      <c r="CE136" s="23"/>
      <c r="CF136" s="23"/>
      <c r="CH136" s="29"/>
      <c r="CI136" s="23" t="s">
        <v>397</v>
      </c>
      <c r="CJ136" s="28">
        <v>56</v>
      </c>
      <c r="DD136" s="23" t="s">
        <v>3</v>
      </c>
    </row>
    <row r="137" spans="1:108" x14ac:dyDescent="0.2">
      <c r="A137" s="18">
        <v>907</v>
      </c>
      <c r="B137" s="19">
        <v>12</v>
      </c>
      <c r="C137" s="19">
        <f t="shared" si="2"/>
        <v>9070012</v>
      </c>
      <c r="D137" s="19" t="s">
        <v>1734</v>
      </c>
      <c r="E137" s="20" t="s">
        <v>1672</v>
      </c>
      <c r="I137" s="21" t="s">
        <v>1670</v>
      </c>
      <c r="J137" s="21"/>
      <c r="K137" s="21"/>
      <c r="L137" s="21"/>
      <c r="M137" s="21"/>
      <c r="N137" s="22" t="s">
        <v>1671</v>
      </c>
      <c r="O137" s="22" t="s">
        <v>1676</v>
      </c>
      <c r="P137" s="22"/>
      <c r="Q137" s="22" t="s">
        <v>2041</v>
      </c>
      <c r="R137" s="22"/>
      <c r="S137" s="22"/>
      <c r="T137" s="22" t="s">
        <v>2225</v>
      </c>
      <c r="U137" s="116" t="s">
        <v>2189</v>
      </c>
      <c r="V137" s="22" t="s">
        <v>1815</v>
      </c>
      <c r="W137" s="169">
        <v>3</v>
      </c>
      <c r="X137" s="169">
        <v>3</v>
      </c>
      <c r="Y137" s="23" t="s">
        <v>120</v>
      </c>
      <c r="Z137" s="22"/>
      <c r="AA137" s="22"/>
      <c r="AB137" s="22"/>
      <c r="AC137" s="22"/>
      <c r="AD137" s="22"/>
      <c r="AE137" s="24"/>
      <c r="AF137" s="24" t="s">
        <v>2041</v>
      </c>
      <c r="AG137" s="22"/>
      <c r="AH137" s="23">
        <v>903082</v>
      </c>
      <c r="AJ137" s="26"/>
      <c r="AK137" s="27">
        <v>2100</v>
      </c>
      <c r="AL137" s="27"/>
      <c r="AO137" s="28" t="s">
        <v>2038</v>
      </c>
      <c r="AP137" s="23" t="s">
        <v>2008</v>
      </c>
      <c r="AQ137" s="23"/>
      <c r="AR137" s="23"/>
      <c r="AS137" s="23"/>
      <c r="AW137" s="27"/>
      <c r="AX137" s="27"/>
      <c r="AY137" s="27"/>
      <c r="BB137" s="28" t="s">
        <v>2038</v>
      </c>
      <c r="BC137" s="23" t="s">
        <v>2008</v>
      </c>
      <c r="BD137" s="23"/>
      <c r="BE137" s="23"/>
      <c r="BF137" s="23"/>
      <c r="BJ137" s="27"/>
      <c r="BK137" s="27"/>
      <c r="BL137" s="27"/>
      <c r="BO137" s="28" t="s">
        <v>2038</v>
      </c>
      <c r="BP137" s="23" t="s">
        <v>2008</v>
      </c>
      <c r="BQ137" s="23"/>
      <c r="BR137" s="23"/>
      <c r="BS137" s="23"/>
      <c r="BW137" s="27"/>
      <c r="BX137" s="27"/>
      <c r="BY137" s="27"/>
      <c r="CB137" s="28" t="s">
        <v>2038</v>
      </c>
      <c r="CC137" s="23" t="s">
        <v>2008</v>
      </c>
      <c r="CD137" s="23"/>
      <c r="CE137" s="23"/>
      <c r="CF137" s="23"/>
      <c r="CH137" s="29"/>
      <c r="CI137" s="23" t="s">
        <v>397</v>
      </c>
      <c r="CJ137" s="28">
        <v>60</v>
      </c>
      <c r="DD137" s="23" t="s">
        <v>3</v>
      </c>
    </row>
    <row r="138" spans="1:108" x14ac:dyDescent="0.2">
      <c r="A138" s="18">
        <v>907</v>
      </c>
      <c r="B138" s="19">
        <v>13</v>
      </c>
      <c r="C138" s="19">
        <f t="shared" si="2"/>
        <v>9070013</v>
      </c>
      <c r="D138" s="19" t="s">
        <v>1735</v>
      </c>
      <c r="E138" s="20" t="s">
        <v>1672</v>
      </c>
      <c r="I138" s="21" t="s">
        <v>1670</v>
      </c>
      <c r="J138" s="21"/>
      <c r="K138" s="21"/>
      <c r="L138" s="21"/>
      <c r="M138" s="21"/>
      <c r="N138" s="22" t="s">
        <v>1671</v>
      </c>
      <c r="O138" s="22" t="s">
        <v>1676</v>
      </c>
      <c r="P138" s="22"/>
      <c r="Q138" s="22" t="s">
        <v>2041</v>
      </c>
      <c r="R138" s="22"/>
      <c r="S138" s="22"/>
      <c r="T138" s="22" t="s">
        <v>2225</v>
      </c>
      <c r="U138" s="116" t="s">
        <v>2190</v>
      </c>
      <c r="V138" s="22" t="s">
        <v>1815</v>
      </c>
      <c r="W138" s="169">
        <v>3</v>
      </c>
      <c r="X138" s="169">
        <v>3</v>
      </c>
      <c r="Y138" s="23" t="s">
        <v>120</v>
      </c>
      <c r="Z138" s="22"/>
      <c r="AA138" s="22"/>
      <c r="AB138" s="22"/>
      <c r="AC138" s="22"/>
      <c r="AD138" s="22"/>
      <c r="AE138" s="24"/>
      <c r="AF138" s="24" t="s">
        <v>2041</v>
      </c>
      <c r="AG138" s="22"/>
      <c r="AH138" s="23">
        <v>903083</v>
      </c>
      <c r="AJ138" s="26"/>
      <c r="AK138" s="27">
        <v>2200</v>
      </c>
      <c r="AL138" s="27"/>
      <c r="AO138" s="28" t="s">
        <v>2038</v>
      </c>
      <c r="AP138" s="23" t="s">
        <v>2009</v>
      </c>
      <c r="AQ138" s="23"/>
      <c r="AR138" s="23"/>
      <c r="AS138" s="23"/>
      <c r="AW138" s="27"/>
      <c r="AX138" s="27"/>
      <c r="AY138" s="27"/>
      <c r="BB138" s="28" t="s">
        <v>2038</v>
      </c>
      <c r="BC138" s="23" t="s">
        <v>2009</v>
      </c>
      <c r="BD138" s="23"/>
      <c r="BE138" s="23"/>
      <c r="BF138" s="23"/>
      <c r="BJ138" s="27"/>
      <c r="BK138" s="27"/>
      <c r="BL138" s="27"/>
      <c r="BO138" s="28" t="s">
        <v>2038</v>
      </c>
      <c r="BP138" s="23" t="s">
        <v>2009</v>
      </c>
      <c r="BQ138" s="23"/>
      <c r="BR138" s="23"/>
      <c r="BS138" s="23"/>
      <c r="BW138" s="27"/>
      <c r="BX138" s="27"/>
      <c r="BY138" s="27"/>
      <c r="CB138" s="28" t="s">
        <v>2038</v>
      </c>
      <c r="CC138" s="23" t="s">
        <v>2009</v>
      </c>
      <c r="CD138" s="23"/>
      <c r="CE138" s="23"/>
      <c r="CF138" s="23"/>
      <c r="CH138" s="29"/>
      <c r="CI138" s="23" t="s">
        <v>397</v>
      </c>
      <c r="CJ138" s="28">
        <v>64</v>
      </c>
      <c r="DD138" s="23" t="s">
        <v>3</v>
      </c>
    </row>
    <row r="139" spans="1:108" x14ac:dyDescent="0.2">
      <c r="A139" s="18">
        <v>907</v>
      </c>
      <c r="B139" s="19">
        <v>14</v>
      </c>
      <c r="C139" s="19">
        <f t="shared" si="2"/>
        <v>9070014</v>
      </c>
      <c r="D139" s="19" t="s">
        <v>1736</v>
      </c>
      <c r="E139" s="20" t="s">
        <v>1672</v>
      </c>
      <c r="I139" s="21" t="s">
        <v>1670</v>
      </c>
      <c r="J139" s="21"/>
      <c r="K139" s="21"/>
      <c r="L139" s="21"/>
      <c r="M139" s="21"/>
      <c r="N139" s="22" t="s">
        <v>1671</v>
      </c>
      <c r="O139" s="22" t="s">
        <v>1676</v>
      </c>
      <c r="P139" s="22"/>
      <c r="Q139" s="22" t="s">
        <v>2041</v>
      </c>
      <c r="R139" s="22"/>
      <c r="S139" s="22"/>
      <c r="T139" s="22" t="s">
        <v>2225</v>
      </c>
      <c r="U139" s="116" t="s">
        <v>2191</v>
      </c>
      <c r="V139" s="22" t="s">
        <v>1815</v>
      </c>
      <c r="W139" s="169">
        <v>3</v>
      </c>
      <c r="X139" s="169">
        <v>3</v>
      </c>
      <c r="Y139" s="23" t="s">
        <v>120</v>
      </c>
      <c r="Z139" s="22"/>
      <c r="AA139" s="22"/>
      <c r="AB139" s="22"/>
      <c r="AC139" s="22"/>
      <c r="AD139" s="22"/>
      <c r="AE139" s="24"/>
      <c r="AF139" s="24" t="s">
        <v>2041</v>
      </c>
      <c r="AG139" s="22"/>
      <c r="AH139" s="23">
        <v>903084</v>
      </c>
      <c r="AJ139" s="26"/>
      <c r="AK139" s="27">
        <v>2300</v>
      </c>
      <c r="AL139" s="27"/>
      <c r="AO139" s="28" t="s">
        <v>2038</v>
      </c>
      <c r="AP139" s="23" t="s">
        <v>2010</v>
      </c>
      <c r="AQ139" s="23"/>
      <c r="AR139" s="23"/>
      <c r="AS139" s="23"/>
      <c r="AW139" s="27"/>
      <c r="AX139" s="27"/>
      <c r="AY139" s="27"/>
      <c r="BB139" s="28" t="s">
        <v>2038</v>
      </c>
      <c r="BC139" s="23" t="s">
        <v>2010</v>
      </c>
      <c r="BD139" s="23"/>
      <c r="BE139" s="23"/>
      <c r="BF139" s="23"/>
      <c r="BJ139" s="27"/>
      <c r="BK139" s="27"/>
      <c r="BL139" s="27"/>
      <c r="BO139" s="28" t="s">
        <v>2038</v>
      </c>
      <c r="BP139" s="23" t="s">
        <v>2010</v>
      </c>
      <c r="BQ139" s="23"/>
      <c r="BR139" s="23"/>
      <c r="BS139" s="23"/>
      <c r="BW139" s="27"/>
      <c r="BX139" s="27"/>
      <c r="BY139" s="27"/>
      <c r="CB139" s="28" t="s">
        <v>2038</v>
      </c>
      <c r="CC139" s="23" t="s">
        <v>2010</v>
      </c>
      <c r="CD139" s="23"/>
      <c r="CE139" s="23"/>
      <c r="CF139" s="23"/>
      <c r="CH139" s="29"/>
      <c r="CI139" s="23" t="s">
        <v>397</v>
      </c>
      <c r="CJ139" s="28">
        <v>68</v>
      </c>
      <c r="DD139" s="23" t="s">
        <v>3</v>
      </c>
    </row>
    <row r="140" spans="1:108" x14ac:dyDescent="0.2">
      <c r="A140" s="18">
        <v>907</v>
      </c>
      <c r="B140" s="19">
        <v>15</v>
      </c>
      <c r="C140" s="19">
        <f t="shared" si="2"/>
        <v>9070015</v>
      </c>
      <c r="D140" s="19" t="s">
        <v>1737</v>
      </c>
      <c r="E140" s="20" t="s">
        <v>1672</v>
      </c>
      <c r="I140" s="21" t="s">
        <v>1670</v>
      </c>
      <c r="J140" s="21"/>
      <c r="K140" s="21"/>
      <c r="L140" s="21"/>
      <c r="M140" s="21"/>
      <c r="N140" s="22" t="s">
        <v>1671</v>
      </c>
      <c r="O140" s="22" t="s">
        <v>1676</v>
      </c>
      <c r="P140" s="22"/>
      <c r="Q140" s="22" t="s">
        <v>2041</v>
      </c>
      <c r="R140" s="22"/>
      <c r="S140" s="22"/>
      <c r="T140" s="22" t="s">
        <v>2225</v>
      </c>
      <c r="U140" s="116" t="s">
        <v>2192</v>
      </c>
      <c r="V140" s="22" t="s">
        <v>1815</v>
      </c>
      <c r="W140" s="169">
        <v>3</v>
      </c>
      <c r="X140" s="169">
        <v>3</v>
      </c>
      <c r="Y140" s="23" t="s">
        <v>120</v>
      </c>
      <c r="Z140" s="22"/>
      <c r="AA140" s="22"/>
      <c r="AB140" s="22"/>
      <c r="AC140" s="22"/>
      <c r="AD140" s="22"/>
      <c r="AE140" s="24"/>
      <c r="AF140" s="24" t="s">
        <v>2041</v>
      </c>
      <c r="AG140" s="22"/>
      <c r="AH140" s="23">
        <v>903085</v>
      </c>
      <c r="AJ140" s="26"/>
      <c r="AK140" s="27">
        <v>2400</v>
      </c>
      <c r="AL140" s="27"/>
      <c r="AO140" s="28" t="s">
        <v>2038</v>
      </c>
      <c r="AP140" s="23" t="s">
        <v>2011</v>
      </c>
      <c r="AQ140" s="23"/>
      <c r="AR140" s="23"/>
      <c r="AS140" s="23"/>
      <c r="AW140" s="27"/>
      <c r="AX140" s="27"/>
      <c r="AY140" s="27"/>
      <c r="BB140" s="28" t="s">
        <v>2038</v>
      </c>
      <c r="BC140" s="23" t="s">
        <v>2011</v>
      </c>
      <c r="BD140" s="23"/>
      <c r="BE140" s="23"/>
      <c r="BF140" s="23"/>
      <c r="BJ140" s="27"/>
      <c r="BK140" s="27"/>
      <c r="BL140" s="27"/>
      <c r="BO140" s="28" t="s">
        <v>2038</v>
      </c>
      <c r="BP140" s="23" t="s">
        <v>2011</v>
      </c>
      <c r="BQ140" s="23"/>
      <c r="BR140" s="23"/>
      <c r="BS140" s="23"/>
      <c r="BW140" s="27"/>
      <c r="BX140" s="27"/>
      <c r="BY140" s="27"/>
      <c r="CB140" s="28" t="s">
        <v>2038</v>
      </c>
      <c r="CC140" s="23" t="s">
        <v>2011</v>
      </c>
      <c r="CD140" s="23"/>
      <c r="CE140" s="23"/>
      <c r="CF140" s="23"/>
      <c r="CH140" s="29"/>
      <c r="CI140" s="23" t="s">
        <v>397</v>
      </c>
      <c r="CJ140" s="28">
        <v>72</v>
      </c>
      <c r="DD140" s="23" t="s">
        <v>3</v>
      </c>
    </row>
    <row r="141" spans="1:108" x14ac:dyDescent="0.2">
      <c r="A141" s="18">
        <v>907</v>
      </c>
      <c r="B141" s="19">
        <v>16</v>
      </c>
      <c r="C141" s="19">
        <f t="shared" si="2"/>
        <v>9070016</v>
      </c>
      <c r="D141" s="19" t="s">
        <v>1738</v>
      </c>
      <c r="E141" s="20" t="s">
        <v>1672</v>
      </c>
      <c r="I141" s="21" t="s">
        <v>1670</v>
      </c>
      <c r="J141" s="21"/>
      <c r="K141" s="21"/>
      <c r="L141" s="21"/>
      <c r="M141" s="21"/>
      <c r="N141" s="22" t="s">
        <v>1671</v>
      </c>
      <c r="O141" s="22" t="s">
        <v>1676</v>
      </c>
      <c r="P141" s="22"/>
      <c r="Q141" s="22" t="s">
        <v>2041</v>
      </c>
      <c r="R141" s="22"/>
      <c r="S141" s="22"/>
      <c r="T141" s="22" t="s">
        <v>2225</v>
      </c>
      <c r="U141" s="116" t="s">
        <v>2193</v>
      </c>
      <c r="V141" s="22" t="s">
        <v>1815</v>
      </c>
      <c r="W141" s="169">
        <v>3</v>
      </c>
      <c r="X141" s="169">
        <v>3</v>
      </c>
      <c r="Y141" s="23" t="s">
        <v>120</v>
      </c>
      <c r="Z141" s="22"/>
      <c r="AA141" s="22"/>
      <c r="AB141" s="22"/>
      <c r="AC141" s="22"/>
      <c r="AD141" s="22"/>
      <c r="AE141" s="24"/>
      <c r="AF141" s="24" t="s">
        <v>2041</v>
      </c>
      <c r="AG141" s="22"/>
      <c r="AH141" s="23">
        <v>903086</v>
      </c>
      <c r="AJ141" s="26"/>
      <c r="AK141" s="27">
        <v>2500</v>
      </c>
      <c r="AL141" s="27"/>
      <c r="AO141" s="28" t="s">
        <v>2038</v>
      </c>
      <c r="AP141" s="23" t="s">
        <v>2012</v>
      </c>
      <c r="AQ141" s="23"/>
      <c r="AR141" s="23"/>
      <c r="AS141" s="23"/>
      <c r="AW141" s="27"/>
      <c r="AX141" s="27"/>
      <c r="AY141" s="27"/>
      <c r="BB141" s="28" t="s">
        <v>2038</v>
      </c>
      <c r="BC141" s="23" t="s">
        <v>2012</v>
      </c>
      <c r="BD141" s="23"/>
      <c r="BE141" s="23"/>
      <c r="BF141" s="23"/>
      <c r="BJ141" s="27"/>
      <c r="BK141" s="27"/>
      <c r="BL141" s="27"/>
      <c r="BO141" s="28" t="s">
        <v>2038</v>
      </c>
      <c r="BP141" s="23" t="s">
        <v>2012</v>
      </c>
      <c r="BQ141" s="23"/>
      <c r="BR141" s="23"/>
      <c r="BS141" s="23"/>
      <c r="BW141" s="27"/>
      <c r="BX141" s="27"/>
      <c r="BY141" s="27"/>
      <c r="CB141" s="28" t="s">
        <v>2038</v>
      </c>
      <c r="CC141" s="23" t="s">
        <v>2012</v>
      </c>
      <c r="CD141" s="23"/>
      <c r="CE141" s="23"/>
      <c r="CF141" s="23"/>
      <c r="CH141" s="29"/>
      <c r="CI141" s="23" t="s">
        <v>397</v>
      </c>
      <c r="CJ141" s="28">
        <v>76</v>
      </c>
      <c r="DD141" s="23" t="s">
        <v>3</v>
      </c>
    </row>
    <row r="142" spans="1:108" x14ac:dyDescent="0.2">
      <c r="A142" s="18">
        <v>907</v>
      </c>
      <c r="B142" s="19">
        <v>17</v>
      </c>
      <c r="C142" s="19">
        <f t="shared" si="2"/>
        <v>9070017</v>
      </c>
      <c r="D142" s="19" t="s">
        <v>1739</v>
      </c>
      <c r="E142" s="20" t="s">
        <v>1672</v>
      </c>
      <c r="I142" s="21" t="s">
        <v>1670</v>
      </c>
      <c r="J142" s="21"/>
      <c r="K142" s="21"/>
      <c r="L142" s="21"/>
      <c r="M142" s="21"/>
      <c r="N142" s="22" t="s">
        <v>1671</v>
      </c>
      <c r="O142" s="22" t="s">
        <v>1676</v>
      </c>
      <c r="P142" s="22"/>
      <c r="Q142" s="22" t="s">
        <v>2041</v>
      </c>
      <c r="R142" s="22"/>
      <c r="S142" s="22"/>
      <c r="T142" s="22" t="s">
        <v>2225</v>
      </c>
      <c r="U142" s="116" t="s">
        <v>2194</v>
      </c>
      <c r="V142" s="22" t="s">
        <v>1815</v>
      </c>
      <c r="W142" s="169">
        <v>3</v>
      </c>
      <c r="X142" s="169">
        <v>3</v>
      </c>
      <c r="Y142" s="23" t="s">
        <v>120</v>
      </c>
      <c r="Z142" s="22"/>
      <c r="AA142" s="22"/>
      <c r="AB142" s="22"/>
      <c r="AC142" s="22"/>
      <c r="AD142" s="22"/>
      <c r="AE142" s="24"/>
      <c r="AF142" s="24" t="s">
        <v>2041</v>
      </c>
      <c r="AG142" s="22"/>
      <c r="AH142" s="23">
        <v>903087</v>
      </c>
      <c r="AJ142" s="26"/>
      <c r="AK142" s="27">
        <v>2600</v>
      </c>
      <c r="AL142" s="27"/>
      <c r="AO142" s="28" t="s">
        <v>2038</v>
      </c>
      <c r="AP142" s="23" t="s">
        <v>2013</v>
      </c>
      <c r="AQ142" s="23"/>
      <c r="AR142" s="23"/>
      <c r="AS142" s="23"/>
      <c r="AW142" s="27"/>
      <c r="AX142" s="27"/>
      <c r="AY142" s="27"/>
      <c r="BB142" s="28" t="s">
        <v>2038</v>
      </c>
      <c r="BC142" s="23" t="s">
        <v>2013</v>
      </c>
      <c r="BD142" s="23"/>
      <c r="BE142" s="23"/>
      <c r="BF142" s="23"/>
      <c r="BJ142" s="27"/>
      <c r="BK142" s="27"/>
      <c r="BL142" s="27"/>
      <c r="BO142" s="28" t="s">
        <v>2038</v>
      </c>
      <c r="BP142" s="23" t="s">
        <v>2013</v>
      </c>
      <c r="BQ142" s="23"/>
      <c r="BR142" s="23"/>
      <c r="BS142" s="23"/>
      <c r="BW142" s="27"/>
      <c r="BX142" s="27"/>
      <c r="BY142" s="27"/>
      <c r="CB142" s="28" t="s">
        <v>2038</v>
      </c>
      <c r="CC142" s="23" t="s">
        <v>2013</v>
      </c>
      <c r="CD142" s="23"/>
      <c r="CE142" s="23"/>
      <c r="CF142" s="23"/>
      <c r="CH142" s="29"/>
      <c r="CI142" s="23" t="s">
        <v>397</v>
      </c>
      <c r="CJ142" s="28">
        <v>80</v>
      </c>
      <c r="DD142" s="23" t="s">
        <v>3</v>
      </c>
    </row>
    <row r="143" spans="1:108" x14ac:dyDescent="0.2">
      <c r="A143" s="18">
        <v>907</v>
      </c>
      <c r="B143" s="19">
        <v>18</v>
      </c>
      <c r="C143" s="19">
        <f t="shared" si="2"/>
        <v>9070018</v>
      </c>
      <c r="D143" s="19" t="s">
        <v>1740</v>
      </c>
      <c r="E143" s="20" t="s">
        <v>1672</v>
      </c>
      <c r="I143" s="21" t="s">
        <v>1670</v>
      </c>
      <c r="J143" s="21"/>
      <c r="K143" s="21"/>
      <c r="L143" s="21"/>
      <c r="M143" s="21"/>
      <c r="N143" s="22" t="s">
        <v>1671</v>
      </c>
      <c r="O143" s="22" t="s">
        <v>1676</v>
      </c>
      <c r="P143" s="22"/>
      <c r="Q143" s="22" t="s">
        <v>2041</v>
      </c>
      <c r="R143" s="22"/>
      <c r="S143" s="22"/>
      <c r="T143" s="22" t="s">
        <v>2225</v>
      </c>
      <c r="U143" s="116" t="s">
        <v>2195</v>
      </c>
      <c r="V143" s="22" t="s">
        <v>1815</v>
      </c>
      <c r="W143" s="169">
        <v>3</v>
      </c>
      <c r="X143" s="169">
        <v>3</v>
      </c>
      <c r="Y143" s="23" t="s">
        <v>120</v>
      </c>
      <c r="Z143" s="22"/>
      <c r="AA143" s="22"/>
      <c r="AB143" s="22"/>
      <c r="AC143" s="22"/>
      <c r="AD143" s="22"/>
      <c r="AE143" s="24"/>
      <c r="AF143" s="24" t="s">
        <v>2041</v>
      </c>
      <c r="AG143" s="22"/>
      <c r="AH143" s="23">
        <v>903088</v>
      </c>
      <c r="AJ143" s="26"/>
      <c r="AK143" s="27">
        <v>2700</v>
      </c>
      <c r="AL143" s="27"/>
      <c r="AO143" s="28" t="s">
        <v>2038</v>
      </c>
      <c r="AP143" s="23" t="s">
        <v>2014</v>
      </c>
      <c r="AQ143" s="23"/>
      <c r="AR143" s="23"/>
      <c r="AS143" s="23"/>
      <c r="AW143" s="27"/>
      <c r="AX143" s="27"/>
      <c r="AY143" s="27"/>
      <c r="BB143" s="28" t="s">
        <v>2038</v>
      </c>
      <c r="BC143" s="23" t="s">
        <v>2014</v>
      </c>
      <c r="BD143" s="23"/>
      <c r="BE143" s="23"/>
      <c r="BF143" s="23"/>
      <c r="BJ143" s="27"/>
      <c r="BK143" s="27"/>
      <c r="BL143" s="27"/>
      <c r="BO143" s="28" t="s">
        <v>2038</v>
      </c>
      <c r="BP143" s="23" t="s">
        <v>2014</v>
      </c>
      <c r="BQ143" s="23"/>
      <c r="BR143" s="23"/>
      <c r="BS143" s="23"/>
      <c r="BW143" s="27"/>
      <c r="BX143" s="27"/>
      <c r="BY143" s="27"/>
      <c r="CB143" s="28" t="s">
        <v>2038</v>
      </c>
      <c r="CC143" s="23" t="s">
        <v>2014</v>
      </c>
      <c r="CD143" s="23"/>
      <c r="CE143" s="23"/>
      <c r="CF143" s="23"/>
      <c r="CH143" s="29"/>
      <c r="CI143" s="23" t="s">
        <v>397</v>
      </c>
      <c r="CJ143" s="28">
        <v>84</v>
      </c>
      <c r="DD143" s="23" t="s">
        <v>3</v>
      </c>
    </row>
    <row r="144" spans="1:108" x14ac:dyDescent="0.2">
      <c r="A144" s="18">
        <v>907</v>
      </c>
      <c r="B144" s="19">
        <v>19</v>
      </c>
      <c r="C144" s="19">
        <f t="shared" si="2"/>
        <v>9070019</v>
      </c>
      <c r="D144" s="19" t="s">
        <v>1741</v>
      </c>
      <c r="E144" s="20" t="s">
        <v>1672</v>
      </c>
      <c r="I144" s="21" t="s">
        <v>1670</v>
      </c>
      <c r="J144" s="21"/>
      <c r="K144" s="21"/>
      <c r="L144" s="21"/>
      <c r="M144" s="21"/>
      <c r="N144" s="22" t="s">
        <v>1671</v>
      </c>
      <c r="O144" s="22" t="s">
        <v>1676</v>
      </c>
      <c r="P144" s="22"/>
      <c r="Q144" s="22" t="s">
        <v>2041</v>
      </c>
      <c r="R144" s="22"/>
      <c r="S144" s="22"/>
      <c r="T144" s="22" t="s">
        <v>2225</v>
      </c>
      <c r="U144" s="116" t="s">
        <v>2196</v>
      </c>
      <c r="V144" s="22" t="s">
        <v>1815</v>
      </c>
      <c r="W144" s="169">
        <v>3</v>
      </c>
      <c r="X144" s="169">
        <v>3</v>
      </c>
      <c r="Y144" s="23" t="s">
        <v>120</v>
      </c>
      <c r="Z144" s="22"/>
      <c r="AA144" s="22"/>
      <c r="AB144" s="22"/>
      <c r="AC144" s="22"/>
      <c r="AD144" s="22"/>
      <c r="AE144" s="24"/>
      <c r="AF144" s="24" t="s">
        <v>2041</v>
      </c>
      <c r="AG144" s="22"/>
      <c r="AH144" s="23">
        <v>903089</v>
      </c>
      <c r="AJ144" s="26"/>
      <c r="AK144" s="27">
        <v>2800</v>
      </c>
      <c r="AL144" s="27"/>
      <c r="AO144" s="28" t="s">
        <v>2038</v>
      </c>
      <c r="AP144" s="23" t="s">
        <v>2015</v>
      </c>
      <c r="AQ144" s="23"/>
      <c r="AR144" s="23"/>
      <c r="AS144" s="23"/>
      <c r="AW144" s="27"/>
      <c r="AX144" s="27"/>
      <c r="AY144" s="27"/>
      <c r="BB144" s="28" t="s">
        <v>2038</v>
      </c>
      <c r="BC144" s="23" t="s">
        <v>2015</v>
      </c>
      <c r="BD144" s="23"/>
      <c r="BE144" s="23"/>
      <c r="BF144" s="23"/>
      <c r="BJ144" s="27"/>
      <c r="BK144" s="27"/>
      <c r="BL144" s="27"/>
      <c r="BO144" s="28" t="s">
        <v>2038</v>
      </c>
      <c r="BP144" s="23" t="s">
        <v>2015</v>
      </c>
      <c r="BQ144" s="23"/>
      <c r="BR144" s="23"/>
      <c r="BS144" s="23"/>
      <c r="BW144" s="27"/>
      <c r="BX144" s="27"/>
      <c r="BY144" s="27"/>
      <c r="CB144" s="28" t="s">
        <v>2038</v>
      </c>
      <c r="CC144" s="23" t="s">
        <v>2015</v>
      </c>
      <c r="CD144" s="23"/>
      <c r="CE144" s="23"/>
      <c r="CF144" s="23"/>
      <c r="CH144" s="29"/>
      <c r="CI144" s="23" t="s">
        <v>397</v>
      </c>
      <c r="CJ144" s="28">
        <v>88</v>
      </c>
      <c r="DD144" s="23" t="s">
        <v>3</v>
      </c>
    </row>
    <row r="145" spans="1:108" x14ac:dyDescent="0.2">
      <c r="A145" s="18">
        <v>907</v>
      </c>
      <c r="B145" s="19">
        <v>20</v>
      </c>
      <c r="C145" s="19">
        <f t="shared" si="2"/>
        <v>9070020</v>
      </c>
      <c r="D145" s="19" t="s">
        <v>1742</v>
      </c>
      <c r="E145" s="20" t="s">
        <v>1672</v>
      </c>
      <c r="I145" s="21" t="s">
        <v>1670</v>
      </c>
      <c r="J145" s="21"/>
      <c r="K145" s="21"/>
      <c r="L145" s="21"/>
      <c r="M145" s="21"/>
      <c r="N145" s="22" t="s">
        <v>1671</v>
      </c>
      <c r="O145" s="22" t="s">
        <v>1676</v>
      </c>
      <c r="P145" s="22"/>
      <c r="Q145" s="22" t="s">
        <v>2041</v>
      </c>
      <c r="R145" s="22"/>
      <c r="S145" s="22"/>
      <c r="T145" s="22" t="s">
        <v>2225</v>
      </c>
      <c r="U145" s="116" t="s">
        <v>2197</v>
      </c>
      <c r="V145" s="22" t="s">
        <v>1815</v>
      </c>
      <c r="W145" s="169">
        <v>3</v>
      </c>
      <c r="X145" s="169">
        <v>3</v>
      </c>
      <c r="Y145" s="23" t="s">
        <v>120</v>
      </c>
      <c r="Z145" s="22"/>
      <c r="AA145" s="22"/>
      <c r="AB145" s="22"/>
      <c r="AC145" s="22"/>
      <c r="AD145" s="22"/>
      <c r="AE145" s="24"/>
      <c r="AF145" s="24" t="s">
        <v>2041</v>
      </c>
      <c r="AG145" s="22"/>
      <c r="AH145" s="23">
        <v>903090</v>
      </c>
      <c r="AJ145" s="26"/>
      <c r="AK145" s="27">
        <v>2900</v>
      </c>
      <c r="AL145" s="27"/>
      <c r="AO145" s="28" t="s">
        <v>2038</v>
      </c>
      <c r="AP145" s="23" t="s">
        <v>2016</v>
      </c>
      <c r="AQ145" s="23"/>
      <c r="AR145" s="23"/>
      <c r="AS145" s="23"/>
      <c r="AW145" s="27"/>
      <c r="AX145" s="27"/>
      <c r="AY145" s="27"/>
      <c r="BB145" s="28" t="s">
        <v>2038</v>
      </c>
      <c r="BC145" s="23" t="s">
        <v>2016</v>
      </c>
      <c r="BD145" s="23"/>
      <c r="BE145" s="23"/>
      <c r="BF145" s="23"/>
      <c r="BJ145" s="27"/>
      <c r="BK145" s="27"/>
      <c r="BL145" s="27"/>
      <c r="BO145" s="28" t="s">
        <v>2038</v>
      </c>
      <c r="BP145" s="23" t="s">
        <v>2016</v>
      </c>
      <c r="BQ145" s="23"/>
      <c r="BR145" s="23"/>
      <c r="BS145" s="23"/>
      <c r="BW145" s="27"/>
      <c r="BX145" s="27"/>
      <c r="BY145" s="27"/>
      <c r="CB145" s="28" t="s">
        <v>2038</v>
      </c>
      <c r="CC145" s="23" t="s">
        <v>2016</v>
      </c>
      <c r="CD145" s="23"/>
      <c r="CE145" s="23"/>
      <c r="CF145" s="23"/>
      <c r="CH145" s="29"/>
      <c r="CI145" s="23" t="s">
        <v>397</v>
      </c>
      <c r="CJ145" s="28">
        <v>92</v>
      </c>
      <c r="DD145" s="23" t="s">
        <v>3</v>
      </c>
    </row>
    <row r="146" spans="1:108" x14ac:dyDescent="0.2">
      <c r="A146" s="18">
        <v>908</v>
      </c>
      <c r="B146" s="19">
        <v>1</v>
      </c>
      <c r="C146" s="19">
        <f t="shared" si="2"/>
        <v>9080001</v>
      </c>
      <c r="D146" s="19" t="s">
        <v>1743</v>
      </c>
      <c r="E146" s="20" t="s">
        <v>547</v>
      </c>
      <c r="I146" s="21" t="s">
        <v>633</v>
      </c>
      <c r="J146" s="21"/>
      <c r="K146" s="21"/>
      <c r="L146" s="21"/>
      <c r="M146" s="21"/>
      <c r="N146" s="22" t="s">
        <v>1671</v>
      </c>
      <c r="O146" s="22" t="s">
        <v>1677</v>
      </c>
      <c r="P146" s="22"/>
      <c r="Q146" s="22" t="s">
        <v>2041</v>
      </c>
      <c r="R146" s="22"/>
      <c r="S146" s="22"/>
      <c r="T146" s="22" t="s">
        <v>2225</v>
      </c>
      <c r="U146" s="116" t="s">
        <v>2198</v>
      </c>
      <c r="V146" s="22" t="s">
        <v>1816</v>
      </c>
      <c r="W146" s="169">
        <v>3</v>
      </c>
      <c r="X146" s="169">
        <v>3</v>
      </c>
      <c r="Y146" s="23" t="s">
        <v>120</v>
      </c>
      <c r="Z146" s="22"/>
      <c r="AA146" s="22"/>
      <c r="AB146" s="22"/>
      <c r="AC146" s="22"/>
      <c r="AD146" s="22"/>
      <c r="AE146" s="24"/>
      <c r="AF146" s="24" t="s">
        <v>2041</v>
      </c>
      <c r="AG146" s="22"/>
      <c r="AH146" s="23" t="s">
        <v>1769</v>
      </c>
      <c r="AJ146" s="26"/>
      <c r="AK146" s="27">
        <v>1000</v>
      </c>
      <c r="AL146" s="27"/>
      <c r="AO146" s="28" t="s">
        <v>2039</v>
      </c>
      <c r="AP146" s="23" t="s">
        <v>2017</v>
      </c>
      <c r="AQ146" s="23"/>
      <c r="AR146" s="23"/>
      <c r="AS146" s="23"/>
      <c r="AW146" s="27"/>
      <c r="AX146" s="27"/>
      <c r="AY146" s="27"/>
      <c r="BB146" s="28" t="s">
        <v>2039</v>
      </c>
      <c r="BC146" s="23" t="s">
        <v>2017</v>
      </c>
      <c r="BD146" s="23"/>
      <c r="BE146" s="23"/>
      <c r="BF146" s="23"/>
      <c r="BJ146" s="27"/>
      <c r="BK146" s="27"/>
      <c r="BL146" s="27"/>
      <c r="BO146" s="28" t="s">
        <v>2039</v>
      </c>
      <c r="BP146" s="23" t="s">
        <v>2017</v>
      </c>
      <c r="BQ146" s="23"/>
      <c r="BR146" s="23"/>
      <c r="BS146" s="23"/>
      <c r="BW146" s="27"/>
      <c r="BX146" s="27"/>
      <c r="BY146" s="27"/>
      <c r="CB146" s="28" t="s">
        <v>2039</v>
      </c>
      <c r="CC146" s="23" t="s">
        <v>2017</v>
      </c>
      <c r="CD146" s="23"/>
      <c r="CE146" s="23"/>
      <c r="CF146" s="23"/>
      <c r="CH146" s="29"/>
      <c r="CI146" s="23" t="s">
        <v>397</v>
      </c>
      <c r="CJ146" s="28">
        <v>32</v>
      </c>
      <c r="DD146" s="23" t="s">
        <v>3</v>
      </c>
    </row>
    <row r="147" spans="1:108" x14ac:dyDescent="0.2">
      <c r="A147" s="18">
        <v>908</v>
      </c>
      <c r="B147" s="19">
        <v>2</v>
      </c>
      <c r="C147" s="19">
        <f t="shared" si="2"/>
        <v>9080002</v>
      </c>
      <c r="D147" s="19" t="s">
        <v>1744</v>
      </c>
      <c r="E147" s="20" t="s">
        <v>547</v>
      </c>
      <c r="I147" s="21" t="s">
        <v>633</v>
      </c>
      <c r="J147" s="21"/>
      <c r="K147" s="21"/>
      <c r="L147" s="21"/>
      <c r="M147" s="21"/>
      <c r="N147" s="22" t="s">
        <v>1671</v>
      </c>
      <c r="O147" s="22" t="s">
        <v>1677</v>
      </c>
      <c r="P147" s="22"/>
      <c r="Q147" s="22" t="s">
        <v>2041</v>
      </c>
      <c r="R147" s="22"/>
      <c r="S147" s="22"/>
      <c r="T147" s="22" t="s">
        <v>2225</v>
      </c>
      <c r="U147" s="116" t="s">
        <v>2199</v>
      </c>
      <c r="V147" s="22" t="s">
        <v>1816</v>
      </c>
      <c r="W147" s="169">
        <v>3</v>
      </c>
      <c r="X147" s="169">
        <v>3</v>
      </c>
      <c r="Y147" s="23" t="s">
        <v>120</v>
      </c>
      <c r="Z147" s="22"/>
      <c r="AA147" s="22"/>
      <c r="AB147" s="22"/>
      <c r="AC147" s="22"/>
      <c r="AD147" s="22"/>
      <c r="AE147" s="24"/>
      <c r="AF147" s="24" t="s">
        <v>2041</v>
      </c>
      <c r="AG147" s="22"/>
      <c r="AH147" s="23" t="s">
        <v>1770</v>
      </c>
      <c r="AJ147" s="26"/>
      <c r="AK147" s="27">
        <v>1100</v>
      </c>
      <c r="AL147" s="27"/>
      <c r="AO147" s="28" t="s">
        <v>2039</v>
      </c>
      <c r="AP147" s="23" t="s">
        <v>2018</v>
      </c>
      <c r="AQ147" s="23"/>
      <c r="AR147" s="23"/>
      <c r="AS147" s="23"/>
      <c r="AW147" s="27"/>
      <c r="AX147" s="27"/>
      <c r="AY147" s="27"/>
      <c r="BB147" s="28" t="s">
        <v>2039</v>
      </c>
      <c r="BC147" s="23" t="s">
        <v>2018</v>
      </c>
      <c r="BD147" s="23"/>
      <c r="BE147" s="23"/>
      <c r="BF147" s="23"/>
      <c r="BJ147" s="27"/>
      <c r="BK147" s="27"/>
      <c r="BL147" s="27"/>
      <c r="BO147" s="28" t="s">
        <v>2039</v>
      </c>
      <c r="BP147" s="23" t="s">
        <v>2018</v>
      </c>
      <c r="BQ147" s="23"/>
      <c r="BR147" s="23"/>
      <c r="BS147" s="23"/>
      <c r="BW147" s="27"/>
      <c r="BX147" s="27"/>
      <c r="BY147" s="27"/>
      <c r="CB147" s="28" t="s">
        <v>2039</v>
      </c>
      <c r="CC147" s="23" t="s">
        <v>2018</v>
      </c>
      <c r="CD147" s="23"/>
      <c r="CE147" s="23"/>
      <c r="CF147" s="23"/>
      <c r="CH147" s="29"/>
      <c r="CI147" s="23" t="s">
        <v>397</v>
      </c>
      <c r="CJ147" s="28">
        <v>32</v>
      </c>
      <c r="DD147" s="23" t="s">
        <v>3</v>
      </c>
    </row>
    <row r="148" spans="1:108" x14ac:dyDescent="0.2">
      <c r="A148" s="18">
        <v>908</v>
      </c>
      <c r="B148" s="19">
        <v>3</v>
      </c>
      <c r="C148" s="19">
        <f t="shared" si="2"/>
        <v>9080003</v>
      </c>
      <c r="D148" s="19" t="s">
        <v>1745</v>
      </c>
      <c r="E148" s="20" t="s">
        <v>547</v>
      </c>
      <c r="I148" s="21" t="s">
        <v>633</v>
      </c>
      <c r="J148" s="21"/>
      <c r="K148" s="21"/>
      <c r="L148" s="21"/>
      <c r="M148" s="21"/>
      <c r="N148" s="22" t="s">
        <v>1671</v>
      </c>
      <c r="O148" s="22" t="s">
        <v>1677</v>
      </c>
      <c r="P148" s="22"/>
      <c r="Q148" s="22" t="s">
        <v>2041</v>
      </c>
      <c r="R148" s="22"/>
      <c r="S148" s="22"/>
      <c r="T148" s="22" t="s">
        <v>2225</v>
      </c>
      <c r="U148" s="116" t="s">
        <v>2200</v>
      </c>
      <c r="V148" s="22" t="s">
        <v>1816</v>
      </c>
      <c r="W148" s="169">
        <v>3</v>
      </c>
      <c r="X148" s="169">
        <v>3</v>
      </c>
      <c r="Y148" s="23" t="s">
        <v>120</v>
      </c>
      <c r="Z148" s="22"/>
      <c r="AA148" s="22"/>
      <c r="AB148" s="22"/>
      <c r="AC148" s="22"/>
      <c r="AD148" s="22"/>
      <c r="AE148" s="24"/>
      <c r="AF148" s="24" t="s">
        <v>2041</v>
      </c>
      <c r="AG148" s="22"/>
      <c r="AH148" s="23" t="s">
        <v>1771</v>
      </c>
      <c r="AJ148" s="26"/>
      <c r="AK148" s="27">
        <v>1200</v>
      </c>
      <c r="AL148" s="27"/>
      <c r="AO148" s="28" t="s">
        <v>2039</v>
      </c>
      <c r="AP148" s="23" t="s">
        <v>2019</v>
      </c>
      <c r="AQ148" s="23"/>
      <c r="AR148" s="23"/>
      <c r="AS148" s="23"/>
      <c r="AW148" s="27"/>
      <c r="AX148" s="27"/>
      <c r="AY148" s="27"/>
      <c r="BB148" s="28" t="s">
        <v>2039</v>
      </c>
      <c r="BC148" s="23" t="s">
        <v>2019</v>
      </c>
      <c r="BD148" s="23"/>
      <c r="BE148" s="23"/>
      <c r="BF148" s="23"/>
      <c r="BJ148" s="27"/>
      <c r="BK148" s="27"/>
      <c r="BL148" s="27"/>
      <c r="BO148" s="28" t="s">
        <v>2039</v>
      </c>
      <c r="BP148" s="23" t="s">
        <v>2019</v>
      </c>
      <c r="BQ148" s="23"/>
      <c r="BR148" s="23"/>
      <c r="BS148" s="23"/>
      <c r="BW148" s="27"/>
      <c r="BX148" s="27"/>
      <c r="BY148" s="27"/>
      <c r="CB148" s="28" t="s">
        <v>2039</v>
      </c>
      <c r="CC148" s="23" t="s">
        <v>2019</v>
      </c>
      <c r="CD148" s="23"/>
      <c r="CE148" s="23"/>
      <c r="CF148" s="23"/>
      <c r="CH148" s="29"/>
      <c r="CI148" s="23" t="s">
        <v>397</v>
      </c>
      <c r="CJ148" s="28">
        <v>36</v>
      </c>
      <c r="DD148" s="23" t="s">
        <v>3</v>
      </c>
    </row>
    <row r="149" spans="1:108" x14ac:dyDescent="0.2">
      <c r="A149" s="18">
        <v>908</v>
      </c>
      <c r="B149" s="19">
        <v>4</v>
      </c>
      <c r="C149" s="19">
        <f t="shared" si="2"/>
        <v>9080004</v>
      </c>
      <c r="D149" s="19" t="s">
        <v>1746</v>
      </c>
      <c r="E149" s="20" t="s">
        <v>547</v>
      </c>
      <c r="I149" s="21" t="s">
        <v>633</v>
      </c>
      <c r="J149" s="21"/>
      <c r="K149" s="21"/>
      <c r="L149" s="21"/>
      <c r="M149" s="21"/>
      <c r="N149" s="22" t="s">
        <v>1671</v>
      </c>
      <c r="O149" s="22" t="s">
        <v>1677</v>
      </c>
      <c r="P149" s="22"/>
      <c r="Q149" s="22" t="s">
        <v>2041</v>
      </c>
      <c r="R149" s="22"/>
      <c r="S149" s="22"/>
      <c r="T149" s="22" t="s">
        <v>2225</v>
      </c>
      <c r="U149" s="116" t="s">
        <v>2201</v>
      </c>
      <c r="V149" s="22" t="s">
        <v>1816</v>
      </c>
      <c r="W149" s="169">
        <v>3</v>
      </c>
      <c r="X149" s="169">
        <v>3</v>
      </c>
      <c r="Y149" s="23" t="s">
        <v>120</v>
      </c>
      <c r="Z149" s="22"/>
      <c r="AA149" s="22"/>
      <c r="AB149" s="22"/>
      <c r="AC149" s="22"/>
      <c r="AD149" s="22"/>
      <c r="AE149" s="24"/>
      <c r="AF149" s="24" t="s">
        <v>2041</v>
      </c>
      <c r="AG149" s="22"/>
      <c r="AH149" s="23" t="s">
        <v>1772</v>
      </c>
      <c r="AJ149" s="26"/>
      <c r="AK149" s="27">
        <v>1300</v>
      </c>
      <c r="AL149" s="27"/>
      <c r="AO149" s="28" t="s">
        <v>2039</v>
      </c>
      <c r="AP149" s="23" t="s">
        <v>2020</v>
      </c>
      <c r="AQ149" s="23"/>
      <c r="AR149" s="23"/>
      <c r="AS149" s="23"/>
      <c r="AW149" s="27"/>
      <c r="AX149" s="27"/>
      <c r="AY149" s="27"/>
      <c r="BB149" s="28" t="s">
        <v>2039</v>
      </c>
      <c r="BC149" s="23" t="s">
        <v>2020</v>
      </c>
      <c r="BD149" s="23"/>
      <c r="BE149" s="23"/>
      <c r="BF149" s="23"/>
      <c r="BJ149" s="27"/>
      <c r="BK149" s="27"/>
      <c r="BL149" s="27"/>
      <c r="BO149" s="28" t="s">
        <v>2039</v>
      </c>
      <c r="BP149" s="23" t="s">
        <v>2020</v>
      </c>
      <c r="BQ149" s="23"/>
      <c r="BR149" s="23"/>
      <c r="BS149" s="23"/>
      <c r="BW149" s="27"/>
      <c r="BX149" s="27"/>
      <c r="BY149" s="27"/>
      <c r="CB149" s="28" t="s">
        <v>2039</v>
      </c>
      <c r="CC149" s="23" t="s">
        <v>2020</v>
      </c>
      <c r="CD149" s="23"/>
      <c r="CE149" s="23"/>
      <c r="CF149" s="23"/>
      <c r="CH149" s="29"/>
      <c r="CI149" s="23" t="s">
        <v>397</v>
      </c>
      <c r="CJ149" s="28">
        <v>36</v>
      </c>
      <c r="DD149" s="23" t="s">
        <v>3</v>
      </c>
    </row>
    <row r="150" spans="1:108" x14ac:dyDescent="0.2">
      <c r="A150" s="18">
        <v>908</v>
      </c>
      <c r="B150" s="19">
        <v>5</v>
      </c>
      <c r="C150" s="19">
        <f t="shared" si="2"/>
        <v>9080005</v>
      </c>
      <c r="D150" s="19" t="s">
        <v>1747</v>
      </c>
      <c r="E150" s="20" t="s">
        <v>547</v>
      </c>
      <c r="I150" s="21" t="s">
        <v>633</v>
      </c>
      <c r="J150" s="21"/>
      <c r="K150" s="21"/>
      <c r="L150" s="21"/>
      <c r="M150" s="21"/>
      <c r="N150" s="22" t="s">
        <v>1671</v>
      </c>
      <c r="O150" s="22" t="s">
        <v>1677</v>
      </c>
      <c r="P150" s="22"/>
      <c r="Q150" s="22" t="s">
        <v>2041</v>
      </c>
      <c r="R150" s="22"/>
      <c r="S150" s="22"/>
      <c r="T150" s="22" t="s">
        <v>2225</v>
      </c>
      <c r="U150" s="116" t="s">
        <v>2202</v>
      </c>
      <c r="V150" s="22" t="s">
        <v>1816</v>
      </c>
      <c r="W150" s="169">
        <v>3</v>
      </c>
      <c r="X150" s="169">
        <v>3</v>
      </c>
      <c r="Y150" s="23" t="s">
        <v>120</v>
      </c>
      <c r="Z150" s="22"/>
      <c r="AA150" s="22"/>
      <c r="AB150" s="22"/>
      <c r="AC150" s="22"/>
      <c r="AD150" s="22"/>
      <c r="AE150" s="24"/>
      <c r="AF150" s="24" t="s">
        <v>2041</v>
      </c>
      <c r="AG150" s="22"/>
      <c r="AH150" s="23" t="s">
        <v>1773</v>
      </c>
      <c r="AJ150" s="26"/>
      <c r="AK150" s="27">
        <v>1400</v>
      </c>
      <c r="AL150" s="27"/>
      <c r="AO150" s="28" t="s">
        <v>2039</v>
      </c>
      <c r="AP150" s="23" t="s">
        <v>2021</v>
      </c>
      <c r="AQ150" s="23"/>
      <c r="AR150" s="23"/>
      <c r="AS150" s="23"/>
      <c r="AW150" s="27"/>
      <c r="AX150" s="27"/>
      <c r="AY150" s="27"/>
      <c r="BB150" s="28" t="s">
        <v>2039</v>
      </c>
      <c r="BC150" s="23" t="s">
        <v>2021</v>
      </c>
      <c r="BD150" s="23"/>
      <c r="BE150" s="23"/>
      <c r="BF150" s="23"/>
      <c r="BJ150" s="27"/>
      <c r="BK150" s="27"/>
      <c r="BL150" s="27"/>
      <c r="BO150" s="28" t="s">
        <v>2039</v>
      </c>
      <c r="BP150" s="23" t="s">
        <v>2021</v>
      </c>
      <c r="BQ150" s="23"/>
      <c r="BR150" s="23"/>
      <c r="BS150" s="23"/>
      <c r="BW150" s="27"/>
      <c r="BX150" s="27"/>
      <c r="BY150" s="27"/>
      <c r="CB150" s="28" t="s">
        <v>2039</v>
      </c>
      <c r="CC150" s="23" t="s">
        <v>2021</v>
      </c>
      <c r="CD150" s="23"/>
      <c r="CE150" s="23"/>
      <c r="CF150" s="23"/>
      <c r="CH150" s="29"/>
      <c r="CI150" s="23" t="s">
        <v>397</v>
      </c>
      <c r="CJ150" s="28">
        <v>40</v>
      </c>
      <c r="DD150" s="23" t="s">
        <v>3</v>
      </c>
    </row>
    <row r="151" spans="1:108" x14ac:dyDescent="0.2">
      <c r="A151" s="18">
        <v>908</v>
      </c>
      <c r="B151" s="19">
        <v>6</v>
      </c>
      <c r="C151" s="19">
        <f t="shared" si="2"/>
        <v>9080006</v>
      </c>
      <c r="D151" s="19" t="s">
        <v>1748</v>
      </c>
      <c r="E151" s="20" t="s">
        <v>547</v>
      </c>
      <c r="I151" s="21" t="s">
        <v>633</v>
      </c>
      <c r="J151" s="21"/>
      <c r="K151" s="21"/>
      <c r="L151" s="21"/>
      <c r="M151" s="21"/>
      <c r="N151" s="22" t="s">
        <v>1671</v>
      </c>
      <c r="O151" s="22" t="s">
        <v>1677</v>
      </c>
      <c r="P151" s="22"/>
      <c r="Q151" s="22" t="s">
        <v>2041</v>
      </c>
      <c r="R151" s="22"/>
      <c r="S151" s="22"/>
      <c r="T151" s="22" t="s">
        <v>2225</v>
      </c>
      <c r="U151" s="116" t="s">
        <v>2203</v>
      </c>
      <c r="V151" s="22" t="s">
        <v>1816</v>
      </c>
      <c r="W151" s="169">
        <v>3</v>
      </c>
      <c r="X151" s="169">
        <v>3</v>
      </c>
      <c r="Y151" s="23" t="s">
        <v>120</v>
      </c>
      <c r="Z151" s="22"/>
      <c r="AA151" s="22"/>
      <c r="AB151" s="22"/>
      <c r="AC151" s="22"/>
      <c r="AD151" s="22"/>
      <c r="AE151" s="24"/>
      <c r="AF151" s="24" t="s">
        <v>2041</v>
      </c>
      <c r="AG151" s="22"/>
      <c r="AH151" s="23" t="s">
        <v>1774</v>
      </c>
      <c r="AJ151" s="26"/>
      <c r="AK151" s="27">
        <v>1500</v>
      </c>
      <c r="AL151" s="27"/>
      <c r="AO151" s="28" t="s">
        <v>2039</v>
      </c>
      <c r="AP151" s="23" t="s">
        <v>2022</v>
      </c>
      <c r="AQ151" s="23"/>
      <c r="AR151" s="23"/>
      <c r="AS151" s="23"/>
      <c r="AW151" s="27"/>
      <c r="AX151" s="27"/>
      <c r="AY151" s="27"/>
      <c r="BB151" s="28" t="s">
        <v>2039</v>
      </c>
      <c r="BC151" s="23" t="s">
        <v>2022</v>
      </c>
      <c r="BD151" s="23"/>
      <c r="BE151" s="23"/>
      <c r="BF151" s="23"/>
      <c r="BJ151" s="27"/>
      <c r="BK151" s="27"/>
      <c r="BL151" s="27"/>
      <c r="BO151" s="28" t="s">
        <v>2039</v>
      </c>
      <c r="BP151" s="23" t="s">
        <v>2022</v>
      </c>
      <c r="BQ151" s="23"/>
      <c r="BR151" s="23"/>
      <c r="BS151" s="23"/>
      <c r="BW151" s="27"/>
      <c r="BX151" s="27"/>
      <c r="BY151" s="27"/>
      <c r="CB151" s="28" t="s">
        <v>2039</v>
      </c>
      <c r="CC151" s="23" t="s">
        <v>2022</v>
      </c>
      <c r="CD151" s="23"/>
      <c r="CE151" s="23"/>
      <c r="CF151" s="23"/>
      <c r="CH151" s="29"/>
      <c r="CI151" s="23" t="s">
        <v>397</v>
      </c>
      <c r="CJ151" s="28">
        <v>40</v>
      </c>
      <c r="DD151" s="23" t="s">
        <v>3</v>
      </c>
    </row>
    <row r="152" spans="1:108" x14ac:dyDescent="0.2">
      <c r="A152" s="18">
        <v>908</v>
      </c>
      <c r="B152" s="19">
        <v>7</v>
      </c>
      <c r="C152" s="19">
        <f t="shared" si="2"/>
        <v>9080007</v>
      </c>
      <c r="D152" s="19" t="s">
        <v>1749</v>
      </c>
      <c r="E152" s="20" t="s">
        <v>547</v>
      </c>
      <c r="I152" s="21" t="s">
        <v>633</v>
      </c>
      <c r="J152" s="21"/>
      <c r="K152" s="21"/>
      <c r="L152" s="21"/>
      <c r="M152" s="21"/>
      <c r="N152" s="22" t="s">
        <v>1671</v>
      </c>
      <c r="O152" s="22" t="s">
        <v>1677</v>
      </c>
      <c r="P152" s="22"/>
      <c r="Q152" s="22" t="s">
        <v>2041</v>
      </c>
      <c r="R152" s="22"/>
      <c r="S152" s="22"/>
      <c r="T152" s="22" t="s">
        <v>2225</v>
      </c>
      <c r="U152" s="116" t="s">
        <v>2204</v>
      </c>
      <c r="V152" s="22" t="s">
        <v>1816</v>
      </c>
      <c r="W152" s="169">
        <v>3</v>
      </c>
      <c r="X152" s="169">
        <v>3</v>
      </c>
      <c r="Y152" s="23" t="s">
        <v>120</v>
      </c>
      <c r="Z152" s="22"/>
      <c r="AA152" s="22"/>
      <c r="AB152" s="22"/>
      <c r="AC152" s="22"/>
      <c r="AD152" s="22"/>
      <c r="AE152" s="24"/>
      <c r="AF152" s="24" t="s">
        <v>2041</v>
      </c>
      <c r="AG152" s="22"/>
      <c r="AH152" s="23" t="s">
        <v>1775</v>
      </c>
      <c r="AJ152" s="26"/>
      <c r="AK152" s="27">
        <v>1600</v>
      </c>
      <c r="AL152" s="27"/>
      <c r="AO152" s="28" t="s">
        <v>2039</v>
      </c>
      <c r="AP152" s="23" t="s">
        <v>2023</v>
      </c>
      <c r="AQ152" s="23"/>
      <c r="AR152" s="23"/>
      <c r="AS152" s="23"/>
      <c r="AW152" s="27"/>
      <c r="AX152" s="27"/>
      <c r="AY152" s="27"/>
      <c r="BB152" s="28" t="s">
        <v>2039</v>
      </c>
      <c r="BC152" s="23" t="s">
        <v>2023</v>
      </c>
      <c r="BD152" s="23"/>
      <c r="BE152" s="23"/>
      <c r="BF152" s="23"/>
      <c r="BJ152" s="27"/>
      <c r="BK152" s="27"/>
      <c r="BL152" s="27"/>
      <c r="BO152" s="28" t="s">
        <v>2039</v>
      </c>
      <c r="BP152" s="23" t="s">
        <v>2023</v>
      </c>
      <c r="BQ152" s="23"/>
      <c r="BR152" s="23"/>
      <c r="BS152" s="23"/>
      <c r="BW152" s="27"/>
      <c r="BX152" s="27"/>
      <c r="BY152" s="27"/>
      <c r="CB152" s="28" t="s">
        <v>2039</v>
      </c>
      <c r="CC152" s="23" t="s">
        <v>2023</v>
      </c>
      <c r="CD152" s="23"/>
      <c r="CE152" s="23"/>
      <c r="CF152" s="23"/>
      <c r="CH152" s="29"/>
      <c r="CI152" s="23" t="s">
        <v>397</v>
      </c>
      <c r="CJ152" s="28">
        <v>48</v>
      </c>
      <c r="DD152" s="23" t="s">
        <v>3</v>
      </c>
    </row>
    <row r="153" spans="1:108" x14ac:dyDescent="0.2">
      <c r="A153" s="18">
        <v>908</v>
      </c>
      <c r="B153" s="19">
        <v>8</v>
      </c>
      <c r="C153" s="19">
        <f t="shared" si="2"/>
        <v>9080008</v>
      </c>
      <c r="D153" s="19" t="s">
        <v>1750</v>
      </c>
      <c r="E153" s="20" t="s">
        <v>547</v>
      </c>
      <c r="I153" s="21" t="s">
        <v>633</v>
      </c>
      <c r="J153" s="21"/>
      <c r="K153" s="21"/>
      <c r="L153" s="21"/>
      <c r="M153" s="21"/>
      <c r="N153" s="22" t="s">
        <v>1671</v>
      </c>
      <c r="O153" s="22" t="s">
        <v>1677</v>
      </c>
      <c r="P153" s="22"/>
      <c r="Q153" s="22" t="s">
        <v>2041</v>
      </c>
      <c r="R153" s="22"/>
      <c r="S153" s="22"/>
      <c r="T153" s="22" t="s">
        <v>2225</v>
      </c>
      <c r="U153" s="116" t="s">
        <v>2205</v>
      </c>
      <c r="V153" s="22" t="s">
        <v>1816</v>
      </c>
      <c r="W153" s="169">
        <v>3</v>
      </c>
      <c r="X153" s="169">
        <v>3</v>
      </c>
      <c r="Y153" s="23" t="s">
        <v>120</v>
      </c>
      <c r="Z153" s="22"/>
      <c r="AA153" s="22"/>
      <c r="AB153" s="22"/>
      <c r="AC153" s="22"/>
      <c r="AD153" s="22"/>
      <c r="AE153" s="24"/>
      <c r="AF153" s="24" t="s">
        <v>2041</v>
      </c>
      <c r="AG153" s="22"/>
      <c r="AH153" s="23" t="s">
        <v>1776</v>
      </c>
      <c r="AJ153" s="26"/>
      <c r="AK153" s="27">
        <v>1700</v>
      </c>
      <c r="AL153" s="27"/>
      <c r="AO153" s="28" t="s">
        <v>2039</v>
      </c>
      <c r="AP153" s="23" t="s">
        <v>2024</v>
      </c>
      <c r="AQ153" s="23"/>
      <c r="AR153" s="23"/>
      <c r="AS153" s="23"/>
      <c r="AW153" s="27"/>
      <c r="AX153" s="27"/>
      <c r="AY153" s="27"/>
      <c r="BB153" s="28" t="s">
        <v>2039</v>
      </c>
      <c r="BC153" s="23" t="s">
        <v>2024</v>
      </c>
      <c r="BD153" s="23"/>
      <c r="BE153" s="23"/>
      <c r="BF153" s="23"/>
      <c r="BJ153" s="27"/>
      <c r="BK153" s="27"/>
      <c r="BL153" s="27"/>
      <c r="BO153" s="28" t="s">
        <v>2039</v>
      </c>
      <c r="BP153" s="23" t="s">
        <v>2024</v>
      </c>
      <c r="BQ153" s="23"/>
      <c r="BR153" s="23"/>
      <c r="BS153" s="23"/>
      <c r="BW153" s="27"/>
      <c r="BX153" s="27"/>
      <c r="BY153" s="27"/>
      <c r="CB153" s="28" t="s">
        <v>2039</v>
      </c>
      <c r="CC153" s="23" t="s">
        <v>2024</v>
      </c>
      <c r="CD153" s="23"/>
      <c r="CE153" s="23"/>
      <c r="CF153" s="23"/>
      <c r="CH153" s="29"/>
      <c r="CI153" s="23" t="s">
        <v>397</v>
      </c>
      <c r="CJ153" s="28">
        <v>48</v>
      </c>
      <c r="DD153" s="23" t="s">
        <v>3</v>
      </c>
    </row>
    <row r="154" spans="1:108" x14ac:dyDescent="0.2">
      <c r="A154" s="18">
        <v>908</v>
      </c>
      <c r="B154" s="19">
        <v>9</v>
      </c>
      <c r="C154" s="19">
        <f t="shared" si="2"/>
        <v>9080009</v>
      </c>
      <c r="D154" s="19" t="s">
        <v>1751</v>
      </c>
      <c r="E154" s="20" t="s">
        <v>547</v>
      </c>
      <c r="I154" s="21" t="s">
        <v>633</v>
      </c>
      <c r="J154" s="21"/>
      <c r="K154" s="21"/>
      <c r="L154" s="21"/>
      <c r="M154" s="21"/>
      <c r="N154" s="22" t="s">
        <v>1671</v>
      </c>
      <c r="O154" s="22" t="s">
        <v>1677</v>
      </c>
      <c r="P154" s="22"/>
      <c r="Q154" s="22" t="s">
        <v>2041</v>
      </c>
      <c r="R154" s="22"/>
      <c r="S154" s="22"/>
      <c r="T154" s="22" t="s">
        <v>2225</v>
      </c>
      <c r="U154" s="116" t="s">
        <v>2206</v>
      </c>
      <c r="V154" s="22" t="s">
        <v>1816</v>
      </c>
      <c r="W154" s="169">
        <v>3</v>
      </c>
      <c r="X154" s="169">
        <v>3</v>
      </c>
      <c r="Y154" s="23" t="s">
        <v>120</v>
      </c>
      <c r="Z154" s="22"/>
      <c r="AA154" s="22"/>
      <c r="AB154" s="22"/>
      <c r="AC154" s="22"/>
      <c r="AD154" s="22"/>
      <c r="AE154" s="24"/>
      <c r="AF154" s="24" t="s">
        <v>2041</v>
      </c>
      <c r="AG154" s="22"/>
      <c r="AH154" s="23" t="s">
        <v>1777</v>
      </c>
      <c r="AJ154" s="26"/>
      <c r="AK154" s="27">
        <v>1800</v>
      </c>
      <c r="AL154" s="27"/>
      <c r="AO154" s="28" t="s">
        <v>2039</v>
      </c>
      <c r="AP154" s="23" t="s">
        <v>2025</v>
      </c>
      <c r="AQ154" s="23"/>
      <c r="AR154" s="23"/>
      <c r="AS154" s="23"/>
      <c r="AW154" s="27"/>
      <c r="AX154" s="27"/>
      <c r="AY154" s="27"/>
      <c r="BB154" s="28" t="s">
        <v>2039</v>
      </c>
      <c r="BC154" s="23" t="s">
        <v>2025</v>
      </c>
      <c r="BD154" s="23"/>
      <c r="BE154" s="23"/>
      <c r="BF154" s="23"/>
      <c r="BJ154" s="27"/>
      <c r="BK154" s="27"/>
      <c r="BL154" s="27"/>
      <c r="BO154" s="28" t="s">
        <v>2039</v>
      </c>
      <c r="BP154" s="23" t="s">
        <v>2025</v>
      </c>
      <c r="BQ154" s="23"/>
      <c r="BR154" s="23"/>
      <c r="BS154" s="23"/>
      <c r="BW154" s="27"/>
      <c r="BX154" s="27"/>
      <c r="BY154" s="27"/>
      <c r="CB154" s="28" t="s">
        <v>2039</v>
      </c>
      <c r="CC154" s="23" t="s">
        <v>2025</v>
      </c>
      <c r="CD154" s="23"/>
      <c r="CE154" s="23"/>
      <c r="CF154" s="23"/>
      <c r="CH154" s="29"/>
      <c r="CI154" s="23" t="s">
        <v>397</v>
      </c>
      <c r="CJ154" s="28">
        <v>52</v>
      </c>
      <c r="DD154" s="23" t="s">
        <v>3</v>
      </c>
    </row>
    <row r="155" spans="1:108" x14ac:dyDescent="0.2">
      <c r="A155" s="18">
        <v>908</v>
      </c>
      <c r="B155" s="19">
        <v>10</v>
      </c>
      <c r="C155" s="19">
        <f t="shared" si="2"/>
        <v>9080010</v>
      </c>
      <c r="D155" s="19" t="s">
        <v>1752</v>
      </c>
      <c r="E155" s="20" t="s">
        <v>547</v>
      </c>
      <c r="I155" s="21" t="s">
        <v>633</v>
      </c>
      <c r="J155" s="21"/>
      <c r="K155" s="21"/>
      <c r="L155" s="21"/>
      <c r="M155" s="21"/>
      <c r="N155" s="22" t="s">
        <v>1671</v>
      </c>
      <c r="O155" s="22" t="s">
        <v>1677</v>
      </c>
      <c r="P155" s="22"/>
      <c r="Q155" s="22" t="s">
        <v>2041</v>
      </c>
      <c r="R155" s="22"/>
      <c r="S155" s="22"/>
      <c r="T155" s="22" t="s">
        <v>2225</v>
      </c>
      <c r="U155" s="116" t="s">
        <v>2207</v>
      </c>
      <c r="V155" s="22" t="s">
        <v>1816</v>
      </c>
      <c r="W155" s="169">
        <v>3</v>
      </c>
      <c r="X155" s="169">
        <v>3</v>
      </c>
      <c r="Y155" s="23" t="s">
        <v>120</v>
      </c>
      <c r="Z155" s="22"/>
      <c r="AA155" s="22"/>
      <c r="AB155" s="22"/>
      <c r="AC155" s="22"/>
      <c r="AD155" s="22"/>
      <c r="AE155" s="24"/>
      <c r="AF155" s="24" t="s">
        <v>2041</v>
      </c>
      <c r="AG155" s="22"/>
      <c r="AH155" s="23" t="s">
        <v>1778</v>
      </c>
      <c r="AJ155" s="26"/>
      <c r="AK155" s="27">
        <v>1900</v>
      </c>
      <c r="AL155" s="27"/>
      <c r="AO155" s="28" t="s">
        <v>2039</v>
      </c>
      <c r="AP155" s="23" t="s">
        <v>2026</v>
      </c>
      <c r="AQ155" s="23"/>
      <c r="AR155" s="23"/>
      <c r="AS155" s="23"/>
      <c r="AW155" s="27"/>
      <c r="AX155" s="27"/>
      <c r="AY155" s="27"/>
      <c r="BB155" s="28" t="s">
        <v>2039</v>
      </c>
      <c r="BC155" s="23" t="s">
        <v>2026</v>
      </c>
      <c r="BD155" s="23"/>
      <c r="BE155" s="23"/>
      <c r="BF155" s="23"/>
      <c r="BJ155" s="27"/>
      <c r="BK155" s="27"/>
      <c r="BL155" s="27"/>
      <c r="BO155" s="28" t="s">
        <v>2039</v>
      </c>
      <c r="BP155" s="23" t="s">
        <v>2026</v>
      </c>
      <c r="BQ155" s="23"/>
      <c r="BR155" s="23"/>
      <c r="BS155" s="23"/>
      <c r="BW155" s="27"/>
      <c r="BX155" s="27"/>
      <c r="BY155" s="27"/>
      <c r="CB155" s="28" t="s">
        <v>2039</v>
      </c>
      <c r="CC155" s="23" t="s">
        <v>2026</v>
      </c>
      <c r="CD155" s="23"/>
      <c r="CE155" s="23"/>
      <c r="CF155" s="23"/>
      <c r="CH155" s="29"/>
      <c r="CI155" s="23" t="s">
        <v>397</v>
      </c>
      <c r="CJ155" s="28">
        <v>52</v>
      </c>
      <c r="DD155" s="23" t="s">
        <v>3</v>
      </c>
    </row>
    <row r="156" spans="1:108" x14ac:dyDescent="0.2">
      <c r="A156" s="18">
        <v>908</v>
      </c>
      <c r="B156" s="19">
        <v>11</v>
      </c>
      <c r="C156" s="19">
        <f t="shared" si="2"/>
        <v>9080011</v>
      </c>
      <c r="D156" s="19" t="s">
        <v>1753</v>
      </c>
      <c r="E156" s="20" t="s">
        <v>547</v>
      </c>
      <c r="I156" s="21" t="s">
        <v>633</v>
      </c>
      <c r="J156" s="21"/>
      <c r="K156" s="21"/>
      <c r="L156" s="21"/>
      <c r="M156" s="21"/>
      <c r="N156" s="22" t="s">
        <v>1671</v>
      </c>
      <c r="O156" s="22" t="s">
        <v>1677</v>
      </c>
      <c r="P156" s="22"/>
      <c r="Q156" s="22" t="s">
        <v>2041</v>
      </c>
      <c r="R156" s="22"/>
      <c r="S156" s="22"/>
      <c r="T156" s="22" t="s">
        <v>2225</v>
      </c>
      <c r="U156" s="116" t="s">
        <v>2208</v>
      </c>
      <c r="V156" s="22" t="s">
        <v>1816</v>
      </c>
      <c r="W156" s="169">
        <v>3</v>
      </c>
      <c r="X156" s="169">
        <v>3</v>
      </c>
      <c r="Y156" s="23" t="s">
        <v>120</v>
      </c>
      <c r="Z156" s="22"/>
      <c r="AA156" s="22"/>
      <c r="AB156" s="22"/>
      <c r="AC156" s="22"/>
      <c r="AD156" s="22"/>
      <c r="AE156" s="24"/>
      <c r="AF156" s="24" t="s">
        <v>2041</v>
      </c>
      <c r="AG156" s="22"/>
      <c r="AH156" s="23" t="s">
        <v>1779</v>
      </c>
      <c r="AJ156" s="26"/>
      <c r="AK156" s="27">
        <v>2000</v>
      </c>
      <c r="AL156" s="27"/>
      <c r="AO156" s="28" t="s">
        <v>2039</v>
      </c>
      <c r="AP156" s="23" t="s">
        <v>2027</v>
      </c>
      <c r="AQ156" s="23"/>
      <c r="AR156" s="23"/>
      <c r="AS156" s="23"/>
      <c r="AW156" s="27"/>
      <c r="AX156" s="27"/>
      <c r="AY156" s="27"/>
      <c r="BB156" s="28" t="s">
        <v>2039</v>
      </c>
      <c r="BC156" s="23" t="s">
        <v>2027</v>
      </c>
      <c r="BD156" s="23"/>
      <c r="BE156" s="23"/>
      <c r="BF156" s="23"/>
      <c r="BJ156" s="27"/>
      <c r="BK156" s="27"/>
      <c r="BL156" s="27"/>
      <c r="BO156" s="28" t="s">
        <v>2039</v>
      </c>
      <c r="BP156" s="23" t="s">
        <v>2027</v>
      </c>
      <c r="BQ156" s="23"/>
      <c r="BR156" s="23"/>
      <c r="BS156" s="23"/>
      <c r="BW156" s="27"/>
      <c r="BX156" s="27"/>
      <c r="BY156" s="27"/>
      <c r="CB156" s="28" t="s">
        <v>2039</v>
      </c>
      <c r="CC156" s="23" t="s">
        <v>2027</v>
      </c>
      <c r="CD156" s="23"/>
      <c r="CE156" s="23"/>
      <c r="CF156" s="23"/>
      <c r="CH156" s="29"/>
      <c r="CI156" s="23" t="s">
        <v>397</v>
      </c>
      <c r="CJ156" s="28">
        <v>56</v>
      </c>
      <c r="DD156" s="23" t="s">
        <v>3</v>
      </c>
    </row>
    <row r="157" spans="1:108" x14ac:dyDescent="0.2">
      <c r="A157" s="18">
        <v>908</v>
      </c>
      <c r="B157" s="19">
        <v>12</v>
      </c>
      <c r="C157" s="19">
        <f t="shared" si="2"/>
        <v>9080012</v>
      </c>
      <c r="D157" s="19" t="s">
        <v>1754</v>
      </c>
      <c r="E157" s="20" t="s">
        <v>547</v>
      </c>
      <c r="I157" s="21" t="s">
        <v>633</v>
      </c>
      <c r="J157" s="21"/>
      <c r="K157" s="21"/>
      <c r="L157" s="21"/>
      <c r="M157" s="21"/>
      <c r="N157" s="22" t="s">
        <v>1671</v>
      </c>
      <c r="O157" s="22" t="s">
        <v>1677</v>
      </c>
      <c r="P157" s="22"/>
      <c r="Q157" s="22" t="s">
        <v>2041</v>
      </c>
      <c r="R157" s="22"/>
      <c r="S157" s="22"/>
      <c r="T157" s="22" t="s">
        <v>2225</v>
      </c>
      <c r="U157" s="116" t="s">
        <v>2209</v>
      </c>
      <c r="V157" s="22" t="s">
        <v>1816</v>
      </c>
      <c r="W157" s="169">
        <v>3</v>
      </c>
      <c r="X157" s="169">
        <v>3</v>
      </c>
      <c r="Y157" s="23" t="s">
        <v>120</v>
      </c>
      <c r="Z157" s="22"/>
      <c r="AA157" s="22"/>
      <c r="AB157" s="22"/>
      <c r="AC157" s="22"/>
      <c r="AD157" s="22"/>
      <c r="AE157" s="24"/>
      <c r="AF157" s="24" t="s">
        <v>2041</v>
      </c>
      <c r="AG157" s="22"/>
      <c r="AH157" s="23" t="s">
        <v>1780</v>
      </c>
      <c r="AJ157" s="26"/>
      <c r="AK157" s="27">
        <v>2100</v>
      </c>
      <c r="AL157" s="27"/>
      <c r="AO157" s="28" t="s">
        <v>2039</v>
      </c>
      <c r="AP157" s="23" t="s">
        <v>2028</v>
      </c>
      <c r="AQ157" s="23"/>
      <c r="AR157" s="23"/>
      <c r="AS157" s="23"/>
      <c r="AW157" s="27"/>
      <c r="AX157" s="27"/>
      <c r="AY157" s="27"/>
      <c r="BB157" s="28" t="s">
        <v>2039</v>
      </c>
      <c r="BC157" s="23" t="s">
        <v>2028</v>
      </c>
      <c r="BD157" s="23"/>
      <c r="BE157" s="23"/>
      <c r="BF157" s="23"/>
      <c r="BJ157" s="27"/>
      <c r="BK157" s="27"/>
      <c r="BL157" s="27"/>
      <c r="BO157" s="28" t="s">
        <v>2039</v>
      </c>
      <c r="BP157" s="23" t="s">
        <v>2028</v>
      </c>
      <c r="BQ157" s="23"/>
      <c r="BR157" s="23"/>
      <c r="BS157" s="23"/>
      <c r="BW157" s="27"/>
      <c r="BX157" s="27"/>
      <c r="BY157" s="27"/>
      <c r="CB157" s="28" t="s">
        <v>2039</v>
      </c>
      <c r="CC157" s="23" t="s">
        <v>2028</v>
      </c>
      <c r="CD157" s="23"/>
      <c r="CE157" s="23"/>
      <c r="CF157" s="23"/>
      <c r="CH157" s="29"/>
      <c r="CI157" s="23" t="s">
        <v>397</v>
      </c>
      <c r="CJ157" s="28">
        <v>60</v>
      </c>
      <c r="DD157" s="23" t="s">
        <v>3</v>
      </c>
    </row>
    <row r="158" spans="1:108" x14ac:dyDescent="0.2">
      <c r="A158" s="18">
        <v>908</v>
      </c>
      <c r="B158" s="19">
        <v>13</v>
      </c>
      <c r="C158" s="19">
        <f t="shared" si="2"/>
        <v>9080013</v>
      </c>
      <c r="D158" s="19" t="s">
        <v>1755</v>
      </c>
      <c r="E158" s="20" t="s">
        <v>547</v>
      </c>
      <c r="I158" s="21" t="s">
        <v>633</v>
      </c>
      <c r="J158" s="21"/>
      <c r="K158" s="21"/>
      <c r="L158" s="21"/>
      <c r="M158" s="21"/>
      <c r="N158" s="22" t="s">
        <v>1671</v>
      </c>
      <c r="O158" s="22" t="s">
        <v>1677</v>
      </c>
      <c r="P158" s="22"/>
      <c r="Q158" s="22" t="s">
        <v>2041</v>
      </c>
      <c r="R158" s="22"/>
      <c r="S158" s="22"/>
      <c r="T158" s="22" t="s">
        <v>2225</v>
      </c>
      <c r="U158" s="116" t="s">
        <v>2210</v>
      </c>
      <c r="V158" s="22" t="s">
        <v>1816</v>
      </c>
      <c r="W158" s="169">
        <v>3</v>
      </c>
      <c r="X158" s="169">
        <v>3</v>
      </c>
      <c r="Y158" s="23" t="s">
        <v>120</v>
      </c>
      <c r="Z158" s="22"/>
      <c r="AA158" s="22"/>
      <c r="AB158" s="22"/>
      <c r="AC158" s="22"/>
      <c r="AD158" s="22"/>
      <c r="AE158" s="24"/>
      <c r="AF158" s="24" t="s">
        <v>2041</v>
      </c>
      <c r="AG158" s="22"/>
      <c r="AH158" s="23" t="s">
        <v>1781</v>
      </c>
      <c r="AJ158" s="26"/>
      <c r="AK158" s="27">
        <v>2200</v>
      </c>
      <c r="AL158" s="27"/>
      <c r="AO158" s="28" t="s">
        <v>2039</v>
      </c>
      <c r="AP158" s="23" t="s">
        <v>2029</v>
      </c>
      <c r="AQ158" s="23"/>
      <c r="AR158" s="23"/>
      <c r="AS158" s="23"/>
      <c r="AW158" s="27"/>
      <c r="AX158" s="27"/>
      <c r="AY158" s="27"/>
      <c r="BB158" s="28" t="s">
        <v>2039</v>
      </c>
      <c r="BC158" s="23" t="s">
        <v>2029</v>
      </c>
      <c r="BD158" s="23"/>
      <c r="BE158" s="23"/>
      <c r="BF158" s="23"/>
      <c r="BJ158" s="27"/>
      <c r="BK158" s="27"/>
      <c r="BL158" s="27"/>
      <c r="BO158" s="28" t="s">
        <v>2039</v>
      </c>
      <c r="BP158" s="23" t="s">
        <v>2029</v>
      </c>
      <c r="BQ158" s="23"/>
      <c r="BR158" s="23"/>
      <c r="BS158" s="23"/>
      <c r="BW158" s="27"/>
      <c r="BX158" s="27"/>
      <c r="BY158" s="27"/>
      <c r="CB158" s="28" t="s">
        <v>2039</v>
      </c>
      <c r="CC158" s="23" t="s">
        <v>2029</v>
      </c>
      <c r="CD158" s="23"/>
      <c r="CE158" s="23"/>
      <c r="CF158" s="23"/>
      <c r="CH158" s="29"/>
      <c r="CI158" s="23" t="s">
        <v>397</v>
      </c>
      <c r="CJ158" s="28">
        <v>64</v>
      </c>
      <c r="DD158" s="23" t="s">
        <v>3</v>
      </c>
    </row>
    <row r="159" spans="1:108" x14ac:dyDescent="0.2">
      <c r="A159" s="18">
        <v>908</v>
      </c>
      <c r="B159" s="19">
        <v>14</v>
      </c>
      <c r="C159" s="19">
        <f t="shared" si="2"/>
        <v>9080014</v>
      </c>
      <c r="D159" s="19" t="s">
        <v>1756</v>
      </c>
      <c r="E159" s="20" t="s">
        <v>547</v>
      </c>
      <c r="I159" s="21" t="s">
        <v>633</v>
      </c>
      <c r="J159" s="21"/>
      <c r="K159" s="21"/>
      <c r="L159" s="21"/>
      <c r="M159" s="21"/>
      <c r="N159" s="22" t="s">
        <v>1671</v>
      </c>
      <c r="O159" s="22" t="s">
        <v>1677</v>
      </c>
      <c r="P159" s="22"/>
      <c r="Q159" s="22" t="s">
        <v>2041</v>
      </c>
      <c r="R159" s="22"/>
      <c r="S159" s="22"/>
      <c r="T159" s="22" t="s">
        <v>2225</v>
      </c>
      <c r="U159" s="116" t="s">
        <v>2211</v>
      </c>
      <c r="V159" s="22" t="s">
        <v>1816</v>
      </c>
      <c r="W159" s="169">
        <v>3</v>
      </c>
      <c r="X159" s="169">
        <v>3</v>
      </c>
      <c r="Y159" s="23" t="s">
        <v>120</v>
      </c>
      <c r="Z159" s="22"/>
      <c r="AA159" s="22"/>
      <c r="AB159" s="22"/>
      <c r="AC159" s="22"/>
      <c r="AD159" s="22"/>
      <c r="AE159" s="24"/>
      <c r="AF159" s="24" t="s">
        <v>2041</v>
      </c>
      <c r="AG159" s="22"/>
      <c r="AH159" s="23" t="s">
        <v>1782</v>
      </c>
      <c r="AJ159" s="26"/>
      <c r="AK159" s="27">
        <v>2300</v>
      </c>
      <c r="AL159" s="27"/>
      <c r="AO159" s="28" t="s">
        <v>2039</v>
      </c>
      <c r="AP159" s="23" t="s">
        <v>2030</v>
      </c>
      <c r="AQ159" s="23"/>
      <c r="AR159" s="23"/>
      <c r="AS159" s="23"/>
      <c r="AW159" s="27"/>
      <c r="AX159" s="27"/>
      <c r="AY159" s="27"/>
      <c r="BB159" s="28" t="s">
        <v>2039</v>
      </c>
      <c r="BC159" s="23" t="s">
        <v>2030</v>
      </c>
      <c r="BD159" s="23"/>
      <c r="BE159" s="23"/>
      <c r="BF159" s="23"/>
      <c r="BJ159" s="27"/>
      <c r="BK159" s="27"/>
      <c r="BL159" s="27"/>
      <c r="BO159" s="28" t="s">
        <v>2039</v>
      </c>
      <c r="BP159" s="23" t="s">
        <v>2030</v>
      </c>
      <c r="BQ159" s="23"/>
      <c r="BR159" s="23"/>
      <c r="BS159" s="23"/>
      <c r="BW159" s="27"/>
      <c r="BX159" s="27"/>
      <c r="BY159" s="27"/>
      <c r="CB159" s="28" t="s">
        <v>2039</v>
      </c>
      <c r="CC159" s="23" t="s">
        <v>2030</v>
      </c>
      <c r="CD159" s="23"/>
      <c r="CE159" s="23"/>
      <c r="CF159" s="23"/>
      <c r="CH159" s="29"/>
      <c r="CI159" s="23" t="s">
        <v>397</v>
      </c>
      <c r="CJ159" s="28">
        <v>68</v>
      </c>
      <c r="DD159" s="23" t="s">
        <v>3</v>
      </c>
    </row>
    <row r="160" spans="1:108" x14ac:dyDescent="0.2">
      <c r="A160" s="18">
        <v>908</v>
      </c>
      <c r="B160" s="19">
        <v>15</v>
      </c>
      <c r="C160" s="19">
        <f t="shared" si="2"/>
        <v>9080015</v>
      </c>
      <c r="D160" s="19" t="s">
        <v>1757</v>
      </c>
      <c r="E160" s="20" t="s">
        <v>547</v>
      </c>
      <c r="I160" s="21" t="s">
        <v>633</v>
      </c>
      <c r="J160" s="21"/>
      <c r="K160" s="21"/>
      <c r="L160" s="21"/>
      <c r="M160" s="21"/>
      <c r="N160" s="22" t="s">
        <v>1671</v>
      </c>
      <c r="O160" s="22" t="s">
        <v>1677</v>
      </c>
      <c r="P160" s="22"/>
      <c r="Q160" s="22" t="s">
        <v>2041</v>
      </c>
      <c r="R160" s="22"/>
      <c r="S160" s="22"/>
      <c r="T160" s="22" t="s">
        <v>2225</v>
      </c>
      <c r="U160" s="116" t="s">
        <v>2212</v>
      </c>
      <c r="V160" s="22" t="s">
        <v>1816</v>
      </c>
      <c r="W160" s="169">
        <v>3</v>
      </c>
      <c r="X160" s="169">
        <v>3</v>
      </c>
      <c r="Y160" s="23" t="s">
        <v>120</v>
      </c>
      <c r="Z160" s="22"/>
      <c r="AA160" s="22"/>
      <c r="AB160" s="22"/>
      <c r="AC160" s="22"/>
      <c r="AD160" s="22"/>
      <c r="AE160" s="24"/>
      <c r="AF160" s="24" t="s">
        <v>2041</v>
      </c>
      <c r="AG160" s="22"/>
      <c r="AH160" s="23" t="s">
        <v>1783</v>
      </c>
      <c r="AJ160" s="26"/>
      <c r="AK160" s="27">
        <v>2400</v>
      </c>
      <c r="AL160" s="27"/>
      <c r="AO160" s="28" t="s">
        <v>2039</v>
      </c>
      <c r="AP160" s="23" t="s">
        <v>2031</v>
      </c>
      <c r="AQ160" s="23"/>
      <c r="AR160" s="23"/>
      <c r="AS160" s="23"/>
      <c r="AW160" s="27"/>
      <c r="AX160" s="27"/>
      <c r="AY160" s="27"/>
      <c r="BB160" s="28" t="s">
        <v>2039</v>
      </c>
      <c r="BC160" s="23" t="s">
        <v>2031</v>
      </c>
      <c r="BD160" s="23"/>
      <c r="BE160" s="23"/>
      <c r="BF160" s="23"/>
      <c r="BJ160" s="27"/>
      <c r="BK160" s="27"/>
      <c r="BL160" s="27"/>
      <c r="BO160" s="28" t="s">
        <v>2039</v>
      </c>
      <c r="BP160" s="23" t="s">
        <v>2031</v>
      </c>
      <c r="BQ160" s="23"/>
      <c r="BR160" s="23"/>
      <c r="BS160" s="23"/>
      <c r="BW160" s="27"/>
      <c r="BX160" s="27"/>
      <c r="BY160" s="27"/>
      <c r="CB160" s="28" t="s">
        <v>2039</v>
      </c>
      <c r="CC160" s="23" t="s">
        <v>2031</v>
      </c>
      <c r="CD160" s="23"/>
      <c r="CE160" s="23"/>
      <c r="CF160" s="23"/>
      <c r="CH160" s="29"/>
      <c r="CI160" s="23" t="s">
        <v>397</v>
      </c>
      <c r="CJ160" s="28">
        <v>72</v>
      </c>
      <c r="DD160" s="23" t="s">
        <v>3</v>
      </c>
    </row>
    <row r="161" spans="1:108" x14ac:dyDescent="0.2">
      <c r="A161" s="18">
        <v>908</v>
      </c>
      <c r="B161" s="19">
        <v>16</v>
      </c>
      <c r="C161" s="19">
        <f t="shared" si="2"/>
        <v>9080016</v>
      </c>
      <c r="D161" s="19" t="s">
        <v>1758</v>
      </c>
      <c r="E161" s="20" t="s">
        <v>547</v>
      </c>
      <c r="I161" s="21" t="s">
        <v>633</v>
      </c>
      <c r="J161" s="21"/>
      <c r="K161" s="21"/>
      <c r="L161" s="21"/>
      <c r="M161" s="21"/>
      <c r="N161" s="22" t="s">
        <v>1671</v>
      </c>
      <c r="O161" s="22" t="s">
        <v>1677</v>
      </c>
      <c r="P161" s="22"/>
      <c r="Q161" s="22" t="s">
        <v>2041</v>
      </c>
      <c r="R161" s="22"/>
      <c r="S161" s="22"/>
      <c r="T161" s="22" t="s">
        <v>2225</v>
      </c>
      <c r="U161" s="116" t="s">
        <v>2213</v>
      </c>
      <c r="V161" s="22" t="s">
        <v>1816</v>
      </c>
      <c r="W161" s="169">
        <v>3</v>
      </c>
      <c r="X161" s="169">
        <v>3</v>
      </c>
      <c r="Y161" s="23" t="s">
        <v>120</v>
      </c>
      <c r="Z161" s="22"/>
      <c r="AA161" s="22"/>
      <c r="AB161" s="22"/>
      <c r="AC161" s="22"/>
      <c r="AD161" s="22"/>
      <c r="AE161" s="24"/>
      <c r="AF161" s="24" t="s">
        <v>2041</v>
      </c>
      <c r="AG161" s="22"/>
      <c r="AH161" s="23" t="s">
        <v>1784</v>
      </c>
      <c r="AJ161" s="26"/>
      <c r="AK161" s="27">
        <v>2500</v>
      </c>
      <c r="AL161" s="27"/>
      <c r="AO161" s="28" t="s">
        <v>2039</v>
      </c>
      <c r="AP161" s="23" t="s">
        <v>2032</v>
      </c>
      <c r="AQ161" s="23"/>
      <c r="AR161" s="23"/>
      <c r="AS161" s="23"/>
      <c r="AW161" s="27"/>
      <c r="AX161" s="27"/>
      <c r="AY161" s="27"/>
      <c r="BB161" s="28" t="s">
        <v>2039</v>
      </c>
      <c r="BC161" s="23" t="s">
        <v>2032</v>
      </c>
      <c r="BD161" s="23"/>
      <c r="BE161" s="23"/>
      <c r="BF161" s="23"/>
      <c r="BJ161" s="27"/>
      <c r="BK161" s="27"/>
      <c r="BL161" s="27"/>
      <c r="BO161" s="28" t="s">
        <v>2039</v>
      </c>
      <c r="BP161" s="23" t="s">
        <v>2032</v>
      </c>
      <c r="BQ161" s="23"/>
      <c r="BR161" s="23"/>
      <c r="BS161" s="23"/>
      <c r="BW161" s="27"/>
      <c r="BX161" s="27"/>
      <c r="BY161" s="27"/>
      <c r="CB161" s="28" t="s">
        <v>2039</v>
      </c>
      <c r="CC161" s="23" t="s">
        <v>2032</v>
      </c>
      <c r="CD161" s="23"/>
      <c r="CE161" s="23"/>
      <c r="CF161" s="23"/>
      <c r="CH161" s="29"/>
      <c r="CI161" s="23" t="s">
        <v>397</v>
      </c>
      <c r="CJ161" s="28">
        <v>76</v>
      </c>
      <c r="DD161" s="23" t="s">
        <v>3</v>
      </c>
    </row>
    <row r="162" spans="1:108" x14ac:dyDescent="0.2">
      <c r="A162" s="18">
        <v>908</v>
      </c>
      <c r="B162" s="19">
        <v>17</v>
      </c>
      <c r="C162" s="19">
        <f t="shared" si="2"/>
        <v>9080017</v>
      </c>
      <c r="D162" s="19" t="s">
        <v>1759</v>
      </c>
      <c r="E162" s="20" t="s">
        <v>547</v>
      </c>
      <c r="I162" s="21" t="s">
        <v>633</v>
      </c>
      <c r="J162" s="21"/>
      <c r="K162" s="21"/>
      <c r="L162" s="21"/>
      <c r="M162" s="21"/>
      <c r="N162" s="22" t="s">
        <v>1671</v>
      </c>
      <c r="O162" s="22" t="s">
        <v>1677</v>
      </c>
      <c r="P162" s="22"/>
      <c r="Q162" s="22" t="s">
        <v>2041</v>
      </c>
      <c r="R162" s="22"/>
      <c r="S162" s="22"/>
      <c r="T162" s="22" t="s">
        <v>2225</v>
      </c>
      <c r="U162" s="116" t="s">
        <v>2214</v>
      </c>
      <c r="V162" s="22" t="s">
        <v>1816</v>
      </c>
      <c r="W162" s="169">
        <v>3</v>
      </c>
      <c r="X162" s="169">
        <v>3</v>
      </c>
      <c r="Y162" s="23" t="s">
        <v>120</v>
      </c>
      <c r="Z162" s="22"/>
      <c r="AA162" s="22"/>
      <c r="AB162" s="22"/>
      <c r="AC162" s="22"/>
      <c r="AD162" s="22"/>
      <c r="AE162" s="24"/>
      <c r="AF162" s="24" t="s">
        <v>2041</v>
      </c>
      <c r="AG162" s="22"/>
      <c r="AH162" s="23" t="s">
        <v>1785</v>
      </c>
      <c r="AJ162" s="26"/>
      <c r="AK162" s="27">
        <v>2600</v>
      </c>
      <c r="AL162" s="27"/>
      <c r="AO162" s="28" t="s">
        <v>2039</v>
      </c>
      <c r="AP162" s="23" t="s">
        <v>2033</v>
      </c>
      <c r="AQ162" s="23"/>
      <c r="AR162" s="23"/>
      <c r="AS162" s="23"/>
      <c r="AW162" s="27"/>
      <c r="AX162" s="27"/>
      <c r="AY162" s="27"/>
      <c r="BB162" s="28" t="s">
        <v>2039</v>
      </c>
      <c r="BC162" s="23" t="s">
        <v>2033</v>
      </c>
      <c r="BD162" s="23"/>
      <c r="BE162" s="23"/>
      <c r="BF162" s="23"/>
      <c r="BJ162" s="27"/>
      <c r="BK162" s="27"/>
      <c r="BL162" s="27"/>
      <c r="BO162" s="28" t="s">
        <v>2039</v>
      </c>
      <c r="BP162" s="23" t="s">
        <v>2033</v>
      </c>
      <c r="BQ162" s="23"/>
      <c r="BR162" s="23"/>
      <c r="BS162" s="23"/>
      <c r="BW162" s="27"/>
      <c r="BX162" s="27"/>
      <c r="BY162" s="27"/>
      <c r="CB162" s="28" t="s">
        <v>2039</v>
      </c>
      <c r="CC162" s="23" t="s">
        <v>2033</v>
      </c>
      <c r="CD162" s="23"/>
      <c r="CE162" s="23"/>
      <c r="CF162" s="23"/>
      <c r="CH162" s="29"/>
      <c r="CI162" s="23" t="s">
        <v>397</v>
      </c>
      <c r="CJ162" s="28">
        <v>80</v>
      </c>
      <c r="DD162" s="23" t="s">
        <v>3</v>
      </c>
    </row>
    <row r="163" spans="1:108" x14ac:dyDescent="0.2">
      <c r="A163" s="18">
        <v>908</v>
      </c>
      <c r="B163" s="19">
        <v>18</v>
      </c>
      <c r="C163" s="19">
        <f t="shared" si="2"/>
        <v>9080018</v>
      </c>
      <c r="D163" s="19" t="s">
        <v>1760</v>
      </c>
      <c r="E163" s="20" t="s">
        <v>547</v>
      </c>
      <c r="I163" s="21" t="s">
        <v>633</v>
      </c>
      <c r="J163" s="21"/>
      <c r="K163" s="21"/>
      <c r="L163" s="21"/>
      <c r="M163" s="21"/>
      <c r="N163" s="22" t="s">
        <v>1671</v>
      </c>
      <c r="O163" s="22" t="s">
        <v>1677</v>
      </c>
      <c r="P163" s="22"/>
      <c r="Q163" s="22" t="s">
        <v>2041</v>
      </c>
      <c r="R163" s="22"/>
      <c r="S163" s="22"/>
      <c r="T163" s="22" t="s">
        <v>2225</v>
      </c>
      <c r="U163" s="116" t="s">
        <v>2215</v>
      </c>
      <c r="V163" s="22" t="s">
        <v>1816</v>
      </c>
      <c r="W163" s="169">
        <v>3</v>
      </c>
      <c r="X163" s="169">
        <v>3</v>
      </c>
      <c r="Y163" s="23" t="s">
        <v>120</v>
      </c>
      <c r="Z163" s="22"/>
      <c r="AA163" s="22"/>
      <c r="AB163" s="22"/>
      <c r="AC163" s="22"/>
      <c r="AD163" s="22"/>
      <c r="AE163" s="24"/>
      <c r="AF163" s="24" t="s">
        <v>2041</v>
      </c>
      <c r="AG163" s="22"/>
      <c r="AH163" s="23" t="s">
        <v>1786</v>
      </c>
      <c r="AJ163" s="26"/>
      <c r="AK163" s="27">
        <v>2700</v>
      </c>
      <c r="AL163" s="27"/>
      <c r="AO163" s="28" t="s">
        <v>2039</v>
      </c>
      <c r="AP163" s="23" t="s">
        <v>2034</v>
      </c>
      <c r="AQ163" s="23"/>
      <c r="AR163" s="23"/>
      <c r="AS163" s="23"/>
      <c r="AW163" s="27"/>
      <c r="AX163" s="27"/>
      <c r="AY163" s="27"/>
      <c r="BB163" s="28" t="s">
        <v>2039</v>
      </c>
      <c r="BC163" s="23" t="s">
        <v>2034</v>
      </c>
      <c r="BD163" s="23"/>
      <c r="BE163" s="23"/>
      <c r="BF163" s="23"/>
      <c r="BJ163" s="27"/>
      <c r="BK163" s="27"/>
      <c r="BL163" s="27"/>
      <c r="BO163" s="28" t="s">
        <v>2039</v>
      </c>
      <c r="BP163" s="23" t="s">
        <v>2034</v>
      </c>
      <c r="BQ163" s="23"/>
      <c r="BR163" s="23"/>
      <c r="BS163" s="23"/>
      <c r="BW163" s="27"/>
      <c r="BX163" s="27"/>
      <c r="BY163" s="27"/>
      <c r="CB163" s="28" t="s">
        <v>2039</v>
      </c>
      <c r="CC163" s="23" t="s">
        <v>2034</v>
      </c>
      <c r="CD163" s="23"/>
      <c r="CE163" s="23"/>
      <c r="CF163" s="23"/>
      <c r="CH163" s="29"/>
      <c r="CI163" s="23" t="s">
        <v>397</v>
      </c>
      <c r="CJ163" s="28">
        <v>84</v>
      </c>
      <c r="DD163" s="23" t="s">
        <v>3</v>
      </c>
    </row>
    <row r="164" spans="1:108" x14ac:dyDescent="0.2">
      <c r="A164" s="18">
        <v>908</v>
      </c>
      <c r="B164" s="19">
        <v>19</v>
      </c>
      <c r="C164" s="19">
        <f t="shared" si="2"/>
        <v>9080019</v>
      </c>
      <c r="D164" s="19" t="s">
        <v>1761</v>
      </c>
      <c r="E164" s="20" t="s">
        <v>547</v>
      </c>
      <c r="I164" s="21" t="s">
        <v>633</v>
      </c>
      <c r="J164" s="21"/>
      <c r="K164" s="21"/>
      <c r="L164" s="21"/>
      <c r="M164" s="21"/>
      <c r="N164" s="22" t="s">
        <v>1671</v>
      </c>
      <c r="O164" s="22" t="s">
        <v>1677</v>
      </c>
      <c r="P164" s="22"/>
      <c r="Q164" s="22" t="s">
        <v>2041</v>
      </c>
      <c r="R164" s="22"/>
      <c r="S164" s="22"/>
      <c r="T164" s="22" t="s">
        <v>2225</v>
      </c>
      <c r="U164" s="116" t="s">
        <v>2216</v>
      </c>
      <c r="V164" s="22" t="s">
        <v>1816</v>
      </c>
      <c r="W164" s="169">
        <v>3</v>
      </c>
      <c r="X164" s="169">
        <v>3</v>
      </c>
      <c r="Y164" s="23" t="s">
        <v>120</v>
      </c>
      <c r="Z164" s="22"/>
      <c r="AA164" s="22"/>
      <c r="AB164" s="22"/>
      <c r="AC164" s="22"/>
      <c r="AD164" s="22"/>
      <c r="AE164" s="24"/>
      <c r="AF164" s="24" t="s">
        <v>2041</v>
      </c>
      <c r="AG164" s="22"/>
      <c r="AH164" s="23" t="s">
        <v>1787</v>
      </c>
      <c r="AJ164" s="26"/>
      <c r="AK164" s="27">
        <v>2800</v>
      </c>
      <c r="AL164" s="27"/>
      <c r="AO164" s="28" t="s">
        <v>2039</v>
      </c>
      <c r="AP164" s="23" t="s">
        <v>2035</v>
      </c>
      <c r="AQ164" s="23"/>
      <c r="AR164" s="23"/>
      <c r="AS164" s="23"/>
      <c r="AW164" s="27"/>
      <c r="AX164" s="27"/>
      <c r="AY164" s="27"/>
      <c r="BB164" s="28" t="s">
        <v>2039</v>
      </c>
      <c r="BC164" s="23" t="s">
        <v>2035</v>
      </c>
      <c r="BD164" s="23"/>
      <c r="BE164" s="23"/>
      <c r="BF164" s="23"/>
      <c r="BJ164" s="27"/>
      <c r="BK164" s="27"/>
      <c r="BL164" s="27"/>
      <c r="BO164" s="28" t="s">
        <v>2039</v>
      </c>
      <c r="BP164" s="23" t="s">
        <v>2035</v>
      </c>
      <c r="BQ164" s="23"/>
      <c r="BR164" s="23"/>
      <c r="BS164" s="23"/>
      <c r="BW164" s="27"/>
      <c r="BX164" s="27"/>
      <c r="BY164" s="27"/>
      <c r="CB164" s="28" t="s">
        <v>2039</v>
      </c>
      <c r="CC164" s="23" t="s">
        <v>2035</v>
      </c>
      <c r="CD164" s="23"/>
      <c r="CE164" s="23"/>
      <c r="CF164" s="23"/>
      <c r="CH164" s="29"/>
      <c r="CI164" s="23" t="s">
        <v>397</v>
      </c>
      <c r="CJ164" s="28">
        <v>88</v>
      </c>
      <c r="DD164" s="23" t="s">
        <v>3</v>
      </c>
    </row>
    <row r="165" spans="1:108" x14ac:dyDescent="0.2">
      <c r="A165" s="18">
        <v>908</v>
      </c>
      <c r="B165" s="19">
        <v>20</v>
      </c>
      <c r="C165" s="19">
        <f t="shared" si="2"/>
        <v>9080020</v>
      </c>
      <c r="D165" s="19" t="s">
        <v>1762</v>
      </c>
      <c r="E165" s="20" t="s">
        <v>547</v>
      </c>
      <c r="I165" s="21" t="s">
        <v>633</v>
      </c>
      <c r="J165" s="21"/>
      <c r="K165" s="21"/>
      <c r="L165" s="21"/>
      <c r="M165" s="21"/>
      <c r="N165" s="22" t="s">
        <v>1671</v>
      </c>
      <c r="O165" s="22" t="s">
        <v>1677</v>
      </c>
      <c r="P165" s="22"/>
      <c r="Q165" s="22" t="s">
        <v>2041</v>
      </c>
      <c r="R165" s="22"/>
      <c r="S165" s="22"/>
      <c r="T165" s="22" t="s">
        <v>2225</v>
      </c>
      <c r="U165" s="116" t="s">
        <v>2217</v>
      </c>
      <c r="V165" s="22" t="s">
        <v>1816</v>
      </c>
      <c r="W165" s="169">
        <v>3</v>
      </c>
      <c r="X165" s="169">
        <v>3</v>
      </c>
      <c r="Y165" s="23" t="s">
        <v>120</v>
      </c>
      <c r="Z165" s="22"/>
      <c r="AA165" s="22"/>
      <c r="AB165" s="22"/>
      <c r="AC165" s="22"/>
      <c r="AD165" s="22"/>
      <c r="AE165" s="24"/>
      <c r="AF165" s="24" t="s">
        <v>2041</v>
      </c>
      <c r="AG165" s="22"/>
      <c r="AH165" s="23" t="s">
        <v>1788</v>
      </c>
      <c r="AJ165" s="26"/>
      <c r="AK165" s="27">
        <v>2900</v>
      </c>
      <c r="AL165" s="27"/>
      <c r="AO165" s="28" t="s">
        <v>2039</v>
      </c>
      <c r="AP165" s="23" t="s">
        <v>2036</v>
      </c>
      <c r="AQ165" s="23"/>
      <c r="AR165" s="23"/>
      <c r="AS165" s="23"/>
      <c r="AW165" s="27"/>
      <c r="AX165" s="27"/>
      <c r="AY165" s="27"/>
      <c r="BB165" s="28" t="s">
        <v>2039</v>
      </c>
      <c r="BC165" s="23" t="s">
        <v>2036</v>
      </c>
      <c r="BD165" s="23"/>
      <c r="BE165" s="23"/>
      <c r="BF165" s="23"/>
      <c r="BJ165" s="27"/>
      <c r="BK165" s="27"/>
      <c r="BL165" s="27"/>
      <c r="BO165" s="28" t="s">
        <v>2039</v>
      </c>
      <c r="BP165" s="23" t="s">
        <v>2036</v>
      </c>
      <c r="BQ165" s="23"/>
      <c r="BR165" s="23"/>
      <c r="BS165" s="23"/>
      <c r="BW165" s="27"/>
      <c r="BX165" s="27"/>
      <c r="BY165" s="27"/>
      <c r="CB165" s="28" t="s">
        <v>2039</v>
      </c>
      <c r="CC165" s="23" t="s">
        <v>2036</v>
      </c>
      <c r="CD165" s="23"/>
      <c r="CE165" s="23"/>
      <c r="CF165" s="23"/>
      <c r="CH165" s="29"/>
      <c r="CI165" s="23" t="s">
        <v>397</v>
      </c>
      <c r="CJ165" s="28">
        <v>92</v>
      </c>
      <c r="DD165" s="23" t="s">
        <v>3</v>
      </c>
    </row>
    <row r="166" spans="1:108" s="14" customFormat="1" ht="17.25" x14ac:dyDescent="0.3">
      <c r="A166" s="8"/>
      <c r="B166" s="8"/>
      <c r="C166" s="8">
        <f t="shared" si="2"/>
        <v>0</v>
      </c>
      <c r="D166" s="8"/>
      <c r="E166" s="9" t="s">
        <v>1764</v>
      </c>
      <c r="F166" s="9"/>
      <c r="G166" s="9"/>
      <c r="H166" s="9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1"/>
      <c r="Z166" s="10"/>
      <c r="AA166" s="10"/>
      <c r="AB166" s="10"/>
      <c r="AC166" s="10"/>
      <c r="AD166" s="10"/>
      <c r="AE166" s="12"/>
      <c r="AF166" s="24" t="s">
        <v>2041</v>
      </c>
      <c r="AG166" s="10"/>
      <c r="AH166" s="13"/>
      <c r="AI166" s="13"/>
      <c r="AJ166" s="13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3"/>
      <c r="AV166" s="13"/>
      <c r="AW166" s="13"/>
      <c r="AX166" s="31"/>
      <c r="AY166" s="31"/>
      <c r="AZ166" s="15"/>
      <c r="BA166" s="15"/>
      <c r="BB166" s="15"/>
      <c r="BC166" s="15"/>
      <c r="BD166" s="15"/>
      <c r="BE166" s="15"/>
      <c r="BF166" s="15"/>
      <c r="BG166" s="15"/>
      <c r="BH166" s="13"/>
      <c r="BI166" s="13"/>
      <c r="BJ166" s="13"/>
      <c r="BK166" s="31"/>
      <c r="BL166" s="31"/>
      <c r="BM166" s="15"/>
      <c r="BN166" s="15"/>
      <c r="BO166" s="15"/>
      <c r="BP166" s="15"/>
      <c r="BQ166" s="15"/>
      <c r="BR166" s="15"/>
      <c r="BS166" s="15"/>
      <c r="BT166" s="15"/>
      <c r="BU166" s="13"/>
      <c r="BV166" s="13"/>
      <c r="BW166" s="13"/>
      <c r="BX166" s="31"/>
      <c r="BY166" s="31"/>
      <c r="BZ166" s="15"/>
      <c r="CA166" s="15"/>
      <c r="CB166" s="15"/>
      <c r="CC166" s="15"/>
      <c r="CD166" s="15"/>
      <c r="CE166" s="15"/>
      <c r="CF166" s="15"/>
      <c r="CG166" s="15"/>
      <c r="CH166" s="10"/>
      <c r="CI166" s="8"/>
      <c r="CJ166" s="16"/>
      <c r="CK166" s="8"/>
      <c r="CT166" s="17"/>
      <c r="CU166" s="17"/>
      <c r="CV166" s="17"/>
      <c r="CW166" s="17"/>
      <c r="CX166" s="17"/>
      <c r="CY166" s="17"/>
      <c r="CZ166" s="17"/>
      <c r="DA166" s="17"/>
      <c r="DB166" s="17"/>
      <c r="DC166" s="15"/>
    </row>
    <row r="167" spans="1:108" x14ac:dyDescent="0.2">
      <c r="A167" s="18">
        <v>911</v>
      </c>
      <c r="B167" s="19">
        <v>1</v>
      </c>
      <c r="C167" s="19">
        <f t="shared" si="2"/>
        <v>9110001</v>
      </c>
      <c r="D167" s="19" t="str">
        <f t="shared" ref="D167" si="3">"화염 드래곤 하드 "&amp;B167&amp;"단계"</f>
        <v>화염 드래곤 하드 1단계</v>
      </c>
      <c r="E167" s="20" t="s">
        <v>270</v>
      </c>
      <c r="I167" s="21" t="s">
        <v>486</v>
      </c>
      <c r="J167" s="21"/>
      <c r="K167" s="21"/>
      <c r="L167" s="21"/>
      <c r="M167" s="21"/>
      <c r="N167" s="22" t="s">
        <v>1646</v>
      </c>
      <c r="O167" s="22" t="s">
        <v>856</v>
      </c>
      <c r="P167" s="22"/>
      <c r="Q167" s="22" t="s">
        <v>2041</v>
      </c>
      <c r="R167" s="22"/>
      <c r="S167" s="22"/>
      <c r="T167" s="22" t="s">
        <v>2226</v>
      </c>
      <c r="U167" s="116" t="s">
        <v>2227</v>
      </c>
      <c r="V167" s="22"/>
      <c r="W167" s="22" t="s">
        <v>6</v>
      </c>
      <c r="X167" s="22"/>
      <c r="Y167" s="23" t="s">
        <v>145</v>
      </c>
      <c r="Z167" s="22"/>
      <c r="AA167" s="22"/>
      <c r="AB167" s="22"/>
      <c r="AC167" s="22"/>
      <c r="AD167" s="22"/>
      <c r="AE167" s="24" t="s">
        <v>548</v>
      </c>
      <c r="AF167" s="24" t="s">
        <v>2041</v>
      </c>
      <c r="AG167" s="22"/>
      <c r="AH167" s="23">
        <v>911101</v>
      </c>
      <c r="AJ167" s="26"/>
      <c r="AK167" s="27">
        <v>10000</v>
      </c>
      <c r="AL167" s="27"/>
      <c r="AO167" s="28" t="s">
        <v>2055</v>
      </c>
      <c r="AW167" s="27"/>
      <c r="AX167" s="27"/>
      <c r="AY167" s="27"/>
      <c r="BJ167" s="27"/>
      <c r="BK167" s="27"/>
      <c r="BL167" s="27"/>
      <c r="BW167" s="27"/>
      <c r="BX167" s="27"/>
      <c r="BY167" s="27"/>
      <c r="CH167" s="29"/>
      <c r="CI167" s="23" t="s">
        <v>397</v>
      </c>
      <c r="CJ167" s="28">
        <v>60</v>
      </c>
    </row>
    <row r="168" spans="1:108" x14ac:dyDescent="0.2">
      <c r="A168" s="18">
        <v>911</v>
      </c>
      <c r="B168" s="19">
        <f>B167+1</f>
        <v>2</v>
      </c>
      <c r="C168" s="19">
        <f t="shared" si="2"/>
        <v>9110002</v>
      </c>
      <c r="D168" s="19" t="str">
        <f>"화염 드래곤 하드 "&amp;B168&amp;"단계"</f>
        <v>화염 드래곤 하드 2단계</v>
      </c>
      <c r="E168" s="20" t="s">
        <v>270</v>
      </c>
      <c r="I168" s="21" t="s">
        <v>486</v>
      </c>
      <c r="J168" s="21"/>
      <c r="K168" s="21"/>
      <c r="L168" s="21"/>
      <c r="M168" s="21"/>
      <c r="N168" s="22" t="s">
        <v>1649</v>
      </c>
      <c r="O168" s="22" t="s">
        <v>856</v>
      </c>
      <c r="P168" s="22"/>
      <c r="Q168" s="22" t="s">
        <v>2041</v>
      </c>
      <c r="R168" s="22"/>
      <c r="S168" s="22"/>
      <c r="T168" s="22" t="s">
        <v>2226</v>
      </c>
      <c r="U168" s="116" t="s">
        <v>2244</v>
      </c>
      <c r="V168" s="22"/>
      <c r="W168" s="22" t="s">
        <v>6</v>
      </c>
      <c r="X168" s="22"/>
      <c r="Y168" s="23" t="s">
        <v>145</v>
      </c>
      <c r="Z168" s="22"/>
      <c r="AA168" s="22"/>
      <c r="AB168" s="22"/>
      <c r="AC168" s="22"/>
      <c r="AD168" s="22"/>
      <c r="AE168" s="24" t="s">
        <v>548</v>
      </c>
      <c r="AF168" s="24" t="s">
        <v>2041</v>
      </c>
      <c r="AG168" s="22"/>
      <c r="AH168" s="23">
        <v>911102</v>
      </c>
      <c r="AJ168" s="26"/>
      <c r="AK168" s="27">
        <v>10000</v>
      </c>
      <c r="AL168" s="27"/>
      <c r="AO168" s="28" t="s">
        <v>2055</v>
      </c>
      <c r="AW168" s="27"/>
      <c r="AX168" s="27"/>
      <c r="AY168" s="27"/>
      <c r="BJ168" s="27"/>
      <c r="BK168" s="27"/>
      <c r="BL168" s="27"/>
      <c r="BW168" s="27"/>
      <c r="BX168" s="27"/>
      <c r="BY168" s="27"/>
      <c r="CH168" s="29"/>
      <c r="CI168" s="23" t="s">
        <v>397</v>
      </c>
      <c r="CJ168" s="28">
        <v>64</v>
      </c>
    </row>
    <row r="169" spans="1:108" x14ac:dyDescent="0.2">
      <c r="A169" s="18">
        <f>A168</f>
        <v>911</v>
      </c>
      <c r="B169" s="19">
        <f t="shared" ref="B169:B176" si="4">B168+1</f>
        <v>3</v>
      </c>
      <c r="C169" s="19">
        <f t="shared" si="2"/>
        <v>9110003</v>
      </c>
      <c r="D169" s="19" t="str">
        <f t="shared" ref="D169:D173" si="5">"화염 드래곤 하드 "&amp;B169&amp;"단계"</f>
        <v>화염 드래곤 하드 3단계</v>
      </c>
      <c r="E169" s="20" t="s">
        <v>270</v>
      </c>
      <c r="I169" s="21" t="s">
        <v>486</v>
      </c>
      <c r="J169" s="21"/>
      <c r="K169" s="21"/>
      <c r="L169" s="21"/>
      <c r="M169" s="21"/>
      <c r="N169" s="22" t="s">
        <v>1649</v>
      </c>
      <c r="O169" s="22" t="s">
        <v>856</v>
      </c>
      <c r="P169" s="22"/>
      <c r="Q169" s="22" t="s">
        <v>2041</v>
      </c>
      <c r="R169" s="22"/>
      <c r="S169" s="22"/>
      <c r="T169" s="22" t="s">
        <v>2226</v>
      </c>
      <c r="U169" s="116" t="s">
        <v>2243</v>
      </c>
      <c r="V169" s="22"/>
      <c r="W169" s="22" t="s">
        <v>6</v>
      </c>
      <c r="X169" s="22"/>
      <c r="Y169" s="23" t="s">
        <v>145</v>
      </c>
      <c r="Z169" s="22"/>
      <c r="AA169" s="22"/>
      <c r="AB169" s="22"/>
      <c r="AC169" s="22"/>
      <c r="AD169" s="22"/>
      <c r="AE169" s="24" t="s">
        <v>548</v>
      </c>
      <c r="AF169" s="24" t="s">
        <v>2041</v>
      </c>
      <c r="AG169" s="22"/>
      <c r="AH169" s="23">
        <v>911103</v>
      </c>
      <c r="AJ169" s="26"/>
      <c r="AK169" s="27">
        <v>10000</v>
      </c>
      <c r="AL169" s="27"/>
      <c r="AO169" s="28" t="s">
        <v>2055</v>
      </c>
      <c r="AW169" s="27"/>
      <c r="AX169" s="27"/>
      <c r="AY169" s="27"/>
      <c r="BJ169" s="27"/>
      <c r="BK169" s="27"/>
      <c r="BL169" s="27"/>
      <c r="BW169" s="27"/>
      <c r="BX169" s="27"/>
      <c r="BY169" s="27"/>
      <c r="CH169" s="29"/>
      <c r="CI169" s="23" t="s">
        <v>397</v>
      </c>
      <c r="CJ169" s="28">
        <v>68</v>
      </c>
    </row>
    <row r="170" spans="1:108" x14ac:dyDescent="0.2">
      <c r="A170" s="18">
        <f>A169</f>
        <v>911</v>
      </c>
      <c r="B170" s="19">
        <f t="shared" si="4"/>
        <v>4</v>
      </c>
      <c r="C170" s="19">
        <f t="shared" si="2"/>
        <v>9110004</v>
      </c>
      <c r="D170" s="19" t="str">
        <f t="shared" si="5"/>
        <v>화염 드래곤 하드 4단계</v>
      </c>
      <c r="E170" s="20" t="s">
        <v>270</v>
      </c>
      <c r="I170" s="21" t="s">
        <v>486</v>
      </c>
      <c r="J170" s="21"/>
      <c r="K170" s="21"/>
      <c r="L170" s="21"/>
      <c r="M170" s="21"/>
      <c r="N170" s="22" t="s">
        <v>1649</v>
      </c>
      <c r="O170" s="22" t="s">
        <v>856</v>
      </c>
      <c r="P170" s="22"/>
      <c r="Q170" s="22" t="s">
        <v>2041</v>
      </c>
      <c r="R170" s="22"/>
      <c r="S170" s="22"/>
      <c r="T170" s="22" t="s">
        <v>2226</v>
      </c>
      <c r="U170" s="116" t="s">
        <v>2228</v>
      </c>
      <c r="V170" s="22"/>
      <c r="W170" s="22" t="s">
        <v>6</v>
      </c>
      <c r="X170" s="22"/>
      <c r="Y170" s="23" t="s">
        <v>145</v>
      </c>
      <c r="Z170" s="22"/>
      <c r="AA170" s="22"/>
      <c r="AB170" s="22"/>
      <c r="AC170" s="22"/>
      <c r="AD170" s="22"/>
      <c r="AE170" s="24" t="s">
        <v>548</v>
      </c>
      <c r="AF170" s="24" t="s">
        <v>2041</v>
      </c>
      <c r="AG170" s="22"/>
      <c r="AH170" s="23">
        <v>911104</v>
      </c>
      <c r="AJ170" s="26"/>
      <c r="AK170" s="27">
        <v>10000</v>
      </c>
      <c r="AL170" s="27"/>
      <c r="AO170" s="28" t="s">
        <v>2055</v>
      </c>
      <c r="AW170" s="27"/>
      <c r="AX170" s="27"/>
      <c r="AY170" s="27"/>
      <c r="BJ170" s="27"/>
      <c r="BK170" s="27"/>
      <c r="BL170" s="27"/>
      <c r="BW170" s="27"/>
      <c r="BX170" s="27"/>
      <c r="BY170" s="27"/>
      <c r="CH170" s="29"/>
      <c r="CI170" s="23" t="s">
        <v>397</v>
      </c>
      <c r="CJ170" s="28">
        <v>72</v>
      </c>
    </row>
    <row r="171" spans="1:108" x14ac:dyDescent="0.2">
      <c r="A171" s="18">
        <f t="shared" ref="A171:A176" si="6">A170</f>
        <v>911</v>
      </c>
      <c r="B171" s="19">
        <f t="shared" si="4"/>
        <v>5</v>
      </c>
      <c r="C171" s="19">
        <f t="shared" si="2"/>
        <v>9110005</v>
      </c>
      <c r="D171" s="19" t="str">
        <f t="shared" si="5"/>
        <v>화염 드래곤 하드 5단계</v>
      </c>
      <c r="E171" s="20" t="s">
        <v>270</v>
      </c>
      <c r="I171" s="21" t="s">
        <v>486</v>
      </c>
      <c r="J171" s="21"/>
      <c r="K171" s="21"/>
      <c r="L171" s="21"/>
      <c r="M171" s="21"/>
      <c r="N171" s="22" t="s">
        <v>1649</v>
      </c>
      <c r="O171" s="22" t="s">
        <v>856</v>
      </c>
      <c r="P171" s="22"/>
      <c r="Q171" s="22" t="s">
        <v>2041</v>
      </c>
      <c r="R171" s="22"/>
      <c r="S171" s="22"/>
      <c r="T171" s="22" t="s">
        <v>2226</v>
      </c>
      <c r="U171" s="116" t="s">
        <v>2229</v>
      </c>
      <c r="V171" s="22"/>
      <c r="W171" s="22" t="s">
        <v>6</v>
      </c>
      <c r="X171" s="22"/>
      <c r="Y171" s="23" t="s">
        <v>145</v>
      </c>
      <c r="Z171" s="22"/>
      <c r="AA171" s="22"/>
      <c r="AB171" s="22"/>
      <c r="AC171" s="22"/>
      <c r="AD171" s="22"/>
      <c r="AE171" s="24" t="s">
        <v>548</v>
      </c>
      <c r="AF171" s="24" t="s">
        <v>2041</v>
      </c>
      <c r="AG171" s="22"/>
      <c r="AH171" s="23">
        <v>911105</v>
      </c>
      <c r="AJ171" s="26"/>
      <c r="AK171" s="27">
        <v>10000</v>
      </c>
      <c r="AL171" s="27"/>
      <c r="AO171" s="28" t="s">
        <v>2055</v>
      </c>
      <c r="AW171" s="27"/>
      <c r="AX171" s="27"/>
      <c r="AY171" s="27"/>
      <c r="BJ171" s="27"/>
      <c r="BK171" s="27"/>
      <c r="BL171" s="27"/>
      <c r="BW171" s="27"/>
      <c r="BX171" s="27"/>
      <c r="BY171" s="27"/>
      <c r="CH171" s="29"/>
      <c r="CI171" s="23" t="s">
        <v>397</v>
      </c>
      <c r="CJ171" s="28">
        <v>76</v>
      </c>
    </row>
    <row r="172" spans="1:108" x14ac:dyDescent="0.2">
      <c r="A172" s="18">
        <f t="shared" si="6"/>
        <v>911</v>
      </c>
      <c r="B172" s="19">
        <f t="shared" si="4"/>
        <v>6</v>
      </c>
      <c r="C172" s="19">
        <f t="shared" si="2"/>
        <v>9110006</v>
      </c>
      <c r="D172" s="19" t="str">
        <f t="shared" si="5"/>
        <v>화염 드래곤 하드 6단계</v>
      </c>
      <c r="E172" s="20" t="s">
        <v>270</v>
      </c>
      <c r="I172" s="21" t="s">
        <v>486</v>
      </c>
      <c r="J172" s="21"/>
      <c r="K172" s="21"/>
      <c r="L172" s="21"/>
      <c r="M172" s="21"/>
      <c r="N172" s="22" t="s">
        <v>1649</v>
      </c>
      <c r="O172" s="22" t="s">
        <v>856</v>
      </c>
      <c r="P172" s="22"/>
      <c r="Q172" s="22" t="s">
        <v>2041</v>
      </c>
      <c r="R172" s="22"/>
      <c r="S172" s="22"/>
      <c r="T172" s="22" t="s">
        <v>2226</v>
      </c>
      <c r="U172" s="116" t="s">
        <v>2230</v>
      </c>
      <c r="V172" s="22"/>
      <c r="W172" s="22" t="s">
        <v>6</v>
      </c>
      <c r="X172" s="22"/>
      <c r="Y172" s="23" t="s">
        <v>145</v>
      </c>
      <c r="Z172" s="22"/>
      <c r="AA172" s="22"/>
      <c r="AB172" s="22"/>
      <c r="AC172" s="22"/>
      <c r="AD172" s="22"/>
      <c r="AE172" s="24" t="s">
        <v>548</v>
      </c>
      <c r="AF172" s="24" t="s">
        <v>2041</v>
      </c>
      <c r="AG172" s="22"/>
      <c r="AH172" s="23">
        <v>911106</v>
      </c>
      <c r="AJ172" s="26"/>
      <c r="AK172" s="27">
        <v>10000</v>
      </c>
      <c r="AL172" s="27"/>
      <c r="AO172" s="28" t="s">
        <v>2055</v>
      </c>
      <c r="AW172" s="27"/>
      <c r="AX172" s="27"/>
      <c r="AY172" s="27"/>
      <c r="BJ172" s="27"/>
      <c r="BK172" s="27"/>
      <c r="BL172" s="27"/>
      <c r="BW172" s="27"/>
      <c r="BX172" s="27"/>
      <c r="BY172" s="27"/>
      <c r="CH172" s="29"/>
      <c r="CI172" s="23" t="s">
        <v>397</v>
      </c>
      <c r="CJ172" s="28">
        <v>80</v>
      </c>
    </row>
    <row r="173" spans="1:108" x14ac:dyDescent="0.2">
      <c r="A173" s="18">
        <f t="shared" si="6"/>
        <v>911</v>
      </c>
      <c r="B173" s="19">
        <f t="shared" si="4"/>
        <v>7</v>
      </c>
      <c r="C173" s="19">
        <f t="shared" si="2"/>
        <v>9110007</v>
      </c>
      <c r="D173" s="19" t="str">
        <f t="shared" si="5"/>
        <v>화염 드래곤 하드 7단계</v>
      </c>
      <c r="E173" s="20" t="s">
        <v>270</v>
      </c>
      <c r="I173" s="21" t="s">
        <v>486</v>
      </c>
      <c r="J173" s="21"/>
      <c r="K173" s="21"/>
      <c r="L173" s="21"/>
      <c r="M173" s="21"/>
      <c r="N173" s="22" t="s">
        <v>1649</v>
      </c>
      <c r="O173" s="22" t="s">
        <v>856</v>
      </c>
      <c r="P173" s="22"/>
      <c r="Q173" s="22" t="s">
        <v>2041</v>
      </c>
      <c r="R173" s="22"/>
      <c r="S173" s="22"/>
      <c r="T173" s="22" t="s">
        <v>2226</v>
      </c>
      <c r="U173" s="116" t="s">
        <v>2231</v>
      </c>
      <c r="V173" s="22"/>
      <c r="W173" s="22" t="s">
        <v>6</v>
      </c>
      <c r="X173" s="22"/>
      <c r="Y173" s="23" t="s">
        <v>145</v>
      </c>
      <c r="Z173" s="22"/>
      <c r="AA173" s="22"/>
      <c r="AB173" s="22"/>
      <c r="AC173" s="22"/>
      <c r="AD173" s="22"/>
      <c r="AE173" s="24" t="s">
        <v>548</v>
      </c>
      <c r="AF173" s="24" t="s">
        <v>2041</v>
      </c>
      <c r="AG173" s="22"/>
      <c r="AH173" s="23">
        <v>911107</v>
      </c>
      <c r="AJ173" s="26"/>
      <c r="AK173" s="27">
        <v>10000</v>
      </c>
      <c r="AL173" s="27"/>
      <c r="AO173" s="28" t="s">
        <v>2055</v>
      </c>
      <c r="AW173" s="27"/>
      <c r="AX173" s="27"/>
      <c r="AY173" s="27"/>
      <c r="BJ173" s="27"/>
      <c r="BK173" s="27"/>
      <c r="BL173" s="27"/>
      <c r="BW173" s="27"/>
      <c r="BX173" s="27"/>
      <c r="BY173" s="27"/>
      <c r="CH173" s="29"/>
      <c r="CI173" s="23" t="s">
        <v>397</v>
      </c>
      <c r="CJ173" s="28">
        <v>84</v>
      </c>
    </row>
    <row r="174" spans="1:108" x14ac:dyDescent="0.2">
      <c r="A174" s="18">
        <f t="shared" si="6"/>
        <v>911</v>
      </c>
      <c r="B174" s="19">
        <f t="shared" si="4"/>
        <v>8</v>
      </c>
      <c r="C174" s="19">
        <f t="shared" si="2"/>
        <v>9110008</v>
      </c>
      <c r="D174" s="19" t="str">
        <f t="shared" ref="D174:D176" si="7">"화염 드래곤 하드 "&amp;B174&amp;"단계"</f>
        <v>화염 드래곤 하드 8단계</v>
      </c>
      <c r="E174" s="20" t="s">
        <v>270</v>
      </c>
      <c r="I174" s="21" t="s">
        <v>486</v>
      </c>
      <c r="J174" s="21"/>
      <c r="K174" s="21"/>
      <c r="L174" s="21"/>
      <c r="M174" s="21"/>
      <c r="N174" s="22" t="s">
        <v>1646</v>
      </c>
      <c r="O174" s="22" t="s">
        <v>856</v>
      </c>
      <c r="P174" s="22"/>
      <c r="Q174" s="22" t="s">
        <v>2041</v>
      </c>
      <c r="R174" s="22"/>
      <c r="S174" s="22"/>
      <c r="T174" s="22" t="s">
        <v>2226</v>
      </c>
      <c r="U174" s="116" t="s">
        <v>2232</v>
      </c>
      <c r="V174" s="22"/>
      <c r="W174" s="22" t="s">
        <v>6</v>
      </c>
      <c r="X174" s="22"/>
      <c r="Y174" s="23" t="s">
        <v>145</v>
      </c>
      <c r="Z174" s="22"/>
      <c r="AA174" s="22"/>
      <c r="AB174" s="22"/>
      <c r="AC174" s="22"/>
      <c r="AD174" s="22"/>
      <c r="AE174" s="24" t="s">
        <v>548</v>
      </c>
      <c r="AF174" s="24" t="s">
        <v>2041</v>
      </c>
      <c r="AG174" s="22"/>
      <c r="AH174" s="23">
        <v>911108</v>
      </c>
      <c r="AJ174" s="26"/>
      <c r="AK174" s="27">
        <v>10000</v>
      </c>
      <c r="AL174" s="27"/>
      <c r="AO174" s="28" t="s">
        <v>2055</v>
      </c>
      <c r="AW174" s="27"/>
      <c r="AX174" s="27"/>
      <c r="AY174" s="27"/>
      <c r="BJ174" s="27"/>
      <c r="BK174" s="27"/>
      <c r="BL174" s="27"/>
      <c r="BW174" s="27"/>
      <c r="BX174" s="27"/>
      <c r="BY174" s="27"/>
      <c r="CH174" s="29"/>
      <c r="CI174" s="23" t="s">
        <v>397</v>
      </c>
      <c r="CJ174" s="28">
        <v>88</v>
      </c>
    </row>
    <row r="175" spans="1:108" x14ac:dyDescent="0.2">
      <c r="A175" s="18">
        <f t="shared" si="6"/>
        <v>911</v>
      </c>
      <c r="B175" s="19">
        <f t="shared" si="4"/>
        <v>9</v>
      </c>
      <c r="C175" s="19">
        <f t="shared" si="2"/>
        <v>9110009</v>
      </c>
      <c r="D175" s="19" t="str">
        <f t="shared" si="7"/>
        <v>화염 드래곤 하드 9단계</v>
      </c>
      <c r="E175" s="20" t="s">
        <v>270</v>
      </c>
      <c r="I175" s="21" t="s">
        <v>486</v>
      </c>
      <c r="J175" s="21"/>
      <c r="K175" s="21"/>
      <c r="L175" s="21"/>
      <c r="M175" s="21"/>
      <c r="N175" s="22" t="s">
        <v>1646</v>
      </c>
      <c r="O175" s="22" t="s">
        <v>856</v>
      </c>
      <c r="P175" s="22"/>
      <c r="Q175" s="22" t="s">
        <v>2041</v>
      </c>
      <c r="R175" s="22"/>
      <c r="S175" s="22"/>
      <c r="T175" s="22" t="s">
        <v>2226</v>
      </c>
      <c r="U175" s="116" t="s">
        <v>2233</v>
      </c>
      <c r="V175" s="22"/>
      <c r="W175" s="22" t="s">
        <v>6</v>
      </c>
      <c r="X175" s="22"/>
      <c r="Y175" s="23" t="s">
        <v>145</v>
      </c>
      <c r="Z175" s="22"/>
      <c r="AA175" s="22"/>
      <c r="AB175" s="22"/>
      <c r="AC175" s="22"/>
      <c r="AD175" s="22"/>
      <c r="AE175" s="24" t="s">
        <v>548</v>
      </c>
      <c r="AF175" s="24" t="s">
        <v>2041</v>
      </c>
      <c r="AG175" s="22"/>
      <c r="AH175" s="23">
        <v>911109</v>
      </c>
      <c r="AJ175" s="26"/>
      <c r="AK175" s="27">
        <v>10000</v>
      </c>
      <c r="AL175" s="27"/>
      <c r="AO175" s="28" t="s">
        <v>2055</v>
      </c>
      <c r="AW175" s="27"/>
      <c r="AX175" s="27"/>
      <c r="AY175" s="27"/>
      <c r="BJ175" s="27"/>
      <c r="BK175" s="27"/>
      <c r="BL175" s="27"/>
      <c r="BW175" s="27"/>
      <c r="BX175" s="27"/>
      <c r="BY175" s="27"/>
      <c r="CH175" s="29"/>
      <c r="CI175" s="23" t="s">
        <v>397</v>
      </c>
      <c r="CJ175" s="28">
        <v>92</v>
      </c>
    </row>
    <row r="176" spans="1:108" x14ac:dyDescent="0.2">
      <c r="A176" s="18">
        <f t="shared" si="6"/>
        <v>911</v>
      </c>
      <c r="B176" s="19">
        <f t="shared" si="4"/>
        <v>10</v>
      </c>
      <c r="C176" s="19">
        <f t="shared" si="2"/>
        <v>9110010</v>
      </c>
      <c r="D176" s="19" t="str">
        <f t="shared" si="7"/>
        <v>화염 드래곤 하드 10단계</v>
      </c>
      <c r="E176" s="20" t="s">
        <v>270</v>
      </c>
      <c r="I176" s="21" t="s">
        <v>486</v>
      </c>
      <c r="J176" s="21"/>
      <c r="K176" s="21"/>
      <c r="L176" s="21"/>
      <c r="M176" s="21"/>
      <c r="N176" s="22" t="s">
        <v>1646</v>
      </c>
      <c r="O176" s="22" t="s">
        <v>856</v>
      </c>
      <c r="P176" s="22"/>
      <c r="Q176" s="22" t="s">
        <v>2041</v>
      </c>
      <c r="R176" s="22"/>
      <c r="S176" s="22"/>
      <c r="T176" s="22" t="s">
        <v>2226</v>
      </c>
      <c r="U176" s="116" t="s">
        <v>2234</v>
      </c>
      <c r="V176" s="22"/>
      <c r="W176" s="22" t="s">
        <v>6</v>
      </c>
      <c r="X176" s="22"/>
      <c r="Y176" s="23" t="s">
        <v>145</v>
      </c>
      <c r="Z176" s="22"/>
      <c r="AA176" s="22"/>
      <c r="AB176" s="22"/>
      <c r="AC176" s="22"/>
      <c r="AD176" s="22"/>
      <c r="AE176" s="24" t="s">
        <v>548</v>
      </c>
      <c r="AF176" s="24" t="s">
        <v>2041</v>
      </c>
      <c r="AG176" s="22"/>
      <c r="AH176" s="23">
        <v>911110</v>
      </c>
      <c r="AJ176" s="26"/>
      <c r="AK176" s="27">
        <v>10000</v>
      </c>
      <c r="AL176" s="27"/>
      <c r="AO176" s="28" t="s">
        <v>2055</v>
      </c>
      <c r="AW176" s="27"/>
      <c r="AX176" s="27"/>
      <c r="AY176" s="27"/>
      <c r="BJ176" s="27"/>
      <c r="BK176" s="27"/>
      <c r="BL176" s="27"/>
      <c r="BW176" s="27"/>
      <c r="BX176" s="27"/>
      <c r="BY176" s="27"/>
      <c r="CH176" s="29"/>
      <c r="CI176" s="23" t="s">
        <v>397</v>
      </c>
      <c r="CJ176" s="28">
        <v>96</v>
      </c>
    </row>
    <row r="177" spans="1:88" x14ac:dyDescent="0.2">
      <c r="A177" s="18">
        <v>912</v>
      </c>
      <c r="B177" s="19">
        <v>1</v>
      </c>
      <c r="C177" s="19">
        <f t="shared" si="2"/>
        <v>9120001</v>
      </c>
      <c r="D177" s="19" t="str">
        <f>"서리 드래곤 하드 "&amp;B177&amp;"단계"</f>
        <v>서리 드래곤 하드 1단계</v>
      </c>
      <c r="E177" s="20" t="s">
        <v>653</v>
      </c>
      <c r="I177" s="21" t="s">
        <v>486</v>
      </c>
      <c r="J177" s="21"/>
      <c r="K177" s="21"/>
      <c r="L177" s="21"/>
      <c r="M177" s="21"/>
      <c r="N177" s="22" t="s">
        <v>1646</v>
      </c>
      <c r="O177" s="22" t="s">
        <v>857</v>
      </c>
      <c r="P177" s="22"/>
      <c r="Q177" s="22" t="s">
        <v>2041</v>
      </c>
      <c r="R177" s="22"/>
      <c r="S177" s="22"/>
      <c r="T177" s="22" t="s">
        <v>2226</v>
      </c>
      <c r="U177" s="116" t="s">
        <v>2245</v>
      </c>
      <c r="V177" s="22"/>
      <c r="W177" s="22" t="s">
        <v>6</v>
      </c>
      <c r="X177" s="22"/>
      <c r="Y177" s="23" t="s">
        <v>6</v>
      </c>
      <c r="Z177" s="22"/>
      <c r="AA177" s="22"/>
      <c r="AB177" s="22"/>
      <c r="AC177" s="22"/>
      <c r="AD177" s="22"/>
      <c r="AE177" s="24" t="s">
        <v>548</v>
      </c>
      <c r="AF177" s="24" t="s">
        <v>2041</v>
      </c>
      <c r="AG177" s="22"/>
      <c r="AH177" s="23">
        <v>912101</v>
      </c>
      <c r="AJ177" s="26"/>
      <c r="AK177" s="27">
        <v>10000</v>
      </c>
      <c r="AL177" s="27"/>
      <c r="AO177" s="28" t="s">
        <v>2056</v>
      </c>
      <c r="AW177" s="27"/>
      <c r="AX177" s="27"/>
      <c r="AY177" s="27"/>
      <c r="BJ177" s="27"/>
      <c r="BK177" s="27"/>
      <c r="BL177" s="27"/>
      <c r="BW177" s="27"/>
      <c r="BX177" s="27"/>
      <c r="BY177" s="27"/>
      <c r="CH177" s="29"/>
      <c r="CI177" s="23" t="s">
        <v>397</v>
      </c>
      <c r="CJ177" s="28">
        <v>60</v>
      </c>
    </row>
    <row r="178" spans="1:88" x14ac:dyDescent="0.2">
      <c r="A178" s="18">
        <v>912</v>
      </c>
      <c r="B178" s="19">
        <f>B177+1</f>
        <v>2</v>
      </c>
      <c r="C178" s="19">
        <f t="shared" si="2"/>
        <v>9120002</v>
      </c>
      <c r="D178" s="19" t="str">
        <f t="shared" ref="D178:D183" si="8">"서리 드래곤 하드 "&amp;B178&amp;"단계"</f>
        <v>서리 드래곤 하드 2단계</v>
      </c>
      <c r="E178" s="20" t="s">
        <v>653</v>
      </c>
      <c r="I178" s="21" t="s">
        <v>486</v>
      </c>
      <c r="J178" s="21"/>
      <c r="K178" s="21"/>
      <c r="L178" s="21"/>
      <c r="M178" s="21"/>
      <c r="N178" s="22" t="s">
        <v>1649</v>
      </c>
      <c r="O178" s="22" t="s">
        <v>857</v>
      </c>
      <c r="P178" s="22"/>
      <c r="Q178" s="22" t="s">
        <v>2041</v>
      </c>
      <c r="R178" s="22"/>
      <c r="S178" s="22"/>
      <c r="T178" s="22" t="s">
        <v>2226</v>
      </c>
      <c r="U178" s="116" t="s">
        <v>2246</v>
      </c>
      <c r="V178" s="22"/>
      <c r="W178" s="22" t="s">
        <v>6</v>
      </c>
      <c r="X178" s="22"/>
      <c r="Y178" s="23" t="s">
        <v>145</v>
      </c>
      <c r="Z178" s="22"/>
      <c r="AA178" s="22"/>
      <c r="AB178" s="22"/>
      <c r="AC178" s="22"/>
      <c r="AD178" s="22"/>
      <c r="AE178" s="24" t="s">
        <v>548</v>
      </c>
      <c r="AF178" s="24" t="s">
        <v>2041</v>
      </c>
      <c r="AG178" s="22"/>
      <c r="AH178" s="23">
        <v>912102</v>
      </c>
      <c r="AJ178" s="26"/>
      <c r="AK178" s="27">
        <v>10000</v>
      </c>
      <c r="AL178" s="27"/>
      <c r="AO178" s="28" t="s">
        <v>2056</v>
      </c>
      <c r="AW178" s="27"/>
      <c r="AX178" s="27"/>
      <c r="AY178" s="27"/>
      <c r="BJ178" s="27"/>
      <c r="BK178" s="27"/>
      <c r="BL178" s="27"/>
      <c r="BW178" s="27"/>
      <c r="BX178" s="27"/>
      <c r="BY178" s="27"/>
      <c r="CH178" s="29"/>
      <c r="CI178" s="23" t="s">
        <v>397</v>
      </c>
      <c r="CJ178" s="28">
        <v>64</v>
      </c>
    </row>
    <row r="179" spans="1:88" x14ac:dyDescent="0.2">
      <c r="A179" s="18">
        <f>A178</f>
        <v>912</v>
      </c>
      <c r="B179" s="19">
        <f t="shared" ref="B179:B186" si="9">B178+1</f>
        <v>3</v>
      </c>
      <c r="C179" s="19">
        <f t="shared" si="2"/>
        <v>9120003</v>
      </c>
      <c r="D179" s="19" t="str">
        <f t="shared" si="8"/>
        <v>서리 드래곤 하드 3단계</v>
      </c>
      <c r="E179" s="20" t="s">
        <v>653</v>
      </c>
      <c r="I179" s="21" t="s">
        <v>486</v>
      </c>
      <c r="J179" s="21"/>
      <c r="K179" s="21"/>
      <c r="L179" s="21"/>
      <c r="M179" s="21"/>
      <c r="N179" s="22" t="s">
        <v>1649</v>
      </c>
      <c r="O179" s="22" t="s">
        <v>857</v>
      </c>
      <c r="P179" s="22"/>
      <c r="Q179" s="22" t="s">
        <v>2041</v>
      </c>
      <c r="R179" s="22"/>
      <c r="S179" s="22"/>
      <c r="T179" s="22" t="s">
        <v>2226</v>
      </c>
      <c r="U179" s="116" t="s">
        <v>2235</v>
      </c>
      <c r="V179" s="22"/>
      <c r="W179" s="22" t="s">
        <v>6</v>
      </c>
      <c r="X179" s="22"/>
      <c r="Y179" s="23" t="s">
        <v>145</v>
      </c>
      <c r="Z179" s="22"/>
      <c r="AA179" s="22"/>
      <c r="AB179" s="22"/>
      <c r="AC179" s="22"/>
      <c r="AD179" s="22"/>
      <c r="AE179" s="24" t="s">
        <v>548</v>
      </c>
      <c r="AF179" s="24" t="s">
        <v>2041</v>
      </c>
      <c r="AG179" s="22"/>
      <c r="AH179" s="23">
        <v>912103</v>
      </c>
      <c r="AJ179" s="26"/>
      <c r="AK179" s="27">
        <v>10000</v>
      </c>
      <c r="AL179" s="27"/>
      <c r="AO179" s="28" t="s">
        <v>2056</v>
      </c>
      <c r="AW179" s="27"/>
      <c r="AX179" s="27"/>
      <c r="AY179" s="27"/>
      <c r="BJ179" s="27"/>
      <c r="BK179" s="27"/>
      <c r="BL179" s="27"/>
      <c r="BW179" s="27"/>
      <c r="BX179" s="27"/>
      <c r="BY179" s="27"/>
      <c r="CH179" s="29"/>
      <c r="CI179" s="23" t="s">
        <v>397</v>
      </c>
      <c r="CJ179" s="28">
        <v>68</v>
      </c>
    </row>
    <row r="180" spans="1:88" x14ac:dyDescent="0.2">
      <c r="A180" s="18">
        <f>A179</f>
        <v>912</v>
      </c>
      <c r="B180" s="19">
        <f t="shared" si="9"/>
        <v>4</v>
      </c>
      <c r="C180" s="19">
        <f t="shared" si="2"/>
        <v>9120004</v>
      </c>
      <c r="D180" s="19" t="str">
        <f t="shared" si="8"/>
        <v>서리 드래곤 하드 4단계</v>
      </c>
      <c r="E180" s="20" t="s">
        <v>653</v>
      </c>
      <c r="I180" s="21" t="s">
        <v>486</v>
      </c>
      <c r="J180" s="21"/>
      <c r="K180" s="21"/>
      <c r="L180" s="21"/>
      <c r="M180" s="21"/>
      <c r="N180" s="22" t="s">
        <v>1649</v>
      </c>
      <c r="O180" s="22" t="s">
        <v>857</v>
      </c>
      <c r="P180" s="22"/>
      <c r="Q180" s="22" t="s">
        <v>2041</v>
      </c>
      <c r="R180" s="22"/>
      <c r="S180" s="22"/>
      <c r="T180" s="22" t="s">
        <v>2226</v>
      </c>
      <c r="U180" s="116" t="s">
        <v>2236</v>
      </c>
      <c r="V180" s="22"/>
      <c r="W180" s="22" t="s">
        <v>6</v>
      </c>
      <c r="X180" s="22"/>
      <c r="Y180" s="23" t="s">
        <v>145</v>
      </c>
      <c r="Z180" s="22"/>
      <c r="AA180" s="22"/>
      <c r="AB180" s="22"/>
      <c r="AC180" s="22"/>
      <c r="AD180" s="22"/>
      <c r="AE180" s="24" t="s">
        <v>548</v>
      </c>
      <c r="AF180" s="24" t="s">
        <v>2041</v>
      </c>
      <c r="AG180" s="22"/>
      <c r="AH180" s="23">
        <v>912104</v>
      </c>
      <c r="AJ180" s="26"/>
      <c r="AK180" s="27">
        <v>10000</v>
      </c>
      <c r="AL180" s="27"/>
      <c r="AO180" s="28" t="s">
        <v>2056</v>
      </c>
      <c r="AW180" s="27"/>
      <c r="AX180" s="27"/>
      <c r="AY180" s="27"/>
      <c r="BJ180" s="27"/>
      <c r="BK180" s="27"/>
      <c r="BL180" s="27"/>
      <c r="BW180" s="27"/>
      <c r="BX180" s="27"/>
      <c r="BY180" s="27"/>
      <c r="CH180" s="29"/>
      <c r="CI180" s="23" t="s">
        <v>397</v>
      </c>
      <c r="CJ180" s="28">
        <v>72</v>
      </c>
    </row>
    <row r="181" spans="1:88" x14ac:dyDescent="0.2">
      <c r="A181" s="18">
        <f t="shared" ref="A181:A186" si="10">A180</f>
        <v>912</v>
      </c>
      <c r="B181" s="19">
        <f t="shared" si="9"/>
        <v>5</v>
      </c>
      <c r="C181" s="19">
        <f t="shared" si="2"/>
        <v>9120005</v>
      </c>
      <c r="D181" s="19" t="str">
        <f t="shared" si="8"/>
        <v>서리 드래곤 하드 5단계</v>
      </c>
      <c r="E181" s="20" t="s">
        <v>653</v>
      </c>
      <c r="I181" s="21" t="s">
        <v>486</v>
      </c>
      <c r="J181" s="21"/>
      <c r="K181" s="21"/>
      <c r="L181" s="21"/>
      <c r="M181" s="21"/>
      <c r="N181" s="22" t="s">
        <v>1649</v>
      </c>
      <c r="O181" s="22" t="s">
        <v>857</v>
      </c>
      <c r="P181" s="22"/>
      <c r="Q181" s="22" t="s">
        <v>2041</v>
      </c>
      <c r="R181" s="22"/>
      <c r="S181" s="22"/>
      <c r="T181" s="22" t="s">
        <v>2226</v>
      </c>
      <c r="U181" s="116" t="s">
        <v>2237</v>
      </c>
      <c r="V181" s="22"/>
      <c r="W181" s="22" t="s">
        <v>6</v>
      </c>
      <c r="X181" s="22"/>
      <c r="Y181" s="23" t="s">
        <v>145</v>
      </c>
      <c r="Z181" s="22"/>
      <c r="AA181" s="22"/>
      <c r="AB181" s="22"/>
      <c r="AC181" s="22"/>
      <c r="AD181" s="22"/>
      <c r="AE181" s="24" t="s">
        <v>548</v>
      </c>
      <c r="AF181" s="24" t="s">
        <v>2041</v>
      </c>
      <c r="AG181" s="22"/>
      <c r="AH181" s="23">
        <v>912105</v>
      </c>
      <c r="AJ181" s="26"/>
      <c r="AK181" s="27">
        <v>10000</v>
      </c>
      <c r="AL181" s="27"/>
      <c r="AO181" s="28" t="s">
        <v>2056</v>
      </c>
      <c r="AW181" s="27"/>
      <c r="AX181" s="27"/>
      <c r="AY181" s="27"/>
      <c r="BJ181" s="27"/>
      <c r="BK181" s="27"/>
      <c r="BL181" s="27"/>
      <c r="BW181" s="27"/>
      <c r="BX181" s="27"/>
      <c r="BY181" s="27"/>
      <c r="CH181" s="29"/>
      <c r="CI181" s="23" t="s">
        <v>397</v>
      </c>
      <c r="CJ181" s="28">
        <v>76</v>
      </c>
    </row>
    <row r="182" spans="1:88" x14ac:dyDescent="0.2">
      <c r="A182" s="18">
        <f t="shared" si="10"/>
        <v>912</v>
      </c>
      <c r="B182" s="19">
        <f t="shared" si="9"/>
        <v>6</v>
      </c>
      <c r="C182" s="19">
        <f t="shared" si="2"/>
        <v>9120006</v>
      </c>
      <c r="D182" s="19" t="str">
        <f t="shared" si="8"/>
        <v>서리 드래곤 하드 6단계</v>
      </c>
      <c r="E182" s="20" t="s">
        <v>653</v>
      </c>
      <c r="I182" s="21" t="s">
        <v>486</v>
      </c>
      <c r="J182" s="21"/>
      <c r="K182" s="21"/>
      <c r="L182" s="21"/>
      <c r="M182" s="21"/>
      <c r="N182" s="22" t="s">
        <v>1649</v>
      </c>
      <c r="O182" s="22" t="s">
        <v>857</v>
      </c>
      <c r="P182" s="22"/>
      <c r="Q182" s="22" t="s">
        <v>2041</v>
      </c>
      <c r="R182" s="22"/>
      <c r="S182" s="22"/>
      <c r="T182" s="22" t="s">
        <v>2226</v>
      </c>
      <c r="U182" s="116" t="s">
        <v>2238</v>
      </c>
      <c r="V182" s="22"/>
      <c r="W182" s="22" t="s">
        <v>6</v>
      </c>
      <c r="X182" s="22"/>
      <c r="Y182" s="23" t="s">
        <v>145</v>
      </c>
      <c r="Z182" s="22"/>
      <c r="AA182" s="22"/>
      <c r="AB182" s="22"/>
      <c r="AC182" s="22"/>
      <c r="AD182" s="22"/>
      <c r="AE182" s="24" t="s">
        <v>548</v>
      </c>
      <c r="AF182" s="24" t="s">
        <v>2041</v>
      </c>
      <c r="AG182" s="22"/>
      <c r="AH182" s="23">
        <v>912106</v>
      </c>
      <c r="AJ182" s="26"/>
      <c r="AK182" s="27">
        <v>10000</v>
      </c>
      <c r="AL182" s="27"/>
      <c r="AO182" s="28" t="s">
        <v>2056</v>
      </c>
      <c r="AW182" s="27"/>
      <c r="AX182" s="27"/>
      <c r="AY182" s="27"/>
      <c r="BJ182" s="27"/>
      <c r="BK182" s="27"/>
      <c r="BL182" s="27"/>
      <c r="BW182" s="27"/>
      <c r="BX182" s="27"/>
      <c r="BY182" s="27"/>
      <c r="CH182" s="29"/>
      <c r="CI182" s="23" t="s">
        <v>397</v>
      </c>
      <c r="CJ182" s="28">
        <v>80</v>
      </c>
    </row>
    <row r="183" spans="1:88" x14ac:dyDescent="0.2">
      <c r="A183" s="18">
        <f t="shared" si="10"/>
        <v>912</v>
      </c>
      <c r="B183" s="19">
        <f t="shared" si="9"/>
        <v>7</v>
      </c>
      <c r="C183" s="19">
        <f t="shared" si="2"/>
        <v>9120007</v>
      </c>
      <c r="D183" s="19" t="str">
        <f t="shared" si="8"/>
        <v>서리 드래곤 하드 7단계</v>
      </c>
      <c r="E183" s="20" t="s">
        <v>653</v>
      </c>
      <c r="I183" s="21" t="s">
        <v>486</v>
      </c>
      <c r="J183" s="21"/>
      <c r="K183" s="21"/>
      <c r="L183" s="21"/>
      <c r="M183" s="21"/>
      <c r="N183" s="22" t="s">
        <v>1649</v>
      </c>
      <c r="O183" s="22" t="s">
        <v>857</v>
      </c>
      <c r="P183" s="22"/>
      <c r="Q183" s="22" t="s">
        <v>2041</v>
      </c>
      <c r="R183" s="22"/>
      <c r="S183" s="22"/>
      <c r="T183" s="22" t="s">
        <v>2226</v>
      </c>
      <c r="U183" s="116" t="s">
        <v>2239</v>
      </c>
      <c r="V183" s="22"/>
      <c r="W183" s="22" t="s">
        <v>6</v>
      </c>
      <c r="X183" s="22"/>
      <c r="Y183" s="23" t="s">
        <v>145</v>
      </c>
      <c r="Z183" s="22"/>
      <c r="AA183" s="22"/>
      <c r="AB183" s="22"/>
      <c r="AC183" s="22"/>
      <c r="AD183" s="22"/>
      <c r="AE183" s="24" t="s">
        <v>548</v>
      </c>
      <c r="AF183" s="24" t="s">
        <v>2041</v>
      </c>
      <c r="AG183" s="22"/>
      <c r="AH183" s="23">
        <v>912107</v>
      </c>
      <c r="AJ183" s="26"/>
      <c r="AK183" s="27">
        <v>10000</v>
      </c>
      <c r="AL183" s="27"/>
      <c r="AO183" s="28" t="s">
        <v>2056</v>
      </c>
      <c r="AW183" s="27"/>
      <c r="AX183" s="27"/>
      <c r="AY183" s="27"/>
      <c r="BJ183" s="27"/>
      <c r="BK183" s="27"/>
      <c r="BL183" s="27"/>
      <c r="BW183" s="27"/>
      <c r="BX183" s="27"/>
      <c r="BY183" s="27"/>
      <c r="CH183" s="29"/>
      <c r="CI183" s="23" t="s">
        <v>397</v>
      </c>
      <c r="CJ183" s="28">
        <v>84</v>
      </c>
    </row>
    <row r="184" spans="1:88" x14ac:dyDescent="0.2">
      <c r="A184" s="18">
        <f t="shared" si="10"/>
        <v>912</v>
      </c>
      <c r="B184" s="19">
        <f t="shared" si="9"/>
        <v>8</v>
      </c>
      <c r="C184" s="19">
        <f t="shared" si="2"/>
        <v>9120008</v>
      </c>
      <c r="D184" s="19" t="str">
        <f t="shared" ref="D184:D186" si="11">"서리 드래곤 하드 "&amp;B184&amp;"단계"</f>
        <v>서리 드래곤 하드 8단계</v>
      </c>
      <c r="E184" s="20" t="s">
        <v>653</v>
      </c>
      <c r="I184" s="21" t="s">
        <v>486</v>
      </c>
      <c r="J184" s="21"/>
      <c r="K184" s="21"/>
      <c r="L184" s="21"/>
      <c r="M184" s="21"/>
      <c r="N184" s="22" t="s">
        <v>1646</v>
      </c>
      <c r="O184" s="22" t="s">
        <v>857</v>
      </c>
      <c r="P184" s="22"/>
      <c r="Q184" s="22" t="s">
        <v>2041</v>
      </c>
      <c r="R184" s="22"/>
      <c r="S184" s="22"/>
      <c r="T184" s="22" t="s">
        <v>2226</v>
      </c>
      <c r="U184" s="116" t="s">
        <v>2240</v>
      </c>
      <c r="V184" s="22"/>
      <c r="W184" s="22" t="s">
        <v>6</v>
      </c>
      <c r="X184" s="22"/>
      <c r="Y184" s="23" t="s">
        <v>145</v>
      </c>
      <c r="Z184" s="22"/>
      <c r="AA184" s="22"/>
      <c r="AB184" s="22"/>
      <c r="AC184" s="22"/>
      <c r="AD184" s="22"/>
      <c r="AE184" s="24" t="s">
        <v>548</v>
      </c>
      <c r="AF184" s="24" t="s">
        <v>2041</v>
      </c>
      <c r="AG184" s="22"/>
      <c r="AH184" s="23">
        <v>912108</v>
      </c>
      <c r="AJ184" s="26"/>
      <c r="AK184" s="27">
        <v>10000</v>
      </c>
      <c r="AL184" s="27"/>
      <c r="AO184" s="28" t="s">
        <v>2056</v>
      </c>
      <c r="AW184" s="27"/>
      <c r="AX184" s="27"/>
      <c r="AY184" s="27"/>
      <c r="BJ184" s="27"/>
      <c r="BK184" s="27"/>
      <c r="BL184" s="27"/>
      <c r="BW184" s="27"/>
      <c r="BX184" s="27"/>
      <c r="BY184" s="27"/>
      <c r="CH184" s="29"/>
      <c r="CI184" s="23" t="s">
        <v>397</v>
      </c>
      <c r="CJ184" s="28">
        <v>88</v>
      </c>
    </row>
    <row r="185" spans="1:88" x14ac:dyDescent="0.2">
      <c r="A185" s="18">
        <f t="shared" si="10"/>
        <v>912</v>
      </c>
      <c r="B185" s="19">
        <f t="shared" si="9"/>
        <v>9</v>
      </c>
      <c r="C185" s="19">
        <f t="shared" si="2"/>
        <v>9120009</v>
      </c>
      <c r="D185" s="19" t="str">
        <f t="shared" si="11"/>
        <v>서리 드래곤 하드 9단계</v>
      </c>
      <c r="E185" s="20" t="s">
        <v>653</v>
      </c>
      <c r="I185" s="21" t="s">
        <v>486</v>
      </c>
      <c r="J185" s="21"/>
      <c r="K185" s="21"/>
      <c r="L185" s="21"/>
      <c r="M185" s="21"/>
      <c r="N185" s="22" t="s">
        <v>1646</v>
      </c>
      <c r="O185" s="22" t="s">
        <v>857</v>
      </c>
      <c r="P185" s="22"/>
      <c r="Q185" s="22" t="s">
        <v>2041</v>
      </c>
      <c r="R185" s="22"/>
      <c r="S185" s="22"/>
      <c r="T185" s="22" t="s">
        <v>2226</v>
      </c>
      <c r="U185" s="116" t="s">
        <v>2241</v>
      </c>
      <c r="V185" s="22"/>
      <c r="W185" s="22" t="s">
        <v>6</v>
      </c>
      <c r="X185" s="22"/>
      <c r="Y185" s="23" t="s">
        <v>145</v>
      </c>
      <c r="Z185" s="22"/>
      <c r="AA185" s="22"/>
      <c r="AB185" s="22"/>
      <c r="AC185" s="22"/>
      <c r="AD185" s="22"/>
      <c r="AE185" s="24" t="s">
        <v>548</v>
      </c>
      <c r="AF185" s="24" t="s">
        <v>2041</v>
      </c>
      <c r="AG185" s="22"/>
      <c r="AH185" s="23">
        <v>912109</v>
      </c>
      <c r="AJ185" s="26"/>
      <c r="AK185" s="27">
        <v>10000</v>
      </c>
      <c r="AL185" s="27"/>
      <c r="AO185" s="28" t="s">
        <v>2056</v>
      </c>
      <c r="AW185" s="27"/>
      <c r="AX185" s="27"/>
      <c r="AY185" s="27"/>
      <c r="BJ185" s="27"/>
      <c r="BK185" s="27"/>
      <c r="BL185" s="27"/>
      <c r="BW185" s="27"/>
      <c r="BX185" s="27"/>
      <c r="BY185" s="27"/>
      <c r="CH185" s="29"/>
      <c r="CI185" s="23" t="s">
        <v>397</v>
      </c>
      <c r="CJ185" s="28">
        <v>92</v>
      </c>
    </row>
    <row r="186" spans="1:88" x14ac:dyDescent="0.2">
      <c r="A186" s="18">
        <f t="shared" si="10"/>
        <v>912</v>
      </c>
      <c r="B186" s="19">
        <f t="shared" si="9"/>
        <v>10</v>
      </c>
      <c r="C186" s="19">
        <f t="shared" si="2"/>
        <v>9120010</v>
      </c>
      <c r="D186" s="19" t="str">
        <f t="shared" si="11"/>
        <v>서리 드래곤 하드 10단계</v>
      </c>
      <c r="E186" s="20" t="s">
        <v>653</v>
      </c>
      <c r="I186" s="21" t="s">
        <v>486</v>
      </c>
      <c r="J186" s="21"/>
      <c r="K186" s="21"/>
      <c r="L186" s="21"/>
      <c r="M186" s="21"/>
      <c r="N186" s="22" t="s">
        <v>1646</v>
      </c>
      <c r="O186" s="22" t="s">
        <v>857</v>
      </c>
      <c r="P186" s="22"/>
      <c r="Q186" s="22" t="s">
        <v>2041</v>
      </c>
      <c r="R186" s="22"/>
      <c r="S186" s="22"/>
      <c r="T186" s="22" t="s">
        <v>2226</v>
      </c>
      <c r="U186" s="116" t="s">
        <v>2242</v>
      </c>
      <c r="V186" s="22"/>
      <c r="W186" s="22" t="s">
        <v>6</v>
      </c>
      <c r="X186" s="22"/>
      <c r="Y186" s="23" t="s">
        <v>145</v>
      </c>
      <c r="Z186" s="22"/>
      <c r="AA186" s="22"/>
      <c r="AB186" s="22"/>
      <c r="AC186" s="22"/>
      <c r="AD186" s="22"/>
      <c r="AE186" s="24" t="s">
        <v>548</v>
      </c>
      <c r="AF186" s="24" t="s">
        <v>2041</v>
      </c>
      <c r="AG186" s="22"/>
      <c r="AH186" s="23">
        <v>912110</v>
      </c>
      <c r="AJ186" s="26"/>
      <c r="AK186" s="27">
        <v>10000</v>
      </c>
      <c r="AL186" s="27"/>
      <c r="AO186" s="28" t="s">
        <v>2056</v>
      </c>
      <c r="AW186" s="27"/>
      <c r="AX186" s="27"/>
      <c r="AY186" s="27"/>
      <c r="BJ186" s="27"/>
      <c r="BK186" s="27"/>
      <c r="BL186" s="27"/>
      <c r="BW186" s="27"/>
      <c r="BX186" s="27"/>
      <c r="BY186" s="27"/>
      <c r="CH186" s="29"/>
      <c r="CI186" s="23" t="s">
        <v>397</v>
      </c>
      <c r="CJ186" s="28">
        <v>96</v>
      </c>
    </row>
    <row r="187" spans="1:88" x14ac:dyDescent="0.2">
      <c r="A187" s="18">
        <v>913</v>
      </c>
      <c r="B187" s="19">
        <v>1</v>
      </c>
      <c r="C187" s="19">
        <f t="shared" si="2"/>
        <v>9130001</v>
      </c>
      <c r="D187" s="19" t="str">
        <f>"맹독 드래곤 하드 "&amp;B187&amp;"단계"</f>
        <v>맹독 드래곤 하드 1단계</v>
      </c>
      <c r="E187" s="20" t="s">
        <v>694</v>
      </c>
      <c r="I187" s="21" t="s">
        <v>486</v>
      </c>
      <c r="J187" s="21"/>
      <c r="K187" s="21"/>
      <c r="L187" s="21"/>
      <c r="M187" s="21"/>
      <c r="N187" s="22" t="s">
        <v>1647</v>
      </c>
      <c r="O187" s="22" t="s">
        <v>858</v>
      </c>
      <c r="P187" s="22"/>
      <c r="Q187" s="22" t="s">
        <v>2041</v>
      </c>
      <c r="R187" s="22"/>
      <c r="S187" s="22"/>
      <c r="T187" s="22" t="s">
        <v>2226</v>
      </c>
      <c r="U187" s="116" t="s">
        <v>2247</v>
      </c>
      <c r="V187" s="22"/>
      <c r="W187" s="22" t="s">
        <v>6</v>
      </c>
      <c r="X187" s="22"/>
      <c r="Y187" s="23" t="s">
        <v>145</v>
      </c>
      <c r="Z187" s="22"/>
      <c r="AA187" s="22"/>
      <c r="AB187" s="22"/>
      <c r="AC187" s="22"/>
      <c r="AD187" s="22"/>
      <c r="AE187" s="24" t="s">
        <v>548</v>
      </c>
      <c r="AF187" s="24" t="s">
        <v>2041</v>
      </c>
      <c r="AG187" s="22"/>
      <c r="AH187" s="23">
        <v>913101</v>
      </c>
      <c r="AJ187" s="26"/>
      <c r="AK187" s="27">
        <v>10000</v>
      </c>
      <c r="AL187" s="27"/>
      <c r="AO187" s="28" t="s">
        <v>2057</v>
      </c>
      <c r="AW187" s="27"/>
      <c r="AX187" s="27"/>
      <c r="AY187" s="27"/>
      <c r="BJ187" s="27"/>
      <c r="BK187" s="27"/>
      <c r="BL187" s="27"/>
      <c r="BW187" s="27"/>
      <c r="BX187" s="27"/>
      <c r="BY187" s="27"/>
      <c r="CH187" s="29"/>
      <c r="CI187" s="23" t="s">
        <v>397</v>
      </c>
      <c r="CJ187" s="28">
        <v>60</v>
      </c>
    </row>
    <row r="188" spans="1:88" x14ac:dyDescent="0.2">
      <c r="A188" s="18">
        <v>913</v>
      </c>
      <c r="B188" s="19">
        <f>B187+1</f>
        <v>2</v>
      </c>
      <c r="C188" s="19">
        <f t="shared" si="2"/>
        <v>9130002</v>
      </c>
      <c r="D188" s="19" t="str">
        <f t="shared" ref="D188:D193" si="12">"맹독 드래곤 하드 "&amp;B188&amp;"단계"</f>
        <v>맹독 드래곤 하드 2단계</v>
      </c>
      <c r="E188" s="20" t="s">
        <v>694</v>
      </c>
      <c r="I188" s="21" t="s">
        <v>486</v>
      </c>
      <c r="J188" s="21"/>
      <c r="K188" s="21"/>
      <c r="L188" s="21"/>
      <c r="M188" s="21"/>
      <c r="N188" s="22" t="s">
        <v>1649</v>
      </c>
      <c r="O188" s="22" t="s">
        <v>858</v>
      </c>
      <c r="P188" s="22"/>
      <c r="Q188" s="22" t="s">
        <v>2041</v>
      </c>
      <c r="R188" s="22"/>
      <c r="S188" s="22"/>
      <c r="T188" s="22" t="s">
        <v>2226</v>
      </c>
      <c r="U188" s="116" t="s">
        <v>2252</v>
      </c>
      <c r="V188" s="22"/>
      <c r="W188" s="22" t="s">
        <v>6</v>
      </c>
      <c r="X188" s="22"/>
      <c r="Y188" s="23" t="s">
        <v>145</v>
      </c>
      <c r="Z188" s="22"/>
      <c r="AA188" s="22"/>
      <c r="AB188" s="22"/>
      <c r="AC188" s="22"/>
      <c r="AD188" s="22"/>
      <c r="AE188" s="24" t="s">
        <v>548</v>
      </c>
      <c r="AF188" s="24" t="s">
        <v>2041</v>
      </c>
      <c r="AG188" s="22"/>
      <c r="AH188" s="23">
        <v>913102</v>
      </c>
      <c r="AJ188" s="26"/>
      <c r="AK188" s="27">
        <v>10000</v>
      </c>
      <c r="AL188" s="27"/>
      <c r="AO188" s="28" t="s">
        <v>2057</v>
      </c>
      <c r="AW188" s="27"/>
      <c r="AX188" s="27"/>
      <c r="AY188" s="27"/>
      <c r="BJ188" s="27"/>
      <c r="BK188" s="27"/>
      <c r="BL188" s="27"/>
      <c r="BW188" s="27"/>
      <c r="BX188" s="27"/>
      <c r="BY188" s="27"/>
      <c r="CH188" s="29"/>
      <c r="CI188" s="23" t="s">
        <v>397</v>
      </c>
      <c r="CJ188" s="28">
        <v>64</v>
      </c>
    </row>
    <row r="189" spans="1:88" x14ac:dyDescent="0.2">
      <c r="A189" s="18">
        <f>A188</f>
        <v>913</v>
      </c>
      <c r="B189" s="19">
        <f t="shared" ref="B189:B196" si="13">B188+1</f>
        <v>3</v>
      </c>
      <c r="C189" s="19">
        <f t="shared" si="2"/>
        <v>9130003</v>
      </c>
      <c r="D189" s="19" t="str">
        <f t="shared" si="12"/>
        <v>맹독 드래곤 하드 3단계</v>
      </c>
      <c r="E189" s="20" t="s">
        <v>694</v>
      </c>
      <c r="I189" s="21" t="s">
        <v>486</v>
      </c>
      <c r="J189" s="21"/>
      <c r="K189" s="21"/>
      <c r="L189" s="21"/>
      <c r="M189" s="21"/>
      <c r="N189" s="22" t="s">
        <v>1649</v>
      </c>
      <c r="O189" s="22" t="s">
        <v>858</v>
      </c>
      <c r="P189" s="22"/>
      <c r="Q189" s="22" t="s">
        <v>2041</v>
      </c>
      <c r="R189" s="22"/>
      <c r="S189" s="22"/>
      <c r="T189" s="22" t="s">
        <v>2226</v>
      </c>
      <c r="U189" s="116" t="s">
        <v>2248</v>
      </c>
      <c r="V189" s="22"/>
      <c r="W189" s="22" t="s">
        <v>6</v>
      </c>
      <c r="X189" s="22"/>
      <c r="Y189" s="23" t="s">
        <v>145</v>
      </c>
      <c r="Z189" s="22"/>
      <c r="AA189" s="22"/>
      <c r="AB189" s="22"/>
      <c r="AC189" s="22"/>
      <c r="AD189" s="22"/>
      <c r="AE189" s="24" t="s">
        <v>548</v>
      </c>
      <c r="AF189" s="24" t="s">
        <v>2041</v>
      </c>
      <c r="AG189" s="22"/>
      <c r="AH189" s="23">
        <v>913103</v>
      </c>
      <c r="AJ189" s="26"/>
      <c r="AK189" s="27">
        <v>10000</v>
      </c>
      <c r="AL189" s="27"/>
      <c r="AO189" s="28" t="s">
        <v>2057</v>
      </c>
      <c r="AW189" s="27"/>
      <c r="AX189" s="27"/>
      <c r="AY189" s="27"/>
      <c r="BJ189" s="27"/>
      <c r="BK189" s="27"/>
      <c r="BL189" s="27"/>
      <c r="BW189" s="27"/>
      <c r="BX189" s="27"/>
      <c r="BY189" s="27"/>
      <c r="CH189" s="29"/>
      <c r="CI189" s="23" t="s">
        <v>397</v>
      </c>
      <c r="CJ189" s="28">
        <v>68</v>
      </c>
    </row>
    <row r="190" spans="1:88" x14ac:dyDescent="0.2">
      <c r="A190" s="18">
        <f>A189</f>
        <v>913</v>
      </c>
      <c r="B190" s="19">
        <f t="shared" si="13"/>
        <v>4</v>
      </c>
      <c r="C190" s="19">
        <f t="shared" si="2"/>
        <v>9130004</v>
      </c>
      <c r="D190" s="19" t="str">
        <f t="shared" si="12"/>
        <v>맹독 드래곤 하드 4단계</v>
      </c>
      <c r="E190" s="20" t="s">
        <v>694</v>
      </c>
      <c r="I190" s="21" t="s">
        <v>486</v>
      </c>
      <c r="J190" s="21"/>
      <c r="K190" s="21"/>
      <c r="L190" s="21"/>
      <c r="M190" s="21"/>
      <c r="N190" s="22" t="s">
        <v>1649</v>
      </c>
      <c r="O190" s="22" t="s">
        <v>858</v>
      </c>
      <c r="P190" s="22"/>
      <c r="Q190" s="22" t="s">
        <v>2041</v>
      </c>
      <c r="R190" s="22"/>
      <c r="S190" s="22"/>
      <c r="T190" s="22" t="s">
        <v>2226</v>
      </c>
      <c r="U190" s="116" t="s">
        <v>2249</v>
      </c>
      <c r="V190" s="22"/>
      <c r="W190" s="22" t="s">
        <v>6</v>
      </c>
      <c r="X190" s="22"/>
      <c r="Y190" s="23" t="s">
        <v>145</v>
      </c>
      <c r="Z190" s="22"/>
      <c r="AA190" s="22"/>
      <c r="AB190" s="22"/>
      <c r="AC190" s="22"/>
      <c r="AD190" s="22"/>
      <c r="AE190" s="24" t="s">
        <v>548</v>
      </c>
      <c r="AF190" s="24" t="s">
        <v>2041</v>
      </c>
      <c r="AG190" s="22"/>
      <c r="AH190" s="23">
        <v>913104</v>
      </c>
      <c r="AJ190" s="26"/>
      <c r="AK190" s="27">
        <v>10000</v>
      </c>
      <c r="AL190" s="27"/>
      <c r="AO190" s="28" t="s">
        <v>2057</v>
      </c>
      <c r="AW190" s="27"/>
      <c r="AX190" s="27"/>
      <c r="AY190" s="27"/>
      <c r="BJ190" s="27"/>
      <c r="BK190" s="27"/>
      <c r="BL190" s="27"/>
      <c r="BW190" s="27"/>
      <c r="BX190" s="27"/>
      <c r="BY190" s="27"/>
      <c r="CH190" s="29"/>
      <c r="CI190" s="23" t="s">
        <v>397</v>
      </c>
      <c r="CJ190" s="28">
        <v>72</v>
      </c>
    </row>
    <row r="191" spans="1:88" x14ac:dyDescent="0.2">
      <c r="A191" s="18">
        <f t="shared" ref="A191:A196" si="14">A190</f>
        <v>913</v>
      </c>
      <c r="B191" s="19">
        <f t="shared" si="13"/>
        <v>5</v>
      </c>
      <c r="C191" s="19">
        <f t="shared" si="2"/>
        <v>9130005</v>
      </c>
      <c r="D191" s="19" t="str">
        <f t="shared" si="12"/>
        <v>맹독 드래곤 하드 5단계</v>
      </c>
      <c r="E191" s="20" t="s">
        <v>694</v>
      </c>
      <c r="I191" s="21" t="s">
        <v>486</v>
      </c>
      <c r="J191" s="21"/>
      <c r="K191" s="21"/>
      <c r="L191" s="21"/>
      <c r="M191" s="21"/>
      <c r="N191" s="22" t="s">
        <v>1649</v>
      </c>
      <c r="O191" s="22" t="s">
        <v>858</v>
      </c>
      <c r="P191" s="22"/>
      <c r="Q191" s="22" t="s">
        <v>2041</v>
      </c>
      <c r="R191" s="22"/>
      <c r="S191" s="22"/>
      <c r="T191" s="22" t="s">
        <v>2226</v>
      </c>
      <c r="U191" s="116" t="s">
        <v>2250</v>
      </c>
      <c r="V191" s="22"/>
      <c r="W191" s="22" t="s">
        <v>6</v>
      </c>
      <c r="X191" s="22"/>
      <c r="Y191" s="23" t="s">
        <v>145</v>
      </c>
      <c r="Z191" s="22"/>
      <c r="AA191" s="22"/>
      <c r="AB191" s="22"/>
      <c r="AC191" s="22"/>
      <c r="AD191" s="22"/>
      <c r="AE191" s="24" t="s">
        <v>548</v>
      </c>
      <c r="AF191" s="24" t="s">
        <v>2041</v>
      </c>
      <c r="AG191" s="22"/>
      <c r="AH191" s="23">
        <v>913105</v>
      </c>
      <c r="AJ191" s="26"/>
      <c r="AK191" s="27">
        <v>10000</v>
      </c>
      <c r="AL191" s="27"/>
      <c r="AO191" s="28" t="s">
        <v>2057</v>
      </c>
      <c r="AW191" s="27"/>
      <c r="AX191" s="27"/>
      <c r="AY191" s="27"/>
      <c r="BJ191" s="27"/>
      <c r="BK191" s="27"/>
      <c r="BL191" s="27"/>
      <c r="BW191" s="27"/>
      <c r="BX191" s="27"/>
      <c r="BY191" s="27"/>
      <c r="CH191" s="29"/>
      <c r="CI191" s="23" t="s">
        <v>397</v>
      </c>
      <c r="CJ191" s="28">
        <v>76</v>
      </c>
    </row>
    <row r="192" spans="1:88" x14ac:dyDescent="0.2">
      <c r="A192" s="18">
        <f t="shared" si="14"/>
        <v>913</v>
      </c>
      <c r="B192" s="19">
        <f t="shared" si="13"/>
        <v>6</v>
      </c>
      <c r="C192" s="19">
        <f t="shared" si="2"/>
        <v>9130006</v>
      </c>
      <c r="D192" s="19" t="str">
        <f t="shared" si="12"/>
        <v>맹독 드래곤 하드 6단계</v>
      </c>
      <c r="E192" s="20" t="s">
        <v>694</v>
      </c>
      <c r="I192" s="21" t="s">
        <v>486</v>
      </c>
      <c r="J192" s="21"/>
      <c r="K192" s="21"/>
      <c r="L192" s="21"/>
      <c r="M192" s="21"/>
      <c r="N192" s="22" t="s">
        <v>1649</v>
      </c>
      <c r="O192" s="22" t="s">
        <v>858</v>
      </c>
      <c r="P192" s="22"/>
      <c r="Q192" s="22" t="s">
        <v>2041</v>
      </c>
      <c r="R192" s="22"/>
      <c r="S192" s="22"/>
      <c r="T192" s="22" t="s">
        <v>2226</v>
      </c>
      <c r="U192" s="116" t="s">
        <v>2251</v>
      </c>
      <c r="V192" s="22"/>
      <c r="W192" s="22" t="s">
        <v>6</v>
      </c>
      <c r="X192" s="22"/>
      <c r="Y192" s="23" t="s">
        <v>145</v>
      </c>
      <c r="Z192" s="22"/>
      <c r="AA192" s="22"/>
      <c r="AB192" s="22"/>
      <c r="AC192" s="22"/>
      <c r="AD192" s="22"/>
      <c r="AE192" s="24" t="s">
        <v>548</v>
      </c>
      <c r="AF192" s="24" t="s">
        <v>2041</v>
      </c>
      <c r="AG192" s="22"/>
      <c r="AH192" s="23">
        <v>913106</v>
      </c>
      <c r="AJ192" s="26"/>
      <c r="AK192" s="27">
        <v>10000</v>
      </c>
      <c r="AL192" s="27"/>
      <c r="AO192" s="28" t="s">
        <v>2057</v>
      </c>
      <c r="AW192" s="27"/>
      <c r="AX192" s="27"/>
      <c r="AY192" s="27"/>
      <c r="BJ192" s="27"/>
      <c r="BK192" s="27"/>
      <c r="BL192" s="27"/>
      <c r="BW192" s="27"/>
      <c r="BX192" s="27"/>
      <c r="BY192" s="27"/>
      <c r="CH192" s="29"/>
      <c r="CI192" s="23" t="s">
        <v>397</v>
      </c>
      <c r="CJ192" s="28">
        <v>80</v>
      </c>
    </row>
    <row r="193" spans="1:108" x14ac:dyDescent="0.2">
      <c r="A193" s="18">
        <f t="shared" si="14"/>
        <v>913</v>
      </c>
      <c r="B193" s="19">
        <f t="shared" si="13"/>
        <v>7</v>
      </c>
      <c r="C193" s="19">
        <f t="shared" si="2"/>
        <v>9130007</v>
      </c>
      <c r="D193" s="19" t="str">
        <f t="shared" si="12"/>
        <v>맹독 드래곤 하드 7단계</v>
      </c>
      <c r="E193" s="20" t="s">
        <v>694</v>
      </c>
      <c r="I193" s="21" t="s">
        <v>486</v>
      </c>
      <c r="J193" s="21"/>
      <c r="K193" s="21"/>
      <c r="L193" s="21"/>
      <c r="M193" s="21"/>
      <c r="N193" s="22" t="s">
        <v>1649</v>
      </c>
      <c r="O193" s="22" t="s">
        <v>858</v>
      </c>
      <c r="P193" s="22"/>
      <c r="Q193" s="22" t="s">
        <v>2041</v>
      </c>
      <c r="R193" s="22"/>
      <c r="S193" s="22"/>
      <c r="T193" s="22" t="s">
        <v>2226</v>
      </c>
      <c r="U193" s="116" t="s">
        <v>2253</v>
      </c>
      <c r="V193" s="22"/>
      <c r="W193" s="22" t="s">
        <v>6</v>
      </c>
      <c r="X193" s="22"/>
      <c r="Y193" s="23" t="s">
        <v>145</v>
      </c>
      <c r="Z193" s="22"/>
      <c r="AA193" s="22"/>
      <c r="AB193" s="22"/>
      <c r="AC193" s="22"/>
      <c r="AD193" s="22"/>
      <c r="AE193" s="24" t="s">
        <v>548</v>
      </c>
      <c r="AF193" s="24" t="s">
        <v>2041</v>
      </c>
      <c r="AG193" s="22"/>
      <c r="AH193" s="23">
        <v>913107</v>
      </c>
      <c r="AJ193" s="26"/>
      <c r="AK193" s="27">
        <v>10000</v>
      </c>
      <c r="AL193" s="27"/>
      <c r="AO193" s="28" t="s">
        <v>2057</v>
      </c>
      <c r="AW193" s="27"/>
      <c r="AX193" s="27"/>
      <c r="AY193" s="27"/>
      <c r="BJ193" s="27"/>
      <c r="BK193" s="27"/>
      <c r="BL193" s="27"/>
      <c r="BW193" s="27"/>
      <c r="BX193" s="27"/>
      <c r="BY193" s="27"/>
      <c r="CH193" s="29"/>
      <c r="CI193" s="23" t="s">
        <v>397</v>
      </c>
      <c r="CJ193" s="28">
        <v>84</v>
      </c>
    </row>
    <row r="194" spans="1:108" x14ac:dyDescent="0.2">
      <c r="A194" s="18">
        <f t="shared" si="14"/>
        <v>913</v>
      </c>
      <c r="B194" s="19">
        <f t="shared" si="13"/>
        <v>8</v>
      </c>
      <c r="C194" s="19">
        <f t="shared" si="2"/>
        <v>9130008</v>
      </c>
      <c r="D194" s="19" t="str">
        <f t="shared" ref="D194:D196" si="15">"맹독 드래곤 하드 "&amp;B194&amp;"단계"</f>
        <v>맹독 드래곤 하드 8단계</v>
      </c>
      <c r="E194" s="20" t="s">
        <v>694</v>
      </c>
      <c r="I194" s="21" t="s">
        <v>486</v>
      </c>
      <c r="J194" s="21"/>
      <c r="K194" s="21"/>
      <c r="L194" s="21"/>
      <c r="M194" s="21"/>
      <c r="N194" s="22" t="s">
        <v>1646</v>
      </c>
      <c r="O194" s="22" t="s">
        <v>858</v>
      </c>
      <c r="P194" s="22"/>
      <c r="Q194" s="22" t="s">
        <v>2041</v>
      </c>
      <c r="R194" s="22"/>
      <c r="S194" s="22"/>
      <c r="T194" s="22" t="s">
        <v>2226</v>
      </c>
      <c r="U194" s="116" t="s">
        <v>2254</v>
      </c>
      <c r="V194" s="22"/>
      <c r="W194" s="22" t="s">
        <v>6</v>
      </c>
      <c r="X194" s="22"/>
      <c r="Y194" s="23" t="s">
        <v>145</v>
      </c>
      <c r="Z194" s="22"/>
      <c r="AA194" s="22"/>
      <c r="AB194" s="22"/>
      <c r="AC194" s="22"/>
      <c r="AD194" s="22"/>
      <c r="AE194" s="24" t="s">
        <v>548</v>
      </c>
      <c r="AF194" s="24" t="s">
        <v>2041</v>
      </c>
      <c r="AG194" s="22"/>
      <c r="AH194" s="23">
        <v>913108</v>
      </c>
      <c r="AJ194" s="26"/>
      <c r="AK194" s="27">
        <v>10000</v>
      </c>
      <c r="AL194" s="27"/>
      <c r="AO194" s="28" t="s">
        <v>2057</v>
      </c>
      <c r="AW194" s="27"/>
      <c r="AX194" s="27"/>
      <c r="AY194" s="27"/>
      <c r="BJ194" s="27"/>
      <c r="BK194" s="27"/>
      <c r="BL194" s="27"/>
      <c r="BW194" s="27"/>
      <c r="BX194" s="27"/>
      <c r="BY194" s="27"/>
      <c r="CH194" s="29"/>
      <c r="CI194" s="23" t="s">
        <v>397</v>
      </c>
      <c r="CJ194" s="28">
        <v>88</v>
      </c>
    </row>
    <row r="195" spans="1:108" x14ac:dyDescent="0.2">
      <c r="A195" s="18">
        <f t="shared" si="14"/>
        <v>913</v>
      </c>
      <c r="B195" s="19">
        <f t="shared" si="13"/>
        <v>9</v>
      </c>
      <c r="C195" s="19">
        <f t="shared" si="2"/>
        <v>9130009</v>
      </c>
      <c r="D195" s="19" t="str">
        <f t="shared" si="15"/>
        <v>맹독 드래곤 하드 9단계</v>
      </c>
      <c r="E195" s="20" t="s">
        <v>694</v>
      </c>
      <c r="I195" s="21" t="s">
        <v>486</v>
      </c>
      <c r="J195" s="21"/>
      <c r="K195" s="21"/>
      <c r="L195" s="21"/>
      <c r="M195" s="21"/>
      <c r="N195" s="22" t="s">
        <v>1646</v>
      </c>
      <c r="O195" s="22" t="s">
        <v>858</v>
      </c>
      <c r="P195" s="22"/>
      <c r="Q195" s="22" t="s">
        <v>2041</v>
      </c>
      <c r="R195" s="22"/>
      <c r="S195" s="22"/>
      <c r="T195" s="22" t="s">
        <v>2226</v>
      </c>
      <c r="U195" s="116" t="s">
        <v>2255</v>
      </c>
      <c r="V195" s="22"/>
      <c r="W195" s="22" t="s">
        <v>6</v>
      </c>
      <c r="X195" s="22"/>
      <c r="Y195" s="23" t="s">
        <v>145</v>
      </c>
      <c r="Z195" s="22"/>
      <c r="AA195" s="22"/>
      <c r="AB195" s="22"/>
      <c r="AC195" s="22"/>
      <c r="AD195" s="22"/>
      <c r="AE195" s="24" t="s">
        <v>548</v>
      </c>
      <c r="AF195" s="24" t="s">
        <v>2041</v>
      </c>
      <c r="AG195" s="22"/>
      <c r="AH195" s="23">
        <v>913109</v>
      </c>
      <c r="AJ195" s="26"/>
      <c r="AK195" s="27">
        <v>10000</v>
      </c>
      <c r="AL195" s="27"/>
      <c r="AO195" s="28" t="s">
        <v>2057</v>
      </c>
      <c r="AW195" s="27"/>
      <c r="AX195" s="27"/>
      <c r="AY195" s="27"/>
      <c r="BJ195" s="27"/>
      <c r="BK195" s="27"/>
      <c r="BL195" s="27"/>
      <c r="BW195" s="27"/>
      <c r="BX195" s="27"/>
      <c r="BY195" s="27"/>
      <c r="CH195" s="29"/>
      <c r="CI195" s="23" t="s">
        <v>397</v>
      </c>
      <c r="CJ195" s="28">
        <v>92</v>
      </c>
    </row>
    <row r="196" spans="1:108" x14ac:dyDescent="0.2">
      <c r="A196" s="18">
        <f t="shared" si="14"/>
        <v>913</v>
      </c>
      <c r="B196" s="19">
        <f t="shared" si="13"/>
        <v>10</v>
      </c>
      <c r="C196" s="19">
        <f t="shared" si="2"/>
        <v>9130010</v>
      </c>
      <c r="D196" s="19" t="str">
        <f t="shared" si="15"/>
        <v>맹독 드래곤 하드 10단계</v>
      </c>
      <c r="E196" s="20" t="s">
        <v>694</v>
      </c>
      <c r="I196" s="21" t="s">
        <v>486</v>
      </c>
      <c r="J196" s="21"/>
      <c r="K196" s="21"/>
      <c r="L196" s="21"/>
      <c r="M196" s="21"/>
      <c r="N196" s="22" t="s">
        <v>1646</v>
      </c>
      <c r="O196" s="22" t="s">
        <v>858</v>
      </c>
      <c r="P196" s="22"/>
      <c r="Q196" s="22" t="s">
        <v>2041</v>
      </c>
      <c r="R196" s="22"/>
      <c r="S196" s="22"/>
      <c r="T196" s="22" t="s">
        <v>2226</v>
      </c>
      <c r="U196" s="116" t="s">
        <v>2256</v>
      </c>
      <c r="V196" s="22"/>
      <c r="W196" s="22" t="s">
        <v>6</v>
      </c>
      <c r="X196" s="22"/>
      <c r="Y196" s="23" t="s">
        <v>145</v>
      </c>
      <c r="Z196" s="22"/>
      <c r="AA196" s="22"/>
      <c r="AB196" s="22"/>
      <c r="AC196" s="22"/>
      <c r="AD196" s="22"/>
      <c r="AE196" s="24" t="s">
        <v>548</v>
      </c>
      <c r="AF196" s="24" t="s">
        <v>2041</v>
      </c>
      <c r="AG196" s="22"/>
      <c r="AH196" s="23">
        <v>913110</v>
      </c>
      <c r="AJ196" s="26"/>
      <c r="AK196" s="27">
        <v>10000</v>
      </c>
      <c r="AL196" s="27"/>
      <c r="AO196" s="28" t="s">
        <v>2057</v>
      </c>
      <c r="AW196" s="27"/>
      <c r="AX196" s="27"/>
      <c r="AY196" s="27"/>
      <c r="BJ196" s="27"/>
      <c r="BK196" s="27"/>
      <c r="BL196" s="27"/>
      <c r="BW196" s="27"/>
      <c r="BX196" s="27"/>
      <c r="BY196" s="27"/>
      <c r="CH196" s="29"/>
      <c r="CI196" s="23" t="s">
        <v>397</v>
      </c>
      <c r="CJ196" s="28">
        <v>96</v>
      </c>
    </row>
    <row r="197" spans="1:108" x14ac:dyDescent="0.2">
      <c r="A197" s="18">
        <v>914</v>
      </c>
      <c r="B197" s="19">
        <v>1</v>
      </c>
      <c r="C197" s="19">
        <f t="shared" ref="C197:C260" si="16">A197*10000+B197</f>
        <v>9140001</v>
      </c>
      <c r="D197" s="19" t="str">
        <f>"블랙 드래곤 하드 "&amp;B197&amp;"단계"</f>
        <v>블랙 드래곤 하드 1단계</v>
      </c>
      <c r="E197" s="20" t="s">
        <v>693</v>
      </c>
      <c r="I197" s="21" t="s">
        <v>633</v>
      </c>
      <c r="J197" s="21"/>
      <c r="K197" s="21"/>
      <c r="L197" s="21"/>
      <c r="M197" s="21"/>
      <c r="N197" s="22" t="s">
        <v>1648</v>
      </c>
      <c r="O197" s="22" t="s">
        <v>859</v>
      </c>
      <c r="P197" s="22"/>
      <c r="Q197" s="22" t="s">
        <v>2041</v>
      </c>
      <c r="R197" s="22"/>
      <c r="S197" s="22"/>
      <c r="T197" s="22" t="s">
        <v>2226</v>
      </c>
      <c r="U197" s="116" t="s">
        <v>2257</v>
      </c>
      <c r="V197" s="22"/>
      <c r="W197" s="22" t="s">
        <v>6</v>
      </c>
      <c r="X197" s="22"/>
      <c r="Y197" s="23" t="s">
        <v>145</v>
      </c>
      <c r="Z197" s="22"/>
      <c r="AA197" s="22"/>
      <c r="AB197" s="22"/>
      <c r="AC197" s="22"/>
      <c r="AD197" s="22"/>
      <c r="AE197" s="24" t="s">
        <v>548</v>
      </c>
      <c r="AF197" s="24" t="s">
        <v>2041</v>
      </c>
      <c r="AG197" s="22"/>
      <c r="AH197" s="23">
        <v>914101</v>
      </c>
      <c r="AJ197" s="26"/>
      <c r="AK197" s="27">
        <v>10000</v>
      </c>
      <c r="AL197" s="27"/>
      <c r="AO197" s="28" t="s">
        <v>2058</v>
      </c>
      <c r="AW197" s="27"/>
      <c r="AX197" s="27"/>
      <c r="AY197" s="27"/>
      <c r="BJ197" s="27"/>
      <c r="BK197" s="27"/>
      <c r="BL197" s="27"/>
      <c r="BW197" s="27"/>
      <c r="BX197" s="27"/>
      <c r="BY197" s="27"/>
      <c r="CH197" s="29"/>
      <c r="CI197" s="23" t="s">
        <v>397</v>
      </c>
      <c r="CJ197" s="28">
        <v>60</v>
      </c>
    </row>
    <row r="198" spans="1:108" x14ac:dyDescent="0.2">
      <c r="A198" s="18">
        <v>914</v>
      </c>
      <c r="B198" s="19">
        <f>B197+1</f>
        <v>2</v>
      </c>
      <c r="C198" s="19">
        <f t="shared" si="16"/>
        <v>9140002</v>
      </c>
      <c r="D198" s="19" t="str">
        <f t="shared" ref="D198:D203" si="17">"블랙 드래곤 하드 "&amp;B198&amp;"단계"</f>
        <v>블랙 드래곤 하드 2단계</v>
      </c>
      <c r="E198" s="20" t="s">
        <v>693</v>
      </c>
      <c r="I198" s="21" t="s">
        <v>633</v>
      </c>
      <c r="J198" s="21"/>
      <c r="K198" s="21"/>
      <c r="L198" s="21"/>
      <c r="M198" s="21"/>
      <c r="N198" s="22" t="s">
        <v>1648</v>
      </c>
      <c r="O198" s="22" t="s">
        <v>859</v>
      </c>
      <c r="P198" s="22"/>
      <c r="Q198" s="22" t="s">
        <v>2041</v>
      </c>
      <c r="R198" s="22"/>
      <c r="S198" s="22"/>
      <c r="T198" s="22" t="s">
        <v>2226</v>
      </c>
      <c r="U198" s="116" t="s">
        <v>2262</v>
      </c>
      <c r="V198" s="22"/>
      <c r="W198" s="22" t="s">
        <v>6</v>
      </c>
      <c r="X198" s="22"/>
      <c r="Y198" s="23" t="s">
        <v>145</v>
      </c>
      <c r="Z198" s="22"/>
      <c r="AA198" s="22"/>
      <c r="AB198" s="22"/>
      <c r="AC198" s="22"/>
      <c r="AD198" s="22"/>
      <c r="AE198" s="24" t="s">
        <v>548</v>
      </c>
      <c r="AF198" s="24" t="s">
        <v>2041</v>
      </c>
      <c r="AG198" s="22"/>
      <c r="AH198" s="23">
        <v>914102</v>
      </c>
      <c r="AJ198" s="26"/>
      <c r="AK198" s="27">
        <v>10000</v>
      </c>
      <c r="AL198" s="27"/>
      <c r="AO198" s="28" t="s">
        <v>2058</v>
      </c>
      <c r="AW198" s="27"/>
      <c r="AX198" s="27"/>
      <c r="AY198" s="27"/>
      <c r="BJ198" s="27"/>
      <c r="BK198" s="27"/>
      <c r="BL198" s="27"/>
      <c r="BW198" s="27"/>
      <c r="BX198" s="27"/>
      <c r="BY198" s="27"/>
      <c r="CH198" s="29"/>
      <c r="CI198" s="23" t="s">
        <v>397</v>
      </c>
      <c r="CJ198" s="28">
        <v>64</v>
      </c>
    </row>
    <row r="199" spans="1:108" x14ac:dyDescent="0.2">
      <c r="A199" s="18">
        <f>A198</f>
        <v>914</v>
      </c>
      <c r="B199" s="19">
        <f t="shared" ref="B199:B206" si="18">B198+1</f>
        <v>3</v>
      </c>
      <c r="C199" s="19">
        <f t="shared" si="16"/>
        <v>9140003</v>
      </c>
      <c r="D199" s="19" t="str">
        <f t="shared" si="17"/>
        <v>블랙 드래곤 하드 3단계</v>
      </c>
      <c r="E199" s="20" t="s">
        <v>547</v>
      </c>
      <c r="I199" s="21" t="s">
        <v>633</v>
      </c>
      <c r="J199" s="21"/>
      <c r="K199" s="21"/>
      <c r="L199" s="21"/>
      <c r="M199" s="21"/>
      <c r="N199" s="22" t="s">
        <v>1673</v>
      </c>
      <c r="O199" s="22" t="s">
        <v>1767</v>
      </c>
      <c r="P199" s="22"/>
      <c r="Q199" s="22" t="s">
        <v>2041</v>
      </c>
      <c r="R199" s="22"/>
      <c r="S199" s="22"/>
      <c r="T199" s="22" t="s">
        <v>2226</v>
      </c>
      <c r="U199" s="116" t="s">
        <v>2258</v>
      </c>
      <c r="V199" s="22"/>
      <c r="W199" s="22" t="s">
        <v>6</v>
      </c>
      <c r="X199" s="22"/>
      <c r="Y199" s="23" t="s">
        <v>6</v>
      </c>
      <c r="Z199" s="22"/>
      <c r="AA199" s="22"/>
      <c r="AB199" s="22"/>
      <c r="AC199" s="22"/>
      <c r="AD199" s="22"/>
      <c r="AE199" s="24" t="s">
        <v>548</v>
      </c>
      <c r="AF199" s="24" t="s">
        <v>2041</v>
      </c>
      <c r="AG199" s="22"/>
      <c r="AH199" s="23">
        <v>914103</v>
      </c>
      <c r="AJ199" s="26"/>
      <c r="AK199" s="27">
        <v>10000</v>
      </c>
      <c r="AL199" s="27"/>
      <c r="AO199" s="28" t="s">
        <v>2058</v>
      </c>
      <c r="AW199" s="27"/>
      <c r="AX199" s="27"/>
      <c r="AY199" s="27"/>
      <c r="BJ199" s="27"/>
      <c r="BK199" s="27"/>
      <c r="BL199" s="27"/>
      <c r="BW199" s="27"/>
      <c r="BX199" s="27"/>
      <c r="BY199" s="27"/>
      <c r="CH199" s="29"/>
      <c r="CI199" s="23" t="s">
        <v>397</v>
      </c>
      <c r="CJ199" s="28">
        <v>68</v>
      </c>
    </row>
    <row r="200" spans="1:108" x14ac:dyDescent="0.2">
      <c r="A200" s="18">
        <f>A199</f>
        <v>914</v>
      </c>
      <c r="B200" s="19">
        <f t="shared" si="18"/>
        <v>4</v>
      </c>
      <c r="C200" s="19">
        <f t="shared" si="16"/>
        <v>9140004</v>
      </c>
      <c r="D200" s="19" t="str">
        <f t="shared" si="17"/>
        <v>블랙 드래곤 하드 4단계</v>
      </c>
      <c r="E200" s="20" t="s">
        <v>547</v>
      </c>
      <c r="I200" s="21" t="s">
        <v>633</v>
      </c>
      <c r="J200" s="21"/>
      <c r="K200" s="21"/>
      <c r="L200" s="21"/>
      <c r="M200" s="21"/>
      <c r="N200" s="22" t="s">
        <v>1673</v>
      </c>
      <c r="O200" s="22" t="s">
        <v>1767</v>
      </c>
      <c r="P200" s="22"/>
      <c r="Q200" s="22" t="s">
        <v>2041</v>
      </c>
      <c r="R200" s="22"/>
      <c r="S200" s="22"/>
      <c r="T200" s="22" t="s">
        <v>2226</v>
      </c>
      <c r="U200" s="116" t="s">
        <v>2259</v>
      </c>
      <c r="V200" s="22"/>
      <c r="W200" s="22" t="s">
        <v>6</v>
      </c>
      <c r="X200" s="22"/>
      <c r="Y200" s="23" t="s">
        <v>6</v>
      </c>
      <c r="Z200" s="22"/>
      <c r="AA200" s="22"/>
      <c r="AB200" s="22"/>
      <c r="AC200" s="22"/>
      <c r="AD200" s="22"/>
      <c r="AE200" s="24" t="s">
        <v>548</v>
      </c>
      <c r="AF200" s="24" t="s">
        <v>2041</v>
      </c>
      <c r="AG200" s="22"/>
      <c r="AH200" s="23">
        <v>914104</v>
      </c>
      <c r="AJ200" s="26"/>
      <c r="AK200" s="27">
        <v>10000</v>
      </c>
      <c r="AL200" s="27"/>
      <c r="AO200" s="28" t="s">
        <v>2058</v>
      </c>
      <c r="AW200" s="27"/>
      <c r="AX200" s="27"/>
      <c r="AY200" s="27"/>
      <c r="BJ200" s="27"/>
      <c r="BK200" s="27"/>
      <c r="BL200" s="27"/>
      <c r="BW200" s="27"/>
      <c r="BX200" s="27"/>
      <c r="BY200" s="27"/>
      <c r="CH200" s="29"/>
      <c r="CI200" s="23" t="s">
        <v>397</v>
      </c>
      <c r="CJ200" s="28">
        <v>72</v>
      </c>
    </row>
    <row r="201" spans="1:108" x14ac:dyDescent="0.2">
      <c r="A201" s="18">
        <f t="shared" ref="A201:A206" si="19">A200</f>
        <v>914</v>
      </c>
      <c r="B201" s="19">
        <f t="shared" si="18"/>
        <v>5</v>
      </c>
      <c r="C201" s="19">
        <f t="shared" si="16"/>
        <v>9140005</v>
      </c>
      <c r="D201" s="19" t="str">
        <f t="shared" si="17"/>
        <v>블랙 드래곤 하드 5단계</v>
      </c>
      <c r="E201" s="20" t="s">
        <v>547</v>
      </c>
      <c r="I201" s="21" t="s">
        <v>633</v>
      </c>
      <c r="J201" s="21"/>
      <c r="K201" s="21"/>
      <c r="L201" s="21"/>
      <c r="M201" s="21"/>
      <c r="N201" s="22" t="s">
        <v>1673</v>
      </c>
      <c r="O201" s="22" t="s">
        <v>1767</v>
      </c>
      <c r="P201" s="22"/>
      <c r="Q201" s="22" t="s">
        <v>2041</v>
      </c>
      <c r="R201" s="22"/>
      <c r="S201" s="22"/>
      <c r="T201" s="22" t="s">
        <v>2226</v>
      </c>
      <c r="U201" s="116" t="s">
        <v>2260</v>
      </c>
      <c r="V201" s="22"/>
      <c r="W201" s="22" t="s">
        <v>6</v>
      </c>
      <c r="X201" s="22"/>
      <c r="Y201" s="23" t="s">
        <v>6</v>
      </c>
      <c r="Z201" s="22"/>
      <c r="AA201" s="22"/>
      <c r="AB201" s="22"/>
      <c r="AC201" s="22"/>
      <c r="AD201" s="22"/>
      <c r="AE201" s="24" t="s">
        <v>548</v>
      </c>
      <c r="AF201" s="24" t="s">
        <v>2041</v>
      </c>
      <c r="AG201" s="22"/>
      <c r="AH201" s="23">
        <v>914105</v>
      </c>
      <c r="AJ201" s="26"/>
      <c r="AK201" s="27">
        <v>10000</v>
      </c>
      <c r="AL201" s="27"/>
      <c r="AO201" s="28" t="s">
        <v>2058</v>
      </c>
      <c r="AW201" s="27"/>
      <c r="AX201" s="27"/>
      <c r="AY201" s="27"/>
      <c r="BJ201" s="27"/>
      <c r="BK201" s="27"/>
      <c r="BL201" s="27"/>
      <c r="BW201" s="27"/>
      <c r="BX201" s="27"/>
      <c r="BY201" s="27"/>
      <c r="CH201" s="29"/>
      <c r="CI201" s="23" t="s">
        <v>397</v>
      </c>
      <c r="CJ201" s="28">
        <v>76</v>
      </c>
    </row>
    <row r="202" spans="1:108" x14ac:dyDescent="0.2">
      <c r="A202" s="18">
        <f t="shared" si="19"/>
        <v>914</v>
      </c>
      <c r="B202" s="19">
        <f t="shared" si="18"/>
        <v>6</v>
      </c>
      <c r="C202" s="19">
        <f t="shared" si="16"/>
        <v>9140006</v>
      </c>
      <c r="D202" s="19" t="str">
        <f t="shared" si="17"/>
        <v>블랙 드래곤 하드 6단계</v>
      </c>
      <c r="E202" s="20" t="s">
        <v>547</v>
      </c>
      <c r="I202" s="21" t="s">
        <v>633</v>
      </c>
      <c r="J202" s="21"/>
      <c r="K202" s="21"/>
      <c r="L202" s="21"/>
      <c r="M202" s="21"/>
      <c r="N202" s="22" t="s">
        <v>1673</v>
      </c>
      <c r="O202" s="22" t="s">
        <v>1767</v>
      </c>
      <c r="P202" s="22"/>
      <c r="Q202" s="22" t="s">
        <v>2041</v>
      </c>
      <c r="R202" s="22"/>
      <c r="S202" s="22"/>
      <c r="T202" s="22" t="s">
        <v>2226</v>
      </c>
      <c r="U202" s="116" t="s">
        <v>2261</v>
      </c>
      <c r="V202" s="22"/>
      <c r="W202" s="22" t="s">
        <v>6</v>
      </c>
      <c r="X202" s="22"/>
      <c r="Y202" s="23" t="s">
        <v>6</v>
      </c>
      <c r="Z202" s="22"/>
      <c r="AA202" s="22"/>
      <c r="AB202" s="22"/>
      <c r="AC202" s="22"/>
      <c r="AD202" s="22"/>
      <c r="AE202" s="24" t="s">
        <v>548</v>
      </c>
      <c r="AF202" s="24" t="s">
        <v>2041</v>
      </c>
      <c r="AG202" s="22"/>
      <c r="AH202" s="23">
        <v>914106</v>
      </c>
      <c r="AJ202" s="26"/>
      <c r="AK202" s="27">
        <v>10000</v>
      </c>
      <c r="AL202" s="27"/>
      <c r="AO202" s="28" t="s">
        <v>2058</v>
      </c>
      <c r="AW202" s="27"/>
      <c r="AX202" s="27"/>
      <c r="AY202" s="27"/>
      <c r="BJ202" s="27"/>
      <c r="BK202" s="27"/>
      <c r="BL202" s="27"/>
      <c r="BW202" s="27"/>
      <c r="BX202" s="27"/>
      <c r="BY202" s="27"/>
      <c r="CH202" s="29"/>
      <c r="CI202" s="23" t="s">
        <v>397</v>
      </c>
      <c r="CJ202" s="28">
        <v>80</v>
      </c>
    </row>
    <row r="203" spans="1:108" x14ac:dyDescent="0.2">
      <c r="A203" s="18">
        <f t="shared" si="19"/>
        <v>914</v>
      </c>
      <c r="B203" s="19">
        <f t="shared" si="18"/>
        <v>7</v>
      </c>
      <c r="C203" s="19">
        <f t="shared" si="16"/>
        <v>9140007</v>
      </c>
      <c r="D203" s="19" t="str">
        <f t="shared" si="17"/>
        <v>블랙 드래곤 하드 7단계</v>
      </c>
      <c r="E203" s="20" t="s">
        <v>547</v>
      </c>
      <c r="I203" s="21" t="s">
        <v>633</v>
      </c>
      <c r="J203" s="21"/>
      <c r="K203" s="21"/>
      <c r="L203" s="21"/>
      <c r="M203" s="21"/>
      <c r="N203" s="22" t="s">
        <v>1673</v>
      </c>
      <c r="O203" s="22" t="s">
        <v>1767</v>
      </c>
      <c r="P203" s="22"/>
      <c r="Q203" s="22" t="s">
        <v>2041</v>
      </c>
      <c r="R203" s="22"/>
      <c r="S203" s="22"/>
      <c r="T203" s="22" t="s">
        <v>2226</v>
      </c>
      <c r="U203" s="116" t="s">
        <v>2263</v>
      </c>
      <c r="V203" s="22"/>
      <c r="W203" s="22" t="s">
        <v>6</v>
      </c>
      <c r="X203" s="22"/>
      <c r="Y203" s="23" t="s">
        <v>6</v>
      </c>
      <c r="Z203" s="22"/>
      <c r="AA203" s="22"/>
      <c r="AB203" s="22"/>
      <c r="AC203" s="22"/>
      <c r="AD203" s="22"/>
      <c r="AE203" s="24" t="s">
        <v>548</v>
      </c>
      <c r="AF203" s="24" t="s">
        <v>2041</v>
      </c>
      <c r="AG203" s="22"/>
      <c r="AH203" s="23">
        <v>914107</v>
      </c>
      <c r="AJ203" s="26"/>
      <c r="AK203" s="27">
        <v>10000</v>
      </c>
      <c r="AL203" s="27"/>
      <c r="AO203" s="28" t="s">
        <v>2058</v>
      </c>
      <c r="AW203" s="27"/>
      <c r="AX203" s="27"/>
      <c r="AY203" s="27"/>
      <c r="BJ203" s="27"/>
      <c r="BK203" s="27"/>
      <c r="BL203" s="27"/>
      <c r="BW203" s="27"/>
      <c r="BX203" s="27"/>
      <c r="BY203" s="27"/>
      <c r="CH203" s="29"/>
      <c r="CI203" s="23" t="s">
        <v>397</v>
      </c>
      <c r="CJ203" s="28">
        <v>84</v>
      </c>
    </row>
    <row r="204" spans="1:108" x14ac:dyDescent="0.2">
      <c r="A204" s="18">
        <f t="shared" si="19"/>
        <v>914</v>
      </c>
      <c r="B204" s="19">
        <f t="shared" si="18"/>
        <v>8</v>
      </c>
      <c r="C204" s="19">
        <f t="shared" si="16"/>
        <v>9140008</v>
      </c>
      <c r="D204" s="19" t="str">
        <f t="shared" ref="D204:D206" si="20">"블랙 드래곤 하드 "&amp;B204&amp;"단계"</f>
        <v>블랙 드래곤 하드 8단계</v>
      </c>
      <c r="E204" s="20" t="s">
        <v>547</v>
      </c>
      <c r="I204" s="21" t="s">
        <v>633</v>
      </c>
      <c r="J204" s="21"/>
      <c r="K204" s="21"/>
      <c r="L204" s="21"/>
      <c r="M204" s="21"/>
      <c r="N204" s="22" t="s">
        <v>1673</v>
      </c>
      <c r="O204" s="22" t="s">
        <v>1767</v>
      </c>
      <c r="P204" s="22"/>
      <c r="Q204" s="22" t="s">
        <v>2041</v>
      </c>
      <c r="R204" s="22"/>
      <c r="S204" s="22"/>
      <c r="T204" s="22" t="s">
        <v>2226</v>
      </c>
      <c r="U204" s="116" t="s">
        <v>2264</v>
      </c>
      <c r="V204" s="22"/>
      <c r="W204" s="22" t="s">
        <v>6</v>
      </c>
      <c r="X204" s="22"/>
      <c r="Y204" s="23" t="s">
        <v>6</v>
      </c>
      <c r="Z204" s="22"/>
      <c r="AA204" s="22"/>
      <c r="AB204" s="22"/>
      <c r="AC204" s="22"/>
      <c r="AD204" s="22"/>
      <c r="AE204" s="24" t="s">
        <v>548</v>
      </c>
      <c r="AF204" s="24" t="s">
        <v>2041</v>
      </c>
      <c r="AG204" s="22"/>
      <c r="AH204" s="23">
        <v>914108</v>
      </c>
      <c r="AJ204" s="26"/>
      <c r="AK204" s="27">
        <v>10000</v>
      </c>
      <c r="AL204" s="27"/>
      <c r="AO204" s="28" t="s">
        <v>2058</v>
      </c>
      <c r="AW204" s="27"/>
      <c r="AX204" s="27"/>
      <c r="AY204" s="27"/>
      <c r="BJ204" s="27"/>
      <c r="BK204" s="27"/>
      <c r="BL204" s="27"/>
      <c r="BW204" s="27"/>
      <c r="BX204" s="27"/>
      <c r="BY204" s="27"/>
      <c r="CH204" s="29"/>
      <c r="CI204" s="23" t="s">
        <v>397</v>
      </c>
      <c r="CJ204" s="28">
        <v>88</v>
      </c>
    </row>
    <row r="205" spans="1:108" x14ac:dyDescent="0.2">
      <c r="A205" s="18">
        <f t="shared" si="19"/>
        <v>914</v>
      </c>
      <c r="B205" s="19">
        <f t="shared" si="18"/>
        <v>9</v>
      </c>
      <c r="C205" s="19">
        <f t="shared" si="16"/>
        <v>9140009</v>
      </c>
      <c r="D205" s="19" t="str">
        <f t="shared" si="20"/>
        <v>블랙 드래곤 하드 9단계</v>
      </c>
      <c r="E205" s="20" t="s">
        <v>547</v>
      </c>
      <c r="I205" s="21" t="s">
        <v>633</v>
      </c>
      <c r="J205" s="21"/>
      <c r="K205" s="21"/>
      <c r="L205" s="21"/>
      <c r="M205" s="21"/>
      <c r="N205" s="22" t="s">
        <v>1673</v>
      </c>
      <c r="O205" s="22" t="s">
        <v>1767</v>
      </c>
      <c r="P205" s="22"/>
      <c r="Q205" s="22" t="s">
        <v>2041</v>
      </c>
      <c r="R205" s="22"/>
      <c r="S205" s="22"/>
      <c r="T205" s="22" t="s">
        <v>2226</v>
      </c>
      <c r="U205" s="116" t="s">
        <v>2265</v>
      </c>
      <c r="V205" s="22"/>
      <c r="W205" s="22" t="s">
        <v>6</v>
      </c>
      <c r="X205" s="22"/>
      <c r="Y205" s="23" t="s">
        <v>6</v>
      </c>
      <c r="Z205" s="22"/>
      <c r="AA205" s="22"/>
      <c r="AB205" s="22"/>
      <c r="AC205" s="22"/>
      <c r="AD205" s="22"/>
      <c r="AE205" s="24" t="s">
        <v>548</v>
      </c>
      <c r="AF205" s="24" t="s">
        <v>2041</v>
      </c>
      <c r="AG205" s="22"/>
      <c r="AH205" s="23">
        <v>914109</v>
      </c>
      <c r="AJ205" s="26"/>
      <c r="AK205" s="27">
        <v>10000</v>
      </c>
      <c r="AL205" s="27"/>
      <c r="AO205" s="28" t="s">
        <v>2058</v>
      </c>
      <c r="AW205" s="27"/>
      <c r="AX205" s="27"/>
      <c r="AY205" s="27"/>
      <c r="BJ205" s="27"/>
      <c r="BK205" s="27"/>
      <c r="BL205" s="27"/>
      <c r="BW205" s="27"/>
      <c r="BX205" s="27"/>
      <c r="BY205" s="27"/>
      <c r="CH205" s="29"/>
      <c r="CI205" s="23" t="s">
        <v>397</v>
      </c>
      <c r="CJ205" s="28">
        <v>92</v>
      </c>
    </row>
    <row r="206" spans="1:108" x14ac:dyDescent="0.2">
      <c r="A206" s="18">
        <f t="shared" si="19"/>
        <v>914</v>
      </c>
      <c r="B206" s="19">
        <f t="shared" si="18"/>
        <v>10</v>
      </c>
      <c r="C206" s="19">
        <f t="shared" si="16"/>
        <v>9140010</v>
      </c>
      <c r="D206" s="19" t="str">
        <f t="shared" si="20"/>
        <v>블랙 드래곤 하드 10단계</v>
      </c>
      <c r="E206" s="20" t="s">
        <v>547</v>
      </c>
      <c r="I206" s="21" t="s">
        <v>633</v>
      </c>
      <c r="J206" s="21"/>
      <c r="K206" s="21"/>
      <c r="L206" s="21"/>
      <c r="M206" s="21"/>
      <c r="N206" s="22" t="s">
        <v>1673</v>
      </c>
      <c r="O206" s="22" t="s">
        <v>1767</v>
      </c>
      <c r="P206" s="22"/>
      <c r="Q206" s="22" t="s">
        <v>2041</v>
      </c>
      <c r="R206" s="22"/>
      <c r="S206" s="22"/>
      <c r="T206" s="22" t="s">
        <v>2226</v>
      </c>
      <c r="U206" s="116" t="s">
        <v>2266</v>
      </c>
      <c r="V206" s="22"/>
      <c r="W206" s="22" t="s">
        <v>6</v>
      </c>
      <c r="X206" s="22"/>
      <c r="Y206" s="23" t="s">
        <v>6</v>
      </c>
      <c r="Z206" s="22"/>
      <c r="AA206" s="22"/>
      <c r="AB206" s="22"/>
      <c r="AC206" s="22"/>
      <c r="AD206" s="22"/>
      <c r="AE206" s="24" t="s">
        <v>548</v>
      </c>
      <c r="AF206" s="24" t="s">
        <v>2041</v>
      </c>
      <c r="AG206" s="22"/>
      <c r="AH206" s="23">
        <v>914110</v>
      </c>
      <c r="AJ206" s="26"/>
      <c r="AK206" s="27">
        <v>10000</v>
      </c>
      <c r="AL206" s="27"/>
      <c r="AO206" s="28" t="s">
        <v>2058</v>
      </c>
      <c r="AW206" s="27"/>
      <c r="AX206" s="27"/>
      <c r="AY206" s="27"/>
      <c r="BJ206" s="27"/>
      <c r="BK206" s="27"/>
      <c r="BL206" s="27"/>
      <c r="BW206" s="27"/>
      <c r="BX206" s="27"/>
      <c r="BY206" s="27"/>
      <c r="CH206" s="29"/>
      <c r="CI206" s="23" t="s">
        <v>397</v>
      </c>
      <c r="CJ206" s="28">
        <v>96</v>
      </c>
    </row>
    <row r="207" spans="1:108" s="14" customFormat="1" ht="17.25" x14ac:dyDescent="0.3">
      <c r="A207" s="8"/>
      <c r="B207" s="8"/>
      <c r="C207" s="8">
        <f t="shared" si="16"/>
        <v>0</v>
      </c>
      <c r="D207" s="8"/>
      <c r="E207" s="9" t="s">
        <v>1763</v>
      </c>
      <c r="F207" s="9"/>
      <c r="G207" s="9"/>
      <c r="H207" s="9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1"/>
      <c r="Z207" s="10"/>
      <c r="AA207" s="10"/>
      <c r="AB207" s="10"/>
      <c r="AC207" s="10"/>
      <c r="AD207" s="10"/>
      <c r="AE207" s="12"/>
      <c r="AF207" s="24" t="s">
        <v>2041</v>
      </c>
      <c r="AG207" s="10"/>
      <c r="AH207" s="13"/>
      <c r="AI207" s="13"/>
      <c r="AJ207" s="13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3"/>
      <c r="AV207" s="13"/>
      <c r="AW207" s="13"/>
      <c r="AX207" s="31"/>
      <c r="AY207" s="31"/>
      <c r="AZ207" s="15"/>
      <c r="BA207" s="15"/>
      <c r="BB207" s="15"/>
      <c r="BC207" s="15"/>
      <c r="BD207" s="15"/>
      <c r="BE207" s="15"/>
      <c r="BF207" s="15"/>
      <c r="BG207" s="15"/>
      <c r="BH207" s="13"/>
      <c r="BI207" s="13"/>
      <c r="BJ207" s="13"/>
      <c r="BK207" s="31"/>
      <c r="BL207" s="31"/>
      <c r="BM207" s="15"/>
      <c r="BN207" s="15"/>
      <c r="BO207" s="15"/>
      <c r="BP207" s="15"/>
      <c r="BQ207" s="15"/>
      <c r="BR207" s="15"/>
      <c r="BS207" s="15"/>
      <c r="BT207" s="15"/>
      <c r="BU207" s="13"/>
      <c r="BV207" s="13"/>
      <c r="BW207" s="13"/>
      <c r="BX207" s="31"/>
      <c r="BY207" s="31"/>
      <c r="BZ207" s="15"/>
      <c r="CA207" s="15"/>
      <c r="CB207" s="15"/>
      <c r="CC207" s="15"/>
      <c r="CD207" s="15"/>
      <c r="CE207" s="15"/>
      <c r="CF207" s="15"/>
      <c r="CG207" s="15"/>
      <c r="CH207" s="10"/>
      <c r="CI207" s="8"/>
      <c r="CJ207" s="16"/>
      <c r="CK207" s="8"/>
      <c r="CT207" s="17"/>
      <c r="CU207" s="17"/>
      <c r="CV207" s="17"/>
      <c r="CW207" s="17"/>
      <c r="CX207" s="17"/>
      <c r="CY207" s="17"/>
      <c r="CZ207" s="17"/>
      <c r="DA207" s="17"/>
      <c r="DB207" s="17"/>
      <c r="DC207" s="15"/>
    </row>
    <row r="208" spans="1:108" x14ac:dyDescent="0.2">
      <c r="A208" s="18">
        <v>931</v>
      </c>
      <c r="B208" s="19">
        <v>1</v>
      </c>
      <c r="C208" s="19">
        <f t="shared" si="16"/>
        <v>9310001</v>
      </c>
      <c r="D208" s="19" t="str">
        <f t="shared" ref="D208" si="21">"화염 드래곤 하드 "&amp;B208&amp;"단계"</f>
        <v>화염 드래곤 하드 1단계</v>
      </c>
      <c r="E208" s="20" t="s">
        <v>270</v>
      </c>
      <c r="I208" s="21" t="s">
        <v>486</v>
      </c>
      <c r="J208" s="21"/>
      <c r="K208" s="21"/>
      <c r="L208" s="21"/>
      <c r="M208" s="21"/>
      <c r="N208" s="22" t="s">
        <v>1673</v>
      </c>
      <c r="O208" s="20" t="s">
        <v>1131</v>
      </c>
      <c r="Q208" s="20" t="s">
        <v>2041</v>
      </c>
      <c r="T208" s="20" t="s">
        <v>2267</v>
      </c>
      <c r="U208" s="117" t="s">
        <v>2227</v>
      </c>
      <c r="V208" s="20" t="s">
        <v>1674</v>
      </c>
      <c r="W208" s="20">
        <v>4</v>
      </c>
      <c r="X208" s="20">
        <v>4</v>
      </c>
      <c r="Y208" s="23" t="s">
        <v>145</v>
      </c>
      <c r="AA208" s="22"/>
      <c r="AB208" s="22"/>
      <c r="AC208" s="22"/>
      <c r="AD208" s="22"/>
      <c r="AE208" s="24"/>
      <c r="AF208" s="24" t="s">
        <v>2041</v>
      </c>
      <c r="AG208" s="22"/>
      <c r="AH208" s="32">
        <v>911101</v>
      </c>
      <c r="AJ208" s="26"/>
      <c r="AK208" s="27">
        <v>10000</v>
      </c>
      <c r="AL208" s="27"/>
      <c r="AO208" s="28" t="s">
        <v>2055</v>
      </c>
      <c r="AP208" s="111">
        <v>550268</v>
      </c>
      <c r="AQ208" s="111"/>
      <c r="AR208" s="111"/>
      <c r="AS208" s="111"/>
      <c r="AW208" s="27"/>
      <c r="AX208" s="27"/>
      <c r="AY208" s="27"/>
      <c r="BB208" s="28" t="s">
        <v>1956</v>
      </c>
      <c r="BC208" s="111">
        <v>550268</v>
      </c>
      <c r="BD208" s="111"/>
      <c r="BE208" s="111"/>
      <c r="BF208" s="111"/>
      <c r="BJ208" s="27"/>
      <c r="BK208" s="27"/>
      <c r="BL208" s="27"/>
      <c r="BO208" s="28" t="s">
        <v>1956</v>
      </c>
      <c r="BP208" s="111">
        <v>550268</v>
      </c>
      <c r="BQ208" s="111"/>
      <c r="BR208" s="111"/>
      <c r="BS208" s="111"/>
      <c r="BW208" s="27"/>
      <c r="BX208" s="27"/>
      <c r="BY208" s="27"/>
      <c r="CB208" s="28" t="s">
        <v>1956</v>
      </c>
      <c r="CC208" s="111">
        <v>550268</v>
      </c>
      <c r="CD208" s="111"/>
      <c r="CE208" s="111"/>
      <c r="CF208" s="111"/>
      <c r="CH208" s="29"/>
      <c r="CI208" s="23" t="s">
        <v>397</v>
      </c>
      <c r="CJ208" s="28">
        <v>60</v>
      </c>
      <c r="DD208" s="23" t="s">
        <v>2040</v>
      </c>
    </row>
    <row r="209" spans="1:108" x14ac:dyDescent="0.2">
      <c r="A209" s="18">
        <v>931</v>
      </c>
      <c r="B209" s="19">
        <f>B208+1</f>
        <v>2</v>
      </c>
      <c r="C209" s="19">
        <f t="shared" si="16"/>
        <v>9310002</v>
      </c>
      <c r="D209" s="19" t="str">
        <f>"화염 드래곤 하드 "&amp;B209&amp;"단계"</f>
        <v>화염 드래곤 하드 2단계</v>
      </c>
      <c r="E209" s="20" t="s">
        <v>1669</v>
      </c>
      <c r="I209" s="21" t="s">
        <v>1670</v>
      </c>
      <c r="J209" s="21"/>
      <c r="K209" s="21"/>
      <c r="L209" s="21"/>
      <c r="M209" s="21"/>
      <c r="N209" s="22" t="s">
        <v>1673</v>
      </c>
      <c r="O209" s="20" t="s">
        <v>1674</v>
      </c>
      <c r="Q209" s="20" t="s">
        <v>2041</v>
      </c>
      <c r="T209" s="20" t="s">
        <v>2267</v>
      </c>
      <c r="U209" s="117" t="s">
        <v>2244</v>
      </c>
      <c r="V209" s="20" t="s">
        <v>1674</v>
      </c>
      <c r="W209" s="20">
        <v>4</v>
      </c>
      <c r="X209" s="20">
        <v>4</v>
      </c>
      <c r="Y209" s="23" t="s">
        <v>6</v>
      </c>
      <c r="AA209" s="22"/>
      <c r="AB209" s="22"/>
      <c r="AC209" s="22"/>
      <c r="AD209" s="22"/>
      <c r="AE209" s="24"/>
      <c r="AF209" s="24" t="s">
        <v>2041</v>
      </c>
      <c r="AG209" s="22"/>
      <c r="AH209" s="32">
        <v>911102</v>
      </c>
      <c r="AJ209" s="26"/>
      <c r="AK209" s="27">
        <v>10000</v>
      </c>
      <c r="AL209" s="27"/>
      <c r="AO209" s="28" t="s">
        <v>2055</v>
      </c>
      <c r="AP209" s="111">
        <v>550269</v>
      </c>
      <c r="AQ209" s="111"/>
      <c r="AR209" s="111"/>
      <c r="AS209" s="111"/>
      <c r="AW209" s="27"/>
      <c r="AX209" s="27"/>
      <c r="AY209" s="27"/>
      <c r="BB209" s="28" t="s">
        <v>1956</v>
      </c>
      <c r="BC209" s="111">
        <v>550269</v>
      </c>
      <c r="BD209" s="111"/>
      <c r="BE209" s="111"/>
      <c r="BF209" s="111"/>
      <c r="BJ209" s="27"/>
      <c r="BK209" s="27"/>
      <c r="BL209" s="27"/>
      <c r="BO209" s="28" t="s">
        <v>1956</v>
      </c>
      <c r="BP209" s="111">
        <v>550269</v>
      </c>
      <c r="BQ209" s="111"/>
      <c r="BR209" s="111"/>
      <c r="BS209" s="111"/>
      <c r="BW209" s="27"/>
      <c r="BX209" s="27"/>
      <c r="BY209" s="27"/>
      <c r="CB209" s="28" t="s">
        <v>1956</v>
      </c>
      <c r="CC209" s="111">
        <v>550269</v>
      </c>
      <c r="CD209" s="111"/>
      <c r="CE209" s="111"/>
      <c r="CF209" s="111"/>
      <c r="CH209" s="29"/>
      <c r="CI209" s="23" t="s">
        <v>397</v>
      </c>
      <c r="CJ209" s="28">
        <v>64</v>
      </c>
      <c r="DD209" s="23" t="s">
        <v>2040</v>
      </c>
    </row>
    <row r="210" spans="1:108" x14ac:dyDescent="0.2">
      <c r="A210" s="18">
        <v>931</v>
      </c>
      <c r="B210" s="19">
        <f t="shared" ref="B210:B214" si="22">B209+1</f>
        <v>3</v>
      </c>
      <c r="C210" s="19">
        <f t="shared" si="16"/>
        <v>9310003</v>
      </c>
      <c r="D210" s="19" t="str">
        <f t="shared" ref="D210:D214" si="23">"화염 드래곤 하드 "&amp;B210&amp;"단계"</f>
        <v>화염 드래곤 하드 3단계</v>
      </c>
      <c r="E210" s="20" t="s">
        <v>1669</v>
      </c>
      <c r="I210" s="21" t="s">
        <v>1670</v>
      </c>
      <c r="J210" s="21"/>
      <c r="K210" s="21"/>
      <c r="L210" s="21"/>
      <c r="M210" s="21"/>
      <c r="N210" s="22" t="s">
        <v>1673</v>
      </c>
      <c r="O210" s="20" t="s">
        <v>1674</v>
      </c>
      <c r="Q210" s="20" t="s">
        <v>2041</v>
      </c>
      <c r="T210" s="20" t="s">
        <v>2267</v>
      </c>
      <c r="U210" s="117" t="s">
        <v>2243</v>
      </c>
      <c r="V210" s="20" t="s">
        <v>1674</v>
      </c>
      <c r="W210" s="20">
        <v>4</v>
      </c>
      <c r="X210" s="20">
        <v>4</v>
      </c>
      <c r="Y210" s="23" t="s">
        <v>6</v>
      </c>
      <c r="AA210" s="22"/>
      <c r="AB210" s="22"/>
      <c r="AC210" s="22"/>
      <c r="AD210" s="22"/>
      <c r="AE210" s="24"/>
      <c r="AF210" s="24" t="s">
        <v>2041</v>
      </c>
      <c r="AG210" s="22"/>
      <c r="AH210" s="32">
        <v>911103</v>
      </c>
      <c r="AJ210" s="26"/>
      <c r="AK210" s="27">
        <v>10000</v>
      </c>
      <c r="AL210" s="27"/>
      <c r="AO210" s="28" t="s">
        <v>2055</v>
      </c>
      <c r="AP210" s="111">
        <v>550270</v>
      </c>
      <c r="AQ210" s="111"/>
      <c r="AR210" s="111"/>
      <c r="AS210" s="111"/>
      <c r="AW210" s="27"/>
      <c r="AX210" s="27"/>
      <c r="AY210" s="27"/>
      <c r="BB210" s="28" t="s">
        <v>1956</v>
      </c>
      <c r="BC210" s="111">
        <v>550270</v>
      </c>
      <c r="BD210" s="111"/>
      <c r="BE210" s="111"/>
      <c r="BF210" s="111"/>
      <c r="BJ210" s="27"/>
      <c r="BK210" s="27"/>
      <c r="BL210" s="27"/>
      <c r="BO210" s="28" t="s">
        <v>1956</v>
      </c>
      <c r="BP210" s="111">
        <v>550270</v>
      </c>
      <c r="BQ210" s="111"/>
      <c r="BR210" s="111"/>
      <c r="BS210" s="111"/>
      <c r="BW210" s="27"/>
      <c r="BX210" s="27"/>
      <c r="BY210" s="27"/>
      <c r="CB210" s="28" t="s">
        <v>1956</v>
      </c>
      <c r="CC210" s="111">
        <v>550270</v>
      </c>
      <c r="CD210" s="111"/>
      <c r="CE210" s="111"/>
      <c r="CF210" s="111"/>
      <c r="CH210" s="29"/>
      <c r="CI210" s="23" t="s">
        <v>397</v>
      </c>
      <c r="CJ210" s="28">
        <v>68</v>
      </c>
      <c r="DD210" s="23" t="s">
        <v>2040</v>
      </c>
    </row>
    <row r="211" spans="1:108" x14ac:dyDescent="0.2">
      <c r="A211" s="18">
        <v>931</v>
      </c>
      <c r="B211" s="19">
        <f t="shared" si="22"/>
        <v>4</v>
      </c>
      <c r="C211" s="19">
        <f t="shared" si="16"/>
        <v>9310004</v>
      </c>
      <c r="D211" s="19" t="str">
        <f t="shared" si="23"/>
        <v>화염 드래곤 하드 4단계</v>
      </c>
      <c r="E211" s="20" t="s">
        <v>1669</v>
      </c>
      <c r="I211" s="21" t="s">
        <v>1670</v>
      </c>
      <c r="J211" s="21"/>
      <c r="K211" s="21"/>
      <c r="L211" s="21"/>
      <c r="M211" s="21"/>
      <c r="N211" s="22" t="s">
        <v>1673</v>
      </c>
      <c r="O211" s="20" t="s">
        <v>1674</v>
      </c>
      <c r="Q211" s="20" t="s">
        <v>2041</v>
      </c>
      <c r="T211" s="20" t="s">
        <v>2267</v>
      </c>
      <c r="U211" s="117" t="s">
        <v>2228</v>
      </c>
      <c r="V211" s="20" t="s">
        <v>1674</v>
      </c>
      <c r="W211" s="20">
        <v>4</v>
      </c>
      <c r="X211" s="20">
        <v>4</v>
      </c>
      <c r="Y211" s="23" t="s">
        <v>6</v>
      </c>
      <c r="AA211" s="22"/>
      <c r="AB211" s="22"/>
      <c r="AC211" s="22"/>
      <c r="AD211" s="22"/>
      <c r="AE211" s="24"/>
      <c r="AF211" s="24" t="s">
        <v>2041</v>
      </c>
      <c r="AG211" s="22"/>
      <c r="AH211" s="32">
        <v>911104</v>
      </c>
      <c r="AJ211" s="26"/>
      <c r="AK211" s="27">
        <v>10000</v>
      </c>
      <c r="AL211" s="27"/>
      <c r="AO211" s="28" t="s">
        <v>2055</v>
      </c>
      <c r="AP211" s="111">
        <v>550271</v>
      </c>
      <c r="AQ211" s="111"/>
      <c r="AR211" s="111"/>
      <c r="AS211" s="111"/>
      <c r="AW211" s="27"/>
      <c r="AX211" s="27"/>
      <c r="AY211" s="27"/>
      <c r="BB211" s="28" t="s">
        <v>1956</v>
      </c>
      <c r="BC211" s="111">
        <v>550271</v>
      </c>
      <c r="BD211" s="111"/>
      <c r="BE211" s="111"/>
      <c r="BF211" s="111"/>
      <c r="BJ211" s="27"/>
      <c r="BK211" s="27"/>
      <c r="BL211" s="27"/>
      <c r="BO211" s="28" t="s">
        <v>1956</v>
      </c>
      <c r="BP211" s="111">
        <v>550271</v>
      </c>
      <c r="BQ211" s="111"/>
      <c r="BR211" s="111"/>
      <c r="BS211" s="111"/>
      <c r="BW211" s="27"/>
      <c r="BX211" s="27"/>
      <c r="BY211" s="27"/>
      <c r="CB211" s="28" t="s">
        <v>1956</v>
      </c>
      <c r="CC211" s="111">
        <v>550271</v>
      </c>
      <c r="CD211" s="111"/>
      <c r="CE211" s="111"/>
      <c r="CF211" s="111"/>
      <c r="CH211" s="29"/>
      <c r="CI211" s="23" t="s">
        <v>397</v>
      </c>
      <c r="CJ211" s="28">
        <v>72</v>
      </c>
      <c r="DD211" s="23" t="s">
        <v>2040</v>
      </c>
    </row>
    <row r="212" spans="1:108" x14ac:dyDescent="0.2">
      <c r="A212" s="18">
        <v>931</v>
      </c>
      <c r="B212" s="19">
        <f t="shared" si="22"/>
        <v>5</v>
      </c>
      <c r="C212" s="19">
        <f t="shared" si="16"/>
        <v>9310005</v>
      </c>
      <c r="D212" s="19" t="str">
        <f t="shared" si="23"/>
        <v>화염 드래곤 하드 5단계</v>
      </c>
      <c r="E212" s="20" t="s">
        <v>1669</v>
      </c>
      <c r="I212" s="21" t="s">
        <v>1670</v>
      </c>
      <c r="J212" s="21"/>
      <c r="K212" s="21"/>
      <c r="L212" s="21"/>
      <c r="M212" s="21"/>
      <c r="N212" s="22" t="s">
        <v>1673</v>
      </c>
      <c r="O212" s="20" t="s">
        <v>1674</v>
      </c>
      <c r="Q212" s="20" t="s">
        <v>2041</v>
      </c>
      <c r="T212" s="20" t="s">
        <v>2267</v>
      </c>
      <c r="U212" s="117" t="s">
        <v>2229</v>
      </c>
      <c r="V212" s="20" t="s">
        <v>1674</v>
      </c>
      <c r="W212" s="20">
        <v>4</v>
      </c>
      <c r="X212" s="20">
        <v>4</v>
      </c>
      <c r="Y212" s="23" t="s">
        <v>6</v>
      </c>
      <c r="AA212" s="22"/>
      <c r="AB212" s="22"/>
      <c r="AC212" s="22"/>
      <c r="AD212" s="22"/>
      <c r="AE212" s="24"/>
      <c r="AF212" s="24" t="s">
        <v>2041</v>
      </c>
      <c r="AG212" s="22"/>
      <c r="AH212" s="32">
        <v>911105</v>
      </c>
      <c r="AJ212" s="26"/>
      <c r="AK212" s="27">
        <v>10000</v>
      </c>
      <c r="AL212" s="27"/>
      <c r="AO212" s="28" t="s">
        <v>2055</v>
      </c>
      <c r="AP212" s="111">
        <v>550272</v>
      </c>
      <c r="AQ212" s="111"/>
      <c r="AR212" s="111"/>
      <c r="AS212" s="111"/>
      <c r="AW212" s="27"/>
      <c r="AX212" s="27"/>
      <c r="AY212" s="27"/>
      <c r="BB212" s="28" t="s">
        <v>1956</v>
      </c>
      <c r="BC212" s="111">
        <v>550272</v>
      </c>
      <c r="BD212" s="111"/>
      <c r="BE212" s="111"/>
      <c r="BF212" s="111"/>
      <c r="BJ212" s="27"/>
      <c r="BK212" s="27"/>
      <c r="BL212" s="27"/>
      <c r="BO212" s="28" t="s">
        <v>1956</v>
      </c>
      <c r="BP212" s="111">
        <v>550272</v>
      </c>
      <c r="BQ212" s="111"/>
      <c r="BR212" s="111"/>
      <c r="BS212" s="111"/>
      <c r="BW212" s="27"/>
      <c r="BX212" s="27"/>
      <c r="BY212" s="27"/>
      <c r="CB212" s="28" t="s">
        <v>1956</v>
      </c>
      <c r="CC212" s="111">
        <v>550272</v>
      </c>
      <c r="CD212" s="111"/>
      <c r="CE212" s="111"/>
      <c r="CF212" s="111"/>
      <c r="CH212" s="29"/>
      <c r="CI212" s="23" t="s">
        <v>397</v>
      </c>
      <c r="CJ212" s="28">
        <v>76</v>
      </c>
      <c r="DD212" s="23" t="s">
        <v>2040</v>
      </c>
    </row>
    <row r="213" spans="1:108" x14ac:dyDescent="0.2">
      <c r="A213" s="18">
        <v>931</v>
      </c>
      <c r="B213" s="19">
        <f t="shared" si="22"/>
        <v>6</v>
      </c>
      <c r="C213" s="19">
        <f t="shared" si="16"/>
        <v>9310006</v>
      </c>
      <c r="D213" s="19" t="str">
        <f t="shared" si="23"/>
        <v>화염 드래곤 하드 6단계</v>
      </c>
      <c r="E213" s="20" t="s">
        <v>1669</v>
      </c>
      <c r="I213" s="21" t="s">
        <v>1670</v>
      </c>
      <c r="J213" s="21"/>
      <c r="K213" s="21"/>
      <c r="L213" s="21"/>
      <c r="M213" s="21"/>
      <c r="N213" s="22" t="s">
        <v>1673</v>
      </c>
      <c r="O213" s="20" t="s">
        <v>1674</v>
      </c>
      <c r="Q213" s="20" t="s">
        <v>2041</v>
      </c>
      <c r="T213" s="20" t="s">
        <v>2267</v>
      </c>
      <c r="U213" s="117" t="s">
        <v>2230</v>
      </c>
      <c r="V213" s="20" t="s">
        <v>1674</v>
      </c>
      <c r="W213" s="20">
        <v>4</v>
      </c>
      <c r="X213" s="20">
        <v>4</v>
      </c>
      <c r="Y213" s="23" t="s">
        <v>6</v>
      </c>
      <c r="AA213" s="22"/>
      <c r="AB213" s="22"/>
      <c r="AC213" s="22"/>
      <c r="AD213" s="22"/>
      <c r="AE213" s="24"/>
      <c r="AF213" s="24" t="s">
        <v>2041</v>
      </c>
      <c r="AG213" s="22"/>
      <c r="AH213" s="32">
        <v>911106</v>
      </c>
      <c r="AJ213" s="26"/>
      <c r="AK213" s="27">
        <v>10000</v>
      </c>
      <c r="AL213" s="27"/>
      <c r="AO213" s="28" t="s">
        <v>2055</v>
      </c>
      <c r="AP213" s="111">
        <v>550273</v>
      </c>
      <c r="AQ213" s="111"/>
      <c r="AR213" s="111"/>
      <c r="AS213" s="111"/>
      <c r="AW213" s="27"/>
      <c r="AX213" s="27"/>
      <c r="AY213" s="27"/>
      <c r="BB213" s="28" t="s">
        <v>1956</v>
      </c>
      <c r="BC213" s="111">
        <v>550273</v>
      </c>
      <c r="BD213" s="111"/>
      <c r="BE213" s="111"/>
      <c r="BF213" s="111"/>
      <c r="BJ213" s="27"/>
      <c r="BK213" s="27"/>
      <c r="BL213" s="27"/>
      <c r="BO213" s="28" t="s">
        <v>1956</v>
      </c>
      <c r="BP213" s="111">
        <v>550273</v>
      </c>
      <c r="BQ213" s="111"/>
      <c r="BR213" s="111"/>
      <c r="BS213" s="111"/>
      <c r="BW213" s="27"/>
      <c r="BX213" s="27"/>
      <c r="BY213" s="27"/>
      <c r="CB213" s="28" t="s">
        <v>1956</v>
      </c>
      <c r="CC213" s="111">
        <v>550273</v>
      </c>
      <c r="CD213" s="111"/>
      <c r="CE213" s="111"/>
      <c r="CF213" s="111"/>
      <c r="CH213" s="29"/>
      <c r="CI213" s="23" t="s">
        <v>397</v>
      </c>
      <c r="CJ213" s="28">
        <v>80</v>
      </c>
      <c r="DD213" s="23" t="s">
        <v>2040</v>
      </c>
    </row>
    <row r="214" spans="1:108" x14ac:dyDescent="0.2">
      <c r="A214" s="18">
        <v>931</v>
      </c>
      <c r="B214" s="19">
        <f t="shared" si="22"/>
        <v>7</v>
      </c>
      <c r="C214" s="19">
        <f t="shared" si="16"/>
        <v>9310007</v>
      </c>
      <c r="D214" s="19" t="str">
        <f t="shared" si="23"/>
        <v>화염 드래곤 하드 7단계</v>
      </c>
      <c r="E214" s="20" t="s">
        <v>1669</v>
      </c>
      <c r="I214" s="21" t="s">
        <v>1670</v>
      </c>
      <c r="J214" s="21"/>
      <c r="K214" s="21"/>
      <c r="L214" s="21"/>
      <c r="M214" s="21"/>
      <c r="N214" s="22" t="s">
        <v>1673</v>
      </c>
      <c r="O214" s="20" t="s">
        <v>1674</v>
      </c>
      <c r="Q214" s="20" t="s">
        <v>2041</v>
      </c>
      <c r="T214" s="20" t="s">
        <v>2267</v>
      </c>
      <c r="U214" s="117" t="s">
        <v>2231</v>
      </c>
      <c r="V214" s="20" t="s">
        <v>1674</v>
      </c>
      <c r="W214" s="20">
        <v>4</v>
      </c>
      <c r="X214" s="20">
        <v>4</v>
      </c>
      <c r="Y214" s="23" t="s">
        <v>6</v>
      </c>
      <c r="AA214" s="22"/>
      <c r="AB214" s="22"/>
      <c r="AC214" s="22"/>
      <c r="AD214" s="22"/>
      <c r="AE214" s="24"/>
      <c r="AF214" s="24" t="s">
        <v>2041</v>
      </c>
      <c r="AG214" s="22"/>
      <c r="AH214" s="32">
        <v>911107</v>
      </c>
      <c r="AJ214" s="26"/>
      <c r="AK214" s="27">
        <v>10000</v>
      </c>
      <c r="AL214" s="27"/>
      <c r="AO214" s="28" t="s">
        <v>2055</v>
      </c>
      <c r="AP214" s="111">
        <v>550274</v>
      </c>
      <c r="AQ214" s="111"/>
      <c r="AR214" s="111"/>
      <c r="AS214" s="111"/>
      <c r="AW214" s="27"/>
      <c r="AX214" s="27"/>
      <c r="AY214" s="27"/>
      <c r="BB214" s="28" t="s">
        <v>1956</v>
      </c>
      <c r="BC214" s="111">
        <v>550274</v>
      </c>
      <c r="BD214" s="111"/>
      <c r="BE214" s="111"/>
      <c r="BF214" s="111"/>
      <c r="BJ214" s="27"/>
      <c r="BK214" s="27"/>
      <c r="BL214" s="27"/>
      <c r="BO214" s="28" t="s">
        <v>1956</v>
      </c>
      <c r="BP214" s="111">
        <v>550274</v>
      </c>
      <c r="BQ214" s="111"/>
      <c r="BR214" s="111"/>
      <c r="BS214" s="111"/>
      <c r="BW214" s="27"/>
      <c r="BX214" s="27"/>
      <c r="BY214" s="27"/>
      <c r="CB214" s="28" t="s">
        <v>1956</v>
      </c>
      <c r="CC214" s="111">
        <v>550274</v>
      </c>
      <c r="CD214" s="111"/>
      <c r="CE214" s="111"/>
      <c r="CF214" s="111"/>
      <c r="CH214" s="29"/>
      <c r="CI214" s="23" t="s">
        <v>397</v>
      </c>
      <c r="CJ214" s="28">
        <v>84</v>
      </c>
      <c r="DD214" s="23" t="s">
        <v>2040</v>
      </c>
    </row>
    <row r="215" spans="1:108" x14ac:dyDescent="0.2">
      <c r="A215" s="18">
        <v>931</v>
      </c>
      <c r="B215" s="19">
        <f t="shared" ref="B215:B217" si="24">B214+1</f>
        <v>8</v>
      </c>
      <c r="C215" s="19">
        <f t="shared" si="16"/>
        <v>9310008</v>
      </c>
      <c r="D215" s="19" t="str">
        <f t="shared" ref="D215:D217" si="25">"화염 드래곤 하드 "&amp;B215&amp;"단계"</f>
        <v>화염 드래곤 하드 8단계</v>
      </c>
      <c r="E215" s="20" t="s">
        <v>1669</v>
      </c>
      <c r="I215" s="21" t="s">
        <v>1670</v>
      </c>
      <c r="J215" s="21"/>
      <c r="K215" s="21"/>
      <c r="L215" s="21"/>
      <c r="M215" s="21"/>
      <c r="N215" s="22" t="s">
        <v>1673</v>
      </c>
      <c r="O215" s="20" t="s">
        <v>1674</v>
      </c>
      <c r="Q215" s="20" t="s">
        <v>2041</v>
      </c>
      <c r="T215" s="20" t="s">
        <v>2267</v>
      </c>
      <c r="U215" s="117" t="s">
        <v>2232</v>
      </c>
      <c r="V215" s="20" t="s">
        <v>1674</v>
      </c>
      <c r="W215" s="20">
        <v>4</v>
      </c>
      <c r="X215" s="20">
        <v>4</v>
      </c>
      <c r="Y215" s="23" t="s">
        <v>6</v>
      </c>
      <c r="AA215" s="22"/>
      <c r="AB215" s="22"/>
      <c r="AC215" s="22"/>
      <c r="AD215" s="22"/>
      <c r="AE215" s="24"/>
      <c r="AF215" s="24" t="s">
        <v>2041</v>
      </c>
      <c r="AG215" s="22"/>
      <c r="AH215" s="32">
        <v>911108</v>
      </c>
      <c r="AJ215" s="26"/>
      <c r="AK215" s="27">
        <v>10000</v>
      </c>
      <c r="AL215" s="27"/>
      <c r="AO215" s="28" t="s">
        <v>2055</v>
      </c>
      <c r="AP215" s="111">
        <v>550275</v>
      </c>
      <c r="AQ215" s="111"/>
      <c r="AR215" s="111"/>
      <c r="AS215" s="111"/>
      <c r="AW215" s="27"/>
      <c r="AX215" s="27"/>
      <c r="AY215" s="27"/>
      <c r="BB215" s="28" t="s">
        <v>1956</v>
      </c>
      <c r="BC215" s="111">
        <v>550275</v>
      </c>
      <c r="BD215" s="111"/>
      <c r="BE215" s="111"/>
      <c r="BF215" s="111"/>
      <c r="BJ215" s="27"/>
      <c r="BK215" s="27"/>
      <c r="BL215" s="27"/>
      <c r="BO215" s="28" t="s">
        <v>1956</v>
      </c>
      <c r="BP215" s="111">
        <v>550275</v>
      </c>
      <c r="BQ215" s="111"/>
      <c r="BR215" s="111"/>
      <c r="BS215" s="111"/>
      <c r="BW215" s="27"/>
      <c r="BX215" s="27"/>
      <c r="BY215" s="27"/>
      <c r="CB215" s="28" t="s">
        <v>1956</v>
      </c>
      <c r="CC215" s="111">
        <v>550275</v>
      </c>
      <c r="CD215" s="111"/>
      <c r="CE215" s="111"/>
      <c r="CF215" s="111"/>
      <c r="CH215" s="29"/>
      <c r="CI215" s="23" t="s">
        <v>397</v>
      </c>
      <c r="CJ215" s="28">
        <v>88</v>
      </c>
      <c r="DD215" s="23" t="s">
        <v>2040</v>
      </c>
    </row>
    <row r="216" spans="1:108" x14ac:dyDescent="0.2">
      <c r="A216" s="18">
        <v>931</v>
      </c>
      <c r="B216" s="19">
        <f t="shared" si="24"/>
        <v>9</v>
      </c>
      <c r="C216" s="19">
        <f t="shared" si="16"/>
        <v>9310009</v>
      </c>
      <c r="D216" s="19" t="str">
        <f t="shared" si="25"/>
        <v>화염 드래곤 하드 9단계</v>
      </c>
      <c r="E216" s="20" t="s">
        <v>1669</v>
      </c>
      <c r="I216" s="21" t="s">
        <v>1670</v>
      </c>
      <c r="J216" s="21"/>
      <c r="K216" s="21"/>
      <c r="L216" s="21"/>
      <c r="M216" s="21"/>
      <c r="N216" s="22" t="s">
        <v>1673</v>
      </c>
      <c r="O216" s="20" t="s">
        <v>1674</v>
      </c>
      <c r="Q216" s="20" t="s">
        <v>2041</v>
      </c>
      <c r="T216" s="20" t="s">
        <v>2267</v>
      </c>
      <c r="U216" s="117" t="s">
        <v>2233</v>
      </c>
      <c r="V216" s="20" t="s">
        <v>1674</v>
      </c>
      <c r="W216" s="20">
        <v>4</v>
      </c>
      <c r="X216" s="20">
        <v>4</v>
      </c>
      <c r="Y216" s="23" t="s">
        <v>6</v>
      </c>
      <c r="AA216" s="22"/>
      <c r="AB216" s="22"/>
      <c r="AC216" s="22"/>
      <c r="AD216" s="22"/>
      <c r="AE216" s="24"/>
      <c r="AF216" s="24" t="s">
        <v>2041</v>
      </c>
      <c r="AG216" s="22"/>
      <c r="AH216" s="32">
        <v>911109</v>
      </c>
      <c r="AJ216" s="26"/>
      <c r="AK216" s="27">
        <v>10000</v>
      </c>
      <c r="AL216" s="27"/>
      <c r="AO216" s="28" t="s">
        <v>2055</v>
      </c>
      <c r="AP216" s="111">
        <v>550276</v>
      </c>
      <c r="AQ216" s="111"/>
      <c r="AR216" s="111"/>
      <c r="AS216" s="111"/>
      <c r="AW216" s="27"/>
      <c r="AX216" s="27"/>
      <c r="AY216" s="27"/>
      <c r="BB216" s="28" t="s">
        <v>1956</v>
      </c>
      <c r="BC216" s="111">
        <v>550276</v>
      </c>
      <c r="BD216" s="111"/>
      <c r="BE216" s="111"/>
      <c r="BF216" s="111"/>
      <c r="BJ216" s="27"/>
      <c r="BK216" s="27"/>
      <c r="BL216" s="27"/>
      <c r="BO216" s="28" t="s">
        <v>1956</v>
      </c>
      <c r="BP216" s="111">
        <v>550276</v>
      </c>
      <c r="BQ216" s="111"/>
      <c r="BR216" s="111"/>
      <c r="BS216" s="111"/>
      <c r="BW216" s="27"/>
      <c r="BX216" s="27"/>
      <c r="BY216" s="27"/>
      <c r="CB216" s="28" t="s">
        <v>1956</v>
      </c>
      <c r="CC216" s="111">
        <v>550276</v>
      </c>
      <c r="CD216" s="111"/>
      <c r="CE216" s="111"/>
      <c r="CF216" s="111"/>
      <c r="CH216" s="29"/>
      <c r="CI216" s="23" t="s">
        <v>397</v>
      </c>
      <c r="CJ216" s="28">
        <v>92</v>
      </c>
      <c r="DD216" s="23" t="s">
        <v>2040</v>
      </c>
    </row>
    <row r="217" spans="1:108" x14ac:dyDescent="0.2">
      <c r="A217" s="18">
        <v>931</v>
      </c>
      <c r="B217" s="19">
        <f t="shared" si="24"/>
        <v>10</v>
      </c>
      <c r="C217" s="19">
        <f t="shared" si="16"/>
        <v>9310010</v>
      </c>
      <c r="D217" s="19" t="str">
        <f t="shared" si="25"/>
        <v>화염 드래곤 하드 10단계</v>
      </c>
      <c r="E217" s="20" t="s">
        <v>1669</v>
      </c>
      <c r="I217" s="21" t="s">
        <v>1670</v>
      </c>
      <c r="J217" s="21"/>
      <c r="K217" s="21"/>
      <c r="L217" s="21"/>
      <c r="M217" s="21"/>
      <c r="N217" s="22" t="s">
        <v>1673</v>
      </c>
      <c r="O217" s="20" t="s">
        <v>1674</v>
      </c>
      <c r="Q217" s="20" t="s">
        <v>2041</v>
      </c>
      <c r="T217" s="20" t="s">
        <v>2267</v>
      </c>
      <c r="U217" s="117" t="s">
        <v>2234</v>
      </c>
      <c r="V217" s="20" t="s">
        <v>1674</v>
      </c>
      <c r="W217" s="20">
        <v>4</v>
      </c>
      <c r="X217" s="20">
        <v>4</v>
      </c>
      <c r="Y217" s="23" t="s">
        <v>6</v>
      </c>
      <c r="AA217" s="22"/>
      <c r="AB217" s="22"/>
      <c r="AC217" s="22"/>
      <c r="AD217" s="22"/>
      <c r="AE217" s="24"/>
      <c r="AF217" s="24" t="s">
        <v>2041</v>
      </c>
      <c r="AG217" s="22"/>
      <c r="AH217" s="32">
        <v>911110</v>
      </c>
      <c r="AJ217" s="26"/>
      <c r="AK217" s="27">
        <v>10000</v>
      </c>
      <c r="AL217" s="27"/>
      <c r="AO217" s="28" t="s">
        <v>2055</v>
      </c>
      <c r="AP217" s="111">
        <v>550277</v>
      </c>
      <c r="AQ217" s="111"/>
      <c r="AR217" s="111"/>
      <c r="AS217" s="111"/>
      <c r="AW217" s="27"/>
      <c r="AX217" s="27"/>
      <c r="AY217" s="27"/>
      <c r="BB217" s="28" t="s">
        <v>1956</v>
      </c>
      <c r="BC217" s="111">
        <v>550277</v>
      </c>
      <c r="BD217" s="111"/>
      <c r="BE217" s="111"/>
      <c r="BF217" s="111"/>
      <c r="BJ217" s="27"/>
      <c r="BK217" s="27"/>
      <c r="BL217" s="27"/>
      <c r="BO217" s="28" t="s">
        <v>1956</v>
      </c>
      <c r="BP217" s="111">
        <v>550277</v>
      </c>
      <c r="BQ217" s="111"/>
      <c r="BR217" s="111"/>
      <c r="BS217" s="111"/>
      <c r="BW217" s="27"/>
      <c r="BX217" s="27"/>
      <c r="BY217" s="27"/>
      <c r="CB217" s="28" t="s">
        <v>1956</v>
      </c>
      <c r="CC217" s="111">
        <v>550277</v>
      </c>
      <c r="CD217" s="111"/>
      <c r="CE217" s="111"/>
      <c r="CF217" s="111"/>
      <c r="CH217" s="29"/>
      <c r="CI217" s="23" t="s">
        <v>397</v>
      </c>
      <c r="CJ217" s="28">
        <v>96</v>
      </c>
      <c r="DD217" s="23" t="s">
        <v>2040</v>
      </c>
    </row>
    <row r="218" spans="1:108" x14ac:dyDescent="0.2">
      <c r="A218" s="18">
        <v>932</v>
      </c>
      <c r="B218" s="19">
        <v>1</v>
      </c>
      <c r="C218" s="19">
        <f t="shared" si="16"/>
        <v>9320001</v>
      </c>
      <c r="D218" s="19" t="str">
        <f>"서리 드래곤 하드 "&amp;B218&amp;"단계"</f>
        <v>서리 드래곤 하드 1단계</v>
      </c>
      <c r="E218" s="20" t="s">
        <v>653</v>
      </c>
      <c r="I218" s="21" t="s">
        <v>486</v>
      </c>
      <c r="J218" s="21"/>
      <c r="K218" s="21"/>
      <c r="L218" s="21"/>
      <c r="M218" s="21"/>
      <c r="N218" s="22" t="s">
        <v>1673</v>
      </c>
      <c r="O218" s="20" t="s">
        <v>1132</v>
      </c>
      <c r="Q218" s="20" t="s">
        <v>2041</v>
      </c>
      <c r="T218" s="20" t="s">
        <v>2267</v>
      </c>
      <c r="U218" s="117" t="s">
        <v>2245</v>
      </c>
      <c r="V218" s="20" t="s">
        <v>1675</v>
      </c>
      <c r="W218" s="20">
        <v>4</v>
      </c>
      <c r="X218" s="20">
        <v>4</v>
      </c>
      <c r="Y218" s="23" t="s">
        <v>6</v>
      </c>
      <c r="AA218" s="22"/>
      <c r="AB218" s="22"/>
      <c r="AC218" s="22"/>
      <c r="AD218" s="22"/>
      <c r="AE218" s="24"/>
      <c r="AF218" s="24" t="s">
        <v>2041</v>
      </c>
      <c r="AG218" s="22"/>
      <c r="AH218" s="33">
        <v>912101</v>
      </c>
      <c r="AJ218" s="26"/>
      <c r="AK218" s="27">
        <v>10000</v>
      </c>
      <c r="AL218" s="27"/>
      <c r="AO218" s="28" t="s">
        <v>2056</v>
      </c>
      <c r="AP218" s="111">
        <v>550278</v>
      </c>
      <c r="AQ218" s="111"/>
      <c r="AR218" s="111"/>
      <c r="AS218" s="111"/>
      <c r="AW218" s="27"/>
      <c r="AX218" s="27"/>
      <c r="AY218" s="27"/>
      <c r="BB218" s="28" t="s">
        <v>2037</v>
      </c>
      <c r="BC218" s="111">
        <v>550278</v>
      </c>
      <c r="BD218" s="111"/>
      <c r="BE218" s="111"/>
      <c r="BF218" s="111"/>
      <c r="BJ218" s="27"/>
      <c r="BK218" s="27"/>
      <c r="BL218" s="27"/>
      <c r="BO218" s="28" t="s">
        <v>2037</v>
      </c>
      <c r="BP218" s="111">
        <v>550278</v>
      </c>
      <c r="BQ218" s="111"/>
      <c r="BR218" s="111"/>
      <c r="BS218" s="111"/>
      <c r="BW218" s="27"/>
      <c r="BX218" s="27"/>
      <c r="BY218" s="27"/>
      <c r="CB218" s="28" t="s">
        <v>2037</v>
      </c>
      <c r="CC218" s="111">
        <v>550278</v>
      </c>
      <c r="CD218" s="111"/>
      <c r="CE218" s="111"/>
      <c r="CF218" s="111"/>
      <c r="CH218" s="29"/>
      <c r="CI218" s="23" t="s">
        <v>397</v>
      </c>
      <c r="CJ218" s="28">
        <v>60</v>
      </c>
      <c r="DD218" s="23" t="s">
        <v>2040</v>
      </c>
    </row>
    <row r="219" spans="1:108" x14ac:dyDescent="0.2">
      <c r="A219" s="18">
        <v>932</v>
      </c>
      <c r="B219" s="19">
        <f>B218+1</f>
        <v>2</v>
      </c>
      <c r="C219" s="19">
        <f t="shared" si="16"/>
        <v>9320002</v>
      </c>
      <c r="D219" s="19" t="str">
        <f t="shared" ref="D219:D224" si="26">"서리 드래곤 하드 "&amp;B219&amp;"단계"</f>
        <v>서리 드래곤 하드 2단계</v>
      </c>
      <c r="E219" s="20" t="s">
        <v>653</v>
      </c>
      <c r="I219" s="21" t="s">
        <v>1670</v>
      </c>
      <c r="J219" s="21"/>
      <c r="K219" s="21"/>
      <c r="L219" s="21"/>
      <c r="M219" s="21"/>
      <c r="N219" s="22" t="s">
        <v>1673</v>
      </c>
      <c r="O219" s="20" t="s">
        <v>1675</v>
      </c>
      <c r="Q219" s="20" t="s">
        <v>2041</v>
      </c>
      <c r="T219" s="20" t="s">
        <v>2267</v>
      </c>
      <c r="U219" s="117" t="s">
        <v>2246</v>
      </c>
      <c r="V219" s="20" t="s">
        <v>1675</v>
      </c>
      <c r="W219" s="20">
        <v>4</v>
      </c>
      <c r="X219" s="20">
        <v>4</v>
      </c>
      <c r="Y219" s="23" t="s">
        <v>6</v>
      </c>
      <c r="AA219" s="22"/>
      <c r="AB219" s="22"/>
      <c r="AC219" s="22"/>
      <c r="AD219" s="22"/>
      <c r="AE219" s="24"/>
      <c r="AF219" s="24" t="s">
        <v>2041</v>
      </c>
      <c r="AG219" s="22"/>
      <c r="AH219" s="33">
        <v>912102</v>
      </c>
      <c r="AJ219" s="26"/>
      <c r="AK219" s="27">
        <v>10000</v>
      </c>
      <c r="AL219" s="27"/>
      <c r="AO219" s="28" t="s">
        <v>2056</v>
      </c>
      <c r="AP219" s="111">
        <v>550279</v>
      </c>
      <c r="AQ219" s="111"/>
      <c r="AR219" s="111"/>
      <c r="AS219" s="111"/>
      <c r="AW219" s="27"/>
      <c r="AX219" s="27"/>
      <c r="AY219" s="27"/>
      <c r="BB219" s="28" t="s">
        <v>2037</v>
      </c>
      <c r="BC219" s="111">
        <v>550279</v>
      </c>
      <c r="BD219" s="111"/>
      <c r="BE219" s="111"/>
      <c r="BF219" s="111"/>
      <c r="BJ219" s="27"/>
      <c r="BK219" s="27"/>
      <c r="BL219" s="27"/>
      <c r="BO219" s="28" t="s">
        <v>2037</v>
      </c>
      <c r="BP219" s="111">
        <v>550279</v>
      </c>
      <c r="BQ219" s="111"/>
      <c r="BR219" s="111"/>
      <c r="BS219" s="111"/>
      <c r="BW219" s="27"/>
      <c r="BX219" s="27"/>
      <c r="BY219" s="27"/>
      <c r="CB219" s="28" t="s">
        <v>2037</v>
      </c>
      <c r="CC219" s="111">
        <v>550279</v>
      </c>
      <c r="CD219" s="111"/>
      <c r="CE219" s="111"/>
      <c r="CF219" s="111"/>
      <c r="CH219" s="29"/>
      <c r="CI219" s="23" t="s">
        <v>397</v>
      </c>
      <c r="CJ219" s="28">
        <v>64</v>
      </c>
      <c r="DD219" s="23" t="s">
        <v>2040</v>
      </c>
    </row>
    <row r="220" spans="1:108" x14ac:dyDescent="0.2">
      <c r="A220" s="18">
        <v>932</v>
      </c>
      <c r="B220" s="19">
        <f t="shared" ref="B220:B227" si="27">B219+1</f>
        <v>3</v>
      </c>
      <c r="C220" s="19">
        <f t="shared" si="16"/>
        <v>9320003</v>
      </c>
      <c r="D220" s="19" t="str">
        <f t="shared" si="26"/>
        <v>서리 드래곤 하드 3단계</v>
      </c>
      <c r="E220" s="20" t="s">
        <v>653</v>
      </c>
      <c r="I220" s="21" t="s">
        <v>1670</v>
      </c>
      <c r="J220" s="21"/>
      <c r="K220" s="21"/>
      <c r="L220" s="21"/>
      <c r="M220" s="21"/>
      <c r="N220" s="22" t="s">
        <v>1673</v>
      </c>
      <c r="O220" s="20" t="s">
        <v>1675</v>
      </c>
      <c r="Q220" s="20" t="s">
        <v>2041</v>
      </c>
      <c r="T220" s="20" t="s">
        <v>2267</v>
      </c>
      <c r="U220" s="117" t="s">
        <v>2235</v>
      </c>
      <c r="V220" s="20" t="s">
        <v>1675</v>
      </c>
      <c r="W220" s="20">
        <v>4</v>
      </c>
      <c r="X220" s="20">
        <v>4</v>
      </c>
      <c r="Y220" s="23" t="s">
        <v>6</v>
      </c>
      <c r="AA220" s="22"/>
      <c r="AB220" s="22"/>
      <c r="AC220" s="22"/>
      <c r="AD220" s="22"/>
      <c r="AE220" s="24"/>
      <c r="AF220" s="24" t="s">
        <v>2041</v>
      </c>
      <c r="AG220" s="22"/>
      <c r="AH220" s="33">
        <v>912103</v>
      </c>
      <c r="AJ220" s="26"/>
      <c r="AK220" s="27">
        <v>10000</v>
      </c>
      <c r="AL220" s="27"/>
      <c r="AO220" s="28" t="s">
        <v>2056</v>
      </c>
      <c r="AP220" s="111">
        <v>550280</v>
      </c>
      <c r="AQ220" s="111"/>
      <c r="AR220" s="111"/>
      <c r="AS220" s="111"/>
      <c r="AW220" s="27"/>
      <c r="AX220" s="27"/>
      <c r="AY220" s="27"/>
      <c r="BB220" s="28" t="s">
        <v>2037</v>
      </c>
      <c r="BC220" s="111">
        <v>550280</v>
      </c>
      <c r="BD220" s="111"/>
      <c r="BE220" s="111"/>
      <c r="BF220" s="111"/>
      <c r="BJ220" s="27"/>
      <c r="BK220" s="27"/>
      <c r="BL220" s="27"/>
      <c r="BO220" s="28" t="s">
        <v>2037</v>
      </c>
      <c r="BP220" s="111">
        <v>550280</v>
      </c>
      <c r="BQ220" s="111"/>
      <c r="BR220" s="111"/>
      <c r="BS220" s="111"/>
      <c r="BW220" s="27"/>
      <c r="BX220" s="27"/>
      <c r="BY220" s="27"/>
      <c r="CB220" s="28" t="s">
        <v>2037</v>
      </c>
      <c r="CC220" s="111">
        <v>550280</v>
      </c>
      <c r="CD220" s="111"/>
      <c r="CE220" s="111"/>
      <c r="CF220" s="111"/>
      <c r="CH220" s="29"/>
      <c r="CI220" s="23" t="s">
        <v>397</v>
      </c>
      <c r="CJ220" s="28">
        <v>68</v>
      </c>
      <c r="DD220" s="23" t="s">
        <v>2040</v>
      </c>
    </row>
    <row r="221" spans="1:108" x14ac:dyDescent="0.2">
      <c r="A221" s="18">
        <v>932</v>
      </c>
      <c r="B221" s="19">
        <f t="shared" si="27"/>
        <v>4</v>
      </c>
      <c r="C221" s="19">
        <f t="shared" si="16"/>
        <v>9320004</v>
      </c>
      <c r="D221" s="19" t="str">
        <f t="shared" si="26"/>
        <v>서리 드래곤 하드 4단계</v>
      </c>
      <c r="E221" s="20" t="s">
        <v>653</v>
      </c>
      <c r="I221" s="21" t="s">
        <v>1670</v>
      </c>
      <c r="J221" s="21"/>
      <c r="K221" s="21"/>
      <c r="L221" s="21"/>
      <c r="M221" s="21"/>
      <c r="N221" s="22" t="s">
        <v>1673</v>
      </c>
      <c r="O221" s="20" t="s">
        <v>1675</v>
      </c>
      <c r="Q221" s="20" t="s">
        <v>2041</v>
      </c>
      <c r="T221" s="20" t="s">
        <v>2267</v>
      </c>
      <c r="U221" s="117" t="s">
        <v>2236</v>
      </c>
      <c r="V221" s="20" t="s">
        <v>1675</v>
      </c>
      <c r="W221" s="20">
        <v>4</v>
      </c>
      <c r="X221" s="20">
        <v>4</v>
      </c>
      <c r="Y221" s="23" t="s">
        <v>6</v>
      </c>
      <c r="AA221" s="22"/>
      <c r="AB221" s="22"/>
      <c r="AC221" s="22"/>
      <c r="AD221" s="22"/>
      <c r="AE221" s="24"/>
      <c r="AF221" s="24" t="s">
        <v>2041</v>
      </c>
      <c r="AG221" s="22"/>
      <c r="AH221" s="33">
        <v>912104</v>
      </c>
      <c r="AJ221" s="26"/>
      <c r="AK221" s="27">
        <v>10000</v>
      </c>
      <c r="AL221" s="27"/>
      <c r="AO221" s="28" t="s">
        <v>2056</v>
      </c>
      <c r="AP221" s="111">
        <v>550281</v>
      </c>
      <c r="AQ221" s="111"/>
      <c r="AR221" s="111"/>
      <c r="AS221" s="111"/>
      <c r="AW221" s="27"/>
      <c r="AX221" s="27"/>
      <c r="AY221" s="27"/>
      <c r="BB221" s="28" t="s">
        <v>2037</v>
      </c>
      <c r="BC221" s="111">
        <v>550281</v>
      </c>
      <c r="BD221" s="111"/>
      <c r="BE221" s="111"/>
      <c r="BF221" s="111"/>
      <c r="BJ221" s="27"/>
      <c r="BK221" s="27"/>
      <c r="BL221" s="27"/>
      <c r="BO221" s="28" t="s">
        <v>2037</v>
      </c>
      <c r="BP221" s="111">
        <v>550281</v>
      </c>
      <c r="BQ221" s="111"/>
      <c r="BR221" s="111"/>
      <c r="BS221" s="111"/>
      <c r="BW221" s="27"/>
      <c r="BX221" s="27"/>
      <c r="BY221" s="27"/>
      <c r="CB221" s="28" t="s">
        <v>2037</v>
      </c>
      <c r="CC221" s="111">
        <v>550281</v>
      </c>
      <c r="CD221" s="111"/>
      <c r="CE221" s="111"/>
      <c r="CF221" s="111"/>
      <c r="CH221" s="29"/>
      <c r="CI221" s="23" t="s">
        <v>397</v>
      </c>
      <c r="CJ221" s="28">
        <v>72</v>
      </c>
      <c r="DD221" s="23" t="s">
        <v>2040</v>
      </c>
    </row>
    <row r="222" spans="1:108" x14ac:dyDescent="0.2">
      <c r="A222" s="18">
        <v>932</v>
      </c>
      <c r="B222" s="19">
        <f t="shared" si="27"/>
        <v>5</v>
      </c>
      <c r="C222" s="19">
        <f t="shared" si="16"/>
        <v>9320005</v>
      </c>
      <c r="D222" s="19" t="str">
        <f t="shared" si="26"/>
        <v>서리 드래곤 하드 5단계</v>
      </c>
      <c r="E222" s="20" t="s">
        <v>653</v>
      </c>
      <c r="I222" s="21" t="s">
        <v>1670</v>
      </c>
      <c r="J222" s="21"/>
      <c r="K222" s="21"/>
      <c r="L222" s="21"/>
      <c r="M222" s="21"/>
      <c r="N222" s="22" t="s">
        <v>1673</v>
      </c>
      <c r="O222" s="20" t="s">
        <v>1675</v>
      </c>
      <c r="Q222" s="20" t="s">
        <v>2041</v>
      </c>
      <c r="T222" s="20" t="s">
        <v>2267</v>
      </c>
      <c r="U222" s="117" t="s">
        <v>2237</v>
      </c>
      <c r="V222" s="20" t="s">
        <v>1675</v>
      </c>
      <c r="W222" s="20">
        <v>4</v>
      </c>
      <c r="X222" s="20">
        <v>4</v>
      </c>
      <c r="Y222" s="23" t="s">
        <v>6</v>
      </c>
      <c r="AA222" s="22"/>
      <c r="AB222" s="22"/>
      <c r="AC222" s="22"/>
      <c r="AD222" s="22"/>
      <c r="AE222" s="24"/>
      <c r="AF222" s="24" t="s">
        <v>2041</v>
      </c>
      <c r="AG222" s="22"/>
      <c r="AH222" s="33">
        <v>912105</v>
      </c>
      <c r="AJ222" s="26"/>
      <c r="AK222" s="27">
        <v>10000</v>
      </c>
      <c r="AL222" s="27"/>
      <c r="AO222" s="28" t="s">
        <v>2056</v>
      </c>
      <c r="AP222" s="111">
        <v>550282</v>
      </c>
      <c r="AQ222" s="111"/>
      <c r="AR222" s="111"/>
      <c r="AS222" s="111"/>
      <c r="AW222" s="27"/>
      <c r="AX222" s="27"/>
      <c r="AY222" s="27"/>
      <c r="BB222" s="28" t="s">
        <v>2037</v>
      </c>
      <c r="BC222" s="111">
        <v>550282</v>
      </c>
      <c r="BD222" s="111"/>
      <c r="BE222" s="111"/>
      <c r="BF222" s="111"/>
      <c r="BJ222" s="27"/>
      <c r="BK222" s="27"/>
      <c r="BL222" s="27"/>
      <c r="BO222" s="28" t="s">
        <v>2037</v>
      </c>
      <c r="BP222" s="111">
        <v>550282</v>
      </c>
      <c r="BQ222" s="111"/>
      <c r="BR222" s="111"/>
      <c r="BS222" s="111"/>
      <c r="BW222" s="27"/>
      <c r="BX222" s="27"/>
      <c r="BY222" s="27"/>
      <c r="CB222" s="28" t="s">
        <v>2037</v>
      </c>
      <c r="CC222" s="111">
        <v>550282</v>
      </c>
      <c r="CD222" s="111"/>
      <c r="CE222" s="111"/>
      <c r="CF222" s="111"/>
      <c r="CH222" s="29"/>
      <c r="CI222" s="23" t="s">
        <v>397</v>
      </c>
      <c r="CJ222" s="28">
        <v>76</v>
      </c>
      <c r="DD222" s="23" t="s">
        <v>2040</v>
      </c>
    </row>
    <row r="223" spans="1:108" x14ac:dyDescent="0.2">
      <c r="A223" s="18">
        <v>932</v>
      </c>
      <c r="B223" s="19">
        <f t="shared" si="27"/>
        <v>6</v>
      </c>
      <c r="C223" s="19">
        <f t="shared" si="16"/>
        <v>9320006</v>
      </c>
      <c r="D223" s="19" t="str">
        <f t="shared" si="26"/>
        <v>서리 드래곤 하드 6단계</v>
      </c>
      <c r="E223" s="20" t="s">
        <v>653</v>
      </c>
      <c r="I223" s="21" t="s">
        <v>1670</v>
      </c>
      <c r="J223" s="21"/>
      <c r="K223" s="21"/>
      <c r="L223" s="21"/>
      <c r="M223" s="21"/>
      <c r="N223" s="22" t="s">
        <v>1673</v>
      </c>
      <c r="O223" s="20" t="s">
        <v>1675</v>
      </c>
      <c r="Q223" s="20" t="s">
        <v>2041</v>
      </c>
      <c r="T223" s="20" t="s">
        <v>2267</v>
      </c>
      <c r="U223" s="117" t="s">
        <v>2238</v>
      </c>
      <c r="V223" s="20" t="s">
        <v>1675</v>
      </c>
      <c r="W223" s="20">
        <v>4</v>
      </c>
      <c r="X223" s="20">
        <v>4</v>
      </c>
      <c r="Y223" s="23" t="s">
        <v>6</v>
      </c>
      <c r="AA223" s="22"/>
      <c r="AB223" s="22"/>
      <c r="AC223" s="22"/>
      <c r="AD223" s="22"/>
      <c r="AE223" s="24"/>
      <c r="AF223" s="24" t="s">
        <v>2041</v>
      </c>
      <c r="AG223" s="22"/>
      <c r="AH223" s="33">
        <v>912106</v>
      </c>
      <c r="AJ223" s="26"/>
      <c r="AK223" s="27">
        <v>10000</v>
      </c>
      <c r="AL223" s="27"/>
      <c r="AO223" s="28" t="s">
        <v>2056</v>
      </c>
      <c r="AP223" s="111">
        <v>550283</v>
      </c>
      <c r="AQ223" s="111"/>
      <c r="AR223" s="111"/>
      <c r="AS223" s="111"/>
      <c r="AW223" s="27"/>
      <c r="AX223" s="27"/>
      <c r="AY223" s="27"/>
      <c r="BB223" s="28" t="s">
        <v>2037</v>
      </c>
      <c r="BC223" s="111">
        <v>550283</v>
      </c>
      <c r="BD223" s="111"/>
      <c r="BE223" s="111"/>
      <c r="BF223" s="111"/>
      <c r="BJ223" s="27"/>
      <c r="BK223" s="27"/>
      <c r="BL223" s="27"/>
      <c r="BO223" s="28" t="s">
        <v>2037</v>
      </c>
      <c r="BP223" s="111">
        <v>550283</v>
      </c>
      <c r="BQ223" s="111"/>
      <c r="BR223" s="111"/>
      <c r="BS223" s="111"/>
      <c r="BW223" s="27"/>
      <c r="BX223" s="27"/>
      <c r="BY223" s="27"/>
      <c r="CB223" s="28" t="s">
        <v>2037</v>
      </c>
      <c r="CC223" s="111">
        <v>550283</v>
      </c>
      <c r="CD223" s="111"/>
      <c r="CE223" s="111"/>
      <c r="CF223" s="111"/>
      <c r="CH223" s="29"/>
      <c r="CI223" s="23" t="s">
        <v>397</v>
      </c>
      <c r="CJ223" s="28">
        <v>80</v>
      </c>
      <c r="DD223" s="23" t="s">
        <v>2040</v>
      </c>
    </row>
    <row r="224" spans="1:108" x14ac:dyDescent="0.2">
      <c r="A224" s="18">
        <v>932</v>
      </c>
      <c r="B224" s="19">
        <f t="shared" si="27"/>
        <v>7</v>
      </c>
      <c r="C224" s="19">
        <f t="shared" si="16"/>
        <v>9320007</v>
      </c>
      <c r="D224" s="19" t="str">
        <f t="shared" si="26"/>
        <v>서리 드래곤 하드 7단계</v>
      </c>
      <c r="E224" s="20" t="s">
        <v>653</v>
      </c>
      <c r="I224" s="21" t="s">
        <v>1670</v>
      </c>
      <c r="J224" s="21"/>
      <c r="K224" s="21"/>
      <c r="L224" s="21"/>
      <c r="M224" s="21"/>
      <c r="N224" s="22" t="s">
        <v>1673</v>
      </c>
      <c r="O224" s="20" t="s">
        <v>1675</v>
      </c>
      <c r="Q224" s="20" t="s">
        <v>2041</v>
      </c>
      <c r="T224" s="20" t="s">
        <v>2267</v>
      </c>
      <c r="U224" s="117" t="s">
        <v>2239</v>
      </c>
      <c r="V224" s="20" t="s">
        <v>1675</v>
      </c>
      <c r="W224" s="20">
        <v>4</v>
      </c>
      <c r="X224" s="20">
        <v>4</v>
      </c>
      <c r="Y224" s="23" t="s">
        <v>6</v>
      </c>
      <c r="AA224" s="22"/>
      <c r="AB224" s="22"/>
      <c r="AC224" s="22"/>
      <c r="AD224" s="22"/>
      <c r="AE224" s="24"/>
      <c r="AF224" s="24" t="s">
        <v>2041</v>
      </c>
      <c r="AG224" s="22"/>
      <c r="AH224" s="33">
        <v>912107</v>
      </c>
      <c r="AJ224" s="26"/>
      <c r="AK224" s="27">
        <v>10000</v>
      </c>
      <c r="AL224" s="27"/>
      <c r="AO224" s="28" t="s">
        <v>2056</v>
      </c>
      <c r="AP224" s="111">
        <v>550284</v>
      </c>
      <c r="AQ224" s="111"/>
      <c r="AR224" s="111"/>
      <c r="AS224" s="111"/>
      <c r="AW224" s="27"/>
      <c r="AX224" s="27"/>
      <c r="AY224" s="27"/>
      <c r="BB224" s="28" t="s">
        <v>2037</v>
      </c>
      <c r="BC224" s="111">
        <v>550284</v>
      </c>
      <c r="BD224" s="111"/>
      <c r="BE224" s="111"/>
      <c r="BF224" s="111"/>
      <c r="BJ224" s="27"/>
      <c r="BK224" s="27"/>
      <c r="BL224" s="27"/>
      <c r="BO224" s="28" t="s">
        <v>2037</v>
      </c>
      <c r="BP224" s="111">
        <v>550284</v>
      </c>
      <c r="BQ224" s="111"/>
      <c r="BR224" s="111"/>
      <c r="BS224" s="111"/>
      <c r="BW224" s="27"/>
      <c r="BX224" s="27"/>
      <c r="BY224" s="27"/>
      <c r="CB224" s="28" t="s">
        <v>2037</v>
      </c>
      <c r="CC224" s="111">
        <v>550284</v>
      </c>
      <c r="CD224" s="111"/>
      <c r="CE224" s="111"/>
      <c r="CF224" s="111"/>
      <c r="CH224" s="29"/>
      <c r="CI224" s="23" t="s">
        <v>397</v>
      </c>
      <c r="CJ224" s="28">
        <v>84</v>
      </c>
      <c r="DD224" s="23" t="s">
        <v>2040</v>
      </c>
    </row>
    <row r="225" spans="1:108" x14ac:dyDescent="0.2">
      <c r="A225" s="18">
        <v>932</v>
      </c>
      <c r="B225" s="19">
        <f t="shared" si="27"/>
        <v>8</v>
      </c>
      <c r="C225" s="19">
        <f t="shared" si="16"/>
        <v>9320008</v>
      </c>
      <c r="D225" s="19" t="str">
        <f t="shared" ref="D225:D227" si="28">"서리 드래곤 하드 "&amp;B225&amp;"단계"</f>
        <v>서리 드래곤 하드 8단계</v>
      </c>
      <c r="E225" s="20" t="s">
        <v>653</v>
      </c>
      <c r="I225" s="21" t="s">
        <v>1670</v>
      </c>
      <c r="J225" s="21"/>
      <c r="K225" s="21"/>
      <c r="L225" s="21"/>
      <c r="M225" s="21"/>
      <c r="N225" s="22" t="s">
        <v>1673</v>
      </c>
      <c r="O225" s="20" t="s">
        <v>1675</v>
      </c>
      <c r="Q225" s="20" t="s">
        <v>2041</v>
      </c>
      <c r="T225" s="20" t="s">
        <v>2267</v>
      </c>
      <c r="U225" s="117" t="s">
        <v>2240</v>
      </c>
      <c r="V225" s="20" t="s">
        <v>1675</v>
      </c>
      <c r="W225" s="20">
        <v>4</v>
      </c>
      <c r="X225" s="20">
        <v>4</v>
      </c>
      <c r="Y225" s="23" t="s">
        <v>6</v>
      </c>
      <c r="AA225" s="22"/>
      <c r="AB225" s="22"/>
      <c r="AC225" s="22"/>
      <c r="AD225" s="22"/>
      <c r="AE225" s="24"/>
      <c r="AF225" s="24" t="s">
        <v>2041</v>
      </c>
      <c r="AG225" s="22"/>
      <c r="AH225" s="33">
        <v>912108</v>
      </c>
      <c r="AJ225" s="26"/>
      <c r="AK225" s="27">
        <v>10000</v>
      </c>
      <c r="AL225" s="27"/>
      <c r="AO225" s="28" t="s">
        <v>2056</v>
      </c>
      <c r="AP225" s="111">
        <v>550285</v>
      </c>
      <c r="AQ225" s="111"/>
      <c r="AR225" s="111"/>
      <c r="AS225" s="111"/>
      <c r="AW225" s="27"/>
      <c r="AX225" s="27"/>
      <c r="AY225" s="27"/>
      <c r="BB225" s="28" t="s">
        <v>2037</v>
      </c>
      <c r="BC225" s="111">
        <v>550285</v>
      </c>
      <c r="BD225" s="111"/>
      <c r="BE225" s="111"/>
      <c r="BF225" s="111"/>
      <c r="BJ225" s="27"/>
      <c r="BK225" s="27"/>
      <c r="BL225" s="27"/>
      <c r="BO225" s="28" t="s">
        <v>2037</v>
      </c>
      <c r="BP225" s="111">
        <v>550285</v>
      </c>
      <c r="BQ225" s="111"/>
      <c r="BR225" s="111"/>
      <c r="BS225" s="111"/>
      <c r="BW225" s="27"/>
      <c r="BX225" s="27"/>
      <c r="BY225" s="27"/>
      <c r="CB225" s="28" t="s">
        <v>2037</v>
      </c>
      <c r="CC225" s="111">
        <v>550285</v>
      </c>
      <c r="CD225" s="111"/>
      <c r="CE225" s="111"/>
      <c r="CF225" s="111"/>
      <c r="CH225" s="29"/>
      <c r="CI225" s="23" t="s">
        <v>397</v>
      </c>
      <c r="CJ225" s="28">
        <v>88</v>
      </c>
      <c r="DD225" s="23" t="s">
        <v>2040</v>
      </c>
    </row>
    <row r="226" spans="1:108" x14ac:dyDescent="0.2">
      <c r="A226" s="18">
        <v>932</v>
      </c>
      <c r="B226" s="19">
        <f t="shared" si="27"/>
        <v>9</v>
      </c>
      <c r="C226" s="19">
        <f t="shared" si="16"/>
        <v>9320009</v>
      </c>
      <c r="D226" s="19" t="str">
        <f t="shared" si="28"/>
        <v>서리 드래곤 하드 9단계</v>
      </c>
      <c r="E226" s="20" t="s">
        <v>653</v>
      </c>
      <c r="I226" s="21" t="s">
        <v>1670</v>
      </c>
      <c r="J226" s="21"/>
      <c r="K226" s="21"/>
      <c r="L226" s="21"/>
      <c r="M226" s="21"/>
      <c r="N226" s="22" t="s">
        <v>1673</v>
      </c>
      <c r="O226" s="20" t="s">
        <v>1675</v>
      </c>
      <c r="Q226" s="20" t="s">
        <v>2041</v>
      </c>
      <c r="T226" s="20" t="s">
        <v>2267</v>
      </c>
      <c r="U226" s="117" t="s">
        <v>2241</v>
      </c>
      <c r="V226" s="20" t="s">
        <v>1675</v>
      </c>
      <c r="W226" s="20">
        <v>4</v>
      </c>
      <c r="X226" s="20">
        <v>4</v>
      </c>
      <c r="Y226" s="23" t="s">
        <v>6</v>
      </c>
      <c r="AA226" s="22"/>
      <c r="AB226" s="22"/>
      <c r="AC226" s="22"/>
      <c r="AD226" s="22"/>
      <c r="AE226" s="24"/>
      <c r="AF226" s="24" t="s">
        <v>2041</v>
      </c>
      <c r="AG226" s="22"/>
      <c r="AH226" s="33">
        <v>912109</v>
      </c>
      <c r="AJ226" s="26"/>
      <c r="AK226" s="27">
        <v>10000</v>
      </c>
      <c r="AL226" s="27"/>
      <c r="AO226" s="28" t="s">
        <v>2056</v>
      </c>
      <c r="AP226" s="111">
        <v>550286</v>
      </c>
      <c r="AQ226" s="111"/>
      <c r="AR226" s="111"/>
      <c r="AS226" s="111"/>
      <c r="AW226" s="27"/>
      <c r="AX226" s="27"/>
      <c r="AY226" s="27"/>
      <c r="BB226" s="28" t="s">
        <v>2037</v>
      </c>
      <c r="BC226" s="111">
        <v>550286</v>
      </c>
      <c r="BD226" s="111"/>
      <c r="BE226" s="111"/>
      <c r="BF226" s="111"/>
      <c r="BJ226" s="27"/>
      <c r="BK226" s="27"/>
      <c r="BL226" s="27"/>
      <c r="BO226" s="28" t="s">
        <v>2037</v>
      </c>
      <c r="BP226" s="111">
        <v>550286</v>
      </c>
      <c r="BQ226" s="111"/>
      <c r="BR226" s="111"/>
      <c r="BS226" s="111"/>
      <c r="BW226" s="27"/>
      <c r="BX226" s="27"/>
      <c r="BY226" s="27"/>
      <c r="CB226" s="28" t="s">
        <v>2037</v>
      </c>
      <c r="CC226" s="111">
        <v>550286</v>
      </c>
      <c r="CD226" s="111"/>
      <c r="CE226" s="111"/>
      <c r="CF226" s="111"/>
      <c r="CH226" s="29"/>
      <c r="CI226" s="23" t="s">
        <v>397</v>
      </c>
      <c r="CJ226" s="28">
        <v>92</v>
      </c>
      <c r="DD226" s="23" t="s">
        <v>2040</v>
      </c>
    </row>
    <row r="227" spans="1:108" x14ac:dyDescent="0.2">
      <c r="A227" s="18">
        <v>932</v>
      </c>
      <c r="B227" s="19">
        <f t="shared" si="27"/>
        <v>10</v>
      </c>
      <c r="C227" s="19">
        <f t="shared" si="16"/>
        <v>9320010</v>
      </c>
      <c r="D227" s="19" t="str">
        <f t="shared" si="28"/>
        <v>서리 드래곤 하드 10단계</v>
      </c>
      <c r="E227" s="20" t="s">
        <v>653</v>
      </c>
      <c r="I227" s="21" t="s">
        <v>1670</v>
      </c>
      <c r="J227" s="21"/>
      <c r="K227" s="21"/>
      <c r="L227" s="21"/>
      <c r="M227" s="21"/>
      <c r="N227" s="22" t="s">
        <v>1673</v>
      </c>
      <c r="O227" s="20" t="s">
        <v>1675</v>
      </c>
      <c r="Q227" s="20" t="s">
        <v>2041</v>
      </c>
      <c r="T227" s="20" t="s">
        <v>2267</v>
      </c>
      <c r="U227" s="117" t="s">
        <v>2242</v>
      </c>
      <c r="V227" s="20" t="s">
        <v>1675</v>
      </c>
      <c r="W227" s="20">
        <v>4</v>
      </c>
      <c r="X227" s="20">
        <v>4</v>
      </c>
      <c r="Y227" s="23" t="s">
        <v>6</v>
      </c>
      <c r="AA227" s="22"/>
      <c r="AB227" s="22"/>
      <c r="AC227" s="22"/>
      <c r="AD227" s="22"/>
      <c r="AE227" s="24"/>
      <c r="AF227" s="24" t="s">
        <v>2041</v>
      </c>
      <c r="AG227" s="22"/>
      <c r="AH227" s="33">
        <v>912110</v>
      </c>
      <c r="AJ227" s="26"/>
      <c r="AK227" s="27">
        <v>10000</v>
      </c>
      <c r="AL227" s="27"/>
      <c r="AO227" s="28" t="s">
        <v>2056</v>
      </c>
      <c r="AP227" s="111">
        <v>550287</v>
      </c>
      <c r="AQ227" s="111"/>
      <c r="AR227" s="111"/>
      <c r="AS227" s="111"/>
      <c r="AW227" s="27"/>
      <c r="AX227" s="27"/>
      <c r="AY227" s="27"/>
      <c r="BB227" s="28" t="s">
        <v>2037</v>
      </c>
      <c r="BC227" s="111">
        <v>550287</v>
      </c>
      <c r="BD227" s="111"/>
      <c r="BE227" s="111"/>
      <c r="BF227" s="111"/>
      <c r="BJ227" s="27"/>
      <c r="BK227" s="27"/>
      <c r="BL227" s="27"/>
      <c r="BO227" s="28" t="s">
        <v>2037</v>
      </c>
      <c r="BP227" s="111">
        <v>550287</v>
      </c>
      <c r="BQ227" s="111"/>
      <c r="BR227" s="111"/>
      <c r="BS227" s="111"/>
      <c r="BW227" s="27"/>
      <c r="BX227" s="27"/>
      <c r="BY227" s="27"/>
      <c r="CB227" s="28" t="s">
        <v>2037</v>
      </c>
      <c r="CC227" s="111">
        <v>550287</v>
      </c>
      <c r="CD227" s="111"/>
      <c r="CE227" s="111"/>
      <c r="CF227" s="111"/>
      <c r="CH227" s="29"/>
      <c r="CI227" s="23" t="s">
        <v>397</v>
      </c>
      <c r="CJ227" s="28">
        <v>96</v>
      </c>
      <c r="DD227" s="23" t="s">
        <v>2040</v>
      </c>
    </row>
    <row r="228" spans="1:108" x14ac:dyDescent="0.2">
      <c r="A228" s="18">
        <v>933</v>
      </c>
      <c r="B228" s="19">
        <v>1</v>
      </c>
      <c r="C228" s="19">
        <f t="shared" si="16"/>
        <v>9330001</v>
      </c>
      <c r="D228" s="19" t="str">
        <f>"맹독 드래곤 하드 "&amp;B228&amp;"단계"</f>
        <v>맹독 드래곤 하드 1단계</v>
      </c>
      <c r="E228" s="20" t="s">
        <v>694</v>
      </c>
      <c r="I228" s="21" t="s">
        <v>486</v>
      </c>
      <c r="J228" s="21"/>
      <c r="K228" s="21"/>
      <c r="L228" s="21"/>
      <c r="M228" s="21"/>
      <c r="N228" s="22" t="s">
        <v>1673</v>
      </c>
      <c r="O228" s="20" t="s">
        <v>1134</v>
      </c>
      <c r="Q228" s="20" t="s">
        <v>2041</v>
      </c>
      <c r="T228" s="20" t="s">
        <v>2267</v>
      </c>
      <c r="U228" s="117" t="s">
        <v>2247</v>
      </c>
      <c r="V228" s="20" t="s">
        <v>1677</v>
      </c>
      <c r="W228" s="20">
        <v>4</v>
      </c>
      <c r="X228" s="20">
        <v>4</v>
      </c>
      <c r="Y228" s="23" t="s">
        <v>145</v>
      </c>
      <c r="AB228" s="22"/>
      <c r="AC228" s="22"/>
      <c r="AD228" s="22"/>
      <c r="AE228" s="24"/>
      <c r="AF228" s="24" t="s">
        <v>2041</v>
      </c>
      <c r="AG228" s="22"/>
      <c r="AH228" s="33">
        <v>913101</v>
      </c>
      <c r="AJ228" s="26"/>
      <c r="AK228" s="27">
        <v>10000</v>
      </c>
      <c r="AL228" s="27"/>
      <c r="AO228" s="28" t="s">
        <v>2057</v>
      </c>
      <c r="AP228" s="111">
        <v>550288</v>
      </c>
      <c r="AQ228" s="111"/>
      <c r="AR228" s="111"/>
      <c r="AS228" s="111"/>
      <c r="AW228" s="27"/>
      <c r="AX228" s="27"/>
      <c r="AY228" s="27"/>
      <c r="BB228" s="28" t="s">
        <v>2038</v>
      </c>
      <c r="BC228" s="111">
        <v>550288</v>
      </c>
      <c r="BD228" s="111"/>
      <c r="BE228" s="111"/>
      <c r="BF228" s="111"/>
      <c r="BJ228" s="27"/>
      <c r="BK228" s="27"/>
      <c r="BL228" s="27"/>
      <c r="BO228" s="28" t="s">
        <v>2038</v>
      </c>
      <c r="BP228" s="111">
        <v>550288</v>
      </c>
      <c r="BQ228" s="111"/>
      <c r="BR228" s="111"/>
      <c r="BS228" s="111"/>
      <c r="BW228" s="27"/>
      <c r="BX228" s="27"/>
      <c r="BY228" s="27"/>
      <c r="CB228" s="28" t="s">
        <v>2038</v>
      </c>
      <c r="CC228" s="111">
        <v>550288</v>
      </c>
      <c r="CD228" s="111"/>
      <c r="CE228" s="111"/>
      <c r="CF228" s="111"/>
      <c r="CH228" s="29"/>
      <c r="CI228" s="23" t="s">
        <v>397</v>
      </c>
      <c r="CJ228" s="28">
        <v>60</v>
      </c>
      <c r="DD228" s="23" t="s">
        <v>2040</v>
      </c>
    </row>
    <row r="229" spans="1:108" x14ac:dyDescent="0.2">
      <c r="A229" s="18">
        <v>933</v>
      </c>
      <c r="B229" s="19">
        <f>B228+1</f>
        <v>2</v>
      </c>
      <c r="C229" s="19">
        <f t="shared" si="16"/>
        <v>9330002</v>
      </c>
      <c r="D229" s="19" t="str">
        <f t="shared" ref="D229:D234" si="29">"맹독 드래곤 하드 "&amp;B229&amp;"단계"</f>
        <v>맹독 드래곤 하드 2단계</v>
      </c>
      <c r="E229" s="20" t="s">
        <v>1672</v>
      </c>
      <c r="I229" s="21" t="s">
        <v>1670</v>
      </c>
      <c r="J229" s="21"/>
      <c r="K229" s="21"/>
      <c r="L229" s="21"/>
      <c r="M229" s="21"/>
      <c r="N229" s="22" t="s">
        <v>1673</v>
      </c>
      <c r="O229" s="20" t="s">
        <v>1677</v>
      </c>
      <c r="Q229" s="20" t="s">
        <v>2041</v>
      </c>
      <c r="T229" s="20" t="s">
        <v>2267</v>
      </c>
      <c r="U229" s="117" t="s">
        <v>2252</v>
      </c>
      <c r="V229" s="20" t="s">
        <v>1677</v>
      </c>
      <c r="W229" s="20">
        <v>4</v>
      </c>
      <c r="X229" s="20">
        <v>4</v>
      </c>
      <c r="Y229" s="23" t="s">
        <v>6</v>
      </c>
      <c r="AB229" s="22"/>
      <c r="AC229" s="22"/>
      <c r="AD229" s="22"/>
      <c r="AE229" s="24"/>
      <c r="AF229" s="24" t="s">
        <v>2041</v>
      </c>
      <c r="AG229" s="22"/>
      <c r="AH229" s="33">
        <v>913102</v>
      </c>
      <c r="AJ229" s="26"/>
      <c r="AK229" s="27">
        <v>10000</v>
      </c>
      <c r="AL229" s="27"/>
      <c r="AO229" s="28" t="s">
        <v>2057</v>
      </c>
      <c r="AP229" s="111">
        <v>550289</v>
      </c>
      <c r="AQ229" s="111"/>
      <c r="AR229" s="111"/>
      <c r="AS229" s="111"/>
      <c r="AW229" s="27"/>
      <c r="AX229" s="27"/>
      <c r="AY229" s="27"/>
      <c r="BB229" s="28" t="s">
        <v>2038</v>
      </c>
      <c r="BC229" s="111">
        <v>550289</v>
      </c>
      <c r="BD229" s="111"/>
      <c r="BE229" s="111"/>
      <c r="BF229" s="111"/>
      <c r="BJ229" s="27"/>
      <c r="BK229" s="27"/>
      <c r="BL229" s="27"/>
      <c r="BO229" s="28" t="s">
        <v>2038</v>
      </c>
      <c r="BP229" s="111">
        <v>550289</v>
      </c>
      <c r="BQ229" s="111"/>
      <c r="BR229" s="111"/>
      <c r="BS229" s="111"/>
      <c r="BW229" s="27"/>
      <c r="BX229" s="27"/>
      <c r="BY229" s="27"/>
      <c r="CB229" s="28" t="s">
        <v>2038</v>
      </c>
      <c r="CC229" s="111">
        <v>550289</v>
      </c>
      <c r="CD229" s="111"/>
      <c r="CE229" s="111"/>
      <c r="CF229" s="111"/>
      <c r="CH229" s="29"/>
      <c r="CI229" s="23" t="s">
        <v>397</v>
      </c>
      <c r="CJ229" s="28">
        <v>64</v>
      </c>
      <c r="DD229" s="23" t="s">
        <v>2040</v>
      </c>
    </row>
    <row r="230" spans="1:108" x14ac:dyDescent="0.2">
      <c r="A230" s="18">
        <v>933</v>
      </c>
      <c r="B230" s="19">
        <f t="shared" ref="B230:B237" si="30">B229+1</f>
        <v>3</v>
      </c>
      <c r="C230" s="19">
        <f t="shared" si="16"/>
        <v>9330003</v>
      </c>
      <c r="D230" s="19" t="str">
        <f t="shared" si="29"/>
        <v>맹독 드래곤 하드 3단계</v>
      </c>
      <c r="E230" s="20" t="s">
        <v>1672</v>
      </c>
      <c r="I230" s="21" t="s">
        <v>1670</v>
      </c>
      <c r="J230" s="21"/>
      <c r="K230" s="21"/>
      <c r="L230" s="21"/>
      <c r="M230" s="21"/>
      <c r="N230" s="22" t="s">
        <v>1673</v>
      </c>
      <c r="O230" s="20" t="s">
        <v>1677</v>
      </c>
      <c r="Q230" s="20" t="s">
        <v>2041</v>
      </c>
      <c r="T230" s="20" t="s">
        <v>2267</v>
      </c>
      <c r="U230" s="117" t="s">
        <v>2248</v>
      </c>
      <c r="V230" s="20" t="s">
        <v>1677</v>
      </c>
      <c r="W230" s="20">
        <v>4</v>
      </c>
      <c r="X230" s="20">
        <v>4</v>
      </c>
      <c r="Y230" s="23" t="s">
        <v>6</v>
      </c>
      <c r="AB230" s="22"/>
      <c r="AC230" s="22"/>
      <c r="AD230" s="22"/>
      <c r="AE230" s="24"/>
      <c r="AF230" s="24" t="s">
        <v>2041</v>
      </c>
      <c r="AG230" s="22"/>
      <c r="AH230" s="33">
        <v>913103</v>
      </c>
      <c r="AJ230" s="26"/>
      <c r="AK230" s="27">
        <v>10000</v>
      </c>
      <c r="AL230" s="27"/>
      <c r="AO230" s="28" t="s">
        <v>2057</v>
      </c>
      <c r="AP230" s="111">
        <v>550290</v>
      </c>
      <c r="AQ230" s="111"/>
      <c r="AR230" s="111"/>
      <c r="AS230" s="111"/>
      <c r="AW230" s="27"/>
      <c r="AX230" s="27"/>
      <c r="AY230" s="27"/>
      <c r="BB230" s="28" t="s">
        <v>2038</v>
      </c>
      <c r="BC230" s="111">
        <v>550290</v>
      </c>
      <c r="BD230" s="111"/>
      <c r="BE230" s="111"/>
      <c r="BF230" s="111"/>
      <c r="BJ230" s="27"/>
      <c r="BK230" s="27"/>
      <c r="BL230" s="27"/>
      <c r="BO230" s="28" t="s">
        <v>2038</v>
      </c>
      <c r="BP230" s="111">
        <v>550290</v>
      </c>
      <c r="BQ230" s="111"/>
      <c r="BR230" s="111"/>
      <c r="BS230" s="111"/>
      <c r="BW230" s="27"/>
      <c r="BX230" s="27"/>
      <c r="BY230" s="27"/>
      <c r="CB230" s="28" t="s">
        <v>2038</v>
      </c>
      <c r="CC230" s="111">
        <v>550290</v>
      </c>
      <c r="CD230" s="111"/>
      <c r="CE230" s="111"/>
      <c r="CF230" s="111"/>
      <c r="CH230" s="29"/>
      <c r="CI230" s="23" t="s">
        <v>397</v>
      </c>
      <c r="CJ230" s="28">
        <v>68</v>
      </c>
      <c r="DD230" s="23" t="s">
        <v>2040</v>
      </c>
    </row>
    <row r="231" spans="1:108" x14ac:dyDescent="0.2">
      <c r="A231" s="18">
        <v>933</v>
      </c>
      <c r="B231" s="19">
        <f t="shared" si="30"/>
        <v>4</v>
      </c>
      <c r="C231" s="19">
        <f t="shared" si="16"/>
        <v>9330004</v>
      </c>
      <c r="D231" s="19" t="str">
        <f t="shared" si="29"/>
        <v>맹독 드래곤 하드 4단계</v>
      </c>
      <c r="E231" s="20" t="s">
        <v>1672</v>
      </c>
      <c r="I231" s="21" t="s">
        <v>1670</v>
      </c>
      <c r="J231" s="21"/>
      <c r="K231" s="21"/>
      <c r="L231" s="21"/>
      <c r="M231" s="21"/>
      <c r="N231" s="22" t="s">
        <v>1673</v>
      </c>
      <c r="O231" s="20" t="s">
        <v>1677</v>
      </c>
      <c r="Q231" s="20" t="s">
        <v>2041</v>
      </c>
      <c r="T231" s="20" t="s">
        <v>2267</v>
      </c>
      <c r="U231" s="117" t="s">
        <v>2249</v>
      </c>
      <c r="V231" s="20" t="s">
        <v>1677</v>
      </c>
      <c r="W231" s="20">
        <v>4</v>
      </c>
      <c r="X231" s="20">
        <v>4</v>
      </c>
      <c r="Y231" s="23" t="s">
        <v>6</v>
      </c>
      <c r="AB231" s="22"/>
      <c r="AC231" s="22"/>
      <c r="AD231" s="22"/>
      <c r="AE231" s="24"/>
      <c r="AF231" s="24" t="s">
        <v>2041</v>
      </c>
      <c r="AG231" s="22"/>
      <c r="AH231" s="33">
        <v>913104</v>
      </c>
      <c r="AJ231" s="26"/>
      <c r="AK231" s="27">
        <v>10000</v>
      </c>
      <c r="AL231" s="27"/>
      <c r="AO231" s="28" t="s">
        <v>2057</v>
      </c>
      <c r="AP231" s="111">
        <v>550291</v>
      </c>
      <c r="AQ231" s="111"/>
      <c r="AR231" s="111"/>
      <c r="AS231" s="111"/>
      <c r="AW231" s="27"/>
      <c r="AX231" s="27"/>
      <c r="AY231" s="27"/>
      <c r="BB231" s="28" t="s">
        <v>2038</v>
      </c>
      <c r="BC231" s="111">
        <v>550291</v>
      </c>
      <c r="BD231" s="111"/>
      <c r="BE231" s="111"/>
      <c r="BF231" s="111"/>
      <c r="BJ231" s="27"/>
      <c r="BK231" s="27"/>
      <c r="BL231" s="27"/>
      <c r="BO231" s="28" t="s">
        <v>2038</v>
      </c>
      <c r="BP231" s="111">
        <v>550291</v>
      </c>
      <c r="BQ231" s="111"/>
      <c r="BR231" s="111"/>
      <c r="BS231" s="111"/>
      <c r="BW231" s="27"/>
      <c r="BX231" s="27"/>
      <c r="BY231" s="27"/>
      <c r="CB231" s="28" t="s">
        <v>2038</v>
      </c>
      <c r="CC231" s="111">
        <v>550291</v>
      </c>
      <c r="CD231" s="111"/>
      <c r="CE231" s="111"/>
      <c r="CF231" s="111"/>
      <c r="CH231" s="29"/>
      <c r="CI231" s="23" t="s">
        <v>397</v>
      </c>
      <c r="CJ231" s="28">
        <v>72</v>
      </c>
      <c r="DD231" s="23" t="s">
        <v>2040</v>
      </c>
    </row>
    <row r="232" spans="1:108" x14ac:dyDescent="0.2">
      <c r="A232" s="18">
        <v>933</v>
      </c>
      <c r="B232" s="19">
        <f t="shared" si="30"/>
        <v>5</v>
      </c>
      <c r="C232" s="19">
        <f t="shared" si="16"/>
        <v>9330005</v>
      </c>
      <c r="D232" s="19" t="str">
        <f t="shared" si="29"/>
        <v>맹독 드래곤 하드 5단계</v>
      </c>
      <c r="E232" s="20" t="s">
        <v>1672</v>
      </c>
      <c r="I232" s="21" t="s">
        <v>1670</v>
      </c>
      <c r="J232" s="21"/>
      <c r="K232" s="21"/>
      <c r="L232" s="21"/>
      <c r="M232" s="21"/>
      <c r="N232" s="22" t="s">
        <v>1673</v>
      </c>
      <c r="O232" s="20" t="s">
        <v>1677</v>
      </c>
      <c r="Q232" s="20" t="s">
        <v>2041</v>
      </c>
      <c r="T232" s="20" t="s">
        <v>2267</v>
      </c>
      <c r="U232" s="117" t="s">
        <v>2250</v>
      </c>
      <c r="V232" s="20" t="s">
        <v>1677</v>
      </c>
      <c r="W232" s="20">
        <v>4</v>
      </c>
      <c r="X232" s="20">
        <v>4</v>
      </c>
      <c r="Y232" s="23" t="s">
        <v>6</v>
      </c>
      <c r="AB232" s="22"/>
      <c r="AC232" s="22"/>
      <c r="AD232" s="22"/>
      <c r="AE232" s="24"/>
      <c r="AF232" s="24" t="s">
        <v>2041</v>
      </c>
      <c r="AG232" s="22"/>
      <c r="AH232" s="33">
        <v>913105</v>
      </c>
      <c r="AJ232" s="26"/>
      <c r="AK232" s="27">
        <v>10000</v>
      </c>
      <c r="AL232" s="27"/>
      <c r="AO232" s="28" t="s">
        <v>2057</v>
      </c>
      <c r="AP232" s="111">
        <v>550292</v>
      </c>
      <c r="AQ232" s="111"/>
      <c r="AR232" s="111"/>
      <c r="AS232" s="111"/>
      <c r="AW232" s="27"/>
      <c r="AX232" s="27"/>
      <c r="AY232" s="27"/>
      <c r="BB232" s="28" t="s">
        <v>2038</v>
      </c>
      <c r="BC232" s="111">
        <v>550292</v>
      </c>
      <c r="BD232" s="111"/>
      <c r="BE232" s="111"/>
      <c r="BF232" s="111"/>
      <c r="BJ232" s="27"/>
      <c r="BK232" s="27"/>
      <c r="BL232" s="27"/>
      <c r="BO232" s="28" t="s">
        <v>2038</v>
      </c>
      <c r="BP232" s="111">
        <v>550292</v>
      </c>
      <c r="BQ232" s="111"/>
      <c r="BR232" s="111"/>
      <c r="BS232" s="111"/>
      <c r="BW232" s="27"/>
      <c r="BX232" s="27"/>
      <c r="BY232" s="27"/>
      <c r="CB232" s="28" t="s">
        <v>2038</v>
      </c>
      <c r="CC232" s="111">
        <v>550292</v>
      </c>
      <c r="CD232" s="111"/>
      <c r="CE232" s="111"/>
      <c r="CF232" s="111"/>
      <c r="CH232" s="29"/>
      <c r="CI232" s="23" t="s">
        <v>397</v>
      </c>
      <c r="CJ232" s="28">
        <v>76</v>
      </c>
      <c r="DD232" s="23" t="s">
        <v>2040</v>
      </c>
    </row>
    <row r="233" spans="1:108" x14ac:dyDescent="0.2">
      <c r="A233" s="18">
        <v>933</v>
      </c>
      <c r="B233" s="19">
        <f t="shared" si="30"/>
        <v>6</v>
      </c>
      <c r="C233" s="19">
        <f t="shared" si="16"/>
        <v>9330006</v>
      </c>
      <c r="D233" s="19" t="str">
        <f t="shared" si="29"/>
        <v>맹독 드래곤 하드 6단계</v>
      </c>
      <c r="E233" s="20" t="s">
        <v>1672</v>
      </c>
      <c r="I233" s="21" t="s">
        <v>1670</v>
      </c>
      <c r="J233" s="21"/>
      <c r="K233" s="21"/>
      <c r="L233" s="21"/>
      <c r="M233" s="21"/>
      <c r="N233" s="22" t="s">
        <v>1673</v>
      </c>
      <c r="O233" s="20" t="s">
        <v>1677</v>
      </c>
      <c r="Q233" s="20" t="s">
        <v>2041</v>
      </c>
      <c r="T233" s="20" t="s">
        <v>2267</v>
      </c>
      <c r="U233" s="117" t="s">
        <v>2251</v>
      </c>
      <c r="V233" s="20" t="s">
        <v>1677</v>
      </c>
      <c r="W233" s="20">
        <v>4</v>
      </c>
      <c r="X233" s="20">
        <v>4</v>
      </c>
      <c r="Y233" s="23" t="s">
        <v>6</v>
      </c>
      <c r="AB233" s="22"/>
      <c r="AC233" s="22"/>
      <c r="AD233" s="22"/>
      <c r="AE233" s="24"/>
      <c r="AF233" s="24" t="s">
        <v>2041</v>
      </c>
      <c r="AG233" s="22"/>
      <c r="AH233" s="33">
        <v>913106</v>
      </c>
      <c r="AJ233" s="26"/>
      <c r="AK233" s="27">
        <v>10000</v>
      </c>
      <c r="AL233" s="27"/>
      <c r="AO233" s="28" t="s">
        <v>2057</v>
      </c>
      <c r="AP233" s="111">
        <v>550293</v>
      </c>
      <c r="AQ233" s="111"/>
      <c r="AR233" s="111"/>
      <c r="AS233" s="111"/>
      <c r="AW233" s="27"/>
      <c r="AX233" s="27"/>
      <c r="AY233" s="27"/>
      <c r="BB233" s="28" t="s">
        <v>2038</v>
      </c>
      <c r="BC233" s="111">
        <v>550293</v>
      </c>
      <c r="BD233" s="111"/>
      <c r="BE233" s="111"/>
      <c r="BF233" s="111"/>
      <c r="BJ233" s="27"/>
      <c r="BK233" s="27"/>
      <c r="BL233" s="27"/>
      <c r="BO233" s="28" t="s">
        <v>2038</v>
      </c>
      <c r="BP233" s="111">
        <v>550293</v>
      </c>
      <c r="BQ233" s="111"/>
      <c r="BR233" s="111"/>
      <c r="BS233" s="111"/>
      <c r="BW233" s="27"/>
      <c r="BX233" s="27"/>
      <c r="BY233" s="27"/>
      <c r="CB233" s="28" t="s">
        <v>2038</v>
      </c>
      <c r="CC233" s="111">
        <v>550293</v>
      </c>
      <c r="CD233" s="111"/>
      <c r="CE233" s="111"/>
      <c r="CF233" s="111"/>
      <c r="CH233" s="29"/>
      <c r="CI233" s="23" t="s">
        <v>397</v>
      </c>
      <c r="CJ233" s="28">
        <v>80</v>
      </c>
      <c r="DD233" s="23" t="s">
        <v>2040</v>
      </c>
    </row>
    <row r="234" spans="1:108" x14ac:dyDescent="0.2">
      <c r="A234" s="18">
        <v>933</v>
      </c>
      <c r="B234" s="19">
        <f t="shared" si="30"/>
        <v>7</v>
      </c>
      <c r="C234" s="19">
        <f t="shared" si="16"/>
        <v>9330007</v>
      </c>
      <c r="D234" s="19" t="str">
        <f t="shared" si="29"/>
        <v>맹독 드래곤 하드 7단계</v>
      </c>
      <c r="E234" s="20" t="s">
        <v>1672</v>
      </c>
      <c r="I234" s="21" t="s">
        <v>1670</v>
      </c>
      <c r="J234" s="21"/>
      <c r="K234" s="21"/>
      <c r="L234" s="21"/>
      <c r="M234" s="21"/>
      <c r="N234" s="22" t="s">
        <v>1673</v>
      </c>
      <c r="O234" s="20" t="s">
        <v>1677</v>
      </c>
      <c r="Q234" s="20" t="s">
        <v>2041</v>
      </c>
      <c r="T234" s="20" t="s">
        <v>2267</v>
      </c>
      <c r="U234" s="117" t="s">
        <v>2253</v>
      </c>
      <c r="V234" s="20" t="s">
        <v>1677</v>
      </c>
      <c r="W234" s="20">
        <v>4</v>
      </c>
      <c r="X234" s="20">
        <v>4</v>
      </c>
      <c r="Y234" s="23" t="s">
        <v>6</v>
      </c>
      <c r="AB234" s="22"/>
      <c r="AC234" s="22"/>
      <c r="AD234" s="22"/>
      <c r="AE234" s="24"/>
      <c r="AF234" s="24" t="s">
        <v>2041</v>
      </c>
      <c r="AG234" s="22"/>
      <c r="AH234" s="33">
        <v>913107</v>
      </c>
      <c r="AJ234" s="26"/>
      <c r="AK234" s="27">
        <v>10000</v>
      </c>
      <c r="AL234" s="27"/>
      <c r="AO234" s="28" t="s">
        <v>2057</v>
      </c>
      <c r="AP234" s="111">
        <v>550294</v>
      </c>
      <c r="AQ234" s="111"/>
      <c r="AR234" s="111"/>
      <c r="AS234" s="111"/>
      <c r="AW234" s="27"/>
      <c r="AX234" s="27"/>
      <c r="AY234" s="27"/>
      <c r="BB234" s="28" t="s">
        <v>2038</v>
      </c>
      <c r="BC234" s="111">
        <v>550294</v>
      </c>
      <c r="BD234" s="111"/>
      <c r="BE234" s="111"/>
      <c r="BF234" s="111"/>
      <c r="BJ234" s="27"/>
      <c r="BK234" s="27"/>
      <c r="BL234" s="27"/>
      <c r="BO234" s="28" t="s">
        <v>2038</v>
      </c>
      <c r="BP234" s="111">
        <v>550294</v>
      </c>
      <c r="BQ234" s="111"/>
      <c r="BR234" s="111"/>
      <c r="BS234" s="111"/>
      <c r="BW234" s="27"/>
      <c r="BX234" s="27"/>
      <c r="BY234" s="27"/>
      <c r="CB234" s="28" t="s">
        <v>2038</v>
      </c>
      <c r="CC234" s="111">
        <v>550294</v>
      </c>
      <c r="CD234" s="111"/>
      <c r="CE234" s="111"/>
      <c r="CF234" s="111"/>
      <c r="CH234" s="29"/>
      <c r="CI234" s="23" t="s">
        <v>397</v>
      </c>
      <c r="CJ234" s="28">
        <v>84</v>
      </c>
      <c r="DD234" s="23" t="s">
        <v>2040</v>
      </c>
    </row>
    <row r="235" spans="1:108" x14ac:dyDescent="0.2">
      <c r="A235" s="18">
        <v>933</v>
      </c>
      <c r="B235" s="19">
        <f t="shared" si="30"/>
        <v>8</v>
      </c>
      <c r="C235" s="19">
        <f t="shared" si="16"/>
        <v>9330008</v>
      </c>
      <c r="D235" s="19" t="str">
        <f t="shared" ref="D235:D237" si="31">"맹독 드래곤 하드 "&amp;B235&amp;"단계"</f>
        <v>맹독 드래곤 하드 8단계</v>
      </c>
      <c r="E235" s="20" t="s">
        <v>1672</v>
      </c>
      <c r="I235" s="21" t="s">
        <v>1670</v>
      </c>
      <c r="J235" s="21"/>
      <c r="K235" s="21"/>
      <c r="L235" s="21"/>
      <c r="M235" s="21"/>
      <c r="N235" s="22" t="s">
        <v>1673</v>
      </c>
      <c r="O235" s="20" t="s">
        <v>1677</v>
      </c>
      <c r="Q235" s="20" t="s">
        <v>2041</v>
      </c>
      <c r="T235" s="20" t="s">
        <v>2267</v>
      </c>
      <c r="U235" s="117" t="s">
        <v>2254</v>
      </c>
      <c r="V235" s="20" t="s">
        <v>1677</v>
      </c>
      <c r="W235" s="20">
        <v>4</v>
      </c>
      <c r="X235" s="20">
        <v>4</v>
      </c>
      <c r="Y235" s="23" t="s">
        <v>6</v>
      </c>
      <c r="AB235" s="22"/>
      <c r="AC235" s="22"/>
      <c r="AD235" s="22"/>
      <c r="AE235" s="24"/>
      <c r="AF235" s="24" t="s">
        <v>2041</v>
      </c>
      <c r="AG235" s="22"/>
      <c r="AH235" s="33">
        <v>913108</v>
      </c>
      <c r="AJ235" s="26"/>
      <c r="AK235" s="27">
        <v>10000</v>
      </c>
      <c r="AL235" s="27"/>
      <c r="AO235" s="28" t="s">
        <v>2057</v>
      </c>
      <c r="AP235" s="111">
        <v>550295</v>
      </c>
      <c r="AQ235" s="111"/>
      <c r="AR235" s="111"/>
      <c r="AS235" s="111"/>
      <c r="AW235" s="27"/>
      <c r="AX235" s="27"/>
      <c r="AY235" s="27"/>
      <c r="BB235" s="28" t="s">
        <v>2038</v>
      </c>
      <c r="BC235" s="111">
        <v>550295</v>
      </c>
      <c r="BD235" s="111"/>
      <c r="BE235" s="111"/>
      <c r="BF235" s="111"/>
      <c r="BJ235" s="27"/>
      <c r="BK235" s="27"/>
      <c r="BL235" s="27"/>
      <c r="BO235" s="28" t="s">
        <v>2038</v>
      </c>
      <c r="BP235" s="111">
        <v>550295</v>
      </c>
      <c r="BQ235" s="111"/>
      <c r="BR235" s="111"/>
      <c r="BS235" s="111"/>
      <c r="BW235" s="27"/>
      <c r="BX235" s="27"/>
      <c r="BY235" s="27"/>
      <c r="CB235" s="28" t="s">
        <v>2038</v>
      </c>
      <c r="CC235" s="111">
        <v>550295</v>
      </c>
      <c r="CD235" s="111"/>
      <c r="CE235" s="111"/>
      <c r="CF235" s="111"/>
      <c r="CH235" s="29"/>
      <c r="CI235" s="23" t="s">
        <v>397</v>
      </c>
      <c r="CJ235" s="28">
        <v>88</v>
      </c>
      <c r="DD235" s="23" t="s">
        <v>2040</v>
      </c>
    </row>
    <row r="236" spans="1:108" x14ac:dyDescent="0.2">
      <c r="A236" s="18">
        <v>933</v>
      </c>
      <c r="B236" s="19">
        <f t="shared" si="30"/>
        <v>9</v>
      </c>
      <c r="C236" s="19">
        <f t="shared" si="16"/>
        <v>9330009</v>
      </c>
      <c r="D236" s="19" t="str">
        <f t="shared" si="31"/>
        <v>맹독 드래곤 하드 9단계</v>
      </c>
      <c r="E236" s="20" t="s">
        <v>1672</v>
      </c>
      <c r="I236" s="21" t="s">
        <v>1670</v>
      </c>
      <c r="J236" s="21"/>
      <c r="K236" s="21"/>
      <c r="L236" s="21"/>
      <c r="M236" s="21"/>
      <c r="N236" s="22" t="s">
        <v>1673</v>
      </c>
      <c r="O236" s="20" t="s">
        <v>1677</v>
      </c>
      <c r="Q236" s="20" t="s">
        <v>2041</v>
      </c>
      <c r="T236" s="20" t="s">
        <v>2267</v>
      </c>
      <c r="U236" s="117" t="s">
        <v>2255</v>
      </c>
      <c r="V236" s="20" t="s">
        <v>1677</v>
      </c>
      <c r="W236" s="20">
        <v>4</v>
      </c>
      <c r="X236" s="20">
        <v>4</v>
      </c>
      <c r="Y236" s="23" t="s">
        <v>6</v>
      </c>
      <c r="AB236" s="22"/>
      <c r="AC236" s="22"/>
      <c r="AD236" s="22"/>
      <c r="AE236" s="24"/>
      <c r="AF236" s="24" t="s">
        <v>2041</v>
      </c>
      <c r="AG236" s="22"/>
      <c r="AH236" s="33">
        <v>913109</v>
      </c>
      <c r="AJ236" s="26"/>
      <c r="AK236" s="27">
        <v>10000</v>
      </c>
      <c r="AL236" s="27"/>
      <c r="AO236" s="28" t="s">
        <v>2057</v>
      </c>
      <c r="AP236" s="111">
        <v>550296</v>
      </c>
      <c r="AQ236" s="111"/>
      <c r="AR236" s="111"/>
      <c r="AS236" s="111"/>
      <c r="AW236" s="27"/>
      <c r="AX236" s="27"/>
      <c r="AY236" s="27"/>
      <c r="BB236" s="28" t="s">
        <v>2038</v>
      </c>
      <c r="BC236" s="111">
        <v>550296</v>
      </c>
      <c r="BD236" s="111"/>
      <c r="BE236" s="111"/>
      <c r="BF236" s="111"/>
      <c r="BJ236" s="27"/>
      <c r="BK236" s="27"/>
      <c r="BL236" s="27"/>
      <c r="BO236" s="28" t="s">
        <v>2038</v>
      </c>
      <c r="BP236" s="111">
        <v>550296</v>
      </c>
      <c r="BQ236" s="111"/>
      <c r="BR236" s="111"/>
      <c r="BS236" s="111"/>
      <c r="BW236" s="27"/>
      <c r="BX236" s="27"/>
      <c r="BY236" s="27"/>
      <c r="CB236" s="28" t="s">
        <v>2038</v>
      </c>
      <c r="CC236" s="111">
        <v>550296</v>
      </c>
      <c r="CD236" s="111"/>
      <c r="CE236" s="111"/>
      <c r="CF236" s="111"/>
      <c r="CH236" s="29"/>
      <c r="CI236" s="23" t="s">
        <v>397</v>
      </c>
      <c r="CJ236" s="28">
        <v>92</v>
      </c>
      <c r="DD236" s="23" t="s">
        <v>2040</v>
      </c>
    </row>
    <row r="237" spans="1:108" x14ac:dyDescent="0.2">
      <c r="A237" s="18">
        <v>933</v>
      </c>
      <c r="B237" s="19">
        <f t="shared" si="30"/>
        <v>10</v>
      </c>
      <c r="C237" s="19">
        <f t="shared" si="16"/>
        <v>9330010</v>
      </c>
      <c r="D237" s="19" t="str">
        <f t="shared" si="31"/>
        <v>맹독 드래곤 하드 10단계</v>
      </c>
      <c r="E237" s="20" t="s">
        <v>694</v>
      </c>
      <c r="I237" s="21" t="s">
        <v>1670</v>
      </c>
      <c r="J237" s="21"/>
      <c r="K237" s="21"/>
      <c r="L237" s="21"/>
      <c r="M237" s="21"/>
      <c r="N237" s="22" t="s">
        <v>1673</v>
      </c>
      <c r="O237" s="20" t="s">
        <v>1677</v>
      </c>
      <c r="Q237" s="20" t="s">
        <v>2041</v>
      </c>
      <c r="T237" s="20" t="s">
        <v>2267</v>
      </c>
      <c r="U237" s="117" t="s">
        <v>2256</v>
      </c>
      <c r="V237" s="20" t="s">
        <v>1677</v>
      </c>
      <c r="W237" s="20">
        <v>4</v>
      </c>
      <c r="X237" s="20">
        <v>4</v>
      </c>
      <c r="Y237" s="23" t="s">
        <v>6</v>
      </c>
      <c r="AB237" s="22"/>
      <c r="AC237" s="22"/>
      <c r="AD237" s="22"/>
      <c r="AE237" s="24"/>
      <c r="AF237" s="24" t="s">
        <v>2041</v>
      </c>
      <c r="AG237" s="22"/>
      <c r="AH237" s="33">
        <v>913110</v>
      </c>
      <c r="AJ237" s="26"/>
      <c r="AK237" s="27">
        <v>10000</v>
      </c>
      <c r="AL237" s="27"/>
      <c r="AO237" s="28" t="s">
        <v>2057</v>
      </c>
      <c r="AP237" s="111">
        <v>550297</v>
      </c>
      <c r="AQ237" s="111"/>
      <c r="AR237" s="111"/>
      <c r="AS237" s="111"/>
      <c r="AW237" s="27"/>
      <c r="AX237" s="27"/>
      <c r="AY237" s="27"/>
      <c r="BB237" s="28" t="s">
        <v>2038</v>
      </c>
      <c r="BC237" s="111">
        <v>550297</v>
      </c>
      <c r="BD237" s="111"/>
      <c r="BE237" s="111"/>
      <c r="BF237" s="111"/>
      <c r="BJ237" s="27"/>
      <c r="BK237" s="27"/>
      <c r="BL237" s="27"/>
      <c r="BO237" s="28" t="s">
        <v>2038</v>
      </c>
      <c r="BP237" s="111">
        <v>550297</v>
      </c>
      <c r="BQ237" s="111"/>
      <c r="BR237" s="111"/>
      <c r="BS237" s="111"/>
      <c r="BW237" s="27"/>
      <c r="BX237" s="27"/>
      <c r="BY237" s="27"/>
      <c r="CB237" s="28" t="s">
        <v>2038</v>
      </c>
      <c r="CC237" s="111">
        <v>550297</v>
      </c>
      <c r="CD237" s="111"/>
      <c r="CE237" s="111"/>
      <c r="CF237" s="111"/>
      <c r="CH237" s="29"/>
      <c r="CI237" s="23" t="s">
        <v>397</v>
      </c>
      <c r="CJ237" s="28">
        <v>96</v>
      </c>
      <c r="DD237" s="23" t="s">
        <v>2040</v>
      </c>
    </row>
    <row r="238" spans="1:108" x14ac:dyDescent="0.2">
      <c r="A238" s="18">
        <v>934</v>
      </c>
      <c r="B238" s="19">
        <v>1</v>
      </c>
      <c r="C238" s="19">
        <f t="shared" si="16"/>
        <v>9340001</v>
      </c>
      <c r="D238" s="19" t="str">
        <f>"블랙 드래곤 하드 "&amp;B238&amp;"단계"</f>
        <v>블랙 드래곤 하드 1단계</v>
      </c>
      <c r="E238" s="20" t="s">
        <v>693</v>
      </c>
      <c r="I238" s="21" t="s">
        <v>633</v>
      </c>
      <c r="J238" s="21"/>
      <c r="K238" s="21"/>
      <c r="L238" s="21"/>
      <c r="M238" s="21"/>
      <c r="N238" s="22" t="s">
        <v>1673</v>
      </c>
      <c r="O238" s="20" t="s">
        <v>1133</v>
      </c>
      <c r="Q238" s="20" t="s">
        <v>2041</v>
      </c>
      <c r="T238" s="20" t="s">
        <v>2267</v>
      </c>
      <c r="U238" s="117" t="s">
        <v>2257</v>
      </c>
      <c r="V238" s="20" t="s">
        <v>1676</v>
      </c>
      <c r="W238" s="20">
        <v>4</v>
      </c>
      <c r="X238" s="20">
        <v>4</v>
      </c>
      <c r="Y238" s="23" t="s">
        <v>145</v>
      </c>
      <c r="AA238" s="22"/>
      <c r="AB238" s="22"/>
      <c r="AC238" s="22"/>
      <c r="AD238" s="22"/>
      <c r="AE238" s="24"/>
      <c r="AF238" s="24" t="s">
        <v>2041</v>
      </c>
      <c r="AG238" s="22"/>
      <c r="AH238" s="33">
        <v>914101</v>
      </c>
      <c r="AJ238" s="26"/>
      <c r="AK238" s="27">
        <v>10000</v>
      </c>
      <c r="AL238" s="27"/>
      <c r="AO238" s="28" t="s">
        <v>2058</v>
      </c>
      <c r="AP238" s="111">
        <v>550298</v>
      </c>
      <c r="AQ238" s="111"/>
      <c r="AR238" s="111"/>
      <c r="AS238" s="111"/>
      <c r="AW238" s="27"/>
      <c r="AX238" s="27"/>
      <c r="AY238" s="27"/>
      <c r="BB238" s="28" t="s">
        <v>2039</v>
      </c>
      <c r="BC238" s="111">
        <v>550298</v>
      </c>
      <c r="BD238" s="111"/>
      <c r="BE238" s="111"/>
      <c r="BF238" s="111"/>
      <c r="BJ238" s="27"/>
      <c r="BK238" s="27"/>
      <c r="BL238" s="27"/>
      <c r="BO238" s="28" t="s">
        <v>2039</v>
      </c>
      <c r="BP238" s="111">
        <v>550298</v>
      </c>
      <c r="BQ238" s="111"/>
      <c r="BR238" s="111"/>
      <c r="BS238" s="111"/>
      <c r="BW238" s="27"/>
      <c r="BX238" s="27"/>
      <c r="BY238" s="27"/>
      <c r="CB238" s="28" t="s">
        <v>2039</v>
      </c>
      <c r="CC238" s="111">
        <v>550298</v>
      </c>
      <c r="CD238" s="111"/>
      <c r="CE238" s="111"/>
      <c r="CF238" s="111"/>
      <c r="CH238" s="29"/>
      <c r="CI238" s="23" t="s">
        <v>397</v>
      </c>
      <c r="CJ238" s="28">
        <v>60</v>
      </c>
      <c r="DD238" s="23" t="s">
        <v>2040</v>
      </c>
    </row>
    <row r="239" spans="1:108" x14ac:dyDescent="0.2">
      <c r="A239" s="18">
        <v>934</v>
      </c>
      <c r="B239" s="19">
        <f>B238+1</f>
        <v>2</v>
      </c>
      <c r="C239" s="19">
        <f t="shared" si="16"/>
        <v>9340002</v>
      </c>
      <c r="D239" s="19" t="str">
        <f t="shared" ref="D239:D244" si="32">"블랙 드래곤 하드 "&amp;B239&amp;"단계"</f>
        <v>블랙 드래곤 하드 2단계</v>
      </c>
      <c r="E239" s="20" t="s">
        <v>547</v>
      </c>
      <c r="I239" s="21" t="s">
        <v>633</v>
      </c>
      <c r="J239" s="21"/>
      <c r="K239" s="21"/>
      <c r="L239" s="21"/>
      <c r="M239" s="21"/>
      <c r="N239" s="22" t="s">
        <v>1673</v>
      </c>
      <c r="O239" s="20" t="s">
        <v>1676</v>
      </c>
      <c r="Q239" s="20" t="s">
        <v>2041</v>
      </c>
      <c r="T239" s="20" t="s">
        <v>2267</v>
      </c>
      <c r="U239" s="117" t="s">
        <v>2262</v>
      </c>
      <c r="V239" s="20" t="s">
        <v>1676</v>
      </c>
      <c r="W239" s="20">
        <v>4</v>
      </c>
      <c r="X239" s="20">
        <v>4</v>
      </c>
      <c r="Y239" s="23" t="s">
        <v>6</v>
      </c>
      <c r="AA239" s="22"/>
      <c r="AB239" s="22"/>
      <c r="AC239" s="22"/>
      <c r="AD239" s="22"/>
      <c r="AE239" s="24"/>
      <c r="AF239" s="24" t="s">
        <v>2041</v>
      </c>
      <c r="AG239" s="22"/>
      <c r="AH239" s="33">
        <v>914102</v>
      </c>
      <c r="AJ239" s="26"/>
      <c r="AK239" s="27">
        <v>10000</v>
      </c>
      <c r="AL239" s="27"/>
      <c r="AO239" s="28" t="s">
        <v>2058</v>
      </c>
      <c r="AP239" s="111">
        <v>550299</v>
      </c>
      <c r="AQ239" s="111"/>
      <c r="AR239" s="111"/>
      <c r="AS239" s="111"/>
      <c r="AW239" s="27"/>
      <c r="AX239" s="27"/>
      <c r="AY239" s="27"/>
      <c r="BB239" s="28" t="s">
        <v>2039</v>
      </c>
      <c r="BC239" s="111">
        <v>550299</v>
      </c>
      <c r="BD239" s="111"/>
      <c r="BE239" s="111"/>
      <c r="BF239" s="111"/>
      <c r="BJ239" s="27"/>
      <c r="BK239" s="27"/>
      <c r="BL239" s="27"/>
      <c r="BO239" s="28" t="s">
        <v>2039</v>
      </c>
      <c r="BP239" s="111">
        <v>550299</v>
      </c>
      <c r="BQ239" s="111"/>
      <c r="BR239" s="111"/>
      <c r="BS239" s="111"/>
      <c r="BW239" s="27"/>
      <c r="BX239" s="27"/>
      <c r="BY239" s="27"/>
      <c r="CB239" s="28" t="s">
        <v>2039</v>
      </c>
      <c r="CC239" s="111">
        <v>550299</v>
      </c>
      <c r="CD239" s="111"/>
      <c r="CE239" s="111"/>
      <c r="CF239" s="111"/>
      <c r="CH239" s="29"/>
      <c r="CI239" s="23" t="s">
        <v>397</v>
      </c>
      <c r="CJ239" s="28">
        <v>64</v>
      </c>
      <c r="DD239" s="23" t="s">
        <v>2040</v>
      </c>
    </row>
    <row r="240" spans="1:108" x14ac:dyDescent="0.2">
      <c r="A240" s="18">
        <v>934</v>
      </c>
      <c r="B240" s="19">
        <f t="shared" ref="B240:B247" si="33">B239+1</f>
        <v>3</v>
      </c>
      <c r="C240" s="19">
        <f t="shared" si="16"/>
        <v>9340003</v>
      </c>
      <c r="D240" s="19" t="str">
        <f t="shared" si="32"/>
        <v>블랙 드래곤 하드 3단계</v>
      </c>
      <c r="E240" s="20" t="s">
        <v>547</v>
      </c>
      <c r="I240" s="21" t="s">
        <v>633</v>
      </c>
      <c r="J240" s="21"/>
      <c r="K240" s="21"/>
      <c r="L240" s="21"/>
      <c r="M240" s="21"/>
      <c r="N240" s="22" t="s">
        <v>1673</v>
      </c>
      <c r="O240" s="20" t="s">
        <v>1676</v>
      </c>
      <c r="Q240" s="20" t="s">
        <v>2041</v>
      </c>
      <c r="T240" s="20" t="s">
        <v>2267</v>
      </c>
      <c r="U240" s="117" t="s">
        <v>2258</v>
      </c>
      <c r="V240" s="20" t="s">
        <v>1676</v>
      </c>
      <c r="W240" s="20">
        <v>4</v>
      </c>
      <c r="X240" s="20">
        <v>4</v>
      </c>
      <c r="Y240" s="23" t="s">
        <v>6</v>
      </c>
      <c r="AA240" s="22"/>
      <c r="AB240" s="22"/>
      <c r="AC240" s="22"/>
      <c r="AD240" s="22"/>
      <c r="AE240" s="24"/>
      <c r="AF240" s="24" t="s">
        <v>2041</v>
      </c>
      <c r="AG240" s="22"/>
      <c r="AH240" s="33">
        <v>914103</v>
      </c>
      <c r="AJ240" s="26"/>
      <c r="AK240" s="27">
        <v>10000</v>
      </c>
      <c r="AL240" s="27"/>
      <c r="AO240" s="28" t="s">
        <v>2058</v>
      </c>
      <c r="AP240" s="111">
        <v>550300</v>
      </c>
      <c r="AQ240" s="111"/>
      <c r="AR240" s="111"/>
      <c r="AS240" s="111"/>
      <c r="AW240" s="27"/>
      <c r="AX240" s="27"/>
      <c r="AY240" s="27"/>
      <c r="BB240" s="28" t="s">
        <v>2039</v>
      </c>
      <c r="BC240" s="111">
        <v>550300</v>
      </c>
      <c r="BD240" s="111"/>
      <c r="BE240" s="111"/>
      <c r="BF240" s="111"/>
      <c r="BJ240" s="27"/>
      <c r="BK240" s="27"/>
      <c r="BL240" s="27"/>
      <c r="BO240" s="28" t="s">
        <v>2039</v>
      </c>
      <c r="BP240" s="111">
        <v>550300</v>
      </c>
      <c r="BQ240" s="111"/>
      <c r="BR240" s="111"/>
      <c r="BS240" s="111"/>
      <c r="BW240" s="27"/>
      <c r="BX240" s="27"/>
      <c r="BY240" s="27"/>
      <c r="CB240" s="28" t="s">
        <v>2039</v>
      </c>
      <c r="CC240" s="111">
        <v>550300</v>
      </c>
      <c r="CD240" s="111"/>
      <c r="CE240" s="111"/>
      <c r="CF240" s="111"/>
      <c r="CH240" s="29"/>
      <c r="CI240" s="23" t="s">
        <v>397</v>
      </c>
      <c r="CJ240" s="28">
        <v>68</v>
      </c>
      <c r="DD240" s="23" t="s">
        <v>2040</v>
      </c>
    </row>
    <row r="241" spans="1:108" x14ac:dyDescent="0.2">
      <c r="A241" s="18">
        <v>934</v>
      </c>
      <c r="B241" s="19">
        <f t="shared" si="33"/>
        <v>4</v>
      </c>
      <c r="C241" s="19">
        <f t="shared" si="16"/>
        <v>9340004</v>
      </c>
      <c r="D241" s="19" t="str">
        <f t="shared" si="32"/>
        <v>블랙 드래곤 하드 4단계</v>
      </c>
      <c r="E241" s="20" t="s">
        <v>547</v>
      </c>
      <c r="I241" s="21" t="s">
        <v>633</v>
      </c>
      <c r="J241" s="21"/>
      <c r="K241" s="21"/>
      <c r="L241" s="21"/>
      <c r="M241" s="21"/>
      <c r="N241" s="22" t="s">
        <v>1673</v>
      </c>
      <c r="O241" s="20" t="s">
        <v>1676</v>
      </c>
      <c r="Q241" s="20" t="s">
        <v>2041</v>
      </c>
      <c r="T241" s="20" t="s">
        <v>2267</v>
      </c>
      <c r="U241" s="117" t="s">
        <v>2259</v>
      </c>
      <c r="V241" s="20" t="s">
        <v>1676</v>
      </c>
      <c r="W241" s="20">
        <v>4</v>
      </c>
      <c r="X241" s="20">
        <v>4</v>
      </c>
      <c r="Y241" s="23" t="s">
        <v>6</v>
      </c>
      <c r="AA241" s="22"/>
      <c r="AB241" s="22"/>
      <c r="AC241" s="22"/>
      <c r="AD241" s="22"/>
      <c r="AE241" s="24"/>
      <c r="AF241" s="24" t="s">
        <v>2041</v>
      </c>
      <c r="AG241" s="22"/>
      <c r="AH241" s="33">
        <v>914104</v>
      </c>
      <c r="AJ241" s="26"/>
      <c r="AK241" s="27">
        <v>10000</v>
      </c>
      <c r="AL241" s="27"/>
      <c r="AO241" s="28" t="s">
        <v>2058</v>
      </c>
      <c r="AP241" s="111">
        <v>550301</v>
      </c>
      <c r="AQ241" s="111"/>
      <c r="AR241" s="111"/>
      <c r="AS241" s="111"/>
      <c r="AW241" s="27"/>
      <c r="AX241" s="27"/>
      <c r="AY241" s="27"/>
      <c r="BB241" s="28" t="s">
        <v>2039</v>
      </c>
      <c r="BC241" s="111">
        <v>550301</v>
      </c>
      <c r="BD241" s="111"/>
      <c r="BE241" s="111"/>
      <c r="BF241" s="111"/>
      <c r="BJ241" s="27"/>
      <c r="BK241" s="27"/>
      <c r="BL241" s="27"/>
      <c r="BO241" s="28" t="s">
        <v>2039</v>
      </c>
      <c r="BP241" s="111">
        <v>550301</v>
      </c>
      <c r="BQ241" s="111"/>
      <c r="BR241" s="111"/>
      <c r="BS241" s="111"/>
      <c r="BW241" s="27"/>
      <c r="BX241" s="27"/>
      <c r="BY241" s="27"/>
      <c r="CB241" s="28" t="s">
        <v>2039</v>
      </c>
      <c r="CC241" s="111">
        <v>550301</v>
      </c>
      <c r="CD241" s="111"/>
      <c r="CE241" s="111"/>
      <c r="CF241" s="111"/>
      <c r="CH241" s="29"/>
      <c r="CI241" s="23" t="s">
        <v>397</v>
      </c>
      <c r="CJ241" s="28">
        <v>72</v>
      </c>
      <c r="DD241" s="23" t="s">
        <v>2040</v>
      </c>
    </row>
    <row r="242" spans="1:108" x14ac:dyDescent="0.2">
      <c r="A242" s="18">
        <v>934</v>
      </c>
      <c r="B242" s="19">
        <f t="shared" si="33"/>
        <v>5</v>
      </c>
      <c r="C242" s="19">
        <f t="shared" si="16"/>
        <v>9340005</v>
      </c>
      <c r="D242" s="19" t="str">
        <f t="shared" si="32"/>
        <v>블랙 드래곤 하드 5단계</v>
      </c>
      <c r="E242" s="20" t="s">
        <v>547</v>
      </c>
      <c r="I242" s="21" t="s">
        <v>633</v>
      </c>
      <c r="J242" s="21"/>
      <c r="K242" s="21"/>
      <c r="L242" s="21"/>
      <c r="M242" s="21"/>
      <c r="N242" s="22" t="s">
        <v>1673</v>
      </c>
      <c r="O242" s="20" t="s">
        <v>1676</v>
      </c>
      <c r="Q242" s="20" t="s">
        <v>2041</v>
      </c>
      <c r="T242" s="20" t="s">
        <v>2267</v>
      </c>
      <c r="U242" s="117" t="s">
        <v>2260</v>
      </c>
      <c r="V242" s="20" t="s">
        <v>1676</v>
      </c>
      <c r="W242" s="20">
        <v>4</v>
      </c>
      <c r="X242" s="20">
        <v>4</v>
      </c>
      <c r="Y242" s="23" t="s">
        <v>6</v>
      </c>
      <c r="AA242" s="22"/>
      <c r="AB242" s="22"/>
      <c r="AC242" s="22"/>
      <c r="AD242" s="22"/>
      <c r="AE242" s="24"/>
      <c r="AF242" s="24" t="s">
        <v>2041</v>
      </c>
      <c r="AG242" s="22"/>
      <c r="AH242" s="33">
        <v>914105</v>
      </c>
      <c r="AJ242" s="26"/>
      <c r="AK242" s="27">
        <v>10000</v>
      </c>
      <c r="AL242" s="27"/>
      <c r="AO242" s="28" t="s">
        <v>2058</v>
      </c>
      <c r="AP242" s="111">
        <v>550302</v>
      </c>
      <c r="AQ242" s="111"/>
      <c r="AR242" s="111"/>
      <c r="AS242" s="111"/>
      <c r="AW242" s="27"/>
      <c r="AX242" s="27"/>
      <c r="AY242" s="27"/>
      <c r="BB242" s="28" t="s">
        <v>2039</v>
      </c>
      <c r="BC242" s="111">
        <v>550302</v>
      </c>
      <c r="BD242" s="111"/>
      <c r="BE242" s="111"/>
      <c r="BF242" s="111"/>
      <c r="BJ242" s="27"/>
      <c r="BK242" s="27"/>
      <c r="BL242" s="27"/>
      <c r="BO242" s="28" t="s">
        <v>2039</v>
      </c>
      <c r="BP242" s="111">
        <v>550302</v>
      </c>
      <c r="BQ242" s="111"/>
      <c r="BR242" s="111"/>
      <c r="BS242" s="111"/>
      <c r="BW242" s="27"/>
      <c r="BX242" s="27"/>
      <c r="BY242" s="27"/>
      <c r="CB242" s="28" t="s">
        <v>2039</v>
      </c>
      <c r="CC242" s="111">
        <v>550302</v>
      </c>
      <c r="CD242" s="111"/>
      <c r="CE242" s="111"/>
      <c r="CF242" s="111"/>
      <c r="CH242" s="29"/>
      <c r="CI242" s="23" t="s">
        <v>397</v>
      </c>
      <c r="CJ242" s="28">
        <v>76</v>
      </c>
      <c r="DD242" s="23" t="s">
        <v>2040</v>
      </c>
    </row>
    <row r="243" spans="1:108" x14ac:dyDescent="0.2">
      <c r="A243" s="18">
        <v>934</v>
      </c>
      <c r="B243" s="19">
        <f t="shared" si="33"/>
        <v>6</v>
      </c>
      <c r="C243" s="19">
        <f t="shared" si="16"/>
        <v>9340006</v>
      </c>
      <c r="D243" s="19" t="str">
        <f t="shared" si="32"/>
        <v>블랙 드래곤 하드 6단계</v>
      </c>
      <c r="E243" s="20" t="s">
        <v>547</v>
      </c>
      <c r="I243" s="21" t="s">
        <v>633</v>
      </c>
      <c r="J243" s="21"/>
      <c r="K243" s="21"/>
      <c r="L243" s="21"/>
      <c r="M243" s="21"/>
      <c r="N243" s="22" t="s">
        <v>1673</v>
      </c>
      <c r="O243" s="20" t="s">
        <v>1676</v>
      </c>
      <c r="Q243" s="20" t="s">
        <v>2041</v>
      </c>
      <c r="T243" s="20" t="s">
        <v>2267</v>
      </c>
      <c r="U243" s="117" t="s">
        <v>2261</v>
      </c>
      <c r="V243" s="20" t="s">
        <v>1676</v>
      </c>
      <c r="W243" s="20">
        <v>4</v>
      </c>
      <c r="X243" s="20">
        <v>4</v>
      </c>
      <c r="Y243" s="23" t="s">
        <v>6</v>
      </c>
      <c r="AA243" s="22"/>
      <c r="AB243" s="22"/>
      <c r="AC243" s="22"/>
      <c r="AD243" s="22"/>
      <c r="AE243" s="24"/>
      <c r="AF243" s="24" t="s">
        <v>2041</v>
      </c>
      <c r="AG243" s="22"/>
      <c r="AH243" s="33">
        <v>914106</v>
      </c>
      <c r="AJ243" s="26"/>
      <c r="AK243" s="27">
        <v>10000</v>
      </c>
      <c r="AL243" s="27"/>
      <c r="AO243" s="28" t="s">
        <v>2058</v>
      </c>
      <c r="AP243" s="111">
        <v>550303</v>
      </c>
      <c r="AQ243" s="111"/>
      <c r="AR243" s="111"/>
      <c r="AS243" s="111"/>
      <c r="AW243" s="27"/>
      <c r="AX243" s="27"/>
      <c r="AY243" s="27"/>
      <c r="BB243" s="28" t="s">
        <v>2039</v>
      </c>
      <c r="BC243" s="111">
        <v>550303</v>
      </c>
      <c r="BD243" s="111"/>
      <c r="BE243" s="111"/>
      <c r="BF243" s="111"/>
      <c r="BJ243" s="27"/>
      <c r="BK243" s="27"/>
      <c r="BL243" s="27"/>
      <c r="BO243" s="28" t="s">
        <v>2039</v>
      </c>
      <c r="BP243" s="111">
        <v>550303</v>
      </c>
      <c r="BQ243" s="111"/>
      <c r="BR243" s="111"/>
      <c r="BS243" s="111"/>
      <c r="BW243" s="27"/>
      <c r="BX243" s="27"/>
      <c r="BY243" s="27"/>
      <c r="CB243" s="28" t="s">
        <v>2039</v>
      </c>
      <c r="CC243" s="111">
        <v>550303</v>
      </c>
      <c r="CD243" s="111"/>
      <c r="CE243" s="111"/>
      <c r="CF243" s="111"/>
      <c r="CH243" s="29"/>
      <c r="CI243" s="23" t="s">
        <v>397</v>
      </c>
      <c r="CJ243" s="28">
        <v>80</v>
      </c>
      <c r="DD243" s="23" t="s">
        <v>2040</v>
      </c>
    </row>
    <row r="244" spans="1:108" x14ac:dyDescent="0.2">
      <c r="A244" s="18">
        <v>934</v>
      </c>
      <c r="B244" s="19">
        <f t="shared" si="33"/>
        <v>7</v>
      </c>
      <c r="C244" s="19">
        <f t="shared" si="16"/>
        <v>9340007</v>
      </c>
      <c r="D244" s="19" t="str">
        <f t="shared" si="32"/>
        <v>블랙 드래곤 하드 7단계</v>
      </c>
      <c r="E244" s="20" t="s">
        <v>547</v>
      </c>
      <c r="I244" s="21" t="s">
        <v>633</v>
      </c>
      <c r="J244" s="21"/>
      <c r="K244" s="21"/>
      <c r="L244" s="21"/>
      <c r="M244" s="21"/>
      <c r="N244" s="22" t="s">
        <v>1673</v>
      </c>
      <c r="O244" s="20" t="s">
        <v>1676</v>
      </c>
      <c r="Q244" s="20" t="s">
        <v>2041</v>
      </c>
      <c r="T244" s="20" t="s">
        <v>2267</v>
      </c>
      <c r="U244" s="117" t="s">
        <v>2263</v>
      </c>
      <c r="V244" s="20" t="s">
        <v>1676</v>
      </c>
      <c r="W244" s="20">
        <v>4</v>
      </c>
      <c r="X244" s="20">
        <v>4</v>
      </c>
      <c r="Y244" s="23" t="s">
        <v>6</v>
      </c>
      <c r="AA244" s="22"/>
      <c r="AB244" s="22"/>
      <c r="AC244" s="22"/>
      <c r="AD244" s="22"/>
      <c r="AE244" s="24"/>
      <c r="AF244" s="24" t="s">
        <v>2041</v>
      </c>
      <c r="AG244" s="22"/>
      <c r="AH244" s="33">
        <v>914107</v>
      </c>
      <c r="AJ244" s="26"/>
      <c r="AK244" s="27">
        <v>10000</v>
      </c>
      <c r="AL244" s="27"/>
      <c r="AO244" s="28" t="s">
        <v>2058</v>
      </c>
      <c r="AP244" s="111">
        <v>550304</v>
      </c>
      <c r="AQ244" s="111"/>
      <c r="AR244" s="111"/>
      <c r="AS244" s="111"/>
      <c r="AW244" s="27"/>
      <c r="AX244" s="27"/>
      <c r="AY244" s="27"/>
      <c r="BB244" s="28" t="s">
        <v>2039</v>
      </c>
      <c r="BC244" s="111">
        <v>550304</v>
      </c>
      <c r="BD244" s="111"/>
      <c r="BE244" s="111"/>
      <c r="BF244" s="111"/>
      <c r="BJ244" s="27"/>
      <c r="BK244" s="27"/>
      <c r="BL244" s="27"/>
      <c r="BO244" s="28" t="s">
        <v>2039</v>
      </c>
      <c r="BP244" s="111">
        <v>550304</v>
      </c>
      <c r="BQ244" s="111"/>
      <c r="BR244" s="111"/>
      <c r="BS244" s="111"/>
      <c r="BW244" s="27"/>
      <c r="BX244" s="27"/>
      <c r="BY244" s="27"/>
      <c r="CB244" s="28" t="s">
        <v>2039</v>
      </c>
      <c r="CC244" s="111">
        <v>550304</v>
      </c>
      <c r="CD244" s="111"/>
      <c r="CE244" s="111"/>
      <c r="CF244" s="111"/>
      <c r="CH244" s="29"/>
      <c r="CI244" s="23" t="s">
        <v>397</v>
      </c>
      <c r="CJ244" s="28">
        <v>84</v>
      </c>
      <c r="DD244" s="23" t="s">
        <v>2040</v>
      </c>
    </row>
    <row r="245" spans="1:108" x14ac:dyDescent="0.2">
      <c r="A245" s="18">
        <v>934</v>
      </c>
      <c r="B245" s="19">
        <f t="shared" si="33"/>
        <v>8</v>
      </c>
      <c r="C245" s="19">
        <f t="shared" si="16"/>
        <v>9340008</v>
      </c>
      <c r="D245" s="19" t="str">
        <f t="shared" ref="D245:D247" si="34">"블랙 드래곤 하드 "&amp;B245&amp;"단계"</f>
        <v>블랙 드래곤 하드 8단계</v>
      </c>
      <c r="E245" s="20" t="s">
        <v>547</v>
      </c>
      <c r="I245" s="21" t="s">
        <v>633</v>
      </c>
      <c r="J245" s="21"/>
      <c r="K245" s="21"/>
      <c r="L245" s="21"/>
      <c r="M245" s="21"/>
      <c r="N245" s="22" t="s">
        <v>1673</v>
      </c>
      <c r="O245" s="20" t="s">
        <v>1676</v>
      </c>
      <c r="Q245" s="20" t="s">
        <v>2041</v>
      </c>
      <c r="T245" s="20" t="s">
        <v>2267</v>
      </c>
      <c r="U245" s="117" t="s">
        <v>2264</v>
      </c>
      <c r="V245" s="20" t="s">
        <v>1676</v>
      </c>
      <c r="W245" s="20">
        <v>4</v>
      </c>
      <c r="X245" s="20">
        <v>4</v>
      </c>
      <c r="Y245" s="23" t="s">
        <v>6</v>
      </c>
      <c r="AA245" s="22"/>
      <c r="AB245" s="22"/>
      <c r="AC245" s="22"/>
      <c r="AD245" s="22"/>
      <c r="AE245" s="24"/>
      <c r="AF245" s="24" t="s">
        <v>2041</v>
      </c>
      <c r="AG245" s="22"/>
      <c r="AH245" s="33">
        <v>914108</v>
      </c>
      <c r="AJ245" s="26"/>
      <c r="AK245" s="27">
        <v>10000</v>
      </c>
      <c r="AL245" s="27"/>
      <c r="AO245" s="28" t="s">
        <v>2058</v>
      </c>
      <c r="AP245" s="111">
        <v>550305</v>
      </c>
      <c r="AQ245" s="111"/>
      <c r="AR245" s="111"/>
      <c r="AS245" s="111"/>
      <c r="AW245" s="27"/>
      <c r="AX245" s="27"/>
      <c r="AY245" s="27"/>
      <c r="BB245" s="28" t="s">
        <v>2039</v>
      </c>
      <c r="BC245" s="111">
        <v>550305</v>
      </c>
      <c r="BD245" s="111"/>
      <c r="BE245" s="111"/>
      <c r="BF245" s="111"/>
      <c r="BJ245" s="27"/>
      <c r="BK245" s="27"/>
      <c r="BL245" s="27"/>
      <c r="BO245" s="28" t="s">
        <v>2039</v>
      </c>
      <c r="BP245" s="111">
        <v>550305</v>
      </c>
      <c r="BQ245" s="111"/>
      <c r="BR245" s="111"/>
      <c r="BS245" s="111"/>
      <c r="BW245" s="27"/>
      <c r="BX245" s="27"/>
      <c r="BY245" s="27"/>
      <c r="CB245" s="28" t="s">
        <v>2039</v>
      </c>
      <c r="CC245" s="111">
        <v>550305</v>
      </c>
      <c r="CD245" s="111"/>
      <c r="CE245" s="111"/>
      <c r="CF245" s="111"/>
      <c r="CH245" s="29"/>
      <c r="CI245" s="23" t="s">
        <v>397</v>
      </c>
      <c r="CJ245" s="28">
        <v>88</v>
      </c>
      <c r="DD245" s="23" t="s">
        <v>2040</v>
      </c>
    </row>
    <row r="246" spans="1:108" x14ac:dyDescent="0.2">
      <c r="A246" s="18">
        <v>934</v>
      </c>
      <c r="B246" s="19">
        <f t="shared" si="33"/>
        <v>9</v>
      </c>
      <c r="C246" s="19">
        <f t="shared" si="16"/>
        <v>9340009</v>
      </c>
      <c r="D246" s="19" t="str">
        <f t="shared" si="34"/>
        <v>블랙 드래곤 하드 9단계</v>
      </c>
      <c r="E246" s="20" t="s">
        <v>547</v>
      </c>
      <c r="I246" s="21" t="s">
        <v>633</v>
      </c>
      <c r="J246" s="21"/>
      <c r="K246" s="21"/>
      <c r="L246" s="21"/>
      <c r="M246" s="21"/>
      <c r="N246" s="22" t="s">
        <v>1673</v>
      </c>
      <c r="O246" s="20" t="s">
        <v>1676</v>
      </c>
      <c r="Q246" s="20" t="s">
        <v>2041</v>
      </c>
      <c r="T246" s="20" t="s">
        <v>2267</v>
      </c>
      <c r="U246" s="117" t="s">
        <v>2265</v>
      </c>
      <c r="V246" s="20" t="s">
        <v>1676</v>
      </c>
      <c r="W246" s="20">
        <v>4</v>
      </c>
      <c r="X246" s="20">
        <v>4</v>
      </c>
      <c r="Y246" s="23" t="s">
        <v>6</v>
      </c>
      <c r="AA246" s="22"/>
      <c r="AB246" s="22"/>
      <c r="AC246" s="22"/>
      <c r="AD246" s="22"/>
      <c r="AE246" s="24"/>
      <c r="AF246" s="24" t="s">
        <v>2041</v>
      </c>
      <c r="AG246" s="22"/>
      <c r="AH246" s="33">
        <v>914109</v>
      </c>
      <c r="AJ246" s="26"/>
      <c r="AK246" s="27">
        <v>10000</v>
      </c>
      <c r="AL246" s="27"/>
      <c r="AO246" s="28" t="s">
        <v>2058</v>
      </c>
      <c r="AP246" s="111">
        <v>550306</v>
      </c>
      <c r="AQ246" s="111"/>
      <c r="AR246" s="111"/>
      <c r="AS246" s="111"/>
      <c r="AW246" s="27"/>
      <c r="AX246" s="27"/>
      <c r="AY246" s="27"/>
      <c r="BB246" s="28" t="s">
        <v>2039</v>
      </c>
      <c r="BC246" s="111">
        <v>550306</v>
      </c>
      <c r="BD246" s="111"/>
      <c r="BE246" s="111"/>
      <c r="BF246" s="111"/>
      <c r="BJ246" s="27"/>
      <c r="BK246" s="27"/>
      <c r="BL246" s="27"/>
      <c r="BO246" s="28" t="s">
        <v>2039</v>
      </c>
      <c r="BP246" s="111">
        <v>550306</v>
      </c>
      <c r="BQ246" s="111"/>
      <c r="BR246" s="111"/>
      <c r="BS246" s="111"/>
      <c r="BW246" s="27"/>
      <c r="BX246" s="27"/>
      <c r="BY246" s="27"/>
      <c r="CB246" s="28" t="s">
        <v>2039</v>
      </c>
      <c r="CC246" s="111">
        <v>550306</v>
      </c>
      <c r="CD246" s="111"/>
      <c r="CE246" s="111"/>
      <c r="CF246" s="111"/>
      <c r="CH246" s="29"/>
      <c r="CI246" s="23" t="s">
        <v>397</v>
      </c>
      <c r="CJ246" s="28">
        <v>92</v>
      </c>
      <c r="DD246" s="23" t="s">
        <v>2040</v>
      </c>
    </row>
    <row r="247" spans="1:108" x14ac:dyDescent="0.2">
      <c r="A247" s="18">
        <v>934</v>
      </c>
      <c r="B247" s="19">
        <f t="shared" si="33"/>
        <v>10</v>
      </c>
      <c r="C247" s="19">
        <f t="shared" si="16"/>
        <v>9340010</v>
      </c>
      <c r="D247" s="19" t="str">
        <f t="shared" si="34"/>
        <v>블랙 드래곤 하드 10단계</v>
      </c>
      <c r="E247" s="20" t="s">
        <v>547</v>
      </c>
      <c r="I247" s="21" t="s">
        <v>633</v>
      </c>
      <c r="J247" s="21"/>
      <c r="K247" s="21"/>
      <c r="L247" s="21"/>
      <c r="M247" s="21"/>
      <c r="N247" s="22" t="s">
        <v>1673</v>
      </c>
      <c r="O247" s="20" t="s">
        <v>1676</v>
      </c>
      <c r="Q247" s="20" t="s">
        <v>2041</v>
      </c>
      <c r="T247" s="20" t="s">
        <v>2267</v>
      </c>
      <c r="U247" s="117" t="s">
        <v>2266</v>
      </c>
      <c r="V247" s="20" t="s">
        <v>1676</v>
      </c>
      <c r="W247" s="20">
        <v>4</v>
      </c>
      <c r="X247" s="20">
        <v>4</v>
      </c>
      <c r="Y247" s="23" t="s">
        <v>6</v>
      </c>
      <c r="AA247" s="22"/>
      <c r="AB247" s="22"/>
      <c r="AC247" s="22"/>
      <c r="AD247" s="22"/>
      <c r="AE247" s="24"/>
      <c r="AF247" s="24" t="s">
        <v>2041</v>
      </c>
      <c r="AG247" s="22"/>
      <c r="AH247" s="33">
        <v>914110</v>
      </c>
      <c r="AJ247" s="26"/>
      <c r="AK247" s="27">
        <v>10000</v>
      </c>
      <c r="AL247" s="27"/>
      <c r="AO247" s="28" t="s">
        <v>2058</v>
      </c>
      <c r="AP247" s="111">
        <v>550307</v>
      </c>
      <c r="AQ247" s="111"/>
      <c r="AR247" s="111"/>
      <c r="AS247" s="111"/>
      <c r="AW247" s="27"/>
      <c r="AX247" s="27"/>
      <c r="AY247" s="27"/>
      <c r="BB247" s="28" t="s">
        <v>2039</v>
      </c>
      <c r="BC247" s="111">
        <v>550307</v>
      </c>
      <c r="BD247" s="111"/>
      <c r="BE247" s="111"/>
      <c r="BF247" s="111"/>
      <c r="BJ247" s="27"/>
      <c r="BK247" s="27"/>
      <c r="BL247" s="27"/>
      <c r="BO247" s="28" t="s">
        <v>2039</v>
      </c>
      <c r="BP247" s="111">
        <v>550307</v>
      </c>
      <c r="BQ247" s="111"/>
      <c r="BR247" s="111"/>
      <c r="BS247" s="111"/>
      <c r="BW247" s="27"/>
      <c r="BX247" s="27"/>
      <c r="BY247" s="27"/>
      <c r="CB247" s="28" t="s">
        <v>2039</v>
      </c>
      <c r="CC247" s="111">
        <v>550307</v>
      </c>
      <c r="CD247" s="111"/>
      <c r="CE247" s="111"/>
      <c r="CF247" s="111"/>
      <c r="CH247" s="29"/>
      <c r="CI247" s="23" t="s">
        <v>397</v>
      </c>
      <c r="CJ247" s="28">
        <v>96</v>
      </c>
      <c r="DD247" s="23" t="s">
        <v>2040</v>
      </c>
    </row>
    <row r="248" spans="1:108" s="14" customFormat="1" ht="17.25" x14ac:dyDescent="0.3">
      <c r="A248" s="8"/>
      <c r="B248" s="8"/>
      <c r="C248" s="8">
        <f t="shared" si="16"/>
        <v>0</v>
      </c>
      <c r="D248" s="8"/>
      <c r="E248" s="9" t="s">
        <v>4611</v>
      </c>
      <c r="F248" s="9"/>
      <c r="G248" s="9"/>
      <c r="H248" s="9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1"/>
      <c r="Z248" s="10"/>
      <c r="AA248" s="10"/>
      <c r="AB248" s="10"/>
      <c r="AC248" s="10"/>
      <c r="AD248" s="10"/>
      <c r="AE248" s="12"/>
      <c r="AF248" s="12"/>
      <c r="AG248" s="10"/>
      <c r="AH248" s="13"/>
      <c r="AI248" s="13"/>
      <c r="AJ248" s="13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3"/>
      <c r="AV248" s="13"/>
      <c r="AW248" s="13"/>
      <c r="AX248" s="31"/>
      <c r="AY248" s="31"/>
      <c r="AZ248" s="15"/>
      <c r="BA248" s="15"/>
      <c r="BB248" s="15"/>
      <c r="BC248" s="15"/>
      <c r="BD248" s="15"/>
      <c r="BE248" s="15"/>
      <c r="BF248" s="15"/>
      <c r="BG248" s="15"/>
      <c r="BH248" s="13"/>
      <c r="BI248" s="13"/>
      <c r="BJ248" s="13"/>
      <c r="BK248" s="31"/>
      <c r="BL248" s="31"/>
      <c r="BM248" s="15"/>
      <c r="BN248" s="15"/>
      <c r="BO248" s="15"/>
      <c r="BP248" s="15"/>
      <c r="BQ248" s="15"/>
      <c r="BR248" s="15"/>
      <c r="BS248" s="15"/>
      <c r="BT248" s="15"/>
      <c r="BU248" s="13"/>
      <c r="BV248" s="13"/>
      <c r="BW248" s="13"/>
      <c r="BX248" s="31"/>
      <c r="BY248" s="31"/>
      <c r="BZ248" s="15"/>
      <c r="CA248" s="15"/>
      <c r="CB248" s="15"/>
      <c r="CC248" s="15"/>
      <c r="CD248" s="15"/>
      <c r="CE248" s="15"/>
      <c r="CF248" s="15"/>
      <c r="CG248" s="15"/>
      <c r="CH248" s="10"/>
      <c r="CI248" s="8"/>
      <c r="CJ248" s="16"/>
      <c r="CK248" s="8"/>
      <c r="CT248" s="17"/>
      <c r="CU248" s="17"/>
      <c r="CV248" s="17"/>
      <c r="CW248" s="17"/>
      <c r="CX248" s="17"/>
      <c r="CY248" s="17"/>
      <c r="CZ248" s="17"/>
      <c r="DA248" s="17"/>
      <c r="DB248" s="17"/>
      <c r="DC248" s="15"/>
    </row>
    <row r="249" spans="1:108" x14ac:dyDescent="0.2">
      <c r="A249" s="18">
        <v>921</v>
      </c>
      <c r="B249" s="19">
        <v>1</v>
      </c>
      <c r="C249" s="19">
        <f t="shared" si="16"/>
        <v>9210001</v>
      </c>
      <c r="D249" s="19" t="s">
        <v>986</v>
      </c>
      <c r="E249" s="20" t="s">
        <v>925</v>
      </c>
      <c r="I249" s="21" t="s">
        <v>486</v>
      </c>
      <c r="J249" s="21"/>
      <c r="K249" s="21"/>
      <c r="L249" s="21"/>
      <c r="M249" s="21"/>
      <c r="N249" s="22" t="s">
        <v>1650</v>
      </c>
      <c r="O249" s="22" t="s">
        <v>924</v>
      </c>
      <c r="P249" s="24"/>
      <c r="Q249" s="24" t="s">
        <v>2041</v>
      </c>
      <c r="R249" s="24"/>
      <c r="S249" s="24"/>
      <c r="T249" s="24" t="s">
        <v>2133</v>
      </c>
      <c r="U249" s="116" t="s">
        <v>2134</v>
      </c>
      <c r="V249" s="22"/>
      <c r="W249" s="22" t="s">
        <v>6</v>
      </c>
      <c r="X249" s="22"/>
      <c r="Y249" s="23" t="s">
        <v>145</v>
      </c>
      <c r="Z249" s="22"/>
      <c r="AA249" s="22"/>
      <c r="AB249" s="22"/>
      <c r="AC249" s="22"/>
      <c r="AD249" s="22"/>
      <c r="AE249" s="24"/>
      <c r="AF249" s="24" t="s">
        <v>2041</v>
      </c>
      <c r="AG249" s="22"/>
      <c r="AH249" s="23"/>
      <c r="AJ249" s="26" t="s">
        <v>926</v>
      </c>
      <c r="AK249" s="27">
        <v>1571</v>
      </c>
      <c r="AL249" s="27"/>
      <c r="AQ249" s="28">
        <v>1</v>
      </c>
      <c r="AR249" s="28">
        <v>1000</v>
      </c>
      <c r="AS249" s="28">
        <v>3000</v>
      </c>
      <c r="AW249" s="27"/>
      <c r="AX249" s="27"/>
      <c r="AY249" s="27"/>
      <c r="BK249" s="27"/>
      <c r="BL249" s="27"/>
      <c r="BW249" s="27"/>
      <c r="BX249" s="27"/>
      <c r="BY249" s="27"/>
      <c r="CH249" s="29"/>
      <c r="CI249" s="23" t="s">
        <v>397</v>
      </c>
      <c r="CJ249" s="28">
        <v>10</v>
      </c>
    </row>
    <row r="250" spans="1:108" x14ac:dyDescent="0.2">
      <c r="A250" s="18">
        <v>921</v>
      </c>
      <c r="B250" s="19">
        <v>11</v>
      </c>
      <c r="C250" s="19">
        <f t="shared" si="16"/>
        <v>9210011</v>
      </c>
      <c r="D250" s="19" t="s">
        <v>987</v>
      </c>
      <c r="E250" s="20" t="s">
        <v>925</v>
      </c>
      <c r="I250" s="21" t="s">
        <v>486</v>
      </c>
      <c r="J250" s="21"/>
      <c r="K250" s="21"/>
      <c r="L250" s="21"/>
      <c r="M250" s="21"/>
      <c r="N250" s="22" t="s">
        <v>1650</v>
      </c>
      <c r="O250" s="22" t="s">
        <v>924</v>
      </c>
      <c r="P250" s="24"/>
      <c r="Q250" s="24" t="s">
        <v>2041</v>
      </c>
      <c r="R250" s="24"/>
      <c r="S250" s="24"/>
      <c r="T250" s="24" t="s">
        <v>948</v>
      </c>
      <c r="U250" s="116" t="s">
        <v>2135</v>
      </c>
      <c r="V250" s="22"/>
      <c r="W250" s="22" t="s">
        <v>6</v>
      </c>
      <c r="X250" s="22"/>
      <c r="Y250" s="23" t="s">
        <v>145</v>
      </c>
      <c r="Z250" s="22"/>
      <c r="AA250" s="22"/>
      <c r="AB250" s="22"/>
      <c r="AC250" s="22"/>
      <c r="AD250" s="22"/>
      <c r="AE250" s="24"/>
      <c r="AF250" s="24" t="s">
        <v>2041</v>
      </c>
      <c r="AG250" s="22"/>
      <c r="AH250" s="23"/>
      <c r="AJ250" s="27">
        <v>898</v>
      </c>
      <c r="AK250" s="27">
        <v>3592</v>
      </c>
      <c r="AL250" s="27"/>
      <c r="AQ250" s="28">
        <v>2</v>
      </c>
      <c r="AR250" s="28">
        <v>1500</v>
      </c>
      <c r="AS250" s="28">
        <v>3000</v>
      </c>
      <c r="AW250" s="27"/>
      <c r="AX250" s="27"/>
      <c r="AY250" s="27"/>
      <c r="BK250" s="27"/>
      <c r="BL250" s="27"/>
      <c r="BW250" s="27"/>
      <c r="BX250" s="27"/>
      <c r="BY250" s="27"/>
      <c r="CH250" s="29"/>
      <c r="CI250" s="23" t="s">
        <v>397</v>
      </c>
      <c r="CJ250" s="28">
        <v>15</v>
      </c>
    </row>
    <row r="251" spans="1:108" x14ac:dyDescent="0.2">
      <c r="A251" s="18">
        <v>921</v>
      </c>
      <c r="B251" s="19">
        <v>21</v>
      </c>
      <c r="C251" s="19">
        <f t="shared" si="16"/>
        <v>9210021</v>
      </c>
      <c r="D251" s="19" t="s">
        <v>988</v>
      </c>
      <c r="E251" s="20" t="s">
        <v>925</v>
      </c>
      <c r="I251" s="21" t="s">
        <v>486</v>
      </c>
      <c r="J251" s="21"/>
      <c r="K251" s="21"/>
      <c r="L251" s="21"/>
      <c r="M251" s="21"/>
      <c r="N251" s="22" t="s">
        <v>1650</v>
      </c>
      <c r="O251" s="22" t="s">
        <v>924</v>
      </c>
      <c r="P251" s="24"/>
      <c r="Q251" s="24" t="s">
        <v>2041</v>
      </c>
      <c r="R251" s="24"/>
      <c r="S251" s="24"/>
      <c r="T251" s="24" t="s">
        <v>948</v>
      </c>
      <c r="U251" s="116" t="s">
        <v>2268</v>
      </c>
      <c r="V251" s="22"/>
      <c r="W251" s="22" t="s">
        <v>6</v>
      </c>
      <c r="X251" s="22"/>
      <c r="Y251" s="23" t="s">
        <v>145</v>
      </c>
      <c r="Z251" s="22"/>
      <c r="AA251" s="22"/>
      <c r="AB251" s="22"/>
      <c r="AC251" s="22"/>
      <c r="AD251" s="22"/>
      <c r="AE251" s="24"/>
      <c r="AF251" s="24" t="s">
        <v>2041</v>
      </c>
      <c r="AG251" s="22"/>
      <c r="AH251" s="23"/>
      <c r="AJ251" s="26" t="s">
        <v>928</v>
      </c>
      <c r="AK251" s="27">
        <v>4850</v>
      </c>
      <c r="AL251" s="27"/>
      <c r="AQ251" s="28">
        <v>3</v>
      </c>
      <c r="AR251" s="28">
        <v>2000</v>
      </c>
      <c r="AS251" s="28">
        <v>3000</v>
      </c>
      <c r="AW251" s="27"/>
      <c r="AX251" s="27"/>
      <c r="AY251" s="27"/>
      <c r="BK251" s="27"/>
      <c r="BL251" s="27"/>
      <c r="BW251" s="27"/>
      <c r="BX251" s="27"/>
      <c r="BY251" s="27"/>
      <c r="CH251" s="29"/>
      <c r="CI251" s="23" t="s">
        <v>397</v>
      </c>
      <c r="CJ251" s="28">
        <v>20</v>
      </c>
    </row>
    <row r="252" spans="1:108" x14ac:dyDescent="0.2">
      <c r="A252" s="18">
        <v>921</v>
      </c>
      <c r="B252" s="19">
        <v>31</v>
      </c>
      <c r="C252" s="19">
        <f t="shared" si="16"/>
        <v>9210031</v>
      </c>
      <c r="D252" s="19" t="s">
        <v>989</v>
      </c>
      <c r="E252" s="20" t="s">
        <v>925</v>
      </c>
      <c r="I252" s="21" t="s">
        <v>486</v>
      </c>
      <c r="J252" s="21"/>
      <c r="K252" s="21"/>
      <c r="L252" s="21"/>
      <c r="M252" s="21"/>
      <c r="N252" s="22" t="s">
        <v>1650</v>
      </c>
      <c r="O252" s="22" t="s">
        <v>924</v>
      </c>
      <c r="P252" s="24"/>
      <c r="Q252" s="24" t="s">
        <v>2041</v>
      </c>
      <c r="R252" s="24"/>
      <c r="S252" s="24"/>
      <c r="T252" s="24" t="s">
        <v>948</v>
      </c>
      <c r="U252" s="116" t="s">
        <v>2269</v>
      </c>
      <c r="V252" s="22"/>
      <c r="W252" s="22" t="s">
        <v>6</v>
      </c>
      <c r="X252" s="22"/>
      <c r="Y252" s="23" t="s">
        <v>145</v>
      </c>
      <c r="Z252" s="22"/>
      <c r="AA252" s="22"/>
      <c r="AB252" s="22"/>
      <c r="AC252" s="22"/>
      <c r="AD252" s="22"/>
      <c r="AE252" s="24"/>
      <c r="AF252" s="24" t="s">
        <v>2041</v>
      </c>
      <c r="AG252" s="22"/>
      <c r="AH252" s="23"/>
      <c r="AJ252" s="26" t="s">
        <v>929</v>
      </c>
      <c r="AK252" s="27">
        <v>6472</v>
      </c>
      <c r="AL252" s="27"/>
      <c r="AQ252" s="28">
        <v>4</v>
      </c>
      <c r="AR252" s="28">
        <v>2500</v>
      </c>
      <c r="AS252" s="28">
        <v>3000</v>
      </c>
      <c r="AW252" s="27"/>
      <c r="AX252" s="27"/>
      <c r="AY252" s="27"/>
      <c r="BK252" s="27"/>
      <c r="BL252" s="27"/>
      <c r="BW252" s="27"/>
      <c r="BX252" s="27"/>
      <c r="BY252" s="27"/>
      <c r="CH252" s="29"/>
      <c r="CI252" s="23" t="s">
        <v>397</v>
      </c>
      <c r="CJ252" s="28">
        <v>25</v>
      </c>
    </row>
    <row r="253" spans="1:108" x14ac:dyDescent="0.2">
      <c r="A253" s="18">
        <v>922</v>
      </c>
      <c r="B253" s="19">
        <v>1</v>
      </c>
      <c r="C253" s="19">
        <f t="shared" si="16"/>
        <v>9220001</v>
      </c>
      <c r="D253" s="19" t="s">
        <v>990</v>
      </c>
      <c r="E253" s="20" t="s">
        <v>949</v>
      </c>
      <c r="I253" s="21" t="s">
        <v>486</v>
      </c>
      <c r="J253" s="21"/>
      <c r="K253" s="21"/>
      <c r="L253" s="21"/>
      <c r="M253" s="21"/>
      <c r="N253" s="22" t="s">
        <v>1650</v>
      </c>
      <c r="O253" s="22" t="s">
        <v>924</v>
      </c>
      <c r="P253" s="24"/>
      <c r="Q253" s="24" t="s">
        <v>2041</v>
      </c>
      <c r="R253" s="24"/>
      <c r="S253" s="24"/>
      <c r="T253" s="24" t="s">
        <v>948</v>
      </c>
      <c r="U253" s="116" t="s">
        <v>2270</v>
      </c>
      <c r="V253" s="22"/>
      <c r="W253" s="22" t="s">
        <v>6</v>
      </c>
      <c r="X253" s="22"/>
      <c r="Y253" s="23" t="s">
        <v>145</v>
      </c>
      <c r="Z253" s="22"/>
      <c r="AA253" s="22"/>
      <c r="AB253" s="22"/>
      <c r="AC253" s="22"/>
      <c r="AD253" s="22"/>
      <c r="AE253" s="24"/>
      <c r="AF253" s="24" t="s">
        <v>2041</v>
      </c>
      <c r="AG253" s="22"/>
      <c r="AH253" s="23"/>
      <c r="AJ253" s="26" t="s">
        <v>926</v>
      </c>
      <c r="AK253" s="27">
        <v>1571</v>
      </c>
      <c r="AL253" s="27"/>
      <c r="AQ253" s="28">
        <v>5</v>
      </c>
      <c r="AR253" s="28">
        <v>1000</v>
      </c>
      <c r="AS253" s="28">
        <v>3000</v>
      </c>
      <c r="AW253" s="27"/>
      <c r="AX253" s="27"/>
      <c r="AY253" s="27"/>
      <c r="BK253" s="27"/>
      <c r="BL253" s="27"/>
      <c r="BW253" s="27"/>
      <c r="BX253" s="27"/>
      <c r="BY253" s="27"/>
      <c r="CH253" s="29"/>
      <c r="CI253" s="23" t="s">
        <v>397</v>
      </c>
      <c r="CJ253" s="28">
        <v>10</v>
      </c>
    </row>
    <row r="254" spans="1:108" x14ac:dyDescent="0.2">
      <c r="A254" s="18">
        <v>922</v>
      </c>
      <c r="B254" s="19">
        <v>11</v>
      </c>
      <c r="C254" s="19">
        <f t="shared" si="16"/>
        <v>9220011</v>
      </c>
      <c r="D254" s="19" t="s">
        <v>991</v>
      </c>
      <c r="E254" s="20" t="s">
        <v>949</v>
      </c>
      <c r="I254" s="21" t="s">
        <v>486</v>
      </c>
      <c r="J254" s="21"/>
      <c r="K254" s="21"/>
      <c r="L254" s="21"/>
      <c r="M254" s="21"/>
      <c r="N254" s="22" t="s">
        <v>1650</v>
      </c>
      <c r="O254" s="22" t="s">
        <v>924</v>
      </c>
      <c r="P254" s="24"/>
      <c r="Q254" s="24" t="s">
        <v>2041</v>
      </c>
      <c r="R254" s="24"/>
      <c r="S254" s="24"/>
      <c r="T254" s="24" t="s">
        <v>948</v>
      </c>
      <c r="U254" s="116" t="s">
        <v>2271</v>
      </c>
      <c r="V254" s="22"/>
      <c r="W254" s="22" t="s">
        <v>6</v>
      </c>
      <c r="X254" s="22"/>
      <c r="Y254" s="23" t="s">
        <v>145</v>
      </c>
      <c r="Z254" s="22"/>
      <c r="AA254" s="22"/>
      <c r="AB254" s="22"/>
      <c r="AC254" s="22"/>
      <c r="AD254" s="22"/>
      <c r="AE254" s="24"/>
      <c r="AF254" s="24" t="s">
        <v>2041</v>
      </c>
      <c r="AG254" s="22"/>
      <c r="AH254" s="23"/>
      <c r="AJ254" s="27">
        <v>898</v>
      </c>
      <c r="AK254" s="27">
        <v>3592</v>
      </c>
      <c r="AL254" s="27"/>
      <c r="AQ254" s="28">
        <v>6</v>
      </c>
      <c r="AR254" s="28">
        <v>1500</v>
      </c>
      <c r="AS254" s="28">
        <v>3000</v>
      </c>
      <c r="AW254" s="27"/>
      <c r="AX254" s="27"/>
      <c r="AY254" s="27"/>
      <c r="BK254" s="27"/>
      <c r="BL254" s="27"/>
      <c r="BW254" s="27"/>
      <c r="BX254" s="27"/>
      <c r="BY254" s="27"/>
      <c r="CH254" s="29"/>
      <c r="CI254" s="23" t="s">
        <v>397</v>
      </c>
      <c r="CJ254" s="28">
        <v>15</v>
      </c>
    </row>
    <row r="255" spans="1:108" x14ac:dyDescent="0.2">
      <c r="A255" s="18">
        <v>922</v>
      </c>
      <c r="B255" s="19">
        <v>21</v>
      </c>
      <c r="C255" s="19">
        <f t="shared" si="16"/>
        <v>9220021</v>
      </c>
      <c r="D255" s="19" t="s">
        <v>992</v>
      </c>
      <c r="E255" s="20" t="s">
        <v>949</v>
      </c>
      <c r="I255" s="21" t="s">
        <v>486</v>
      </c>
      <c r="J255" s="21"/>
      <c r="K255" s="21"/>
      <c r="L255" s="21"/>
      <c r="M255" s="21"/>
      <c r="N255" s="22" t="s">
        <v>1650</v>
      </c>
      <c r="O255" s="22" t="s">
        <v>924</v>
      </c>
      <c r="P255" s="24"/>
      <c r="Q255" s="24" t="s">
        <v>2041</v>
      </c>
      <c r="R255" s="24"/>
      <c r="S255" s="24"/>
      <c r="T255" s="24" t="s">
        <v>948</v>
      </c>
      <c r="U255" s="116" t="s">
        <v>2272</v>
      </c>
      <c r="V255" s="22"/>
      <c r="W255" s="22" t="s">
        <v>6</v>
      </c>
      <c r="X255" s="22"/>
      <c r="Y255" s="23" t="s">
        <v>145</v>
      </c>
      <c r="Z255" s="22"/>
      <c r="AA255" s="22"/>
      <c r="AB255" s="22"/>
      <c r="AC255" s="22"/>
      <c r="AD255" s="22"/>
      <c r="AE255" s="24"/>
      <c r="AF255" s="24" t="s">
        <v>2041</v>
      </c>
      <c r="AG255" s="22"/>
      <c r="AH255" s="23"/>
      <c r="AJ255" s="26" t="s">
        <v>928</v>
      </c>
      <c r="AK255" s="27">
        <v>4850</v>
      </c>
      <c r="AL255" s="27"/>
      <c r="AQ255" s="28">
        <v>7</v>
      </c>
      <c r="AR255" s="28">
        <v>2000</v>
      </c>
      <c r="AS255" s="28">
        <v>3000</v>
      </c>
      <c r="AW255" s="27"/>
      <c r="AX255" s="27"/>
      <c r="AY255" s="27"/>
      <c r="BK255" s="27"/>
      <c r="BL255" s="27"/>
      <c r="BW255" s="27"/>
      <c r="BX255" s="27"/>
      <c r="BY255" s="27"/>
      <c r="CH255" s="29"/>
      <c r="CI255" s="23" t="s">
        <v>397</v>
      </c>
      <c r="CJ255" s="28">
        <v>20</v>
      </c>
    </row>
    <row r="256" spans="1:108" x14ac:dyDescent="0.2">
      <c r="A256" s="18">
        <v>922</v>
      </c>
      <c r="B256" s="19">
        <v>31</v>
      </c>
      <c r="C256" s="19">
        <f t="shared" si="16"/>
        <v>9220031</v>
      </c>
      <c r="D256" s="19" t="s">
        <v>993</v>
      </c>
      <c r="E256" s="20" t="s">
        <v>949</v>
      </c>
      <c r="I256" s="21" t="s">
        <v>486</v>
      </c>
      <c r="J256" s="21"/>
      <c r="K256" s="21"/>
      <c r="L256" s="21"/>
      <c r="M256" s="21"/>
      <c r="N256" s="22" t="s">
        <v>1650</v>
      </c>
      <c r="O256" s="22" t="s">
        <v>924</v>
      </c>
      <c r="P256" s="24"/>
      <c r="Q256" s="24" t="s">
        <v>2041</v>
      </c>
      <c r="R256" s="24"/>
      <c r="S256" s="24"/>
      <c r="T256" s="24" t="s">
        <v>948</v>
      </c>
      <c r="U256" s="116" t="s">
        <v>2273</v>
      </c>
      <c r="V256" s="22"/>
      <c r="W256" s="22" t="s">
        <v>6</v>
      </c>
      <c r="X256" s="22"/>
      <c r="Y256" s="23" t="s">
        <v>145</v>
      </c>
      <c r="Z256" s="22"/>
      <c r="AA256" s="22"/>
      <c r="AB256" s="22"/>
      <c r="AC256" s="22"/>
      <c r="AD256" s="22"/>
      <c r="AE256" s="24"/>
      <c r="AF256" s="24" t="s">
        <v>2041</v>
      </c>
      <c r="AG256" s="22"/>
      <c r="AH256" s="23"/>
      <c r="AJ256" s="26" t="s">
        <v>929</v>
      </c>
      <c r="AK256" s="27">
        <v>6472</v>
      </c>
      <c r="AL256" s="27"/>
      <c r="AQ256" s="28">
        <v>8</v>
      </c>
      <c r="AR256" s="28">
        <v>2500</v>
      </c>
      <c r="AS256" s="28">
        <v>3000</v>
      </c>
      <c r="AW256" s="27"/>
      <c r="AX256" s="27"/>
      <c r="AY256" s="27"/>
      <c r="BK256" s="27"/>
      <c r="BL256" s="27"/>
      <c r="BW256" s="27"/>
      <c r="BX256" s="27"/>
      <c r="BY256" s="27"/>
      <c r="CH256" s="29"/>
      <c r="CI256" s="23" t="s">
        <v>397</v>
      </c>
      <c r="CJ256" s="28">
        <v>25</v>
      </c>
    </row>
    <row r="257" spans="1:88" x14ac:dyDescent="0.2">
      <c r="A257" s="18">
        <v>923</v>
      </c>
      <c r="B257" s="19">
        <v>1</v>
      </c>
      <c r="C257" s="19">
        <f t="shared" si="16"/>
        <v>9230001</v>
      </c>
      <c r="D257" s="19" t="s">
        <v>994</v>
      </c>
      <c r="E257" s="20" t="s">
        <v>977</v>
      </c>
      <c r="I257" s="21" t="s">
        <v>486</v>
      </c>
      <c r="J257" s="21"/>
      <c r="K257" s="21"/>
      <c r="L257" s="21"/>
      <c r="M257" s="21"/>
      <c r="N257" s="22" t="s">
        <v>1650</v>
      </c>
      <c r="O257" s="22" t="s">
        <v>924</v>
      </c>
      <c r="P257" s="24"/>
      <c r="Q257" s="24" t="s">
        <v>2041</v>
      </c>
      <c r="R257" s="24"/>
      <c r="S257" s="24"/>
      <c r="T257" s="24" t="s">
        <v>948</v>
      </c>
      <c r="U257" s="116" t="s">
        <v>2274</v>
      </c>
      <c r="V257" s="22"/>
      <c r="W257" s="22" t="s">
        <v>5</v>
      </c>
      <c r="X257" s="22"/>
      <c r="Y257" s="23" t="s">
        <v>174</v>
      </c>
      <c r="Z257" s="22"/>
      <c r="AA257" s="22"/>
      <c r="AB257" s="22"/>
      <c r="AC257" s="22"/>
      <c r="AD257" s="22"/>
      <c r="AE257" s="24"/>
      <c r="AF257" s="24" t="s">
        <v>2041</v>
      </c>
      <c r="AG257" s="22"/>
      <c r="AH257" s="23"/>
      <c r="AJ257" s="26" t="s">
        <v>926</v>
      </c>
      <c r="AK257" s="27">
        <v>1571</v>
      </c>
      <c r="AL257" s="27"/>
      <c r="AQ257" s="28">
        <v>1</v>
      </c>
      <c r="AR257" s="28">
        <v>1000</v>
      </c>
      <c r="AS257" s="28">
        <v>3000</v>
      </c>
      <c r="AW257" s="27"/>
      <c r="AX257" s="27"/>
      <c r="AY257" s="27"/>
      <c r="BK257" s="27"/>
      <c r="BL257" s="27"/>
      <c r="BW257" s="27"/>
      <c r="BX257" s="27"/>
      <c r="BY257" s="27"/>
      <c r="CH257" s="29"/>
      <c r="CI257" s="23" t="s">
        <v>397</v>
      </c>
      <c r="CJ257" s="28">
        <v>10</v>
      </c>
    </row>
    <row r="258" spans="1:88" x14ac:dyDescent="0.2">
      <c r="A258" s="18">
        <v>923</v>
      </c>
      <c r="B258" s="19">
        <v>11</v>
      </c>
      <c r="C258" s="19">
        <f t="shared" si="16"/>
        <v>9230011</v>
      </c>
      <c r="D258" s="19" t="s">
        <v>995</v>
      </c>
      <c r="E258" s="20" t="s">
        <v>977</v>
      </c>
      <c r="I258" s="21" t="s">
        <v>486</v>
      </c>
      <c r="J258" s="21"/>
      <c r="K258" s="21"/>
      <c r="L258" s="21"/>
      <c r="M258" s="21"/>
      <c r="N258" s="22" t="s">
        <v>1650</v>
      </c>
      <c r="O258" s="22" t="s">
        <v>924</v>
      </c>
      <c r="P258" s="24"/>
      <c r="Q258" s="24" t="s">
        <v>2041</v>
      </c>
      <c r="R258" s="24"/>
      <c r="S258" s="24"/>
      <c r="T258" s="24" t="s">
        <v>948</v>
      </c>
      <c r="U258" s="116" t="s">
        <v>2275</v>
      </c>
      <c r="V258" s="22"/>
      <c r="W258" s="22" t="s">
        <v>5</v>
      </c>
      <c r="X258" s="22"/>
      <c r="Y258" s="23" t="s">
        <v>174</v>
      </c>
      <c r="Z258" s="22"/>
      <c r="AA258" s="22"/>
      <c r="AB258" s="22"/>
      <c r="AC258" s="22"/>
      <c r="AD258" s="22"/>
      <c r="AE258" s="24"/>
      <c r="AF258" s="24" t="s">
        <v>2041</v>
      </c>
      <c r="AG258" s="22"/>
      <c r="AH258" s="23"/>
      <c r="AJ258" s="27">
        <v>898</v>
      </c>
      <c r="AK258" s="27">
        <v>3592</v>
      </c>
      <c r="AL258" s="27"/>
      <c r="AQ258" s="28">
        <v>2</v>
      </c>
      <c r="AR258" s="28">
        <v>1500</v>
      </c>
      <c r="AS258" s="28">
        <v>3000</v>
      </c>
      <c r="AW258" s="27"/>
      <c r="AX258" s="27"/>
      <c r="AY258" s="27"/>
      <c r="BK258" s="27"/>
      <c r="BL258" s="27"/>
      <c r="BW258" s="27"/>
      <c r="BX258" s="27"/>
      <c r="BY258" s="27"/>
      <c r="CH258" s="29"/>
      <c r="CI258" s="23" t="s">
        <v>397</v>
      </c>
      <c r="CJ258" s="28">
        <v>15</v>
      </c>
    </row>
    <row r="259" spans="1:88" x14ac:dyDescent="0.2">
      <c r="A259" s="18">
        <v>923</v>
      </c>
      <c r="B259" s="19">
        <v>21</v>
      </c>
      <c r="C259" s="19">
        <f t="shared" si="16"/>
        <v>9230021</v>
      </c>
      <c r="D259" s="19" t="s">
        <v>996</v>
      </c>
      <c r="E259" s="20" t="s">
        <v>977</v>
      </c>
      <c r="I259" s="21" t="s">
        <v>486</v>
      </c>
      <c r="J259" s="21"/>
      <c r="K259" s="21"/>
      <c r="L259" s="21"/>
      <c r="M259" s="21"/>
      <c r="N259" s="22" t="s">
        <v>1650</v>
      </c>
      <c r="O259" s="22" t="s">
        <v>924</v>
      </c>
      <c r="P259" s="24"/>
      <c r="Q259" s="24" t="s">
        <v>2041</v>
      </c>
      <c r="R259" s="24"/>
      <c r="S259" s="24"/>
      <c r="T259" s="24" t="s">
        <v>948</v>
      </c>
      <c r="U259" s="116" t="s">
        <v>2276</v>
      </c>
      <c r="V259" s="22"/>
      <c r="W259" s="22" t="s">
        <v>5</v>
      </c>
      <c r="X259" s="22"/>
      <c r="Y259" s="23" t="s">
        <v>174</v>
      </c>
      <c r="Z259" s="22"/>
      <c r="AA259" s="22"/>
      <c r="AB259" s="22"/>
      <c r="AC259" s="22"/>
      <c r="AD259" s="22"/>
      <c r="AE259" s="24"/>
      <c r="AF259" s="24" t="s">
        <v>2041</v>
      </c>
      <c r="AG259" s="22"/>
      <c r="AH259" s="23"/>
      <c r="AJ259" s="26" t="s">
        <v>928</v>
      </c>
      <c r="AK259" s="27">
        <v>4850</v>
      </c>
      <c r="AL259" s="27"/>
      <c r="AQ259" s="28">
        <v>3</v>
      </c>
      <c r="AR259" s="28">
        <v>2000</v>
      </c>
      <c r="AS259" s="28">
        <v>3000</v>
      </c>
      <c r="AW259" s="27"/>
      <c r="AX259" s="27"/>
      <c r="AY259" s="27"/>
      <c r="BK259" s="27"/>
      <c r="BL259" s="27"/>
      <c r="BW259" s="27"/>
      <c r="BX259" s="27"/>
      <c r="BY259" s="27"/>
      <c r="CH259" s="29"/>
      <c r="CI259" s="23" t="s">
        <v>397</v>
      </c>
      <c r="CJ259" s="28">
        <v>20</v>
      </c>
    </row>
    <row r="260" spans="1:88" x14ac:dyDescent="0.2">
      <c r="A260" s="18">
        <v>923</v>
      </c>
      <c r="B260" s="19">
        <v>31</v>
      </c>
      <c r="C260" s="19">
        <f t="shared" si="16"/>
        <v>9230031</v>
      </c>
      <c r="D260" s="19" t="s">
        <v>997</v>
      </c>
      <c r="E260" s="20" t="s">
        <v>977</v>
      </c>
      <c r="I260" s="21" t="s">
        <v>486</v>
      </c>
      <c r="J260" s="21"/>
      <c r="K260" s="21"/>
      <c r="L260" s="21"/>
      <c r="M260" s="21"/>
      <c r="N260" s="22" t="s">
        <v>1650</v>
      </c>
      <c r="O260" s="22" t="s">
        <v>924</v>
      </c>
      <c r="P260" s="24"/>
      <c r="Q260" s="24" t="s">
        <v>2041</v>
      </c>
      <c r="R260" s="24"/>
      <c r="S260" s="24"/>
      <c r="T260" s="24" t="s">
        <v>948</v>
      </c>
      <c r="U260" s="116" t="s">
        <v>2277</v>
      </c>
      <c r="V260" s="22"/>
      <c r="W260" s="22" t="s">
        <v>5</v>
      </c>
      <c r="X260" s="22"/>
      <c r="Y260" s="23" t="s">
        <v>174</v>
      </c>
      <c r="Z260" s="22"/>
      <c r="AA260" s="22"/>
      <c r="AB260" s="22"/>
      <c r="AC260" s="22"/>
      <c r="AD260" s="22"/>
      <c r="AE260" s="24"/>
      <c r="AF260" s="24" t="s">
        <v>2041</v>
      </c>
      <c r="AG260" s="22"/>
      <c r="AH260" s="23"/>
      <c r="AJ260" s="26" t="s">
        <v>929</v>
      </c>
      <c r="AK260" s="27">
        <v>6472</v>
      </c>
      <c r="AL260" s="27"/>
      <c r="AQ260" s="28">
        <v>4</v>
      </c>
      <c r="AR260" s="28">
        <v>2500</v>
      </c>
      <c r="AS260" s="28">
        <v>3000</v>
      </c>
      <c r="AW260" s="27"/>
      <c r="AX260" s="27"/>
      <c r="AY260" s="27"/>
      <c r="BK260" s="27"/>
      <c r="BL260" s="27"/>
      <c r="BW260" s="27"/>
      <c r="BX260" s="27"/>
      <c r="BY260" s="27"/>
      <c r="CH260" s="29"/>
      <c r="CI260" s="23" t="s">
        <v>397</v>
      </c>
      <c r="CJ260" s="28">
        <v>25</v>
      </c>
    </row>
    <row r="261" spans="1:88" x14ac:dyDescent="0.2">
      <c r="A261" s="18">
        <v>924</v>
      </c>
      <c r="B261" s="19">
        <v>1</v>
      </c>
      <c r="C261" s="19">
        <f t="shared" ref="C261:C425" si="35">A261*10000+B261</f>
        <v>9240001</v>
      </c>
      <c r="D261" s="19" t="s">
        <v>998</v>
      </c>
      <c r="E261" s="20" t="s">
        <v>979</v>
      </c>
      <c r="I261" s="21" t="s">
        <v>1126</v>
      </c>
      <c r="J261" s="21"/>
      <c r="K261" s="21"/>
      <c r="L261" s="21"/>
      <c r="M261" s="21"/>
      <c r="N261" s="22" t="s">
        <v>1650</v>
      </c>
      <c r="O261" s="22" t="s">
        <v>924</v>
      </c>
      <c r="P261" s="24"/>
      <c r="Q261" s="24" t="s">
        <v>2041</v>
      </c>
      <c r="R261" s="24"/>
      <c r="S261" s="24"/>
      <c r="T261" s="24" t="s">
        <v>948</v>
      </c>
      <c r="U261" s="116" t="s">
        <v>2278</v>
      </c>
      <c r="V261" s="22"/>
      <c r="W261" s="22" t="s">
        <v>4</v>
      </c>
      <c r="X261" s="22"/>
      <c r="Y261" s="23" t="s">
        <v>171</v>
      </c>
      <c r="Z261" s="22"/>
      <c r="AA261" s="22"/>
      <c r="AB261" s="22"/>
      <c r="AC261" s="22"/>
      <c r="AD261" s="22"/>
      <c r="AE261" s="24"/>
      <c r="AF261" s="24" t="s">
        <v>2041</v>
      </c>
      <c r="AG261" s="22"/>
      <c r="AH261" s="23"/>
      <c r="AJ261" s="26" t="s">
        <v>926</v>
      </c>
      <c r="AK261" s="27">
        <v>1571</v>
      </c>
      <c r="AL261" s="27"/>
      <c r="AQ261" s="28">
        <v>1</v>
      </c>
      <c r="AR261" s="28">
        <v>1000</v>
      </c>
      <c r="AS261" s="28">
        <v>3000</v>
      </c>
      <c r="AW261" s="27"/>
      <c r="AX261" s="27"/>
      <c r="AY261" s="27"/>
      <c r="BK261" s="27"/>
      <c r="BL261" s="27"/>
      <c r="BW261" s="27"/>
      <c r="BX261" s="27"/>
      <c r="BY261" s="27"/>
      <c r="CH261" s="29"/>
      <c r="CI261" s="23" t="s">
        <v>397</v>
      </c>
      <c r="CJ261" s="28">
        <v>10</v>
      </c>
    </row>
    <row r="262" spans="1:88" x14ac:dyDescent="0.2">
      <c r="A262" s="18">
        <v>924</v>
      </c>
      <c r="B262" s="19">
        <v>11</v>
      </c>
      <c r="C262" s="19">
        <f t="shared" si="35"/>
        <v>9240011</v>
      </c>
      <c r="D262" s="19" t="s">
        <v>999</v>
      </c>
      <c r="E262" s="20" t="s">
        <v>979</v>
      </c>
      <c r="I262" s="21" t="s">
        <v>1126</v>
      </c>
      <c r="J262" s="21"/>
      <c r="K262" s="21"/>
      <c r="L262" s="21"/>
      <c r="M262" s="21"/>
      <c r="N262" s="22" t="s">
        <v>1650</v>
      </c>
      <c r="O262" s="22" t="s">
        <v>924</v>
      </c>
      <c r="P262" s="24"/>
      <c r="Q262" s="24" t="s">
        <v>2041</v>
      </c>
      <c r="R262" s="24"/>
      <c r="S262" s="24"/>
      <c r="T262" s="24" t="s">
        <v>948</v>
      </c>
      <c r="U262" s="116" t="s">
        <v>2279</v>
      </c>
      <c r="V262" s="22"/>
      <c r="W262" s="22" t="s">
        <v>4</v>
      </c>
      <c r="X262" s="22"/>
      <c r="Y262" s="23" t="s">
        <v>171</v>
      </c>
      <c r="Z262" s="22"/>
      <c r="AA262" s="22"/>
      <c r="AB262" s="22"/>
      <c r="AC262" s="22"/>
      <c r="AD262" s="22"/>
      <c r="AE262" s="24"/>
      <c r="AF262" s="24" t="s">
        <v>2041</v>
      </c>
      <c r="AG262" s="22"/>
      <c r="AH262" s="23"/>
      <c r="AJ262" s="27">
        <v>898</v>
      </c>
      <c r="AK262" s="27">
        <v>3592</v>
      </c>
      <c r="AL262" s="27"/>
      <c r="AQ262" s="28">
        <v>2</v>
      </c>
      <c r="AR262" s="28">
        <v>1500</v>
      </c>
      <c r="AS262" s="28">
        <v>3000</v>
      </c>
      <c r="AW262" s="27"/>
      <c r="AX262" s="27"/>
      <c r="AY262" s="27"/>
      <c r="BK262" s="27"/>
      <c r="BL262" s="27"/>
      <c r="BW262" s="27"/>
      <c r="BX262" s="27"/>
      <c r="BY262" s="27"/>
      <c r="CH262" s="29"/>
      <c r="CI262" s="23" t="s">
        <v>397</v>
      </c>
      <c r="CJ262" s="28">
        <v>15</v>
      </c>
    </row>
    <row r="263" spans="1:88" x14ac:dyDescent="0.2">
      <c r="A263" s="18">
        <v>924</v>
      </c>
      <c r="B263" s="19">
        <v>21</v>
      </c>
      <c r="C263" s="19">
        <f t="shared" si="35"/>
        <v>9240021</v>
      </c>
      <c r="D263" s="19" t="s">
        <v>1000</v>
      </c>
      <c r="E263" s="20" t="s">
        <v>979</v>
      </c>
      <c r="I263" s="21" t="s">
        <v>1126</v>
      </c>
      <c r="J263" s="21"/>
      <c r="K263" s="21"/>
      <c r="L263" s="21"/>
      <c r="M263" s="21"/>
      <c r="N263" s="22" t="s">
        <v>1650</v>
      </c>
      <c r="O263" s="22" t="s">
        <v>924</v>
      </c>
      <c r="P263" s="24"/>
      <c r="Q263" s="24" t="s">
        <v>2041</v>
      </c>
      <c r="R263" s="24"/>
      <c r="S263" s="24"/>
      <c r="T263" s="24" t="s">
        <v>948</v>
      </c>
      <c r="U263" s="116" t="s">
        <v>2280</v>
      </c>
      <c r="V263" s="22"/>
      <c r="W263" s="22" t="s">
        <v>4</v>
      </c>
      <c r="X263" s="22"/>
      <c r="Y263" s="23" t="s">
        <v>171</v>
      </c>
      <c r="Z263" s="22"/>
      <c r="AA263" s="22"/>
      <c r="AB263" s="22"/>
      <c r="AC263" s="22"/>
      <c r="AD263" s="22"/>
      <c r="AE263" s="24"/>
      <c r="AF263" s="24" t="s">
        <v>2041</v>
      </c>
      <c r="AG263" s="22"/>
      <c r="AH263" s="23"/>
      <c r="AJ263" s="26" t="s">
        <v>928</v>
      </c>
      <c r="AK263" s="27">
        <v>4850</v>
      </c>
      <c r="AL263" s="27"/>
      <c r="AQ263" s="28">
        <v>3</v>
      </c>
      <c r="AR263" s="28">
        <v>2000</v>
      </c>
      <c r="AS263" s="28">
        <v>3000</v>
      </c>
      <c r="AW263" s="27"/>
      <c r="AX263" s="27"/>
      <c r="AY263" s="27"/>
      <c r="BK263" s="27"/>
      <c r="BL263" s="27"/>
      <c r="BW263" s="27"/>
      <c r="BX263" s="27"/>
      <c r="BY263" s="27"/>
      <c r="CH263" s="29"/>
      <c r="CI263" s="23" t="s">
        <v>397</v>
      </c>
      <c r="CJ263" s="28">
        <v>20</v>
      </c>
    </row>
    <row r="264" spans="1:88" x14ac:dyDescent="0.2">
      <c r="A264" s="18">
        <v>924</v>
      </c>
      <c r="B264" s="19">
        <v>31</v>
      </c>
      <c r="C264" s="19">
        <f t="shared" si="35"/>
        <v>9240031</v>
      </c>
      <c r="D264" s="19" t="s">
        <v>1001</v>
      </c>
      <c r="E264" s="20" t="s">
        <v>979</v>
      </c>
      <c r="I264" s="21" t="s">
        <v>1126</v>
      </c>
      <c r="J264" s="21"/>
      <c r="K264" s="21"/>
      <c r="L264" s="21"/>
      <c r="M264" s="21"/>
      <c r="N264" s="22" t="s">
        <v>1650</v>
      </c>
      <c r="O264" s="22" t="s">
        <v>924</v>
      </c>
      <c r="P264" s="24"/>
      <c r="Q264" s="24" t="s">
        <v>2041</v>
      </c>
      <c r="R264" s="24"/>
      <c r="S264" s="24"/>
      <c r="T264" s="24" t="s">
        <v>948</v>
      </c>
      <c r="U264" s="116" t="s">
        <v>2281</v>
      </c>
      <c r="V264" s="22"/>
      <c r="W264" s="22" t="s">
        <v>4</v>
      </c>
      <c r="X264" s="22"/>
      <c r="Y264" s="23" t="s">
        <v>171</v>
      </c>
      <c r="Z264" s="22"/>
      <c r="AA264" s="22"/>
      <c r="AB264" s="22"/>
      <c r="AC264" s="22"/>
      <c r="AD264" s="22"/>
      <c r="AE264" s="24"/>
      <c r="AF264" s="24" t="s">
        <v>2041</v>
      </c>
      <c r="AG264" s="22"/>
      <c r="AH264" s="23"/>
      <c r="AJ264" s="26" t="s">
        <v>929</v>
      </c>
      <c r="AK264" s="27">
        <v>6472</v>
      </c>
      <c r="AL264" s="27"/>
      <c r="AQ264" s="28">
        <v>4</v>
      </c>
      <c r="AR264" s="28">
        <v>2500</v>
      </c>
      <c r="AS264" s="28">
        <v>3000</v>
      </c>
      <c r="AW264" s="27"/>
      <c r="AX264" s="27"/>
      <c r="AY264" s="27"/>
      <c r="BK264" s="27"/>
      <c r="BL264" s="27"/>
      <c r="BW264" s="27"/>
      <c r="BX264" s="27"/>
      <c r="BY264" s="27"/>
      <c r="CH264" s="29"/>
      <c r="CI264" s="23" t="s">
        <v>397</v>
      </c>
      <c r="CJ264" s="28">
        <v>25</v>
      </c>
    </row>
    <row r="265" spans="1:88" x14ac:dyDescent="0.2">
      <c r="A265" s="18">
        <v>925</v>
      </c>
      <c r="B265" s="19">
        <v>1</v>
      </c>
      <c r="C265" s="19">
        <f t="shared" si="35"/>
        <v>9250001</v>
      </c>
      <c r="D265" s="19" t="s">
        <v>1332</v>
      </c>
      <c r="E265" s="20" t="s">
        <v>1384</v>
      </c>
      <c r="I265" s="21" t="s">
        <v>1331</v>
      </c>
      <c r="J265" s="21"/>
      <c r="K265" s="21"/>
      <c r="L265" s="21"/>
      <c r="M265" s="21"/>
      <c r="N265" s="22" t="s">
        <v>1650</v>
      </c>
      <c r="O265" s="22" t="s">
        <v>924</v>
      </c>
      <c r="P265" s="24"/>
      <c r="Q265" s="24" t="s">
        <v>2041</v>
      </c>
      <c r="R265" s="24"/>
      <c r="S265" s="24"/>
      <c r="T265" s="24" t="s">
        <v>948</v>
      </c>
      <c r="U265" s="116" t="s">
        <v>2282</v>
      </c>
      <c r="V265" s="22"/>
      <c r="W265" s="22" t="s">
        <v>4</v>
      </c>
      <c r="X265" s="22"/>
      <c r="Y265" s="23" t="s">
        <v>171</v>
      </c>
      <c r="Z265" s="22"/>
      <c r="AA265" s="22"/>
      <c r="AB265" s="22"/>
      <c r="AC265" s="22"/>
      <c r="AD265" s="22"/>
      <c r="AE265" s="24"/>
      <c r="AF265" s="24" t="s">
        <v>2041</v>
      </c>
      <c r="AG265" s="22"/>
      <c r="AH265" s="23"/>
      <c r="AJ265" s="26" t="s">
        <v>926</v>
      </c>
      <c r="AK265" s="27">
        <v>1571</v>
      </c>
      <c r="AL265" s="27"/>
      <c r="AQ265" s="28">
        <v>1</v>
      </c>
      <c r="AR265" s="28">
        <v>1000</v>
      </c>
      <c r="AS265" s="28">
        <v>3000</v>
      </c>
      <c r="AW265" s="27"/>
      <c r="AX265" s="27"/>
      <c r="AY265" s="27"/>
      <c r="BK265" s="27"/>
      <c r="BL265" s="27"/>
      <c r="BW265" s="27"/>
      <c r="BX265" s="27"/>
      <c r="BY265" s="27"/>
      <c r="CH265" s="29"/>
      <c r="CI265" s="23" t="s">
        <v>397</v>
      </c>
      <c r="CJ265" s="28">
        <v>10</v>
      </c>
    </row>
    <row r="266" spans="1:88" x14ac:dyDescent="0.2">
      <c r="A266" s="18">
        <v>925</v>
      </c>
      <c r="B266" s="19">
        <v>11</v>
      </c>
      <c r="C266" s="19">
        <f t="shared" si="35"/>
        <v>9250011</v>
      </c>
      <c r="D266" s="19" t="s">
        <v>1333</v>
      </c>
      <c r="E266" s="20" t="s">
        <v>1258</v>
      </c>
      <c r="I266" s="21" t="s">
        <v>1331</v>
      </c>
      <c r="J266" s="21"/>
      <c r="K266" s="21"/>
      <c r="L266" s="21"/>
      <c r="M266" s="21"/>
      <c r="N266" s="22" t="s">
        <v>1650</v>
      </c>
      <c r="O266" s="22" t="s">
        <v>924</v>
      </c>
      <c r="P266" s="24"/>
      <c r="Q266" s="24" t="s">
        <v>2041</v>
      </c>
      <c r="R266" s="24"/>
      <c r="S266" s="24"/>
      <c r="T266" s="24" t="s">
        <v>948</v>
      </c>
      <c r="U266" s="116" t="s">
        <v>2283</v>
      </c>
      <c r="V266" s="22"/>
      <c r="W266" s="22" t="s">
        <v>4</v>
      </c>
      <c r="X266" s="22"/>
      <c r="Y266" s="23" t="s">
        <v>171</v>
      </c>
      <c r="Z266" s="22"/>
      <c r="AA266" s="22"/>
      <c r="AB266" s="22"/>
      <c r="AC266" s="22"/>
      <c r="AD266" s="22"/>
      <c r="AE266" s="24"/>
      <c r="AF266" s="24" t="s">
        <v>2041</v>
      </c>
      <c r="AG266" s="22"/>
      <c r="AH266" s="23"/>
      <c r="AJ266" s="27">
        <v>898</v>
      </c>
      <c r="AK266" s="27">
        <v>3592</v>
      </c>
      <c r="AL266" s="27"/>
      <c r="AQ266" s="28">
        <v>2</v>
      </c>
      <c r="AR266" s="28">
        <v>1500</v>
      </c>
      <c r="AS266" s="28">
        <v>3000</v>
      </c>
      <c r="AW266" s="27"/>
      <c r="AX266" s="27"/>
      <c r="AY266" s="27"/>
      <c r="BK266" s="27"/>
      <c r="BL266" s="27"/>
      <c r="BW266" s="27"/>
      <c r="BX266" s="27"/>
      <c r="BY266" s="27"/>
      <c r="CH266" s="29"/>
      <c r="CI266" s="23" t="s">
        <v>397</v>
      </c>
      <c r="CJ266" s="28">
        <v>15</v>
      </c>
    </row>
    <row r="267" spans="1:88" x14ac:dyDescent="0.2">
      <c r="A267" s="18">
        <v>925</v>
      </c>
      <c r="B267" s="19">
        <v>21</v>
      </c>
      <c r="C267" s="19">
        <f t="shared" si="35"/>
        <v>9250021</v>
      </c>
      <c r="D267" s="19" t="s">
        <v>1334</v>
      </c>
      <c r="E267" s="20" t="s">
        <v>1258</v>
      </c>
      <c r="I267" s="21" t="s">
        <v>1331</v>
      </c>
      <c r="J267" s="21"/>
      <c r="K267" s="21"/>
      <c r="L267" s="21"/>
      <c r="M267" s="21"/>
      <c r="N267" s="22" t="s">
        <v>1650</v>
      </c>
      <c r="O267" s="22" t="s">
        <v>924</v>
      </c>
      <c r="P267" s="24"/>
      <c r="Q267" s="24" t="s">
        <v>2041</v>
      </c>
      <c r="R267" s="24"/>
      <c r="S267" s="24"/>
      <c r="T267" s="24" t="s">
        <v>948</v>
      </c>
      <c r="U267" s="116" t="s">
        <v>2284</v>
      </c>
      <c r="V267" s="22"/>
      <c r="W267" s="22" t="s">
        <v>4</v>
      </c>
      <c r="X267" s="22"/>
      <c r="Y267" s="23" t="s">
        <v>171</v>
      </c>
      <c r="Z267" s="22"/>
      <c r="AA267" s="22"/>
      <c r="AB267" s="22"/>
      <c r="AC267" s="22"/>
      <c r="AD267" s="22"/>
      <c r="AE267" s="24"/>
      <c r="AF267" s="24" t="s">
        <v>2041</v>
      </c>
      <c r="AG267" s="22"/>
      <c r="AH267" s="23"/>
      <c r="AJ267" s="26" t="s">
        <v>928</v>
      </c>
      <c r="AK267" s="27">
        <v>4850</v>
      </c>
      <c r="AL267" s="27"/>
      <c r="AQ267" s="28">
        <v>3</v>
      </c>
      <c r="AR267" s="28">
        <v>2000</v>
      </c>
      <c r="AS267" s="28">
        <v>3000</v>
      </c>
      <c r="AW267" s="27"/>
      <c r="AX267" s="27"/>
      <c r="AY267" s="27"/>
      <c r="BK267" s="27"/>
      <c r="BL267" s="27"/>
      <c r="BW267" s="27"/>
      <c r="BX267" s="27"/>
      <c r="BY267" s="27"/>
      <c r="CH267" s="29"/>
      <c r="CI267" s="23" t="s">
        <v>397</v>
      </c>
      <c r="CJ267" s="28">
        <v>20</v>
      </c>
    </row>
    <row r="268" spans="1:88" x14ac:dyDescent="0.2">
      <c r="A268" s="18">
        <v>925</v>
      </c>
      <c r="B268" s="19">
        <v>31</v>
      </c>
      <c r="C268" s="19">
        <f t="shared" si="35"/>
        <v>9250031</v>
      </c>
      <c r="D268" s="19" t="s">
        <v>1335</v>
      </c>
      <c r="E268" s="20" t="s">
        <v>1258</v>
      </c>
      <c r="I268" s="21" t="s">
        <v>1331</v>
      </c>
      <c r="J268" s="21"/>
      <c r="K268" s="21"/>
      <c r="L268" s="21"/>
      <c r="M268" s="21"/>
      <c r="N268" s="22" t="s">
        <v>1650</v>
      </c>
      <c r="O268" s="22" t="s">
        <v>924</v>
      </c>
      <c r="P268" s="24"/>
      <c r="Q268" s="24" t="s">
        <v>2041</v>
      </c>
      <c r="R268" s="24"/>
      <c r="S268" s="24"/>
      <c r="T268" s="24" t="s">
        <v>948</v>
      </c>
      <c r="U268" s="116" t="s">
        <v>2285</v>
      </c>
      <c r="V268" s="22"/>
      <c r="W268" s="22" t="s">
        <v>4</v>
      </c>
      <c r="X268" s="22"/>
      <c r="Y268" s="23" t="s">
        <v>171</v>
      </c>
      <c r="Z268" s="22"/>
      <c r="AA268" s="22"/>
      <c r="AB268" s="22"/>
      <c r="AC268" s="22"/>
      <c r="AD268" s="22"/>
      <c r="AE268" s="24"/>
      <c r="AF268" s="24" t="s">
        <v>2041</v>
      </c>
      <c r="AG268" s="22"/>
      <c r="AH268" s="23"/>
      <c r="AJ268" s="26" t="s">
        <v>929</v>
      </c>
      <c r="AK268" s="27">
        <v>6472</v>
      </c>
      <c r="AL268" s="27"/>
      <c r="AQ268" s="28">
        <v>4</v>
      </c>
      <c r="AR268" s="28">
        <v>2500</v>
      </c>
      <c r="AS268" s="28">
        <v>3000</v>
      </c>
      <c r="AW268" s="27"/>
      <c r="AX268" s="27"/>
      <c r="AY268" s="27"/>
      <c r="BK268" s="27"/>
      <c r="BL268" s="27"/>
      <c r="BW268" s="27"/>
      <c r="BX268" s="27"/>
      <c r="BY268" s="27"/>
      <c r="CH268" s="29"/>
      <c r="CI268" s="23" t="s">
        <v>397</v>
      </c>
      <c r="CJ268" s="28">
        <v>25</v>
      </c>
    </row>
    <row r="269" spans="1:88" x14ac:dyDescent="0.2">
      <c r="A269" s="18">
        <v>926</v>
      </c>
      <c r="B269" s="19">
        <v>1</v>
      </c>
      <c r="C269" s="19">
        <f t="shared" si="35"/>
        <v>9260001</v>
      </c>
      <c r="D269" s="19" t="s">
        <v>1352</v>
      </c>
      <c r="E269" s="20" t="s">
        <v>1356</v>
      </c>
      <c r="I269" s="21" t="s">
        <v>1331</v>
      </c>
      <c r="J269" s="21"/>
      <c r="K269" s="21"/>
      <c r="L269" s="21"/>
      <c r="M269" s="21"/>
      <c r="N269" s="22" t="s">
        <v>1650</v>
      </c>
      <c r="O269" s="22" t="s">
        <v>924</v>
      </c>
      <c r="P269" s="24"/>
      <c r="Q269" s="24" t="s">
        <v>2041</v>
      </c>
      <c r="R269" s="24"/>
      <c r="S269" s="24"/>
      <c r="T269" s="24" t="s">
        <v>948</v>
      </c>
      <c r="U269" s="116" t="s">
        <v>2286</v>
      </c>
      <c r="V269" s="22"/>
      <c r="W269" s="22" t="s">
        <v>4</v>
      </c>
      <c r="X269" s="22"/>
      <c r="Y269" s="23" t="s">
        <v>171</v>
      </c>
      <c r="Z269" s="22"/>
      <c r="AA269" s="22"/>
      <c r="AB269" s="22"/>
      <c r="AC269" s="22"/>
      <c r="AD269" s="22"/>
      <c r="AE269" s="24"/>
      <c r="AF269" s="24" t="s">
        <v>2041</v>
      </c>
      <c r="AG269" s="22"/>
      <c r="AH269" s="23"/>
      <c r="AJ269" s="26" t="s">
        <v>926</v>
      </c>
      <c r="AK269" s="27">
        <v>1571</v>
      </c>
      <c r="AL269" s="27"/>
      <c r="AQ269" s="28">
        <v>1</v>
      </c>
      <c r="AR269" s="28">
        <v>1000</v>
      </c>
      <c r="AS269" s="28">
        <v>3000</v>
      </c>
      <c r="AW269" s="27"/>
      <c r="AX269" s="27"/>
      <c r="AY269" s="27"/>
      <c r="BK269" s="27"/>
      <c r="BL269" s="27"/>
      <c r="BW269" s="27"/>
      <c r="BX269" s="27"/>
      <c r="BY269" s="27"/>
      <c r="CH269" s="29"/>
      <c r="CI269" s="23" t="s">
        <v>397</v>
      </c>
      <c r="CJ269" s="28">
        <v>10</v>
      </c>
    </row>
    <row r="270" spans="1:88" x14ac:dyDescent="0.2">
      <c r="A270" s="18">
        <v>926</v>
      </c>
      <c r="B270" s="19">
        <v>11</v>
      </c>
      <c r="C270" s="19">
        <f t="shared" si="35"/>
        <v>9260011</v>
      </c>
      <c r="D270" s="19" t="s">
        <v>1353</v>
      </c>
      <c r="E270" s="20" t="s">
        <v>1356</v>
      </c>
      <c r="I270" s="21" t="s">
        <v>1331</v>
      </c>
      <c r="J270" s="21"/>
      <c r="K270" s="21"/>
      <c r="L270" s="21"/>
      <c r="M270" s="21"/>
      <c r="N270" s="22" t="s">
        <v>1650</v>
      </c>
      <c r="O270" s="22" t="s">
        <v>924</v>
      </c>
      <c r="P270" s="24"/>
      <c r="Q270" s="24" t="s">
        <v>2041</v>
      </c>
      <c r="R270" s="24"/>
      <c r="S270" s="24"/>
      <c r="T270" s="24" t="s">
        <v>948</v>
      </c>
      <c r="U270" s="116" t="s">
        <v>2287</v>
      </c>
      <c r="V270" s="22"/>
      <c r="W270" s="22" t="s">
        <v>4</v>
      </c>
      <c r="X270" s="22"/>
      <c r="Y270" s="23" t="s">
        <v>171</v>
      </c>
      <c r="Z270" s="22"/>
      <c r="AA270" s="22"/>
      <c r="AB270" s="22"/>
      <c r="AC270" s="22"/>
      <c r="AD270" s="22"/>
      <c r="AE270" s="24"/>
      <c r="AF270" s="24" t="s">
        <v>2041</v>
      </c>
      <c r="AG270" s="22"/>
      <c r="AH270" s="23"/>
      <c r="AJ270" s="27">
        <v>898</v>
      </c>
      <c r="AK270" s="27">
        <v>3592</v>
      </c>
      <c r="AL270" s="27"/>
      <c r="AQ270" s="28">
        <v>2</v>
      </c>
      <c r="AR270" s="28">
        <v>1500</v>
      </c>
      <c r="AS270" s="28">
        <v>3000</v>
      </c>
      <c r="AW270" s="27"/>
      <c r="AX270" s="27"/>
      <c r="AY270" s="27"/>
      <c r="BK270" s="27"/>
      <c r="BL270" s="27"/>
      <c r="BW270" s="27"/>
      <c r="BX270" s="27"/>
      <c r="BY270" s="27"/>
      <c r="CH270" s="29"/>
      <c r="CI270" s="23" t="s">
        <v>397</v>
      </c>
      <c r="CJ270" s="28">
        <v>15</v>
      </c>
    </row>
    <row r="271" spans="1:88" x14ac:dyDescent="0.2">
      <c r="A271" s="18">
        <v>926</v>
      </c>
      <c r="B271" s="19">
        <v>21</v>
      </c>
      <c r="C271" s="19">
        <f t="shared" si="35"/>
        <v>9260021</v>
      </c>
      <c r="D271" s="19" t="s">
        <v>1354</v>
      </c>
      <c r="E271" s="20" t="s">
        <v>1356</v>
      </c>
      <c r="I271" s="21" t="s">
        <v>1331</v>
      </c>
      <c r="J271" s="21"/>
      <c r="K271" s="21"/>
      <c r="L271" s="21"/>
      <c r="M271" s="21"/>
      <c r="N271" s="22" t="s">
        <v>1650</v>
      </c>
      <c r="O271" s="22" t="s">
        <v>924</v>
      </c>
      <c r="P271" s="24"/>
      <c r="Q271" s="24" t="s">
        <v>2041</v>
      </c>
      <c r="R271" s="24"/>
      <c r="S271" s="24"/>
      <c r="T271" s="24" t="s">
        <v>948</v>
      </c>
      <c r="U271" s="116" t="s">
        <v>2288</v>
      </c>
      <c r="V271" s="22"/>
      <c r="W271" s="22" t="s">
        <v>4</v>
      </c>
      <c r="X271" s="22"/>
      <c r="Y271" s="23" t="s">
        <v>171</v>
      </c>
      <c r="Z271" s="22"/>
      <c r="AA271" s="22"/>
      <c r="AB271" s="22"/>
      <c r="AC271" s="22"/>
      <c r="AD271" s="22"/>
      <c r="AE271" s="24"/>
      <c r="AF271" s="24" t="s">
        <v>2041</v>
      </c>
      <c r="AG271" s="22"/>
      <c r="AH271" s="23"/>
      <c r="AJ271" s="26" t="s">
        <v>928</v>
      </c>
      <c r="AK271" s="27">
        <v>4850</v>
      </c>
      <c r="AL271" s="27"/>
      <c r="AQ271" s="28">
        <v>3</v>
      </c>
      <c r="AR271" s="28">
        <v>2000</v>
      </c>
      <c r="AS271" s="28">
        <v>3000</v>
      </c>
      <c r="AW271" s="27"/>
      <c r="AX271" s="27"/>
      <c r="AY271" s="27"/>
      <c r="BK271" s="27"/>
      <c r="BL271" s="27"/>
      <c r="BW271" s="27"/>
      <c r="BX271" s="27"/>
      <c r="BY271" s="27"/>
      <c r="CH271" s="29"/>
      <c r="CI271" s="23" t="s">
        <v>397</v>
      </c>
      <c r="CJ271" s="28">
        <v>20</v>
      </c>
    </row>
    <row r="272" spans="1:88" x14ac:dyDescent="0.2">
      <c r="A272" s="18">
        <v>926</v>
      </c>
      <c r="B272" s="19">
        <v>31</v>
      </c>
      <c r="C272" s="19">
        <f t="shared" si="35"/>
        <v>9260031</v>
      </c>
      <c r="D272" s="19" t="s">
        <v>1355</v>
      </c>
      <c r="E272" s="20" t="s">
        <v>1356</v>
      </c>
      <c r="I272" s="21" t="s">
        <v>1331</v>
      </c>
      <c r="J272" s="21"/>
      <c r="K272" s="21"/>
      <c r="L272" s="21"/>
      <c r="M272" s="21"/>
      <c r="N272" s="22" t="s">
        <v>1650</v>
      </c>
      <c r="O272" s="22" t="s">
        <v>924</v>
      </c>
      <c r="P272" s="24"/>
      <c r="Q272" s="24" t="s">
        <v>2041</v>
      </c>
      <c r="R272" s="24"/>
      <c r="S272" s="24"/>
      <c r="T272" s="24" t="s">
        <v>948</v>
      </c>
      <c r="U272" s="116" t="s">
        <v>2289</v>
      </c>
      <c r="V272" s="22"/>
      <c r="W272" s="22" t="s">
        <v>4</v>
      </c>
      <c r="X272" s="22"/>
      <c r="Y272" s="23" t="s">
        <v>171</v>
      </c>
      <c r="Z272" s="22"/>
      <c r="AA272" s="22"/>
      <c r="AB272" s="22"/>
      <c r="AC272" s="22"/>
      <c r="AD272" s="22"/>
      <c r="AE272" s="24"/>
      <c r="AF272" s="24" t="s">
        <v>2041</v>
      </c>
      <c r="AG272" s="22"/>
      <c r="AH272" s="23"/>
      <c r="AJ272" s="26" t="s">
        <v>929</v>
      </c>
      <c r="AK272" s="27">
        <v>6472</v>
      </c>
      <c r="AL272" s="27"/>
      <c r="AQ272" s="28">
        <v>4</v>
      </c>
      <c r="AR272" s="28">
        <v>2500</v>
      </c>
      <c r="AS272" s="28">
        <v>3000</v>
      </c>
      <c r="AW272" s="27"/>
      <c r="AX272" s="27"/>
      <c r="AY272" s="27"/>
      <c r="BK272" s="27"/>
      <c r="BL272" s="27"/>
      <c r="BW272" s="27"/>
      <c r="BX272" s="27"/>
      <c r="BY272" s="27"/>
      <c r="CH272" s="29"/>
      <c r="CI272" s="23" t="s">
        <v>397</v>
      </c>
      <c r="CJ272" s="28">
        <v>25</v>
      </c>
    </row>
    <row r="273" spans="1:107" x14ac:dyDescent="0.2">
      <c r="A273" s="18">
        <v>927</v>
      </c>
      <c r="B273" s="19">
        <v>1</v>
      </c>
      <c r="C273" s="19">
        <f t="shared" si="35"/>
        <v>9270001</v>
      </c>
      <c r="D273" s="19" t="s">
        <v>1368</v>
      </c>
      <c r="E273" s="20" t="s">
        <v>1383</v>
      </c>
      <c r="I273" s="21" t="s">
        <v>1331</v>
      </c>
      <c r="J273" s="21"/>
      <c r="K273" s="21"/>
      <c r="L273" s="21"/>
      <c r="M273" s="21"/>
      <c r="N273" s="22" t="s">
        <v>1650</v>
      </c>
      <c r="O273" s="22" t="s">
        <v>924</v>
      </c>
      <c r="P273" s="24"/>
      <c r="Q273" s="24" t="s">
        <v>2041</v>
      </c>
      <c r="R273" s="24"/>
      <c r="S273" s="24"/>
      <c r="T273" s="24" t="s">
        <v>948</v>
      </c>
      <c r="U273" s="116" t="s">
        <v>2290</v>
      </c>
      <c r="V273" s="22"/>
      <c r="W273" s="22" t="s">
        <v>4</v>
      </c>
      <c r="X273" s="22"/>
      <c r="Y273" s="23" t="s">
        <v>171</v>
      </c>
      <c r="Z273" s="22"/>
      <c r="AA273" s="22"/>
      <c r="AB273" s="22"/>
      <c r="AC273" s="22"/>
      <c r="AD273" s="22"/>
      <c r="AE273" s="24"/>
      <c r="AF273" s="24" t="s">
        <v>2041</v>
      </c>
      <c r="AG273" s="22"/>
      <c r="AH273" s="23"/>
      <c r="AJ273" s="26" t="s">
        <v>926</v>
      </c>
      <c r="AK273" s="27">
        <v>1571</v>
      </c>
      <c r="AL273" s="27"/>
      <c r="AQ273" s="28">
        <v>1</v>
      </c>
      <c r="AR273" s="28">
        <v>1000</v>
      </c>
      <c r="AS273" s="28">
        <v>3000</v>
      </c>
      <c r="AW273" s="27"/>
      <c r="AX273" s="27"/>
      <c r="AY273" s="27"/>
      <c r="BK273" s="27"/>
      <c r="BL273" s="27"/>
      <c r="BW273" s="27"/>
      <c r="BX273" s="27"/>
      <c r="BY273" s="27"/>
      <c r="CH273" s="29"/>
      <c r="CI273" s="23" t="s">
        <v>397</v>
      </c>
      <c r="CJ273" s="28">
        <v>10</v>
      </c>
    </row>
    <row r="274" spans="1:107" x14ac:dyDescent="0.2">
      <c r="A274" s="18">
        <v>927</v>
      </c>
      <c r="B274" s="19">
        <v>11</v>
      </c>
      <c r="C274" s="19">
        <f t="shared" si="35"/>
        <v>9270011</v>
      </c>
      <c r="D274" s="19" t="s">
        <v>1369</v>
      </c>
      <c r="E274" s="20" t="s">
        <v>1383</v>
      </c>
      <c r="I274" s="21" t="s">
        <v>1331</v>
      </c>
      <c r="J274" s="21"/>
      <c r="K274" s="21"/>
      <c r="L274" s="21"/>
      <c r="M274" s="21"/>
      <c r="N274" s="22" t="s">
        <v>1650</v>
      </c>
      <c r="O274" s="22" t="s">
        <v>924</v>
      </c>
      <c r="P274" s="24"/>
      <c r="Q274" s="24" t="s">
        <v>2041</v>
      </c>
      <c r="R274" s="24"/>
      <c r="S274" s="24"/>
      <c r="T274" s="24" t="s">
        <v>948</v>
      </c>
      <c r="U274" s="116" t="s">
        <v>2291</v>
      </c>
      <c r="V274" s="22"/>
      <c r="W274" s="22" t="s">
        <v>4</v>
      </c>
      <c r="X274" s="22"/>
      <c r="Y274" s="23" t="s">
        <v>171</v>
      </c>
      <c r="Z274" s="22"/>
      <c r="AA274" s="22"/>
      <c r="AB274" s="22"/>
      <c r="AC274" s="22"/>
      <c r="AD274" s="22"/>
      <c r="AE274" s="24"/>
      <c r="AF274" s="24" t="s">
        <v>2041</v>
      </c>
      <c r="AG274" s="22"/>
      <c r="AH274" s="23"/>
      <c r="AJ274" s="27">
        <v>898</v>
      </c>
      <c r="AK274" s="27">
        <v>3592</v>
      </c>
      <c r="AL274" s="27"/>
      <c r="AQ274" s="28">
        <v>2</v>
      </c>
      <c r="AR274" s="28">
        <v>1500</v>
      </c>
      <c r="AS274" s="28">
        <v>3000</v>
      </c>
      <c r="AW274" s="27"/>
      <c r="AX274" s="27"/>
      <c r="AY274" s="27"/>
      <c r="BK274" s="27"/>
      <c r="BL274" s="27"/>
      <c r="BW274" s="27"/>
      <c r="BX274" s="27"/>
      <c r="BY274" s="27"/>
      <c r="CH274" s="29"/>
      <c r="CI274" s="23" t="s">
        <v>397</v>
      </c>
      <c r="CJ274" s="28">
        <v>15</v>
      </c>
    </row>
    <row r="275" spans="1:107" x14ac:dyDescent="0.2">
      <c r="A275" s="18">
        <v>927</v>
      </c>
      <c r="B275" s="19">
        <v>21</v>
      </c>
      <c r="C275" s="19">
        <f t="shared" si="35"/>
        <v>9270021</v>
      </c>
      <c r="D275" s="19" t="s">
        <v>1370</v>
      </c>
      <c r="E275" s="20" t="s">
        <v>1383</v>
      </c>
      <c r="I275" s="21" t="s">
        <v>1331</v>
      </c>
      <c r="J275" s="21"/>
      <c r="K275" s="21"/>
      <c r="L275" s="21"/>
      <c r="M275" s="21"/>
      <c r="N275" s="22" t="s">
        <v>1650</v>
      </c>
      <c r="O275" s="22" t="s">
        <v>924</v>
      </c>
      <c r="P275" s="24"/>
      <c r="Q275" s="24" t="s">
        <v>2041</v>
      </c>
      <c r="R275" s="24"/>
      <c r="S275" s="24"/>
      <c r="T275" s="24" t="s">
        <v>948</v>
      </c>
      <c r="U275" s="116" t="s">
        <v>2292</v>
      </c>
      <c r="V275" s="22"/>
      <c r="W275" s="22" t="s">
        <v>4</v>
      </c>
      <c r="X275" s="22"/>
      <c r="Y275" s="23" t="s">
        <v>171</v>
      </c>
      <c r="Z275" s="22"/>
      <c r="AA275" s="22"/>
      <c r="AB275" s="22"/>
      <c r="AC275" s="22"/>
      <c r="AD275" s="22"/>
      <c r="AE275" s="24"/>
      <c r="AF275" s="24" t="s">
        <v>2041</v>
      </c>
      <c r="AG275" s="22"/>
      <c r="AH275" s="23"/>
      <c r="AJ275" s="26" t="s">
        <v>928</v>
      </c>
      <c r="AK275" s="27">
        <v>4850</v>
      </c>
      <c r="AL275" s="27"/>
      <c r="AQ275" s="28">
        <v>3</v>
      </c>
      <c r="AR275" s="28">
        <v>2000</v>
      </c>
      <c r="AS275" s="28">
        <v>3000</v>
      </c>
      <c r="AW275" s="27"/>
      <c r="AX275" s="27"/>
      <c r="AY275" s="27"/>
      <c r="BK275" s="27"/>
      <c r="BL275" s="27"/>
      <c r="BW275" s="27"/>
      <c r="BX275" s="27"/>
      <c r="BY275" s="27"/>
      <c r="CH275" s="29"/>
      <c r="CI275" s="23" t="s">
        <v>397</v>
      </c>
      <c r="CJ275" s="28">
        <v>20</v>
      </c>
    </row>
    <row r="276" spans="1:107" x14ac:dyDescent="0.2">
      <c r="A276" s="18">
        <v>927</v>
      </c>
      <c r="B276" s="19">
        <v>31</v>
      </c>
      <c r="C276" s="19">
        <f t="shared" si="35"/>
        <v>9270031</v>
      </c>
      <c r="D276" s="19" t="s">
        <v>1371</v>
      </c>
      <c r="E276" s="20" t="s">
        <v>1383</v>
      </c>
      <c r="I276" s="21" t="s">
        <v>1331</v>
      </c>
      <c r="J276" s="21"/>
      <c r="K276" s="21"/>
      <c r="L276" s="21"/>
      <c r="M276" s="21"/>
      <c r="N276" s="22" t="s">
        <v>1650</v>
      </c>
      <c r="O276" s="22" t="s">
        <v>924</v>
      </c>
      <c r="P276" s="24"/>
      <c r="Q276" s="24" t="s">
        <v>2041</v>
      </c>
      <c r="R276" s="24"/>
      <c r="S276" s="24"/>
      <c r="T276" s="24" t="s">
        <v>948</v>
      </c>
      <c r="U276" s="116" t="s">
        <v>2293</v>
      </c>
      <c r="V276" s="22"/>
      <c r="W276" s="22" t="s">
        <v>4</v>
      </c>
      <c r="X276" s="22"/>
      <c r="Y276" s="23" t="s">
        <v>171</v>
      </c>
      <c r="Z276" s="22"/>
      <c r="AA276" s="22"/>
      <c r="AB276" s="22"/>
      <c r="AC276" s="22"/>
      <c r="AD276" s="22"/>
      <c r="AE276" s="24"/>
      <c r="AF276" s="24" t="s">
        <v>2041</v>
      </c>
      <c r="AG276" s="22"/>
      <c r="AH276" s="23"/>
      <c r="AJ276" s="26" t="s">
        <v>929</v>
      </c>
      <c r="AK276" s="27">
        <v>6472</v>
      </c>
      <c r="AL276" s="27"/>
      <c r="AQ276" s="28">
        <v>4</v>
      </c>
      <c r="AR276" s="28">
        <v>2500</v>
      </c>
      <c r="AS276" s="28">
        <v>3000</v>
      </c>
      <c r="AW276" s="27"/>
      <c r="AX276" s="27"/>
      <c r="AY276" s="27"/>
      <c r="BK276" s="27"/>
      <c r="BL276" s="27"/>
      <c r="BW276" s="27"/>
      <c r="BX276" s="27"/>
      <c r="BY276" s="27"/>
      <c r="CH276" s="29"/>
      <c r="CI276" s="23" t="s">
        <v>397</v>
      </c>
      <c r="CJ276" s="28">
        <v>25</v>
      </c>
    </row>
    <row r="277" spans="1:107" x14ac:dyDescent="0.2">
      <c r="A277" s="18">
        <v>928</v>
      </c>
      <c r="B277" s="19">
        <v>1</v>
      </c>
      <c r="C277" s="19">
        <f t="shared" si="35"/>
        <v>9280001</v>
      </c>
      <c r="D277" s="19" t="s">
        <v>1946</v>
      </c>
      <c r="E277" s="20" t="s">
        <v>2061</v>
      </c>
      <c r="I277" s="21" t="s">
        <v>1331</v>
      </c>
      <c r="J277" s="21"/>
      <c r="K277" s="21"/>
      <c r="L277" s="21"/>
      <c r="M277" s="21"/>
      <c r="N277" s="22" t="s">
        <v>1650</v>
      </c>
      <c r="O277" s="22" t="s">
        <v>924</v>
      </c>
      <c r="P277" s="24"/>
      <c r="Q277" s="24" t="s">
        <v>2041</v>
      </c>
      <c r="R277" s="24"/>
      <c r="S277" s="24"/>
      <c r="T277" s="24" t="s">
        <v>948</v>
      </c>
      <c r="U277" s="116" t="s">
        <v>2294</v>
      </c>
      <c r="V277" s="22"/>
      <c r="W277" s="22" t="s">
        <v>4</v>
      </c>
      <c r="X277" s="22"/>
      <c r="Y277" s="23" t="s">
        <v>171</v>
      </c>
      <c r="Z277" s="22"/>
      <c r="AA277" s="22"/>
      <c r="AB277" s="22"/>
      <c r="AC277" s="22"/>
      <c r="AD277" s="22"/>
      <c r="AE277" s="24"/>
      <c r="AF277" s="24" t="s">
        <v>2041</v>
      </c>
      <c r="AG277" s="22"/>
      <c r="AH277" s="23"/>
      <c r="AJ277" s="26" t="s">
        <v>926</v>
      </c>
      <c r="AK277" s="27">
        <v>1571</v>
      </c>
      <c r="AL277" s="27"/>
      <c r="AQ277" s="28">
        <v>1</v>
      </c>
      <c r="AR277" s="28">
        <v>1000</v>
      </c>
      <c r="AS277" s="28">
        <v>3000</v>
      </c>
      <c r="AW277" s="27"/>
      <c r="AX277" s="27"/>
      <c r="AY277" s="27"/>
      <c r="BK277" s="27"/>
      <c r="BL277" s="27"/>
      <c r="BW277" s="27"/>
      <c r="BX277" s="27"/>
      <c r="BY277" s="27"/>
      <c r="CH277" s="29"/>
      <c r="CI277" s="23" t="s">
        <v>397</v>
      </c>
      <c r="CJ277" s="28">
        <v>10</v>
      </c>
    </row>
    <row r="278" spans="1:107" x14ac:dyDescent="0.2">
      <c r="A278" s="18">
        <v>928</v>
      </c>
      <c r="B278" s="19">
        <v>11</v>
      </c>
      <c r="C278" s="19">
        <f t="shared" si="35"/>
        <v>9280011</v>
      </c>
      <c r="D278" s="19" t="s">
        <v>1947</v>
      </c>
      <c r="E278" s="20" t="s">
        <v>2061</v>
      </c>
      <c r="I278" s="21" t="s">
        <v>1331</v>
      </c>
      <c r="J278" s="21"/>
      <c r="K278" s="21"/>
      <c r="L278" s="21"/>
      <c r="M278" s="21"/>
      <c r="N278" s="22" t="s">
        <v>1650</v>
      </c>
      <c r="O278" s="22" t="s">
        <v>924</v>
      </c>
      <c r="P278" s="24"/>
      <c r="Q278" s="24" t="s">
        <v>2041</v>
      </c>
      <c r="R278" s="24"/>
      <c r="S278" s="24"/>
      <c r="T278" s="24" t="s">
        <v>948</v>
      </c>
      <c r="U278" s="116" t="s">
        <v>2295</v>
      </c>
      <c r="V278" s="22"/>
      <c r="W278" s="22" t="s">
        <v>4</v>
      </c>
      <c r="X278" s="22"/>
      <c r="Y278" s="23" t="s">
        <v>171</v>
      </c>
      <c r="Z278" s="22"/>
      <c r="AA278" s="22"/>
      <c r="AB278" s="22"/>
      <c r="AC278" s="22"/>
      <c r="AD278" s="22"/>
      <c r="AE278" s="24"/>
      <c r="AF278" s="24" t="s">
        <v>2041</v>
      </c>
      <c r="AG278" s="22"/>
      <c r="AH278" s="23"/>
      <c r="AJ278" s="27">
        <v>898</v>
      </c>
      <c r="AK278" s="27">
        <v>3592</v>
      </c>
      <c r="AL278" s="27"/>
      <c r="AQ278" s="28">
        <v>2</v>
      </c>
      <c r="AR278" s="28">
        <v>1500</v>
      </c>
      <c r="AS278" s="28">
        <v>3000</v>
      </c>
      <c r="AW278" s="27"/>
      <c r="AX278" s="27"/>
      <c r="AY278" s="27"/>
      <c r="BK278" s="27"/>
      <c r="BL278" s="27"/>
      <c r="BW278" s="27"/>
      <c r="BX278" s="27"/>
      <c r="BY278" s="27"/>
      <c r="CH278" s="29"/>
      <c r="CI278" s="23" t="s">
        <v>397</v>
      </c>
      <c r="CJ278" s="28">
        <v>15</v>
      </c>
    </row>
    <row r="279" spans="1:107" x14ac:dyDescent="0.2">
      <c r="A279" s="18">
        <v>928</v>
      </c>
      <c r="B279" s="19">
        <v>21</v>
      </c>
      <c r="C279" s="19">
        <f t="shared" si="35"/>
        <v>9280021</v>
      </c>
      <c r="D279" s="19" t="s">
        <v>1948</v>
      </c>
      <c r="E279" s="20" t="s">
        <v>2061</v>
      </c>
      <c r="I279" s="21" t="s">
        <v>1331</v>
      </c>
      <c r="J279" s="21"/>
      <c r="K279" s="21"/>
      <c r="L279" s="21"/>
      <c r="M279" s="21"/>
      <c r="N279" s="22" t="s">
        <v>1650</v>
      </c>
      <c r="O279" s="22" t="s">
        <v>924</v>
      </c>
      <c r="P279" s="24"/>
      <c r="Q279" s="24" t="s">
        <v>2041</v>
      </c>
      <c r="R279" s="24"/>
      <c r="S279" s="24"/>
      <c r="T279" s="24" t="s">
        <v>948</v>
      </c>
      <c r="U279" s="116" t="s">
        <v>2296</v>
      </c>
      <c r="V279" s="22"/>
      <c r="W279" s="22" t="s">
        <v>4</v>
      </c>
      <c r="X279" s="22"/>
      <c r="Y279" s="23" t="s">
        <v>171</v>
      </c>
      <c r="Z279" s="22"/>
      <c r="AA279" s="22"/>
      <c r="AB279" s="22"/>
      <c r="AC279" s="22"/>
      <c r="AD279" s="22"/>
      <c r="AE279" s="24"/>
      <c r="AF279" s="24" t="s">
        <v>2041</v>
      </c>
      <c r="AG279" s="22"/>
      <c r="AH279" s="23"/>
      <c r="AJ279" s="26" t="s">
        <v>928</v>
      </c>
      <c r="AK279" s="27">
        <v>4850</v>
      </c>
      <c r="AL279" s="27"/>
      <c r="AQ279" s="28">
        <v>3</v>
      </c>
      <c r="AR279" s="28">
        <v>2000</v>
      </c>
      <c r="AS279" s="28">
        <v>3000</v>
      </c>
      <c r="AW279" s="27"/>
      <c r="AX279" s="27"/>
      <c r="AY279" s="27"/>
      <c r="BK279" s="27"/>
      <c r="BL279" s="27"/>
      <c r="BW279" s="27"/>
      <c r="BX279" s="27"/>
      <c r="BY279" s="27"/>
      <c r="CH279" s="29"/>
      <c r="CI279" s="23" t="s">
        <v>397</v>
      </c>
      <c r="CJ279" s="28">
        <v>20</v>
      </c>
    </row>
    <row r="280" spans="1:107" x14ac:dyDescent="0.2">
      <c r="A280" s="18">
        <v>928</v>
      </c>
      <c r="B280" s="19">
        <v>31</v>
      </c>
      <c r="C280" s="19">
        <f t="shared" si="35"/>
        <v>9280031</v>
      </c>
      <c r="D280" s="19" t="s">
        <v>1949</v>
      </c>
      <c r="E280" s="20" t="s">
        <v>2061</v>
      </c>
      <c r="I280" s="21" t="s">
        <v>1331</v>
      </c>
      <c r="J280" s="21"/>
      <c r="K280" s="21"/>
      <c r="L280" s="21"/>
      <c r="M280" s="21"/>
      <c r="N280" s="22" t="s">
        <v>1650</v>
      </c>
      <c r="O280" s="22" t="s">
        <v>924</v>
      </c>
      <c r="P280" s="24"/>
      <c r="Q280" s="24" t="s">
        <v>2041</v>
      </c>
      <c r="R280" s="24"/>
      <c r="S280" s="24"/>
      <c r="T280" s="24" t="s">
        <v>948</v>
      </c>
      <c r="U280" s="116" t="s">
        <v>2297</v>
      </c>
      <c r="V280" s="22"/>
      <c r="W280" s="22" t="s">
        <v>4</v>
      </c>
      <c r="X280" s="22"/>
      <c r="Y280" s="23" t="s">
        <v>171</v>
      </c>
      <c r="Z280" s="22"/>
      <c r="AA280" s="22"/>
      <c r="AB280" s="22"/>
      <c r="AC280" s="22"/>
      <c r="AD280" s="22"/>
      <c r="AE280" s="24"/>
      <c r="AF280" s="24" t="s">
        <v>2041</v>
      </c>
      <c r="AG280" s="22"/>
      <c r="AH280" s="23"/>
      <c r="AJ280" s="26" t="s">
        <v>929</v>
      </c>
      <c r="AK280" s="27">
        <v>6472</v>
      </c>
      <c r="AL280" s="27"/>
      <c r="AQ280" s="28">
        <v>4</v>
      </c>
      <c r="AR280" s="28">
        <v>2500</v>
      </c>
      <c r="AS280" s="28">
        <v>3000</v>
      </c>
      <c r="AW280" s="27"/>
      <c r="AX280" s="27"/>
      <c r="AY280" s="27"/>
      <c r="BK280" s="27"/>
      <c r="BL280" s="27"/>
      <c r="BW280" s="27"/>
      <c r="BX280" s="27"/>
      <c r="BY280" s="27"/>
      <c r="CH280" s="29"/>
      <c r="CI280" s="23" t="s">
        <v>397</v>
      </c>
      <c r="CJ280" s="28">
        <v>25</v>
      </c>
    </row>
    <row r="281" spans="1:107" x14ac:dyDescent="0.2">
      <c r="A281" s="18">
        <v>929</v>
      </c>
      <c r="B281" s="19">
        <v>1</v>
      </c>
      <c r="C281" s="19">
        <f t="shared" ref="C281:C284" si="36">A281*10000+B281</f>
        <v>9290001</v>
      </c>
      <c r="D281" s="19" t="s">
        <v>3957</v>
      </c>
      <c r="E281" s="165" t="s">
        <v>3969</v>
      </c>
      <c r="F281" s="165"/>
      <c r="I281" s="164" t="s">
        <v>3873</v>
      </c>
      <c r="J281" s="21"/>
      <c r="K281" s="21"/>
      <c r="L281" s="21"/>
      <c r="M281" s="21"/>
      <c r="N281" s="22" t="s">
        <v>1650</v>
      </c>
      <c r="O281" s="22" t="s">
        <v>3973</v>
      </c>
      <c r="P281" s="24"/>
      <c r="Q281" s="24" t="s">
        <v>2041</v>
      </c>
      <c r="R281" s="24"/>
      <c r="S281" s="24"/>
      <c r="T281" s="24" t="s">
        <v>948</v>
      </c>
      <c r="U281" s="116" t="s">
        <v>3961</v>
      </c>
      <c r="V281" s="22"/>
      <c r="W281" s="22" t="s">
        <v>4</v>
      </c>
      <c r="X281" s="22"/>
      <c r="Y281" s="23" t="s">
        <v>171</v>
      </c>
      <c r="Z281" s="22"/>
      <c r="AA281" s="22"/>
      <c r="AB281" s="22"/>
      <c r="AC281" s="22"/>
      <c r="AD281" s="22"/>
      <c r="AE281" s="24"/>
      <c r="AF281" s="24" t="s">
        <v>2041</v>
      </c>
      <c r="AG281" s="22"/>
      <c r="AH281" s="23"/>
      <c r="AJ281" s="26" t="s">
        <v>926</v>
      </c>
      <c r="AK281" s="27">
        <v>1571</v>
      </c>
      <c r="AL281" s="27"/>
      <c r="AQ281" s="28">
        <v>1</v>
      </c>
      <c r="AR281" s="28">
        <v>1000</v>
      </c>
      <c r="AS281" s="28">
        <v>3000</v>
      </c>
      <c r="AW281" s="27"/>
      <c r="AX281" s="27"/>
      <c r="AY281" s="27"/>
      <c r="BK281" s="27"/>
      <c r="BL281" s="27"/>
      <c r="BW281" s="27"/>
      <c r="BX281" s="27"/>
      <c r="BY281" s="27"/>
      <c r="CH281" s="29"/>
      <c r="CI281" s="23" t="s">
        <v>397</v>
      </c>
      <c r="CJ281" s="28">
        <v>10</v>
      </c>
    </row>
    <row r="282" spans="1:107" x14ac:dyDescent="0.2">
      <c r="A282" s="18">
        <v>929</v>
      </c>
      <c r="B282" s="19">
        <v>11</v>
      </c>
      <c r="C282" s="19">
        <f t="shared" si="36"/>
        <v>9290011</v>
      </c>
      <c r="D282" s="19" t="s">
        <v>3958</v>
      </c>
      <c r="E282" s="165" t="s">
        <v>3969</v>
      </c>
      <c r="F282" s="165"/>
      <c r="I282" s="164" t="s">
        <v>3873</v>
      </c>
      <c r="J282" s="21"/>
      <c r="K282" s="21"/>
      <c r="L282" s="21"/>
      <c r="M282" s="21"/>
      <c r="N282" s="22" t="s">
        <v>1650</v>
      </c>
      <c r="O282" s="22" t="s">
        <v>3973</v>
      </c>
      <c r="P282" s="24"/>
      <c r="Q282" s="24" t="s">
        <v>2041</v>
      </c>
      <c r="R282" s="24"/>
      <c r="S282" s="24"/>
      <c r="T282" s="24" t="s">
        <v>948</v>
      </c>
      <c r="U282" s="116" t="s">
        <v>3962</v>
      </c>
      <c r="V282" s="22"/>
      <c r="W282" s="22" t="s">
        <v>4</v>
      </c>
      <c r="X282" s="22"/>
      <c r="Y282" s="23" t="s">
        <v>171</v>
      </c>
      <c r="Z282" s="22"/>
      <c r="AA282" s="22"/>
      <c r="AB282" s="22"/>
      <c r="AC282" s="22"/>
      <c r="AD282" s="22"/>
      <c r="AE282" s="24"/>
      <c r="AF282" s="24" t="s">
        <v>2041</v>
      </c>
      <c r="AG282" s="22"/>
      <c r="AH282" s="23"/>
      <c r="AJ282" s="27">
        <v>898</v>
      </c>
      <c r="AK282" s="27">
        <v>3592</v>
      </c>
      <c r="AL282" s="27"/>
      <c r="AQ282" s="28">
        <v>2</v>
      </c>
      <c r="AR282" s="28">
        <v>1500</v>
      </c>
      <c r="AS282" s="28">
        <v>3000</v>
      </c>
      <c r="AW282" s="27"/>
      <c r="AX282" s="27"/>
      <c r="AY282" s="27"/>
      <c r="BK282" s="27"/>
      <c r="BL282" s="27"/>
      <c r="BW282" s="27"/>
      <c r="BX282" s="27"/>
      <c r="BY282" s="27"/>
      <c r="CH282" s="29"/>
      <c r="CI282" s="23" t="s">
        <v>397</v>
      </c>
      <c r="CJ282" s="28">
        <v>15</v>
      </c>
    </row>
    <row r="283" spans="1:107" x14ac:dyDescent="0.2">
      <c r="A283" s="18">
        <v>929</v>
      </c>
      <c r="B283" s="19">
        <v>21</v>
      </c>
      <c r="C283" s="19">
        <f t="shared" si="36"/>
        <v>9290021</v>
      </c>
      <c r="D283" s="19" t="s">
        <v>3959</v>
      </c>
      <c r="E283" s="165" t="s">
        <v>3969</v>
      </c>
      <c r="F283" s="165"/>
      <c r="I283" s="164" t="s">
        <v>3873</v>
      </c>
      <c r="J283" s="21"/>
      <c r="K283" s="21"/>
      <c r="L283" s="21"/>
      <c r="M283" s="21"/>
      <c r="N283" s="22" t="s">
        <v>1650</v>
      </c>
      <c r="O283" s="22" t="s">
        <v>3973</v>
      </c>
      <c r="P283" s="24"/>
      <c r="Q283" s="24" t="s">
        <v>2041</v>
      </c>
      <c r="R283" s="24"/>
      <c r="S283" s="24"/>
      <c r="T283" s="24" t="s">
        <v>948</v>
      </c>
      <c r="U283" s="116" t="s">
        <v>3963</v>
      </c>
      <c r="V283" s="22"/>
      <c r="W283" s="22" t="s">
        <v>4</v>
      </c>
      <c r="X283" s="22"/>
      <c r="Y283" s="23" t="s">
        <v>171</v>
      </c>
      <c r="Z283" s="22"/>
      <c r="AA283" s="22"/>
      <c r="AB283" s="22"/>
      <c r="AC283" s="22"/>
      <c r="AD283" s="22"/>
      <c r="AE283" s="24"/>
      <c r="AF283" s="24" t="s">
        <v>2041</v>
      </c>
      <c r="AG283" s="22"/>
      <c r="AH283" s="23"/>
      <c r="AJ283" s="26" t="s">
        <v>928</v>
      </c>
      <c r="AK283" s="27">
        <v>4850</v>
      </c>
      <c r="AL283" s="27"/>
      <c r="AQ283" s="28">
        <v>3</v>
      </c>
      <c r="AR283" s="28">
        <v>2000</v>
      </c>
      <c r="AS283" s="28">
        <v>3000</v>
      </c>
      <c r="AW283" s="27"/>
      <c r="AX283" s="27"/>
      <c r="AY283" s="27"/>
      <c r="BK283" s="27"/>
      <c r="BL283" s="27"/>
      <c r="BW283" s="27"/>
      <c r="BX283" s="27"/>
      <c r="BY283" s="27"/>
      <c r="CH283" s="29"/>
      <c r="CI283" s="23" t="s">
        <v>397</v>
      </c>
      <c r="CJ283" s="28">
        <v>20</v>
      </c>
    </row>
    <row r="284" spans="1:107" x14ac:dyDescent="0.2">
      <c r="A284" s="18">
        <v>929</v>
      </c>
      <c r="B284" s="19">
        <v>31</v>
      </c>
      <c r="C284" s="19">
        <f t="shared" si="36"/>
        <v>9290031</v>
      </c>
      <c r="D284" s="19" t="s">
        <v>3960</v>
      </c>
      <c r="E284" s="165" t="s">
        <v>3969</v>
      </c>
      <c r="F284" s="165"/>
      <c r="I284" s="164" t="s">
        <v>3873</v>
      </c>
      <c r="J284" s="21"/>
      <c r="K284" s="21"/>
      <c r="L284" s="21"/>
      <c r="M284" s="21"/>
      <c r="N284" s="22" t="s">
        <v>1650</v>
      </c>
      <c r="O284" s="22" t="s">
        <v>3973</v>
      </c>
      <c r="P284" s="24"/>
      <c r="Q284" s="24" t="s">
        <v>2041</v>
      </c>
      <c r="R284" s="24"/>
      <c r="S284" s="24"/>
      <c r="T284" s="24" t="s">
        <v>948</v>
      </c>
      <c r="U284" s="116" t="s">
        <v>3964</v>
      </c>
      <c r="V284" s="22"/>
      <c r="W284" s="22" t="s">
        <v>4</v>
      </c>
      <c r="X284" s="22"/>
      <c r="Y284" s="23" t="s">
        <v>171</v>
      </c>
      <c r="Z284" s="22"/>
      <c r="AA284" s="22"/>
      <c r="AB284" s="22"/>
      <c r="AC284" s="22"/>
      <c r="AD284" s="22"/>
      <c r="AE284" s="24"/>
      <c r="AF284" s="24" t="s">
        <v>2041</v>
      </c>
      <c r="AG284" s="22"/>
      <c r="AH284" s="23"/>
      <c r="AJ284" s="26" t="s">
        <v>929</v>
      </c>
      <c r="AK284" s="27">
        <v>6472</v>
      </c>
      <c r="AL284" s="27"/>
      <c r="AQ284" s="28">
        <v>4</v>
      </c>
      <c r="AR284" s="28">
        <v>2500</v>
      </c>
      <c r="AS284" s="28">
        <v>3000</v>
      </c>
      <c r="AW284" s="27"/>
      <c r="AX284" s="27"/>
      <c r="AY284" s="27"/>
      <c r="BK284" s="27"/>
      <c r="BL284" s="27"/>
      <c r="BW284" s="27"/>
      <c r="BX284" s="27"/>
      <c r="BY284" s="27"/>
      <c r="CH284" s="29"/>
      <c r="CI284" s="23" t="s">
        <v>397</v>
      </c>
      <c r="CJ284" s="28">
        <v>25</v>
      </c>
    </row>
    <row r="285" spans="1:107" s="14" customFormat="1" ht="17.25" x14ac:dyDescent="0.3">
      <c r="A285" s="8"/>
      <c r="B285" s="8"/>
      <c r="C285" s="8">
        <f t="shared" si="35"/>
        <v>0</v>
      </c>
      <c r="D285" s="8"/>
      <c r="E285" s="9" t="s">
        <v>4610</v>
      </c>
      <c r="F285" s="9"/>
      <c r="G285" s="9"/>
      <c r="H285" s="9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1"/>
      <c r="Z285" s="10"/>
      <c r="AA285" s="10"/>
      <c r="AB285" s="10"/>
      <c r="AC285" s="10"/>
      <c r="AD285" s="10"/>
      <c r="AE285" s="12"/>
      <c r="AF285" s="12"/>
      <c r="AG285" s="10"/>
      <c r="AH285" s="13"/>
      <c r="AI285" s="13"/>
      <c r="AJ285" s="13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3"/>
      <c r="AV285" s="13"/>
      <c r="AW285" s="13"/>
      <c r="AX285" s="31"/>
      <c r="AY285" s="31"/>
      <c r="AZ285" s="15"/>
      <c r="BA285" s="15"/>
      <c r="BB285" s="15"/>
      <c r="BC285" s="15"/>
      <c r="BD285" s="15"/>
      <c r="BE285" s="15"/>
      <c r="BF285" s="15"/>
      <c r="BG285" s="15"/>
      <c r="BH285" s="13"/>
      <c r="BI285" s="13"/>
      <c r="BJ285" s="13"/>
      <c r="BK285" s="31"/>
      <c r="BL285" s="31"/>
      <c r="BM285" s="15"/>
      <c r="BN285" s="15"/>
      <c r="BO285" s="15"/>
      <c r="BP285" s="15"/>
      <c r="BQ285" s="15"/>
      <c r="BR285" s="15"/>
      <c r="BS285" s="15"/>
      <c r="BT285" s="15"/>
      <c r="BU285" s="13"/>
      <c r="BV285" s="13"/>
      <c r="BW285" s="13"/>
      <c r="BX285" s="31"/>
      <c r="BY285" s="31"/>
      <c r="BZ285" s="15"/>
      <c r="CA285" s="15"/>
      <c r="CB285" s="15"/>
      <c r="CC285" s="15"/>
      <c r="CD285" s="15"/>
      <c r="CE285" s="15"/>
      <c r="CF285" s="15"/>
      <c r="CG285" s="15"/>
      <c r="CH285" s="10"/>
      <c r="CI285" s="8"/>
      <c r="CJ285" s="16"/>
      <c r="CK285" s="8"/>
      <c r="CT285" s="17"/>
      <c r="CU285" s="17"/>
      <c r="CV285" s="17"/>
      <c r="CW285" s="17"/>
      <c r="CX285" s="17"/>
      <c r="CY285" s="17"/>
      <c r="CZ285" s="17"/>
      <c r="DA285" s="17"/>
      <c r="DB285" s="17"/>
      <c r="DC285" s="15"/>
    </row>
    <row r="286" spans="1:107" x14ac:dyDescent="0.2">
      <c r="A286" s="18">
        <v>941</v>
      </c>
      <c r="B286" s="19">
        <v>1</v>
      </c>
      <c r="C286" s="19">
        <f t="shared" si="35"/>
        <v>9410001</v>
      </c>
      <c r="D286" s="19" t="s">
        <v>986</v>
      </c>
      <c r="E286" s="20" t="s">
        <v>925</v>
      </c>
      <c r="I286" s="21" t="s">
        <v>486</v>
      </c>
      <c r="J286" s="21"/>
      <c r="K286" s="21"/>
      <c r="L286" s="21"/>
      <c r="M286" s="21"/>
      <c r="N286" s="22" t="s">
        <v>1327</v>
      </c>
      <c r="O286" s="22" t="s">
        <v>1327</v>
      </c>
      <c r="P286" s="22"/>
      <c r="Q286" s="22" t="s">
        <v>2041</v>
      </c>
      <c r="R286" s="22"/>
      <c r="S286" s="22"/>
      <c r="T286" s="22" t="s">
        <v>2298</v>
      </c>
      <c r="U286" s="116" t="s">
        <v>2299</v>
      </c>
      <c r="V286" s="22" t="s">
        <v>1883</v>
      </c>
      <c r="W286" s="22" t="s">
        <v>1817</v>
      </c>
      <c r="X286" s="22"/>
      <c r="Y286" s="23" t="s">
        <v>145</v>
      </c>
      <c r="Z286" s="22"/>
      <c r="AA286" s="22"/>
      <c r="AB286" s="22"/>
      <c r="AC286" s="22"/>
      <c r="AD286" s="22"/>
      <c r="AE286" s="24"/>
      <c r="AF286" s="24" t="s">
        <v>2043</v>
      </c>
      <c r="AG286" s="22"/>
      <c r="AH286" s="23"/>
      <c r="AJ286" s="26" t="s">
        <v>926</v>
      </c>
      <c r="AK286" s="27">
        <v>1571</v>
      </c>
      <c r="AL286" s="27"/>
      <c r="AQ286" s="28">
        <v>1</v>
      </c>
      <c r="AR286" s="28">
        <v>1000</v>
      </c>
      <c r="AS286" s="28">
        <v>3000</v>
      </c>
      <c r="AW286" s="27"/>
      <c r="AX286" s="27"/>
      <c r="AY286" s="27"/>
      <c r="BK286" s="27"/>
      <c r="BL286" s="27"/>
      <c r="BW286" s="27"/>
      <c r="BX286" s="27"/>
      <c r="BY286" s="27"/>
      <c r="CH286" s="29"/>
      <c r="CI286" s="23" t="s">
        <v>397</v>
      </c>
      <c r="CJ286" s="28">
        <v>10</v>
      </c>
    </row>
    <row r="287" spans="1:107" x14ac:dyDescent="0.2">
      <c r="A287" s="18">
        <v>941</v>
      </c>
      <c r="B287" s="19">
        <v>11</v>
      </c>
      <c r="C287" s="19">
        <f t="shared" ref="C287:C288" si="37">A287*10000+B287</f>
        <v>9410011</v>
      </c>
      <c r="D287" s="19" t="s">
        <v>987</v>
      </c>
      <c r="E287" s="20" t="s">
        <v>925</v>
      </c>
      <c r="I287" s="21" t="s">
        <v>486</v>
      </c>
      <c r="J287" s="21"/>
      <c r="K287" s="21"/>
      <c r="L287" s="21"/>
      <c r="M287" s="21"/>
      <c r="N287" s="22" t="s">
        <v>1327</v>
      </c>
      <c r="O287" s="22" t="s">
        <v>1327</v>
      </c>
      <c r="P287" s="22"/>
      <c r="Q287" s="22" t="s">
        <v>2041</v>
      </c>
      <c r="R287" s="22"/>
      <c r="S287" s="22"/>
      <c r="T287" s="22" t="s">
        <v>2298</v>
      </c>
      <c r="U287" s="116" t="s">
        <v>2299</v>
      </c>
      <c r="V287" s="22" t="s">
        <v>1883</v>
      </c>
      <c r="W287" s="22" t="s">
        <v>145</v>
      </c>
      <c r="X287" s="22"/>
      <c r="Y287" s="23" t="s">
        <v>145</v>
      </c>
      <c r="Z287" s="22"/>
      <c r="AA287" s="22"/>
      <c r="AB287" s="22"/>
      <c r="AC287" s="22"/>
      <c r="AD287" s="22"/>
      <c r="AE287" s="24"/>
      <c r="AF287" s="24" t="s">
        <v>2043</v>
      </c>
      <c r="AG287" s="22"/>
      <c r="AH287" s="23"/>
      <c r="AJ287" s="26" t="s">
        <v>926</v>
      </c>
      <c r="AK287" s="27">
        <v>1571</v>
      </c>
      <c r="AL287" s="27"/>
      <c r="AQ287" s="28">
        <v>2</v>
      </c>
      <c r="AR287" s="28">
        <v>1500</v>
      </c>
      <c r="AS287" s="28">
        <v>3000</v>
      </c>
      <c r="AW287" s="27"/>
      <c r="AX287" s="27"/>
      <c r="AY287" s="27"/>
      <c r="BK287" s="27"/>
      <c r="BL287" s="27"/>
      <c r="BW287" s="27"/>
      <c r="BX287" s="27"/>
      <c r="BY287" s="27"/>
      <c r="CH287" s="29"/>
      <c r="CI287" s="23" t="s">
        <v>397</v>
      </c>
      <c r="CJ287" s="28">
        <v>10</v>
      </c>
    </row>
    <row r="288" spans="1:107" x14ac:dyDescent="0.2">
      <c r="A288" s="18">
        <v>941</v>
      </c>
      <c r="B288" s="19">
        <v>21</v>
      </c>
      <c r="C288" s="19">
        <f t="shared" si="37"/>
        <v>9410021</v>
      </c>
      <c r="D288" s="19" t="s">
        <v>988</v>
      </c>
      <c r="E288" s="20" t="s">
        <v>925</v>
      </c>
      <c r="I288" s="21" t="s">
        <v>486</v>
      </c>
      <c r="J288" s="21"/>
      <c r="K288" s="21"/>
      <c r="L288" s="21"/>
      <c r="M288" s="21"/>
      <c r="N288" s="22" t="s">
        <v>1327</v>
      </c>
      <c r="O288" s="22" t="s">
        <v>1327</v>
      </c>
      <c r="P288" s="22"/>
      <c r="Q288" s="22" t="s">
        <v>2041</v>
      </c>
      <c r="R288" s="22"/>
      <c r="S288" s="22"/>
      <c r="T288" s="22" t="s">
        <v>2298</v>
      </c>
      <c r="U288" s="116" t="s">
        <v>2299</v>
      </c>
      <c r="V288" s="22" t="s">
        <v>1883</v>
      </c>
      <c r="W288" s="22" t="s">
        <v>145</v>
      </c>
      <c r="X288" s="22"/>
      <c r="Y288" s="23" t="s">
        <v>145</v>
      </c>
      <c r="Z288" s="22"/>
      <c r="AA288" s="22"/>
      <c r="AB288" s="22"/>
      <c r="AC288" s="22"/>
      <c r="AD288" s="22"/>
      <c r="AE288" s="24"/>
      <c r="AF288" s="24" t="s">
        <v>2043</v>
      </c>
      <c r="AG288" s="22"/>
      <c r="AH288" s="23"/>
      <c r="AJ288" s="26" t="s">
        <v>926</v>
      </c>
      <c r="AK288" s="27">
        <v>1571</v>
      </c>
      <c r="AL288" s="27"/>
      <c r="AQ288" s="28">
        <v>3</v>
      </c>
      <c r="AR288" s="28">
        <v>2000</v>
      </c>
      <c r="AS288" s="28">
        <v>3000</v>
      </c>
      <c r="AW288" s="27"/>
      <c r="AX288" s="27"/>
      <c r="AY288" s="27"/>
      <c r="BK288" s="27"/>
      <c r="BL288" s="27"/>
      <c r="BW288" s="27"/>
      <c r="BX288" s="27"/>
      <c r="BY288" s="27"/>
      <c r="CH288" s="29"/>
      <c r="CI288" s="23" t="s">
        <v>397</v>
      </c>
      <c r="CJ288" s="28">
        <v>10</v>
      </c>
    </row>
    <row r="289" spans="1:88" x14ac:dyDescent="0.2">
      <c r="A289" s="18">
        <v>941</v>
      </c>
      <c r="B289" s="19">
        <v>31</v>
      </c>
      <c r="C289" s="19">
        <f t="shared" ref="C289" si="38">A289*10000+B289</f>
        <v>9410031</v>
      </c>
      <c r="D289" s="19" t="s">
        <v>989</v>
      </c>
      <c r="E289" s="20" t="s">
        <v>925</v>
      </c>
      <c r="I289" s="21" t="s">
        <v>486</v>
      </c>
      <c r="J289" s="21"/>
      <c r="K289" s="21"/>
      <c r="L289" s="21"/>
      <c r="M289" s="21"/>
      <c r="N289" s="22" t="s">
        <v>1327</v>
      </c>
      <c r="O289" s="22" t="s">
        <v>1327</v>
      </c>
      <c r="P289" s="22"/>
      <c r="Q289" s="22" t="s">
        <v>2041</v>
      </c>
      <c r="R289" s="22"/>
      <c r="S289" s="22"/>
      <c r="T289" s="22" t="s">
        <v>2298</v>
      </c>
      <c r="U289" s="116" t="s">
        <v>2299</v>
      </c>
      <c r="V289" s="22" t="s">
        <v>1883</v>
      </c>
      <c r="W289" s="22" t="s">
        <v>145</v>
      </c>
      <c r="X289" s="22"/>
      <c r="Y289" s="23" t="s">
        <v>145</v>
      </c>
      <c r="Z289" s="22"/>
      <c r="AA289" s="22"/>
      <c r="AB289" s="22"/>
      <c r="AC289" s="22"/>
      <c r="AD289" s="22"/>
      <c r="AE289" s="24"/>
      <c r="AF289" s="24" t="s">
        <v>2043</v>
      </c>
      <c r="AG289" s="22"/>
      <c r="AH289" s="23"/>
      <c r="AJ289" s="26" t="s">
        <v>926</v>
      </c>
      <c r="AK289" s="27">
        <v>1571</v>
      </c>
      <c r="AL289" s="27"/>
      <c r="AQ289" s="28">
        <v>4</v>
      </c>
      <c r="AR289" s="28">
        <v>2500</v>
      </c>
      <c r="AS289" s="28">
        <v>3000</v>
      </c>
      <c r="AW289" s="27"/>
      <c r="AX289" s="27"/>
      <c r="AY289" s="27"/>
      <c r="BK289" s="27"/>
      <c r="BL289" s="27"/>
      <c r="BW289" s="27"/>
      <c r="BX289" s="27"/>
      <c r="BY289" s="27"/>
      <c r="CH289" s="29"/>
      <c r="CI289" s="23" t="s">
        <v>397</v>
      </c>
      <c r="CJ289" s="28">
        <v>10</v>
      </c>
    </row>
    <row r="290" spans="1:88" x14ac:dyDescent="0.2">
      <c r="A290" s="18">
        <v>942</v>
      </c>
      <c r="B290" s="19">
        <v>1</v>
      </c>
      <c r="C290" s="19">
        <f t="shared" si="35"/>
        <v>9420001</v>
      </c>
      <c r="D290" s="19" t="s">
        <v>1346</v>
      </c>
      <c r="E290" s="20" t="s">
        <v>949</v>
      </c>
      <c r="I290" s="21" t="s">
        <v>486</v>
      </c>
      <c r="J290" s="21"/>
      <c r="K290" s="21"/>
      <c r="L290" s="21"/>
      <c r="M290" s="21"/>
      <c r="N290" s="22" t="s">
        <v>1327</v>
      </c>
      <c r="O290" s="22" t="s">
        <v>1327</v>
      </c>
      <c r="P290" s="22"/>
      <c r="Q290" s="22" t="s">
        <v>2041</v>
      </c>
      <c r="R290" s="22"/>
      <c r="S290" s="22"/>
      <c r="T290" s="22" t="s">
        <v>2298</v>
      </c>
      <c r="U290" s="116" t="s">
        <v>2300</v>
      </c>
      <c r="V290" s="22" t="s">
        <v>1884</v>
      </c>
      <c r="W290" s="22" t="s">
        <v>6</v>
      </c>
      <c r="X290" s="22"/>
      <c r="Y290" s="23" t="s">
        <v>145</v>
      </c>
      <c r="Z290" s="22"/>
      <c r="AA290" s="22"/>
      <c r="AB290" s="22"/>
      <c r="AC290" s="22"/>
      <c r="AD290" s="22"/>
      <c r="AE290" s="24"/>
      <c r="AF290" s="24" t="s">
        <v>2043</v>
      </c>
      <c r="AG290" s="22"/>
      <c r="AH290" s="23"/>
      <c r="AJ290" s="26" t="s">
        <v>926</v>
      </c>
      <c r="AK290" s="27">
        <v>1571</v>
      </c>
      <c r="AL290" s="27"/>
      <c r="AQ290" s="28">
        <v>5</v>
      </c>
      <c r="AR290" s="28">
        <v>1000</v>
      </c>
      <c r="AS290" s="28">
        <v>3000</v>
      </c>
      <c r="AW290" s="27"/>
      <c r="AX290" s="27"/>
      <c r="AY290" s="27"/>
      <c r="BK290" s="27"/>
      <c r="BL290" s="27"/>
      <c r="BW290" s="27"/>
      <c r="BX290" s="27"/>
      <c r="BY290" s="27"/>
      <c r="CH290" s="29"/>
      <c r="CI290" s="23" t="s">
        <v>397</v>
      </c>
      <c r="CJ290" s="28">
        <v>10</v>
      </c>
    </row>
    <row r="291" spans="1:88" x14ac:dyDescent="0.2">
      <c r="A291" s="18">
        <v>942</v>
      </c>
      <c r="B291" s="19">
        <v>11</v>
      </c>
      <c r="C291" s="19">
        <f t="shared" ref="C291:C292" si="39">A291*10000+B291</f>
        <v>9420011</v>
      </c>
      <c r="D291" s="19" t="s">
        <v>991</v>
      </c>
      <c r="E291" s="20" t="s">
        <v>949</v>
      </c>
      <c r="I291" s="21" t="s">
        <v>486</v>
      </c>
      <c r="J291" s="21"/>
      <c r="K291" s="21"/>
      <c r="L291" s="21"/>
      <c r="M291" s="21"/>
      <c r="N291" s="22" t="s">
        <v>1327</v>
      </c>
      <c r="O291" s="22" t="s">
        <v>1327</v>
      </c>
      <c r="P291" s="22"/>
      <c r="Q291" s="22" t="s">
        <v>2041</v>
      </c>
      <c r="R291" s="22"/>
      <c r="S291" s="22"/>
      <c r="T291" s="22" t="s">
        <v>2298</v>
      </c>
      <c r="U291" s="116" t="s">
        <v>2300</v>
      </c>
      <c r="V291" s="22" t="s">
        <v>1884</v>
      </c>
      <c r="W291" s="22" t="s">
        <v>6</v>
      </c>
      <c r="X291" s="22"/>
      <c r="Y291" s="23" t="s">
        <v>145</v>
      </c>
      <c r="Z291" s="22"/>
      <c r="AA291" s="22"/>
      <c r="AB291" s="22"/>
      <c r="AC291" s="22"/>
      <c r="AD291" s="22"/>
      <c r="AE291" s="24"/>
      <c r="AF291" s="24" t="s">
        <v>2043</v>
      </c>
      <c r="AG291" s="22"/>
      <c r="AH291" s="23"/>
      <c r="AJ291" s="26" t="s">
        <v>926</v>
      </c>
      <c r="AK291" s="27">
        <v>1571</v>
      </c>
      <c r="AL291" s="27"/>
      <c r="AQ291" s="28">
        <v>6</v>
      </c>
      <c r="AR291" s="28">
        <v>1500</v>
      </c>
      <c r="AS291" s="28">
        <v>3000</v>
      </c>
      <c r="AW291" s="27"/>
      <c r="AX291" s="27"/>
      <c r="AY291" s="27"/>
      <c r="BK291" s="27"/>
      <c r="BL291" s="27"/>
      <c r="BW291" s="27"/>
      <c r="BX291" s="27"/>
      <c r="BY291" s="27"/>
      <c r="CH291" s="29"/>
      <c r="CI291" s="23" t="s">
        <v>397</v>
      </c>
      <c r="CJ291" s="28">
        <v>10</v>
      </c>
    </row>
    <row r="292" spans="1:88" x14ac:dyDescent="0.2">
      <c r="A292" s="18">
        <v>942</v>
      </c>
      <c r="B292" s="19">
        <v>21</v>
      </c>
      <c r="C292" s="19">
        <f t="shared" si="39"/>
        <v>9420021</v>
      </c>
      <c r="D292" s="19" t="s">
        <v>992</v>
      </c>
      <c r="E292" s="20" t="s">
        <v>949</v>
      </c>
      <c r="I292" s="21" t="s">
        <v>486</v>
      </c>
      <c r="J292" s="21"/>
      <c r="K292" s="21"/>
      <c r="L292" s="21"/>
      <c r="M292" s="21"/>
      <c r="N292" s="22" t="s">
        <v>1327</v>
      </c>
      <c r="O292" s="22" t="s">
        <v>1327</v>
      </c>
      <c r="P292" s="22"/>
      <c r="Q292" s="22" t="s">
        <v>2041</v>
      </c>
      <c r="R292" s="22"/>
      <c r="S292" s="22"/>
      <c r="T292" s="22" t="s">
        <v>2298</v>
      </c>
      <c r="U292" s="116" t="s">
        <v>2300</v>
      </c>
      <c r="V292" s="22" t="s">
        <v>1884</v>
      </c>
      <c r="W292" s="22" t="s">
        <v>6</v>
      </c>
      <c r="X292" s="22"/>
      <c r="Y292" s="23" t="s">
        <v>145</v>
      </c>
      <c r="Z292" s="22"/>
      <c r="AA292" s="22"/>
      <c r="AB292" s="22"/>
      <c r="AC292" s="22"/>
      <c r="AD292" s="22"/>
      <c r="AE292" s="24"/>
      <c r="AF292" s="24" t="s">
        <v>2043</v>
      </c>
      <c r="AG292" s="22"/>
      <c r="AH292" s="23"/>
      <c r="AJ292" s="26" t="s">
        <v>926</v>
      </c>
      <c r="AK292" s="27">
        <v>1571</v>
      </c>
      <c r="AL292" s="27"/>
      <c r="AQ292" s="28">
        <v>7</v>
      </c>
      <c r="AR292" s="28">
        <v>2000</v>
      </c>
      <c r="AS292" s="28">
        <v>3000</v>
      </c>
      <c r="AW292" s="27"/>
      <c r="AX292" s="27"/>
      <c r="AY292" s="27"/>
      <c r="BK292" s="27"/>
      <c r="BL292" s="27"/>
      <c r="BW292" s="27"/>
      <c r="BX292" s="27"/>
      <c r="BY292" s="27"/>
      <c r="CH292" s="29"/>
      <c r="CI292" s="23" t="s">
        <v>397</v>
      </c>
      <c r="CJ292" s="28">
        <v>10</v>
      </c>
    </row>
    <row r="293" spans="1:88" x14ac:dyDescent="0.2">
      <c r="A293" s="18">
        <v>942</v>
      </c>
      <c r="B293" s="19">
        <v>31</v>
      </c>
      <c r="C293" s="19">
        <f t="shared" ref="C293" si="40">A293*10000+B293</f>
        <v>9420031</v>
      </c>
      <c r="D293" s="19" t="s">
        <v>993</v>
      </c>
      <c r="E293" s="20" t="s">
        <v>949</v>
      </c>
      <c r="I293" s="21" t="s">
        <v>486</v>
      </c>
      <c r="J293" s="21"/>
      <c r="K293" s="21"/>
      <c r="L293" s="21"/>
      <c r="M293" s="21"/>
      <c r="N293" s="22" t="s">
        <v>1327</v>
      </c>
      <c r="O293" s="22" t="s">
        <v>1327</v>
      </c>
      <c r="P293" s="22"/>
      <c r="Q293" s="22" t="s">
        <v>2041</v>
      </c>
      <c r="R293" s="22"/>
      <c r="S293" s="22"/>
      <c r="T293" s="22" t="s">
        <v>2298</v>
      </c>
      <c r="U293" s="116" t="s">
        <v>2300</v>
      </c>
      <c r="V293" s="22" t="s">
        <v>1884</v>
      </c>
      <c r="W293" s="22" t="s">
        <v>6</v>
      </c>
      <c r="X293" s="22"/>
      <c r="Y293" s="23" t="s">
        <v>145</v>
      </c>
      <c r="Z293" s="22"/>
      <c r="AA293" s="22"/>
      <c r="AB293" s="22"/>
      <c r="AC293" s="22"/>
      <c r="AD293" s="22"/>
      <c r="AE293" s="24"/>
      <c r="AF293" s="24" t="s">
        <v>2043</v>
      </c>
      <c r="AG293" s="22"/>
      <c r="AH293" s="23"/>
      <c r="AJ293" s="26" t="s">
        <v>926</v>
      </c>
      <c r="AK293" s="27">
        <v>1571</v>
      </c>
      <c r="AL293" s="27"/>
      <c r="AQ293" s="28">
        <v>8</v>
      </c>
      <c r="AR293" s="28">
        <v>2500</v>
      </c>
      <c r="AS293" s="28">
        <v>3000</v>
      </c>
      <c r="AW293" s="27"/>
      <c r="AX293" s="27"/>
      <c r="AY293" s="27"/>
      <c r="BK293" s="27"/>
      <c r="BL293" s="27"/>
      <c r="BW293" s="27"/>
      <c r="BX293" s="27"/>
      <c r="BY293" s="27"/>
      <c r="CH293" s="29"/>
      <c r="CI293" s="23" t="s">
        <v>397</v>
      </c>
      <c r="CJ293" s="28">
        <v>10</v>
      </c>
    </row>
    <row r="294" spans="1:88" x14ac:dyDescent="0.2">
      <c r="A294" s="18">
        <v>943</v>
      </c>
      <c r="B294" s="19">
        <v>1</v>
      </c>
      <c r="C294" s="19">
        <f t="shared" si="35"/>
        <v>9430001</v>
      </c>
      <c r="D294" s="19" t="s">
        <v>1372</v>
      </c>
      <c r="E294" s="20" t="s">
        <v>977</v>
      </c>
      <c r="I294" s="21" t="s">
        <v>486</v>
      </c>
      <c r="J294" s="21"/>
      <c r="K294" s="21"/>
      <c r="L294" s="21"/>
      <c r="M294" s="21"/>
      <c r="N294" s="22" t="s">
        <v>1327</v>
      </c>
      <c r="O294" s="22" t="s">
        <v>1327</v>
      </c>
      <c r="P294" s="22"/>
      <c r="Q294" s="22" t="s">
        <v>2041</v>
      </c>
      <c r="R294" s="22"/>
      <c r="S294" s="22"/>
      <c r="T294" s="22" t="s">
        <v>2298</v>
      </c>
      <c r="U294" s="116" t="s">
        <v>2301</v>
      </c>
      <c r="V294" s="22" t="s">
        <v>1885</v>
      </c>
      <c r="W294" s="22" t="s">
        <v>6</v>
      </c>
      <c r="X294" s="22"/>
      <c r="Y294" s="23" t="s">
        <v>145</v>
      </c>
      <c r="Z294" s="22"/>
      <c r="AA294" s="22"/>
      <c r="AB294" s="22"/>
      <c r="AC294" s="22"/>
      <c r="AD294" s="22"/>
      <c r="AE294" s="24"/>
      <c r="AF294" s="24" t="s">
        <v>2043</v>
      </c>
      <c r="AG294" s="22"/>
      <c r="AH294" s="23"/>
      <c r="AJ294" s="26" t="s">
        <v>926</v>
      </c>
      <c r="AK294" s="27">
        <v>1571</v>
      </c>
      <c r="AL294" s="27"/>
      <c r="AQ294" s="28">
        <v>1</v>
      </c>
      <c r="AR294" s="28">
        <v>1000</v>
      </c>
      <c r="AS294" s="28">
        <v>3000</v>
      </c>
      <c r="AW294" s="27"/>
      <c r="AX294" s="27"/>
      <c r="AY294" s="27"/>
      <c r="BK294" s="27"/>
      <c r="BL294" s="27"/>
      <c r="BW294" s="27"/>
      <c r="BX294" s="27"/>
      <c r="BY294" s="27"/>
      <c r="CH294" s="29"/>
      <c r="CI294" s="23" t="s">
        <v>397</v>
      </c>
      <c r="CJ294" s="28">
        <v>10</v>
      </c>
    </row>
    <row r="295" spans="1:88" x14ac:dyDescent="0.2">
      <c r="A295" s="18">
        <v>943</v>
      </c>
      <c r="B295" s="19">
        <v>11</v>
      </c>
      <c r="C295" s="19">
        <f t="shared" ref="C295:C296" si="41">A295*10000+B295</f>
        <v>9430011</v>
      </c>
      <c r="D295" s="19" t="s">
        <v>995</v>
      </c>
      <c r="E295" s="20" t="s">
        <v>977</v>
      </c>
      <c r="I295" s="21" t="s">
        <v>486</v>
      </c>
      <c r="J295" s="21"/>
      <c r="K295" s="21"/>
      <c r="L295" s="21"/>
      <c r="M295" s="21"/>
      <c r="N295" s="22" t="s">
        <v>1327</v>
      </c>
      <c r="O295" s="22" t="s">
        <v>1327</v>
      </c>
      <c r="P295" s="22"/>
      <c r="Q295" s="22" t="s">
        <v>2041</v>
      </c>
      <c r="R295" s="22"/>
      <c r="S295" s="22"/>
      <c r="T295" s="22" t="s">
        <v>2298</v>
      </c>
      <c r="U295" s="116" t="s">
        <v>2301</v>
      </c>
      <c r="V295" s="22" t="s">
        <v>1885</v>
      </c>
      <c r="W295" s="22" t="s">
        <v>6</v>
      </c>
      <c r="X295" s="22"/>
      <c r="Y295" s="23" t="s">
        <v>145</v>
      </c>
      <c r="Z295" s="22"/>
      <c r="AA295" s="22"/>
      <c r="AB295" s="22"/>
      <c r="AC295" s="22"/>
      <c r="AD295" s="22"/>
      <c r="AE295" s="24"/>
      <c r="AF295" s="24" t="s">
        <v>2043</v>
      </c>
      <c r="AG295" s="22"/>
      <c r="AH295" s="23"/>
      <c r="AJ295" s="26" t="s">
        <v>926</v>
      </c>
      <c r="AK295" s="27">
        <v>1571</v>
      </c>
      <c r="AL295" s="27"/>
      <c r="AQ295" s="28">
        <v>2</v>
      </c>
      <c r="AR295" s="28">
        <v>1500</v>
      </c>
      <c r="AS295" s="28">
        <v>3000</v>
      </c>
      <c r="AW295" s="27"/>
      <c r="AX295" s="27"/>
      <c r="AY295" s="27"/>
      <c r="BK295" s="27"/>
      <c r="BL295" s="27"/>
      <c r="BW295" s="27"/>
      <c r="BX295" s="27"/>
      <c r="BY295" s="27"/>
      <c r="CH295" s="29"/>
      <c r="CI295" s="23" t="s">
        <v>397</v>
      </c>
      <c r="CJ295" s="28">
        <v>10</v>
      </c>
    </row>
    <row r="296" spans="1:88" x14ac:dyDescent="0.2">
      <c r="A296" s="18">
        <v>943</v>
      </c>
      <c r="B296" s="19">
        <v>21</v>
      </c>
      <c r="C296" s="19">
        <f t="shared" si="41"/>
        <v>9430021</v>
      </c>
      <c r="D296" s="19" t="s">
        <v>996</v>
      </c>
      <c r="E296" s="20" t="s">
        <v>977</v>
      </c>
      <c r="I296" s="21" t="s">
        <v>486</v>
      </c>
      <c r="J296" s="21"/>
      <c r="K296" s="21"/>
      <c r="L296" s="21"/>
      <c r="M296" s="21"/>
      <c r="N296" s="22" t="s">
        <v>1327</v>
      </c>
      <c r="O296" s="22" t="s">
        <v>1327</v>
      </c>
      <c r="P296" s="22"/>
      <c r="Q296" s="22" t="s">
        <v>2041</v>
      </c>
      <c r="R296" s="22"/>
      <c r="S296" s="22"/>
      <c r="T296" s="22" t="s">
        <v>2298</v>
      </c>
      <c r="U296" s="116" t="s">
        <v>2301</v>
      </c>
      <c r="V296" s="22" t="s">
        <v>1885</v>
      </c>
      <c r="W296" s="22" t="s">
        <v>6</v>
      </c>
      <c r="X296" s="22"/>
      <c r="Y296" s="23" t="s">
        <v>145</v>
      </c>
      <c r="Z296" s="22"/>
      <c r="AA296" s="22"/>
      <c r="AB296" s="22"/>
      <c r="AC296" s="22"/>
      <c r="AD296" s="22"/>
      <c r="AE296" s="24"/>
      <c r="AF296" s="24" t="s">
        <v>2043</v>
      </c>
      <c r="AG296" s="22"/>
      <c r="AH296" s="23"/>
      <c r="AJ296" s="26" t="s">
        <v>926</v>
      </c>
      <c r="AK296" s="27">
        <v>1571</v>
      </c>
      <c r="AL296" s="27"/>
      <c r="AQ296" s="28">
        <v>3</v>
      </c>
      <c r="AR296" s="28">
        <v>2000</v>
      </c>
      <c r="AS296" s="28">
        <v>3000</v>
      </c>
      <c r="AW296" s="27"/>
      <c r="AX296" s="27"/>
      <c r="AY296" s="27"/>
      <c r="BK296" s="27"/>
      <c r="BL296" s="27"/>
      <c r="BW296" s="27"/>
      <c r="BX296" s="27"/>
      <c r="BY296" s="27"/>
      <c r="CH296" s="29"/>
      <c r="CI296" s="23" t="s">
        <v>397</v>
      </c>
      <c r="CJ296" s="28">
        <v>10</v>
      </c>
    </row>
    <row r="297" spans="1:88" x14ac:dyDescent="0.2">
      <c r="A297" s="18">
        <v>943</v>
      </c>
      <c r="B297" s="19">
        <v>31</v>
      </c>
      <c r="C297" s="19">
        <f t="shared" ref="C297" si="42">A297*10000+B297</f>
        <v>9430031</v>
      </c>
      <c r="D297" s="19" t="s">
        <v>997</v>
      </c>
      <c r="E297" s="20" t="s">
        <v>977</v>
      </c>
      <c r="I297" s="21" t="s">
        <v>486</v>
      </c>
      <c r="J297" s="21"/>
      <c r="K297" s="21"/>
      <c r="L297" s="21"/>
      <c r="M297" s="21"/>
      <c r="N297" s="22" t="s">
        <v>1327</v>
      </c>
      <c r="O297" s="22" t="s">
        <v>1327</v>
      </c>
      <c r="P297" s="22"/>
      <c r="Q297" s="22" t="s">
        <v>2041</v>
      </c>
      <c r="R297" s="22"/>
      <c r="S297" s="22"/>
      <c r="T297" s="22" t="s">
        <v>2298</v>
      </c>
      <c r="U297" s="116" t="s">
        <v>2301</v>
      </c>
      <c r="V297" s="22" t="s">
        <v>1885</v>
      </c>
      <c r="W297" s="22" t="s">
        <v>6</v>
      </c>
      <c r="X297" s="22"/>
      <c r="Y297" s="23" t="s">
        <v>145</v>
      </c>
      <c r="Z297" s="22"/>
      <c r="AA297" s="22"/>
      <c r="AB297" s="22"/>
      <c r="AC297" s="22"/>
      <c r="AD297" s="22"/>
      <c r="AE297" s="24"/>
      <c r="AF297" s="24" t="s">
        <v>2043</v>
      </c>
      <c r="AG297" s="22"/>
      <c r="AH297" s="23"/>
      <c r="AJ297" s="26" t="s">
        <v>926</v>
      </c>
      <c r="AK297" s="27">
        <v>1571</v>
      </c>
      <c r="AL297" s="27"/>
      <c r="AQ297" s="28">
        <v>4</v>
      </c>
      <c r="AR297" s="28">
        <v>2500</v>
      </c>
      <c r="AS297" s="28">
        <v>3000</v>
      </c>
      <c r="AW297" s="27"/>
      <c r="AX297" s="27"/>
      <c r="AY297" s="27"/>
      <c r="BK297" s="27"/>
      <c r="BL297" s="27"/>
      <c r="BW297" s="27"/>
      <c r="BX297" s="27"/>
      <c r="BY297" s="27"/>
      <c r="CH297" s="29"/>
      <c r="CI297" s="23" t="s">
        <v>397</v>
      </c>
      <c r="CJ297" s="28">
        <v>10</v>
      </c>
    </row>
    <row r="298" spans="1:88" x14ac:dyDescent="0.2">
      <c r="A298" s="18">
        <v>944</v>
      </c>
      <c r="B298" s="19">
        <v>1</v>
      </c>
      <c r="C298" s="19">
        <f t="shared" si="35"/>
        <v>9440001</v>
      </c>
      <c r="D298" s="19" t="s">
        <v>998</v>
      </c>
      <c r="E298" s="20" t="s">
        <v>979</v>
      </c>
      <c r="I298" s="21" t="s">
        <v>1126</v>
      </c>
      <c r="J298" s="21"/>
      <c r="K298" s="21"/>
      <c r="L298" s="21"/>
      <c r="M298" s="21"/>
      <c r="N298" s="22" t="s">
        <v>1327</v>
      </c>
      <c r="O298" s="22" t="s">
        <v>1327</v>
      </c>
      <c r="P298" s="22"/>
      <c r="Q298" s="22" t="s">
        <v>2041</v>
      </c>
      <c r="R298" s="22"/>
      <c r="S298" s="22"/>
      <c r="T298" s="22" t="s">
        <v>2298</v>
      </c>
      <c r="U298" s="116" t="s">
        <v>2302</v>
      </c>
      <c r="V298" s="22" t="s">
        <v>1886</v>
      </c>
      <c r="W298" s="22" t="s">
        <v>6</v>
      </c>
      <c r="X298" s="22"/>
      <c r="Y298" s="23" t="s">
        <v>145</v>
      </c>
      <c r="Z298" s="22"/>
      <c r="AA298" s="22"/>
      <c r="AB298" s="22"/>
      <c r="AC298" s="22"/>
      <c r="AD298" s="22"/>
      <c r="AE298" s="24"/>
      <c r="AF298" s="24" t="s">
        <v>2043</v>
      </c>
      <c r="AG298" s="22"/>
      <c r="AH298" s="23"/>
      <c r="AJ298" s="26" t="s">
        <v>926</v>
      </c>
      <c r="AK298" s="27">
        <v>1571</v>
      </c>
      <c r="AL298" s="27"/>
      <c r="AQ298" s="28">
        <v>1</v>
      </c>
      <c r="AR298" s="28">
        <v>1000</v>
      </c>
      <c r="AS298" s="28">
        <v>3000</v>
      </c>
      <c r="AW298" s="27"/>
      <c r="AX298" s="27"/>
      <c r="AY298" s="27"/>
      <c r="BK298" s="27"/>
      <c r="BL298" s="27"/>
      <c r="BW298" s="27"/>
      <c r="BX298" s="27"/>
      <c r="BY298" s="27"/>
      <c r="CH298" s="29"/>
      <c r="CI298" s="23" t="s">
        <v>397</v>
      </c>
      <c r="CJ298" s="28">
        <v>10</v>
      </c>
    </row>
    <row r="299" spans="1:88" x14ac:dyDescent="0.2">
      <c r="A299" s="18">
        <v>944</v>
      </c>
      <c r="B299" s="19">
        <v>11</v>
      </c>
      <c r="C299" s="19">
        <f t="shared" ref="C299:C300" si="43">A299*10000+B299</f>
        <v>9440011</v>
      </c>
      <c r="D299" s="19" t="s">
        <v>999</v>
      </c>
      <c r="E299" s="20" t="s">
        <v>979</v>
      </c>
      <c r="I299" s="21" t="s">
        <v>1126</v>
      </c>
      <c r="J299" s="21"/>
      <c r="K299" s="21"/>
      <c r="L299" s="21"/>
      <c r="M299" s="21"/>
      <c r="N299" s="22" t="s">
        <v>1327</v>
      </c>
      <c r="O299" s="22" t="s">
        <v>1327</v>
      </c>
      <c r="P299" s="22"/>
      <c r="Q299" s="22" t="s">
        <v>2041</v>
      </c>
      <c r="R299" s="22"/>
      <c r="S299" s="22"/>
      <c r="T299" s="22" t="s">
        <v>2298</v>
      </c>
      <c r="U299" s="116" t="s">
        <v>2302</v>
      </c>
      <c r="V299" s="22" t="s">
        <v>1886</v>
      </c>
      <c r="W299" s="22" t="s">
        <v>6</v>
      </c>
      <c r="X299" s="22"/>
      <c r="Y299" s="23" t="s">
        <v>145</v>
      </c>
      <c r="Z299" s="22"/>
      <c r="AA299" s="22"/>
      <c r="AB299" s="22"/>
      <c r="AC299" s="22"/>
      <c r="AD299" s="22"/>
      <c r="AE299" s="24"/>
      <c r="AF299" s="24" t="s">
        <v>2043</v>
      </c>
      <c r="AG299" s="22"/>
      <c r="AH299" s="23"/>
      <c r="AJ299" s="26" t="s">
        <v>926</v>
      </c>
      <c r="AK299" s="27">
        <v>1571</v>
      </c>
      <c r="AL299" s="27"/>
      <c r="AQ299" s="28">
        <v>2</v>
      </c>
      <c r="AR299" s="28">
        <v>1500</v>
      </c>
      <c r="AS299" s="28">
        <v>3000</v>
      </c>
      <c r="AW299" s="27"/>
      <c r="AX299" s="27"/>
      <c r="AY299" s="27"/>
      <c r="BK299" s="27"/>
      <c r="BL299" s="27"/>
      <c r="BW299" s="27"/>
      <c r="BX299" s="27"/>
      <c r="BY299" s="27"/>
      <c r="CH299" s="29"/>
      <c r="CI299" s="23" t="s">
        <v>397</v>
      </c>
      <c r="CJ299" s="28">
        <v>10</v>
      </c>
    </row>
    <row r="300" spans="1:88" x14ac:dyDescent="0.2">
      <c r="A300" s="18">
        <v>944</v>
      </c>
      <c r="B300" s="19">
        <v>21</v>
      </c>
      <c r="C300" s="19">
        <f t="shared" si="43"/>
        <v>9440021</v>
      </c>
      <c r="D300" s="19" t="s">
        <v>1000</v>
      </c>
      <c r="E300" s="20" t="s">
        <v>979</v>
      </c>
      <c r="I300" s="21" t="s">
        <v>1126</v>
      </c>
      <c r="J300" s="21"/>
      <c r="K300" s="21"/>
      <c r="L300" s="21"/>
      <c r="M300" s="21"/>
      <c r="N300" s="22" t="s">
        <v>1327</v>
      </c>
      <c r="O300" s="22" t="s">
        <v>1327</v>
      </c>
      <c r="P300" s="22"/>
      <c r="Q300" s="22" t="s">
        <v>2041</v>
      </c>
      <c r="R300" s="22"/>
      <c r="S300" s="22"/>
      <c r="T300" s="22" t="s">
        <v>2298</v>
      </c>
      <c r="U300" s="116" t="s">
        <v>2302</v>
      </c>
      <c r="V300" s="22" t="s">
        <v>1886</v>
      </c>
      <c r="W300" s="22" t="s">
        <v>6</v>
      </c>
      <c r="X300" s="22"/>
      <c r="Y300" s="23" t="s">
        <v>145</v>
      </c>
      <c r="Z300" s="22"/>
      <c r="AA300" s="22"/>
      <c r="AB300" s="22"/>
      <c r="AC300" s="22"/>
      <c r="AD300" s="22"/>
      <c r="AE300" s="24"/>
      <c r="AF300" s="24" t="s">
        <v>2043</v>
      </c>
      <c r="AG300" s="22"/>
      <c r="AH300" s="23"/>
      <c r="AJ300" s="26" t="s">
        <v>926</v>
      </c>
      <c r="AK300" s="27">
        <v>1571</v>
      </c>
      <c r="AL300" s="27"/>
      <c r="AQ300" s="28">
        <v>3</v>
      </c>
      <c r="AR300" s="28">
        <v>2000</v>
      </c>
      <c r="AS300" s="28">
        <v>3000</v>
      </c>
      <c r="AW300" s="27"/>
      <c r="AX300" s="27"/>
      <c r="AY300" s="27"/>
      <c r="BK300" s="27"/>
      <c r="BL300" s="27"/>
      <c r="BW300" s="27"/>
      <c r="BX300" s="27"/>
      <c r="BY300" s="27"/>
      <c r="CH300" s="29"/>
      <c r="CI300" s="23" t="s">
        <v>397</v>
      </c>
      <c r="CJ300" s="28">
        <v>10</v>
      </c>
    </row>
    <row r="301" spans="1:88" x14ac:dyDescent="0.2">
      <c r="A301" s="18">
        <v>944</v>
      </c>
      <c r="B301" s="19">
        <v>31</v>
      </c>
      <c r="C301" s="19">
        <f t="shared" ref="C301" si="44">A301*10000+B301</f>
        <v>9440031</v>
      </c>
      <c r="D301" s="19" t="s">
        <v>1001</v>
      </c>
      <c r="E301" s="20" t="s">
        <v>979</v>
      </c>
      <c r="I301" s="21" t="s">
        <v>1126</v>
      </c>
      <c r="J301" s="21"/>
      <c r="K301" s="21"/>
      <c r="L301" s="21"/>
      <c r="M301" s="21"/>
      <c r="N301" s="22" t="s">
        <v>1327</v>
      </c>
      <c r="O301" s="22" t="s">
        <v>1327</v>
      </c>
      <c r="P301" s="22"/>
      <c r="Q301" s="22" t="s">
        <v>2041</v>
      </c>
      <c r="R301" s="22"/>
      <c r="S301" s="22"/>
      <c r="T301" s="22" t="s">
        <v>2298</v>
      </c>
      <c r="U301" s="116" t="s">
        <v>2302</v>
      </c>
      <c r="V301" s="22" t="s">
        <v>1886</v>
      </c>
      <c r="W301" s="22" t="s">
        <v>6</v>
      </c>
      <c r="X301" s="22"/>
      <c r="Y301" s="23" t="s">
        <v>145</v>
      </c>
      <c r="Z301" s="22"/>
      <c r="AA301" s="22"/>
      <c r="AB301" s="22"/>
      <c r="AC301" s="22"/>
      <c r="AD301" s="22"/>
      <c r="AE301" s="24"/>
      <c r="AF301" s="24" t="s">
        <v>2043</v>
      </c>
      <c r="AG301" s="22"/>
      <c r="AH301" s="23"/>
      <c r="AJ301" s="26" t="s">
        <v>926</v>
      </c>
      <c r="AK301" s="27">
        <v>1571</v>
      </c>
      <c r="AL301" s="27"/>
      <c r="AQ301" s="28">
        <v>4</v>
      </c>
      <c r="AR301" s="28">
        <v>2500</v>
      </c>
      <c r="AS301" s="28">
        <v>3000</v>
      </c>
      <c r="AW301" s="27"/>
      <c r="AX301" s="27"/>
      <c r="AY301" s="27"/>
      <c r="BK301" s="27"/>
      <c r="BL301" s="27"/>
      <c r="BW301" s="27"/>
      <c r="BX301" s="27"/>
      <c r="BY301" s="27"/>
      <c r="CH301" s="29"/>
      <c r="CI301" s="23" t="s">
        <v>397</v>
      </c>
      <c r="CJ301" s="28">
        <v>10</v>
      </c>
    </row>
    <row r="302" spans="1:88" x14ac:dyDescent="0.2">
      <c r="A302" s="18">
        <v>945</v>
      </c>
      <c r="B302" s="19">
        <v>1</v>
      </c>
      <c r="C302" s="19">
        <f t="shared" si="35"/>
        <v>9450001</v>
      </c>
      <c r="D302" s="19" t="s">
        <v>4612</v>
      </c>
      <c r="E302" s="20" t="s">
        <v>1384</v>
      </c>
      <c r="I302" s="21" t="s">
        <v>486</v>
      </c>
      <c r="J302" s="21"/>
      <c r="K302" s="21"/>
      <c r="L302" s="21"/>
      <c r="M302" s="21"/>
      <c r="N302" s="22" t="s">
        <v>1327</v>
      </c>
      <c r="O302" s="22" t="s">
        <v>1398</v>
      </c>
      <c r="P302" s="22"/>
      <c r="Q302" s="22" t="s">
        <v>2041</v>
      </c>
      <c r="R302" s="22"/>
      <c r="S302" s="22"/>
      <c r="T302" s="22" t="s">
        <v>2298</v>
      </c>
      <c r="U302" s="116" t="s">
        <v>2303</v>
      </c>
      <c r="V302" s="22" t="s">
        <v>1887</v>
      </c>
      <c r="W302" s="22" t="s">
        <v>6</v>
      </c>
      <c r="X302" s="22"/>
      <c r="Y302" s="23" t="s">
        <v>145</v>
      </c>
      <c r="Z302" s="22"/>
      <c r="AA302" s="22"/>
      <c r="AB302" s="22"/>
      <c r="AC302" s="22"/>
      <c r="AD302" s="22"/>
      <c r="AE302" s="24"/>
      <c r="AF302" s="24" t="s">
        <v>2043</v>
      </c>
      <c r="AG302" s="22"/>
      <c r="AH302" s="23"/>
      <c r="AJ302" s="26" t="s">
        <v>926</v>
      </c>
      <c r="AK302" s="27">
        <v>1571</v>
      </c>
      <c r="AL302" s="27"/>
      <c r="AQ302" s="28">
        <v>1</v>
      </c>
      <c r="AR302" s="28">
        <v>1000</v>
      </c>
      <c r="AS302" s="28">
        <v>3000</v>
      </c>
      <c r="AW302" s="27"/>
      <c r="AX302" s="27"/>
      <c r="AY302" s="27"/>
      <c r="BK302" s="27"/>
      <c r="BL302" s="27"/>
      <c r="BW302" s="27"/>
      <c r="BX302" s="27"/>
      <c r="BY302" s="27"/>
      <c r="CH302" s="29"/>
      <c r="CI302" s="23" t="s">
        <v>397</v>
      </c>
      <c r="CJ302" s="28">
        <v>10</v>
      </c>
    </row>
    <row r="303" spans="1:88" x14ac:dyDescent="0.2">
      <c r="A303" s="18">
        <v>945</v>
      </c>
      <c r="B303" s="19">
        <v>11</v>
      </c>
      <c r="C303" s="19">
        <f t="shared" ref="C303:C304" si="45">A303*10000+B303</f>
        <v>9450011</v>
      </c>
      <c r="D303" s="19" t="s">
        <v>4613</v>
      </c>
      <c r="E303" s="20" t="s">
        <v>1384</v>
      </c>
      <c r="I303" s="21" t="s">
        <v>486</v>
      </c>
      <c r="J303" s="21"/>
      <c r="K303" s="21"/>
      <c r="L303" s="21"/>
      <c r="M303" s="21"/>
      <c r="N303" s="22" t="s">
        <v>1327</v>
      </c>
      <c r="O303" s="22" t="s">
        <v>1398</v>
      </c>
      <c r="P303" s="22"/>
      <c r="Q303" s="22" t="s">
        <v>2041</v>
      </c>
      <c r="R303" s="22"/>
      <c r="S303" s="22"/>
      <c r="T303" s="22" t="s">
        <v>2298</v>
      </c>
      <c r="U303" s="116" t="s">
        <v>2303</v>
      </c>
      <c r="V303" s="22" t="s">
        <v>1887</v>
      </c>
      <c r="W303" s="22" t="s">
        <v>6</v>
      </c>
      <c r="X303" s="22"/>
      <c r="Y303" s="23" t="s">
        <v>145</v>
      </c>
      <c r="Z303" s="22"/>
      <c r="AA303" s="22"/>
      <c r="AB303" s="22"/>
      <c r="AC303" s="22"/>
      <c r="AD303" s="22"/>
      <c r="AE303" s="24"/>
      <c r="AF303" s="24" t="s">
        <v>2043</v>
      </c>
      <c r="AG303" s="22"/>
      <c r="AH303" s="23"/>
      <c r="AJ303" s="26" t="s">
        <v>926</v>
      </c>
      <c r="AK303" s="27">
        <v>1571</v>
      </c>
      <c r="AL303" s="27"/>
      <c r="AQ303" s="28">
        <v>2</v>
      </c>
      <c r="AR303" s="28">
        <v>1500</v>
      </c>
      <c r="AS303" s="28">
        <v>3000</v>
      </c>
      <c r="AW303" s="27"/>
      <c r="AX303" s="27"/>
      <c r="AY303" s="27"/>
      <c r="BK303" s="27"/>
      <c r="BL303" s="27"/>
      <c r="BW303" s="27"/>
      <c r="BX303" s="27"/>
      <c r="BY303" s="27"/>
      <c r="CH303" s="29"/>
      <c r="CI303" s="23" t="s">
        <v>397</v>
      </c>
      <c r="CJ303" s="28">
        <v>10</v>
      </c>
    </row>
    <row r="304" spans="1:88" x14ac:dyDescent="0.2">
      <c r="A304" s="18">
        <v>945</v>
      </c>
      <c r="B304" s="19">
        <v>21</v>
      </c>
      <c r="C304" s="19">
        <f t="shared" si="45"/>
        <v>9450021</v>
      </c>
      <c r="D304" s="19" t="s">
        <v>4614</v>
      </c>
      <c r="E304" s="20" t="s">
        <v>1384</v>
      </c>
      <c r="I304" s="21" t="s">
        <v>486</v>
      </c>
      <c r="J304" s="21"/>
      <c r="K304" s="21"/>
      <c r="L304" s="21"/>
      <c r="M304" s="21"/>
      <c r="N304" s="22" t="s">
        <v>1327</v>
      </c>
      <c r="O304" s="22" t="s">
        <v>1398</v>
      </c>
      <c r="P304" s="22"/>
      <c r="Q304" s="22" t="s">
        <v>2041</v>
      </c>
      <c r="R304" s="22"/>
      <c r="S304" s="22"/>
      <c r="T304" s="22" t="s">
        <v>2298</v>
      </c>
      <c r="U304" s="116" t="s">
        <v>2303</v>
      </c>
      <c r="V304" s="22" t="s">
        <v>1887</v>
      </c>
      <c r="W304" s="22" t="s">
        <v>6</v>
      </c>
      <c r="X304" s="22"/>
      <c r="Y304" s="23" t="s">
        <v>145</v>
      </c>
      <c r="Z304" s="22"/>
      <c r="AA304" s="22"/>
      <c r="AB304" s="22"/>
      <c r="AC304" s="22"/>
      <c r="AD304" s="22"/>
      <c r="AE304" s="24"/>
      <c r="AF304" s="24" t="s">
        <v>2043</v>
      </c>
      <c r="AG304" s="22"/>
      <c r="AH304" s="23"/>
      <c r="AJ304" s="26" t="s">
        <v>926</v>
      </c>
      <c r="AK304" s="27">
        <v>1571</v>
      </c>
      <c r="AL304" s="27"/>
      <c r="AQ304" s="28">
        <v>3</v>
      </c>
      <c r="AR304" s="28">
        <v>2000</v>
      </c>
      <c r="AS304" s="28">
        <v>3000</v>
      </c>
      <c r="AW304" s="27"/>
      <c r="AX304" s="27"/>
      <c r="AY304" s="27"/>
      <c r="BK304" s="27"/>
      <c r="BL304" s="27"/>
      <c r="BW304" s="27"/>
      <c r="BX304" s="27"/>
      <c r="BY304" s="27"/>
      <c r="CH304" s="29"/>
      <c r="CI304" s="23" t="s">
        <v>397</v>
      </c>
      <c r="CJ304" s="28">
        <v>10</v>
      </c>
    </row>
    <row r="305" spans="1:88" x14ac:dyDescent="0.2">
      <c r="A305" s="18">
        <v>945</v>
      </c>
      <c r="B305" s="19">
        <v>31</v>
      </c>
      <c r="C305" s="19">
        <f t="shared" ref="C305" si="46">A305*10000+B305</f>
        <v>9450031</v>
      </c>
      <c r="D305" s="19" t="s">
        <v>4615</v>
      </c>
      <c r="E305" s="20" t="s">
        <v>1384</v>
      </c>
      <c r="I305" s="21" t="s">
        <v>486</v>
      </c>
      <c r="J305" s="21"/>
      <c r="K305" s="21"/>
      <c r="L305" s="21"/>
      <c r="M305" s="21"/>
      <c r="N305" s="22" t="s">
        <v>1327</v>
      </c>
      <c r="O305" s="22" t="s">
        <v>1398</v>
      </c>
      <c r="P305" s="22"/>
      <c r="Q305" s="22" t="s">
        <v>2041</v>
      </c>
      <c r="R305" s="22"/>
      <c r="S305" s="22"/>
      <c r="T305" s="22" t="s">
        <v>2298</v>
      </c>
      <c r="U305" s="116" t="s">
        <v>2303</v>
      </c>
      <c r="V305" s="22" t="s">
        <v>1887</v>
      </c>
      <c r="W305" s="22" t="s">
        <v>6</v>
      </c>
      <c r="X305" s="22"/>
      <c r="Y305" s="23" t="s">
        <v>145</v>
      </c>
      <c r="Z305" s="22"/>
      <c r="AA305" s="22"/>
      <c r="AB305" s="22"/>
      <c r="AC305" s="22"/>
      <c r="AD305" s="22"/>
      <c r="AE305" s="24"/>
      <c r="AF305" s="24" t="s">
        <v>2043</v>
      </c>
      <c r="AG305" s="22"/>
      <c r="AH305" s="23"/>
      <c r="AJ305" s="26" t="s">
        <v>926</v>
      </c>
      <c r="AK305" s="27">
        <v>1571</v>
      </c>
      <c r="AL305" s="27"/>
      <c r="AQ305" s="28">
        <v>4</v>
      </c>
      <c r="AR305" s="28">
        <v>2500</v>
      </c>
      <c r="AS305" s="28">
        <v>3000</v>
      </c>
      <c r="AW305" s="27"/>
      <c r="AX305" s="27"/>
      <c r="AY305" s="27"/>
      <c r="BK305" s="27"/>
      <c r="BL305" s="27"/>
      <c r="BW305" s="27"/>
      <c r="BX305" s="27"/>
      <c r="BY305" s="27"/>
      <c r="CH305" s="29"/>
      <c r="CI305" s="23" t="s">
        <v>397</v>
      </c>
      <c r="CJ305" s="28">
        <v>10</v>
      </c>
    </row>
    <row r="306" spans="1:88" x14ac:dyDescent="0.2">
      <c r="A306" s="18">
        <v>946</v>
      </c>
      <c r="B306" s="19">
        <v>1</v>
      </c>
      <c r="C306" s="19">
        <f t="shared" si="35"/>
        <v>9460001</v>
      </c>
      <c r="D306" s="19" t="s">
        <v>1352</v>
      </c>
      <c r="E306" s="20" t="s">
        <v>1356</v>
      </c>
      <c r="I306" s="21" t="s">
        <v>1331</v>
      </c>
      <c r="J306" s="21"/>
      <c r="K306" s="21"/>
      <c r="L306" s="21"/>
      <c r="M306" s="21"/>
      <c r="N306" s="22" t="s">
        <v>1327</v>
      </c>
      <c r="O306" s="22" t="s">
        <v>1327</v>
      </c>
      <c r="P306" s="22"/>
      <c r="Q306" s="22" t="s">
        <v>2041</v>
      </c>
      <c r="R306" s="22"/>
      <c r="S306" s="22"/>
      <c r="T306" s="22" t="s">
        <v>2298</v>
      </c>
      <c r="U306" s="116" t="s">
        <v>2304</v>
      </c>
      <c r="V306" s="22" t="s">
        <v>1888</v>
      </c>
      <c r="W306" s="22" t="s">
        <v>6</v>
      </c>
      <c r="X306" s="22"/>
      <c r="Y306" s="23" t="s">
        <v>145</v>
      </c>
      <c r="Z306" s="22"/>
      <c r="AA306" s="22"/>
      <c r="AB306" s="22"/>
      <c r="AC306" s="22"/>
      <c r="AD306" s="22"/>
      <c r="AE306" s="24"/>
      <c r="AF306" s="24" t="s">
        <v>2043</v>
      </c>
      <c r="AG306" s="22"/>
      <c r="AH306" s="23"/>
      <c r="AJ306" s="26" t="s">
        <v>926</v>
      </c>
      <c r="AK306" s="27">
        <v>1571</v>
      </c>
      <c r="AL306" s="27"/>
      <c r="AQ306" s="28">
        <v>1</v>
      </c>
      <c r="AR306" s="28">
        <v>1000</v>
      </c>
      <c r="AS306" s="28">
        <v>3000</v>
      </c>
      <c r="AW306" s="27"/>
      <c r="AX306" s="27"/>
      <c r="AY306" s="27"/>
      <c r="BK306" s="27"/>
      <c r="BL306" s="27"/>
      <c r="BW306" s="27"/>
      <c r="BX306" s="27"/>
      <c r="BY306" s="27"/>
      <c r="CH306" s="29"/>
      <c r="CI306" s="23" t="s">
        <v>397</v>
      </c>
      <c r="CJ306" s="28">
        <v>10</v>
      </c>
    </row>
    <row r="307" spans="1:88" x14ac:dyDescent="0.2">
      <c r="A307" s="18">
        <v>946</v>
      </c>
      <c r="B307" s="19">
        <v>11</v>
      </c>
      <c r="C307" s="19">
        <f t="shared" ref="C307:C308" si="47">A307*10000+B307</f>
        <v>9460011</v>
      </c>
      <c r="D307" s="19" t="s">
        <v>4616</v>
      </c>
      <c r="E307" s="20" t="s">
        <v>1356</v>
      </c>
      <c r="I307" s="21" t="s">
        <v>1331</v>
      </c>
      <c r="J307" s="21"/>
      <c r="K307" s="21"/>
      <c r="L307" s="21"/>
      <c r="M307" s="21"/>
      <c r="N307" s="22" t="s">
        <v>1327</v>
      </c>
      <c r="O307" s="22" t="s">
        <v>1327</v>
      </c>
      <c r="P307" s="22"/>
      <c r="Q307" s="22" t="s">
        <v>2041</v>
      </c>
      <c r="R307" s="22"/>
      <c r="S307" s="22"/>
      <c r="T307" s="22" t="s">
        <v>2298</v>
      </c>
      <c r="U307" s="116" t="s">
        <v>2304</v>
      </c>
      <c r="V307" s="22" t="s">
        <v>1888</v>
      </c>
      <c r="W307" s="22" t="s">
        <v>6</v>
      </c>
      <c r="X307" s="22"/>
      <c r="Y307" s="23" t="s">
        <v>145</v>
      </c>
      <c r="Z307" s="22"/>
      <c r="AA307" s="22"/>
      <c r="AB307" s="22"/>
      <c r="AC307" s="22"/>
      <c r="AD307" s="22"/>
      <c r="AE307" s="24"/>
      <c r="AF307" s="24" t="s">
        <v>2043</v>
      </c>
      <c r="AG307" s="22"/>
      <c r="AH307" s="23"/>
      <c r="AJ307" s="26" t="s">
        <v>926</v>
      </c>
      <c r="AK307" s="27">
        <v>1571</v>
      </c>
      <c r="AL307" s="27"/>
      <c r="AQ307" s="28">
        <v>2</v>
      </c>
      <c r="AR307" s="28">
        <v>1500</v>
      </c>
      <c r="AS307" s="28">
        <v>3000</v>
      </c>
      <c r="AW307" s="27"/>
      <c r="AX307" s="27"/>
      <c r="AY307" s="27"/>
      <c r="BK307" s="27"/>
      <c r="BL307" s="27"/>
      <c r="BW307" s="27"/>
      <c r="BX307" s="27"/>
      <c r="BY307" s="27"/>
      <c r="CH307" s="29"/>
      <c r="CI307" s="23" t="s">
        <v>397</v>
      </c>
      <c r="CJ307" s="28">
        <v>10</v>
      </c>
    </row>
    <row r="308" spans="1:88" x14ac:dyDescent="0.2">
      <c r="A308" s="18">
        <v>946</v>
      </c>
      <c r="B308" s="19">
        <v>21</v>
      </c>
      <c r="C308" s="19">
        <f t="shared" si="47"/>
        <v>9460021</v>
      </c>
      <c r="D308" s="19" t="s">
        <v>4617</v>
      </c>
      <c r="E308" s="20" t="s">
        <v>1356</v>
      </c>
      <c r="I308" s="21" t="s">
        <v>1331</v>
      </c>
      <c r="J308" s="21"/>
      <c r="K308" s="21"/>
      <c r="L308" s="21"/>
      <c r="M308" s="21"/>
      <c r="N308" s="22" t="s">
        <v>1327</v>
      </c>
      <c r="O308" s="22" t="s">
        <v>1327</v>
      </c>
      <c r="P308" s="22"/>
      <c r="Q308" s="22" t="s">
        <v>2041</v>
      </c>
      <c r="R308" s="22"/>
      <c r="S308" s="22"/>
      <c r="T308" s="22" t="s">
        <v>2298</v>
      </c>
      <c r="U308" s="116" t="s">
        <v>2304</v>
      </c>
      <c r="V308" s="22" t="s">
        <v>1888</v>
      </c>
      <c r="W308" s="22" t="s">
        <v>6</v>
      </c>
      <c r="X308" s="22"/>
      <c r="Y308" s="23" t="s">
        <v>145</v>
      </c>
      <c r="Z308" s="22"/>
      <c r="AA308" s="22"/>
      <c r="AB308" s="22"/>
      <c r="AC308" s="22"/>
      <c r="AD308" s="22"/>
      <c r="AE308" s="24"/>
      <c r="AF308" s="24" t="s">
        <v>2043</v>
      </c>
      <c r="AG308" s="22"/>
      <c r="AH308" s="23"/>
      <c r="AJ308" s="26" t="s">
        <v>926</v>
      </c>
      <c r="AK308" s="27">
        <v>1571</v>
      </c>
      <c r="AL308" s="27"/>
      <c r="AQ308" s="28">
        <v>3</v>
      </c>
      <c r="AR308" s="28">
        <v>2000</v>
      </c>
      <c r="AS308" s="28">
        <v>3000</v>
      </c>
      <c r="AW308" s="27"/>
      <c r="AX308" s="27"/>
      <c r="AY308" s="27"/>
      <c r="BK308" s="27"/>
      <c r="BL308" s="27"/>
      <c r="BW308" s="27"/>
      <c r="BX308" s="27"/>
      <c r="BY308" s="27"/>
      <c r="CH308" s="29"/>
      <c r="CI308" s="23" t="s">
        <v>397</v>
      </c>
      <c r="CJ308" s="28">
        <v>10</v>
      </c>
    </row>
    <row r="309" spans="1:88" x14ac:dyDescent="0.2">
      <c r="A309" s="18">
        <v>946</v>
      </c>
      <c r="B309" s="19">
        <v>31</v>
      </c>
      <c r="C309" s="19">
        <f t="shared" ref="C309" si="48">A309*10000+B309</f>
        <v>9460031</v>
      </c>
      <c r="D309" s="19" t="s">
        <v>4618</v>
      </c>
      <c r="E309" s="20" t="s">
        <v>1356</v>
      </c>
      <c r="I309" s="21" t="s">
        <v>1331</v>
      </c>
      <c r="J309" s="21"/>
      <c r="K309" s="21"/>
      <c r="L309" s="21"/>
      <c r="M309" s="21"/>
      <c r="N309" s="22" t="s">
        <v>1327</v>
      </c>
      <c r="O309" s="22" t="s">
        <v>1327</v>
      </c>
      <c r="P309" s="22"/>
      <c r="Q309" s="22" t="s">
        <v>2041</v>
      </c>
      <c r="R309" s="22"/>
      <c r="S309" s="22"/>
      <c r="T309" s="22" t="s">
        <v>2298</v>
      </c>
      <c r="U309" s="116" t="s">
        <v>2304</v>
      </c>
      <c r="V309" s="22" t="s">
        <v>1888</v>
      </c>
      <c r="W309" s="22" t="s">
        <v>6</v>
      </c>
      <c r="X309" s="22"/>
      <c r="Y309" s="23" t="s">
        <v>145</v>
      </c>
      <c r="Z309" s="22"/>
      <c r="AA309" s="22"/>
      <c r="AB309" s="22"/>
      <c r="AC309" s="22"/>
      <c r="AD309" s="22"/>
      <c r="AE309" s="24"/>
      <c r="AF309" s="24" t="s">
        <v>2043</v>
      </c>
      <c r="AG309" s="22"/>
      <c r="AH309" s="23"/>
      <c r="AJ309" s="26" t="s">
        <v>926</v>
      </c>
      <c r="AK309" s="27">
        <v>1571</v>
      </c>
      <c r="AL309" s="27"/>
      <c r="AQ309" s="28">
        <v>4</v>
      </c>
      <c r="AR309" s="28">
        <v>2500</v>
      </c>
      <c r="AS309" s="28">
        <v>3000</v>
      </c>
      <c r="AW309" s="27"/>
      <c r="AX309" s="27"/>
      <c r="AY309" s="27"/>
      <c r="BK309" s="27"/>
      <c r="BL309" s="27"/>
      <c r="BW309" s="27"/>
      <c r="BX309" s="27"/>
      <c r="BY309" s="27"/>
      <c r="CH309" s="29"/>
      <c r="CI309" s="23" t="s">
        <v>397</v>
      </c>
      <c r="CJ309" s="28">
        <v>10</v>
      </c>
    </row>
    <row r="310" spans="1:88" x14ac:dyDescent="0.2">
      <c r="A310" s="18">
        <v>947</v>
      </c>
      <c r="B310" s="19">
        <v>1</v>
      </c>
      <c r="C310" s="19">
        <f t="shared" si="35"/>
        <v>9470001</v>
      </c>
      <c r="D310" s="19" t="s">
        <v>1368</v>
      </c>
      <c r="E310" s="20" t="s">
        <v>1383</v>
      </c>
      <c r="I310" s="21" t="s">
        <v>1331</v>
      </c>
      <c r="J310" s="21"/>
      <c r="K310" s="21"/>
      <c r="L310" s="21"/>
      <c r="M310" s="21"/>
      <c r="N310" s="22" t="s">
        <v>1327</v>
      </c>
      <c r="O310" s="22" t="s">
        <v>2063</v>
      </c>
      <c r="P310" s="22"/>
      <c r="Q310" s="22" t="s">
        <v>2041</v>
      </c>
      <c r="R310" s="22"/>
      <c r="S310" s="22"/>
      <c r="T310" s="22" t="s">
        <v>2298</v>
      </c>
      <c r="U310" s="116" t="s">
        <v>2305</v>
      </c>
      <c r="V310" s="22" t="s">
        <v>1889</v>
      </c>
      <c r="W310" s="22" t="s">
        <v>6</v>
      </c>
      <c r="X310" s="22"/>
      <c r="Y310" s="23" t="s">
        <v>145</v>
      </c>
      <c r="Z310" s="22"/>
      <c r="AA310" s="22"/>
      <c r="AB310" s="22"/>
      <c r="AC310" s="22"/>
      <c r="AD310" s="22"/>
      <c r="AE310" s="24"/>
      <c r="AF310" s="24" t="s">
        <v>2043</v>
      </c>
      <c r="AG310" s="22"/>
      <c r="AH310" s="23"/>
      <c r="AJ310" s="26" t="s">
        <v>926</v>
      </c>
      <c r="AK310" s="27">
        <v>1571</v>
      </c>
      <c r="AL310" s="27"/>
      <c r="AQ310" s="28">
        <v>1</v>
      </c>
      <c r="AR310" s="28">
        <v>1000</v>
      </c>
      <c r="AS310" s="28">
        <v>3000</v>
      </c>
      <c r="AW310" s="27"/>
      <c r="AX310" s="27"/>
      <c r="AY310" s="27"/>
      <c r="BK310" s="27"/>
      <c r="BL310" s="27"/>
      <c r="BW310" s="27"/>
      <c r="BX310" s="27"/>
      <c r="BY310" s="27"/>
      <c r="CH310" s="29"/>
      <c r="CI310" s="23" t="s">
        <v>397</v>
      </c>
      <c r="CJ310" s="28">
        <v>10</v>
      </c>
    </row>
    <row r="311" spans="1:88" x14ac:dyDescent="0.2">
      <c r="A311" s="18">
        <v>947</v>
      </c>
      <c r="B311" s="19">
        <v>11</v>
      </c>
      <c r="C311" s="19">
        <f t="shared" ref="C311:C312" si="49">A311*10000+B311</f>
        <v>9470011</v>
      </c>
      <c r="D311" s="19" t="s">
        <v>1369</v>
      </c>
      <c r="E311" s="20" t="s">
        <v>1383</v>
      </c>
      <c r="I311" s="21" t="s">
        <v>1331</v>
      </c>
      <c r="J311" s="21"/>
      <c r="K311" s="21"/>
      <c r="L311" s="21"/>
      <c r="M311" s="21"/>
      <c r="N311" s="22" t="s">
        <v>1327</v>
      </c>
      <c r="O311" s="22" t="s">
        <v>1327</v>
      </c>
      <c r="P311" s="22"/>
      <c r="Q311" s="22" t="s">
        <v>2041</v>
      </c>
      <c r="R311" s="22"/>
      <c r="S311" s="22"/>
      <c r="T311" s="22" t="s">
        <v>2298</v>
      </c>
      <c r="U311" s="116" t="s">
        <v>2305</v>
      </c>
      <c r="V311" s="22" t="s">
        <v>1889</v>
      </c>
      <c r="W311" s="22" t="s">
        <v>6</v>
      </c>
      <c r="X311" s="22"/>
      <c r="Y311" s="23" t="s">
        <v>145</v>
      </c>
      <c r="Z311" s="22"/>
      <c r="AA311" s="22"/>
      <c r="AB311" s="22"/>
      <c r="AC311" s="22"/>
      <c r="AD311" s="22"/>
      <c r="AE311" s="24"/>
      <c r="AF311" s="24" t="s">
        <v>2043</v>
      </c>
      <c r="AG311" s="22"/>
      <c r="AH311" s="23"/>
      <c r="AJ311" s="26" t="s">
        <v>926</v>
      </c>
      <c r="AK311" s="27">
        <v>1571</v>
      </c>
      <c r="AL311" s="27"/>
      <c r="AQ311" s="28">
        <v>2</v>
      </c>
      <c r="AR311" s="28">
        <v>1500</v>
      </c>
      <c r="AS311" s="28">
        <v>3000</v>
      </c>
      <c r="AW311" s="27"/>
      <c r="AX311" s="27"/>
      <c r="AY311" s="27"/>
      <c r="BK311" s="27"/>
      <c r="BL311" s="27"/>
      <c r="BW311" s="27"/>
      <c r="BX311" s="27"/>
      <c r="BY311" s="27"/>
      <c r="CH311" s="29"/>
      <c r="CI311" s="23" t="s">
        <v>397</v>
      </c>
      <c r="CJ311" s="28">
        <v>10</v>
      </c>
    </row>
    <row r="312" spans="1:88" x14ac:dyDescent="0.2">
      <c r="A312" s="18">
        <v>947</v>
      </c>
      <c r="B312" s="19">
        <v>21</v>
      </c>
      <c r="C312" s="19">
        <f t="shared" si="49"/>
        <v>9470021</v>
      </c>
      <c r="D312" s="19" t="s">
        <v>1370</v>
      </c>
      <c r="E312" s="20" t="s">
        <v>1383</v>
      </c>
      <c r="I312" s="21" t="s">
        <v>1331</v>
      </c>
      <c r="J312" s="21"/>
      <c r="K312" s="21"/>
      <c r="L312" s="21"/>
      <c r="M312" s="21"/>
      <c r="N312" s="22" t="s">
        <v>1327</v>
      </c>
      <c r="O312" s="22" t="s">
        <v>1327</v>
      </c>
      <c r="P312" s="22"/>
      <c r="Q312" s="22" t="s">
        <v>2041</v>
      </c>
      <c r="R312" s="22"/>
      <c r="S312" s="22"/>
      <c r="T312" s="22" t="s">
        <v>2298</v>
      </c>
      <c r="U312" s="116" t="s">
        <v>2305</v>
      </c>
      <c r="V312" s="22" t="s">
        <v>1889</v>
      </c>
      <c r="W312" s="22" t="s">
        <v>6</v>
      </c>
      <c r="X312" s="22"/>
      <c r="Y312" s="23" t="s">
        <v>145</v>
      </c>
      <c r="Z312" s="22"/>
      <c r="AA312" s="22"/>
      <c r="AB312" s="22"/>
      <c r="AC312" s="22"/>
      <c r="AD312" s="22"/>
      <c r="AE312" s="24"/>
      <c r="AF312" s="24" t="s">
        <v>2043</v>
      </c>
      <c r="AG312" s="22"/>
      <c r="AH312" s="23"/>
      <c r="AJ312" s="26" t="s">
        <v>926</v>
      </c>
      <c r="AK312" s="27">
        <v>1571</v>
      </c>
      <c r="AL312" s="27"/>
      <c r="AQ312" s="28">
        <v>3</v>
      </c>
      <c r="AR312" s="28">
        <v>2000</v>
      </c>
      <c r="AS312" s="28">
        <v>3000</v>
      </c>
      <c r="AW312" s="27"/>
      <c r="AX312" s="27"/>
      <c r="AY312" s="27"/>
      <c r="BK312" s="27"/>
      <c r="BL312" s="27"/>
      <c r="BW312" s="27"/>
      <c r="BX312" s="27"/>
      <c r="BY312" s="27"/>
      <c r="CH312" s="29"/>
      <c r="CI312" s="23" t="s">
        <v>397</v>
      </c>
      <c r="CJ312" s="28">
        <v>10</v>
      </c>
    </row>
    <row r="313" spans="1:88" x14ac:dyDescent="0.2">
      <c r="A313" s="18">
        <v>947</v>
      </c>
      <c r="B313" s="19">
        <v>31</v>
      </c>
      <c r="C313" s="19">
        <f t="shared" ref="C313" si="50">A313*10000+B313</f>
        <v>9470031</v>
      </c>
      <c r="D313" s="19" t="s">
        <v>1371</v>
      </c>
      <c r="E313" s="20" t="s">
        <v>1383</v>
      </c>
      <c r="I313" s="21" t="s">
        <v>1331</v>
      </c>
      <c r="J313" s="21"/>
      <c r="K313" s="21"/>
      <c r="L313" s="21"/>
      <c r="M313" s="21"/>
      <c r="N313" s="22" t="s">
        <v>1327</v>
      </c>
      <c r="O313" s="22" t="s">
        <v>1327</v>
      </c>
      <c r="P313" s="22"/>
      <c r="Q313" s="22" t="s">
        <v>2041</v>
      </c>
      <c r="R313" s="22"/>
      <c r="S313" s="22"/>
      <c r="T313" s="22" t="s">
        <v>2298</v>
      </c>
      <c r="U313" s="116" t="s">
        <v>2305</v>
      </c>
      <c r="V313" s="22" t="s">
        <v>1889</v>
      </c>
      <c r="W313" s="22" t="s">
        <v>6</v>
      </c>
      <c r="X313" s="22"/>
      <c r="Y313" s="23" t="s">
        <v>145</v>
      </c>
      <c r="Z313" s="22"/>
      <c r="AA313" s="22"/>
      <c r="AB313" s="22"/>
      <c r="AC313" s="22"/>
      <c r="AD313" s="22"/>
      <c r="AE313" s="24"/>
      <c r="AF313" s="24" t="s">
        <v>2043</v>
      </c>
      <c r="AG313" s="22"/>
      <c r="AH313" s="23"/>
      <c r="AJ313" s="26" t="s">
        <v>926</v>
      </c>
      <c r="AK313" s="27">
        <v>1571</v>
      </c>
      <c r="AL313" s="27"/>
      <c r="AQ313" s="28">
        <v>4</v>
      </c>
      <c r="AR313" s="28">
        <v>2500</v>
      </c>
      <c r="AS313" s="28">
        <v>3000</v>
      </c>
      <c r="AW313" s="27"/>
      <c r="AX313" s="27"/>
      <c r="AY313" s="27"/>
      <c r="BK313" s="27"/>
      <c r="BL313" s="27"/>
      <c r="BW313" s="27"/>
      <c r="BX313" s="27"/>
      <c r="BY313" s="27"/>
      <c r="CH313" s="29"/>
      <c r="CI313" s="23" t="s">
        <v>397</v>
      </c>
      <c r="CJ313" s="28">
        <v>10</v>
      </c>
    </row>
    <row r="314" spans="1:88" x14ac:dyDescent="0.2">
      <c r="A314" s="18">
        <v>1941</v>
      </c>
      <c r="B314" s="19">
        <v>1</v>
      </c>
      <c r="C314" s="19">
        <f t="shared" si="35"/>
        <v>19410001</v>
      </c>
      <c r="D314" s="19" t="s">
        <v>986</v>
      </c>
      <c r="E314" s="20" t="s">
        <v>925</v>
      </c>
      <c r="I314" s="21" t="s">
        <v>486</v>
      </c>
      <c r="J314" s="21"/>
      <c r="K314" s="21"/>
      <c r="L314" s="21"/>
      <c r="M314" s="21"/>
      <c r="N314" s="22" t="s">
        <v>1327</v>
      </c>
      <c r="O314" s="22" t="s">
        <v>1398</v>
      </c>
      <c r="P314" s="22"/>
      <c r="Q314" s="22" t="s">
        <v>2041</v>
      </c>
      <c r="R314" s="22"/>
      <c r="S314" s="22"/>
      <c r="T314" s="22" t="s">
        <v>2298</v>
      </c>
      <c r="U314" s="116" t="s">
        <v>2299</v>
      </c>
      <c r="V314" s="22" t="s">
        <v>1890</v>
      </c>
      <c r="W314" s="22" t="s">
        <v>6</v>
      </c>
      <c r="X314" s="22"/>
      <c r="Y314" s="23" t="s">
        <v>145</v>
      </c>
      <c r="Z314" s="22"/>
      <c r="AA314" s="22"/>
      <c r="AB314" s="22"/>
      <c r="AC314" s="22"/>
      <c r="AD314" s="22"/>
      <c r="AE314" s="24"/>
      <c r="AF314" s="24" t="s">
        <v>2043</v>
      </c>
      <c r="AG314" s="22"/>
      <c r="AH314" s="23"/>
      <c r="AJ314" s="26" t="s">
        <v>926</v>
      </c>
      <c r="AK314" s="27">
        <v>1571</v>
      </c>
      <c r="AL314" s="27"/>
      <c r="AQ314" s="28">
        <v>1</v>
      </c>
      <c r="AR314" s="28">
        <v>1000</v>
      </c>
      <c r="AS314" s="28">
        <v>3000</v>
      </c>
      <c r="AW314" s="27"/>
      <c r="AX314" s="27"/>
      <c r="AY314" s="27"/>
      <c r="BK314" s="27"/>
      <c r="BL314" s="27"/>
      <c r="BW314" s="27"/>
      <c r="BX314" s="27"/>
      <c r="BY314" s="27"/>
      <c r="CH314" s="29"/>
      <c r="CI314" s="23" t="s">
        <v>397</v>
      </c>
      <c r="CJ314" s="28">
        <v>10</v>
      </c>
    </row>
    <row r="315" spans="1:88" x14ac:dyDescent="0.2">
      <c r="A315" s="18">
        <v>1941</v>
      </c>
      <c r="B315" s="19">
        <v>11</v>
      </c>
      <c r="C315" s="19">
        <f t="shared" ref="C315:C316" si="51">A315*10000+B315</f>
        <v>19410011</v>
      </c>
      <c r="D315" s="19" t="s">
        <v>987</v>
      </c>
      <c r="E315" s="20" t="s">
        <v>925</v>
      </c>
      <c r="I315" s="21" t="s">
        <v>486</v>
      </c>
      <c r="J315" s="21"/>
      <c r="K315" s="21"/>
      <c r="L315" s="21"/>
      <c r="M315" s="21"/>
      <c r="N315" s="22" t="s">
        <v>1327</v>
      </c>
      <c r="O315" s="22" t="s">
        <v>1398</v>
      </c>
      <c r="P315" s="22"/>
      <c r="Q315" s="22" t="s">
        <v>2041</v>
      </c>
      <c r="R315" s="22"/>
      <c r="S315" s="22"/>
      <c r="T315" s="22" t="s">
        <v>2298</v>
      </c>
      <c r="U315" s="116" t="s">
        <v>2299</v>
      </c>
      <c r="V315" s="22" t="s">
        <v>1890</v>
      </c>
      <c r="W315" s="22" t="s">
        <v>6</v>
      </c>
      <c r="X315" s="22"/>
      <c r="Y315" s="23" t="s">
        <v>145</v>
      </c>
      <c r="Z315" s="22"/>
      <c r="AA315" s="22"/>
      <c r="AB315" s="22"/>
      <c r="AC315" s="22"/>
      <c r="AD315" s="22"/>
      <c r="AE315" s="24"/>
      <c r="AF315" s="24" t="s">
        <v>2043</v>
      </c>
      <c r="AG315" s="22"/>
      <c r="AH315" s="23"/>
      <c r="AJ315" s="26" t="s">
        <v>926</v>
      </c>
      <c r="AK315" s="27">
        <v>1571</v>
      </c>
      <c r="AL315" s="27"/>
      <c r="AQ315" s="28">
        <v>2</v>
      </c>
      <c r="AR315" s="28">
        <v>1500</v>
      </c>
      <c r="AS315" s="28">
        <v>3000</v>
      </c>
      <c r="AW315" s="27"/>
      <c r="AX315" s="27"/>
      <c r="AY315" s="27"/>
      <c r="BK315" s="27"/>
      <c r="BL315" s="27"/>
      <c r="BW315" s="27"/>
      <c r="BX315" s="27"/>
      <c r="BY315" s="27"/>
      <c r="CH315" s="29"/>
      <c r="CI315" s="23" t="s">
        <v>397</v>
      </c>
      <c r="CJ315" s="28">
        <v>10</v>
      </c>
    </row>
    <row r="316" spans="1:88" x14ac:dyDescent="0.2">
      <c r="A316" s="18">
        <v>1941</v>
      </c>
      <c r="B316" s="19">
        <v>21</v>
      </c>
      <c r="C316" s="19">
        <f t="shared" si="51"/>
        <v>19410021</v>
      </c>
      <c r="D316" s="19" t="s">
        <v>988</v>
      </c>
      <c r="E316" s="20" t="s">
        <v>925</v>
      </c>
      <c r="I316" s="21" t="s">
        <v>486</v>
      </c>
      <c r="J316" s="21"/>
      <c r="K316" s="21"/>
      <c r="L316" s="21"/>
      <c r="M316" s="21"/>
      <c r="N316" s="22" t="s">
        <v>1327</v>
      </c>
      <c r="O316" s="22" t="s">
        <v>1398</v>
      </c>
      <c r="P316" s="22"/>
      <c r="Q316" s="22" t="s">
        <v>2041</v>
      </c>
      <c r="R316" s="22"/>
      <c r="S316" s="22"/>
      <c r="T316" s="22" t="s">
        <v>2298</v>
      </c>
      <c r="U316" s="116" t="s">
        <v>2299</v>
      </c>
      <c r="V316" s="22" t="s">
        <v>1890</v>
      </c>
      <c r="W316" s="22" t="s">
        <v>6</v>
      </c>
      <c r="X316" s="22"/>
      <c r="Y316" s="23" t="s">
        <v>145</v>
      </c>
      <c r="Z316" s="22"/>
      <c r="AA316" s="22"/>
      <c r="AB316" s="22"/>
      <c r="AC316" s="22"/>
      <c r="AD316" s="22"/>
      <c r="AE316" s="24"/>
      <c r="AF316" s="24" t="s">
        <v>2043</v>
      </c>
      <c r="AG316" s="22"/>
      <c r="AH316" s="23"/>
      <c r="AJ316" s="26" t="s">
        <v>926</v>
      </c>
      <c r="AK316" s="27">
        <v>1571</v>
      </c>
      <c r="AL316" s="27"/>
      <c r="AQ316" s="28">
        <v>3</v>
      </c>
      <c r="AR316" s="28">
        <v>2000</v>
      </c>
      <c r="AS316" s="28">
        <v>3000</v>
      </c>
      <c r="AW316" s="27"/>
      <c r="AX316" s="27"/>
      <c r="AY316" s="27"/>
      <c r="BK316" s="27"/>
      <c r="BL316" s="27"/>
      <c r="BW316" s="27"/>
      <c r="BX316" s="27"/>
      <c r="BY316" s="27"/>
      <c r="CH316" s="29"/>
      <c r="CI316" s="23" t="s">
        <v>397</v>
      </c>
      <c r="CJ316" s="28">
        <v>10</v>
      </c>
    </row>
    <row r="317" spans="1:88" x14ac:dyDescent="0.2">
      <c r="A317" s="18">
        <v>1941</v>
      </c>
      <c r="B317" s="19">
        <v>31</v>
      </c>
      <c r="C317" s="19">
        <f t="shared" ref="C317" si="52">A317*10000+B317</f>
        <v>19410031</v>
      </c>
      <c r="D317" s="19" t="s">
        <v>989</v>
      </c>
      <c r="E317" s="20" t="s">
        <v>925</v>
      </c>
      <c r="I317" s="21" t="s">
        <v>486</v>
      </c>
      <c r="J317" s="21"/>
      <c r="K317" s="21"/>
      <c r="L317" s="21"/>
      <c r="M317" s="21"/>
      <c r="N317" s="22" t="s">
        <v>1327</v>
      </c>
      <c r="O317" s="22" t="s">
        <v>1398</v>
      </c>
      <c r="P317" s="22"/>
      <c r="Q317" s="22" t="s">
        <v>2041</v>
      </c>
      <c r="R317" s="22"/>
      <c r="S317" s="22"/>
      <c r="T317" s="22" t="s">
        <v>2298</v>
      </c>
      <c r="U317" s="116" t="s">
        <v>2299</v>
      </c>
      <c r="V317" s="22" t="s">
        <v>1890</v>
      </c>
      <c r="W317" s="22" t="s">
        <v>6</v>
      </c>
      <c r="X317" s="22"/>
      <c r="Y317" s="23" t="s">
        <v>145</v>
      </c>
      <c r="Z317" s="22"/>
      <c r="AA317" s="22"/>
      <c r="AB317" s="22"/>
      <c r="AC317" s="22"/>
      <c r="AD317" s="22"/>
      <c r="AE317" s="24"/>
      <c r="AF317" s="24" t="s">
        <v>2043</v>
      </c>
      <c r="AG317" s="22"/>
      <c r="AH317" s="23"/>
      <c r="AJ317" s="26" t="s">
        <v>926</v>
      </c>
      <c r="AK317" s="27">
        <v>1571</v>
      </c>
      <c r="AL317" s="27"/>
      <c r="AQ317" s="28">
        <v>4</v>
      </c>
      <c r="AR317" s="28">
        <v>2500</v>
      </c>
      <c r="AS317" s="28">
        <v>3000</v>
      </c>
      <c r="AW317" s="27"/>
      <c r="AX317" s="27"/>
      <c r="AY317" s="27"/>
      <c r="BK317" s="27"/>
      <c r="BL317" s="27"/>
      <c r="BW317" s="27"/>
      <c r="BX317" s="27"/>
      <c r="BY317" s="27"/>
      <c r="CH317" s="29"/>
      <c r="CI317" s="23" t="s">
        <v>397</v>
      </c>
      <c r="CJ317" s="28">
        <v>10</v>
      </c>
    </row>
    <row r="318" spans="1:88" x14ac:dyDescent="0.2">
      <c r="A318" s="18">
        <v>948</v>
      </c>
      <c r="B318" s="19">
        <v>1</v>
      </c>
      <c r="C318" s="19">
        <f t="shared" si="35"/>
        <v>9480001</v>
      </c>
      <c r="D318" s="19" t="s">
        <v>1950</v>
      </c>
      <c r="E318" s="20" t="s">
        <v>2061</v>
      </c>
      <c r="I318" s="21" t="s">
        <v>1331</v>
      </c>
      <c r="J318" s="21"/>
      <c r="K318" s="21"/>
      <c r="L318" s="21"/>
      <c r="M318" s="21"/>
      <c r="N318" s="22" t="s">
        <v>1327</v>
      </c>
      <c r="O318" s="22" t="s">
        <v>3560</v>
      </c>
      <c r="P318" s="22"/>
      <c r="Q318" s="22" t="s">
        <v>2041</v>
      </c>
      <c r="R318" s="22"/>
      <c r="S318" s="22"/>
      <c r="T318" s="22" t="s">
        <v>2298</v>
      </c>
      <c r="U318" s="116" t="s">
        <v>2306</v>
      </c>
      <c r="V318" s="22" t="s">
        <v>1951</v>
      </c>
      <c r="W318" s="22" t="s">
        <v>6</v>
      </c>
      <c r="X318" s="22"/>
      <c r="Y318" s="23" t="s">
        <v>145</v>
      </c>
      <c r="Z318" s="22"/>
      <c r="AA318" s="22"/>
      <c r="AB318" s="22"/>
      <c r="AC318" s="22"/>
      <c r="AD318" s="22"/>
      <c r="AE318" s="24"/>
      <c r="AF318" s="24" t="s">
        <v>2043</v>
      </c>
      <c r="AG318" s="22"/>
      <c r="AH318" s="23"/>
      <c r="AJ318" s="26" t="s">
        <v>926</v>
      </c>
      <c r="AK318" s="27">
        <v>1571</v>
      </c>
      <c r="AL318" s="27"/>
      <c r="AQ318" s="28">
        <v>1</v>
      </c>
      <c r="AR318" s="28">
        <v>1000</v>
      </c>
      <c r="AS318" s="28">
        <v>3000</v>
      </c>
      <c r="AW318" s="27"/>
      <c r="AX318" s="27"/>
      <c r="AY318" s="27"/>
      <c r="BK318" s="27"/>
      <c r="BL318" s="27"/>
      <c r="BW318" s="27"/>
      <c r="BX318" s="27"/>
      <c r="BY318" s="27"/>
      <c r="CH318" s="29"/>
      <c r="CI318" s="23" t="s">
        <v>397</v>
      </c>
      <c r="CJ318" s="28">
        <v>10</v>
      </c>
    </row>
    <row r="319" spans="1:88" x14ac:dyDescent="0.2">
      <c r="A319" s="18">
        <v>948</v>
      </c>
      <c r="B319" s="19">
        <v>11</v>
      </c>
      <c r="C319" s="19">
        <f t="shared" ref="C319:C320" si="53">A319*10000+B319</f>
        <v>9480011</v>
      </c>
      <c r="D319" s="19" t="s">
        <v>4619</v>
      </c>
      <c r="E319" s="20" t="s">
        <v>2061</v>
      </c>
      <c r="I319" s="21" t="s">
        <v>1331</v>
      </c>
      <c r="J319" s="21"/>
      <c r="K319" s="21"/>
      <c r="L319" s="21"/>
      <c r="M319" s="21"/>
      <c r="N319" s="22" t="s">
        <v>1327</v>
      </c>
      <c r="O319" s="22" t="s">
        <v>1327</v>
      </c>
      <c r="P319" s="22"/>
      <c r="Q319" s="22" t="s">
        <v>2041</v>
      </c>
      <c r="R319" s="22"/>
      <c r="S319" s="22"/>
      <c r="T319" s="22" t="s">
        <v>2298</v>
      </c>
      <c r="U319" s="116" t="s">
        <v>2306</v>
      </c>
      <c r="V319" s="22" t="s">
        <v>1951</v>
      </c>
      <c r="W319" s="22" t="s">
        <v>6</v>
      </c>
      <c r="X319" s="22"/>
      <c r="Y319" s="23" t="s">
        <v>145</v>
      </c>
      <c r="Z319" s="22"/>
      <c r="AA319" s="22"/>
      <c r="AB319" s="22"/>
      <c r="AC319" s="22"/>
      <c r="AD319" s="22"/>
      <c r="AE319" s="24"/>
      <c r="AF319" s="24" t="s">
        <v>2043</v>
      </c>
      <c r="AG319" s="22"/>
      <c r="AH319" s="23"/>
      <c r="AJ319" s="26" t="s">
        <v>926</v>
      </c>
      <c r="AK319" s="27">
        <v>1571</v>
      </c>
      <c r="AL319" s="27"/>
      <c r="AQ319" s="28">
        <v>2</v>
      </c>
      <c r="AR319" s="28">
        <v>1500</v>
      </c>
      <c r="AS319" s="28">
        <v>3000</v>
      </c>
      <c r="AW319" s="27"/>
      <c r="AX319" s="27"/>
      <c r="AY319" s="27"/>
      <c r="BK319" s="27"/>
      <c r="BL319" s="27"/>
      <c r="BW319" s="27"/>
      <c r="BX319" s="27"/>
      <c r="BY319" s="27"/>
      <c r="CH319" s="29"/>
      <c r="CI319" s="23" t="s">
        <v>397</v>
      </c>
      <c r="CJ319" s="28">
        <v>10</v>
      </c>
    </row>
    <row r="320" spans="1:88" x14ac:dyDescent="0.2">
      <c r="A320" s="18">
        <v>948</v>
      </c>
      <c r="B320" s="19">
        <v>21</v>
      </c>
      <c r="C320" s="19">
        <f t="shared" si="53"/>
        <v>9480021</v>
      </c>
      <c r="D320" s="19" t="s">
        <v>4620</v>
      </c>
      <c r="E320" s="20" t="s">
        <v>2061</v>
      </c>
      <c r="I320" s="21" t="s">
        <v>1331</v>
      </c>
      <c r="J320" s="21"/>
      <c r="K320" s="21"/>
      <c r="L320" s="21"/>
      <c r="M320" s="21"/>
      <c r="N320" s="22" t="s">
        <v>1327</v>
      </c>
      <c r="O320" s="22" t="s">
        <v>1327</v>
      </c>
      <c r="P320" s="22"/>
      <c r="Q320" s="22" t="s">
        <v>2041</v>
      </c>
      <c r="R320" s="22"/>
      <c r="S320" s="22"/>
      <c r="T320" s="22" t="s">
        <v>2298</v>
      </c>
      <c r="U320" s="116" t="s">
        <v>2306</v>
      </c>
      <c r="V320" s="22" t="s">
        <v>1951</v>
      </c>
      <c r="W320" s="22" t="s">
        <v>6</v>
      </c>
      <c r="X320" s="22"/>
      <c r="Y320" s="23" t="s">
        <v>145</v>
      </c>
      <c r="Z320" s="22"/>
      <c r="AA320" s="22"/>
      <c r="AB320" s="22"/>
      <c r="AC320" s="22"/>
      <c r="AD320" s="22"/>
      <c r="AE320" s="24"/>
      <c r="AF320" s="24" t="s">
        <v>2043</v>
      </c>
      <c r="AG320" s="22"/>
      <c r="AH320" s="23"/>
      <c r="AJ320" s="26" t="s">
        <v>926</v>
      </c>
      <c r="AK320" s="27">
        <v>1571</v>
      </c>
      <c r="AL320" s="27"/>
      <c r="AQ320" s="28">
        <v>3</v>
      </c>
      <c r="AR320" s="28">
        <v>2000</v>
      </c>
      <c r="AS320" s="28">
        <v>3000</v>
      </c>
      <c r="AW320" s="27"/>
      <c r="AX320" s="27"/>
      <c r="AY320" s="27"/>
      <c r="BK320" s="27"/>
      <c r="BL320" s="27"/>
      <c r="BW320" s="27"/>
      <c r="BX320" s="27"/>
      <c r="BY320" s="27"/>
      <c r="CH320" s="29"/>
      <c r="CI320" s="23" t="s">
        <v>397</v>
      </c>
      <c r="CJ320" s="28">
        <v>10</v>
      </c>
    </row>
    <row r="321" spans="1:107" x14ac:dyDescent="0.2">
      <c r="A321" s="18">
        <v>948</v>
      </c>
      <c r="B321" s="19">
        <v>31</v>
      </c>
      <c r="C321" s="19">
        <f t="shared" ref="C321" si="54">A321*10000+B321</f>
        <v>9480031</v>
      </c>
      <c r="D321" s="19" t="s">
        <v>4621</v>
      </c>
      <c r="E321" s="20" t="s">
        <v>2061</v>
      </c>
      <c r="I321" s="21" t="s">
        <v>1331</v>
      </c>
      <c r="J321" s="21"/>
      <c r="K321" s="21"/>
      <c r="L321" s="21"/>
      <c r="M321" s="21"/>
      <c r="N321" s="22" t="s">
        <v>1327</v>
      </c>
      <c r="O321" s="22" t="s">
        <v>1327</v>
      </c>
      <c r="P321" s="22"/>
      <c r="Q321" s="22" t="s">
        <v>2041</v>
      </c>
      <c r="R321" s="22"/>
      <c r="S321" s="22"/>
      <c r="T321" s="22" t="s">
        <v>2298</v>
      </c>
      <c r="U321" s="116" t="s">
        <v>2306</v>
      </c>
      <c r="V321" s="22" t="s">
        <v>1951</v>
      </c>
      <c r="W321" s="22" t="s">
        <v>6</v>
      </c>
      <c r="X321" s="22"/>
      <c r="Y321" s="23" t="s">
        <v>145</v>
      </c>
      <c r="Z321" s="22"/>
      <c r="AA321" s="22"/>
      <c r="AB321" s="22"/>
      <c r="AC321" s="22"/>
      <c r="AD321" s="22"/>
      <c r="AE321" s="24"/>
      <c r="AF321" s="24" t="s">
        <v>2043</v>
      </c>
      <c r="AG321" s="22"/>
      <c r="AH321" s="23"/>
      <c r="AJ321" s="26" t="s">
        <v>926</v>
      </c>
      <c r="AK321" s="27">
        <v>1571</v>
      </c>
      <c r="AL321" s="27"/>
      <c r="AQ321" s="28">
        <v>4</v>
      </c>
      <c r="AR321" s="28">
        <v>2500</v>
      </c>
      <c r="AS321" s="28">
        <v>3000</v>
      </c>
      <c r="AW321" s="27"/>
      <c r="AX321" s="27"/>
      <c r="AY321" s="27"/>
      <c r="BK321" s="27"/>
      <c r="BL321" s="27"/>
      <c r="BW321" s="27"/>
      <c r="BX321" s="27"/>
      <c r="BY321" s="27"/>
      <c r="CH321" s="29"/>
      <c r="CI321" s="23" t="s">
        <v>397</v>
      </c>
      <c r="CJ321" s="28">
        <v>10</v>
      </c>
    </row>
    <row r="322" spans="1:107" x14ac:dyDescent="0.2">
      <c r="A322" s="18">
        <v>949</v>
      </c>
      <c r="B322" s="19">
        <v>1</v>
      </c>
      <c r="C322" s="19">
        <f t="shared" ref="C322" si="55">A322*10000+B322</f>
        <v>9490001</v>
      </c>
      <c r="D322" s="19" t="s">
        <v>3970</v>
      </c>
      <c r="E322" s="165" t="s">
        <v>3969</v>
      </c>
      <c r="F322" s="165"/>
      <c r="I322" s="164" t="s">
        <v>3873</v>
      </c>
      <c r="J322" s="21"/>
      <c r="K322" s="21"/>
      <c r="L322" s="21"/>
      <c r="M322" s="21"/>
      <c r="N322" s="22" t="s">
        <v>1327</v>
      </c>
      <c r="O322" s="22" t="s">
        <v>3998</v>
      </c>
      <c r="P322" s="22"/>
      <c r="Q322" s="22" t="s">
        <v>2041</v>
      </c>
      <c r="R322" s="22"/>
      <c r="S322" s="22"/>
      <c r="T322" s="22" t="s">
        <v>2298</v>
      </c>
      <c r="U322" s="116" t="s">
        <v>3971</v>
      </c>
      <c r="V322" s="22" t="s">
        <v>3972</v>
      </c>
      <c r="W322" s="22" t="s">
        <v>6</v>
      </c>
      <c r="X322" s="22"/>
      <c r="Y322" s="23" t="s">
        <v>145</v>
      </c>
      <c r="Z322" s="22"/>
      <c r="AA322" s="22"/>
      <c r="AB322" s="22"/>
      <c r="AC322" s="22"/>
      <c r="AD322" s="22"/>
      <c r="AE322" s="24"/>
      <c r="AF322" s="24" t="s">
        <v>2043</v>
      </c>
      <c r="AG322" s="22"/>
      <c r="AH322" s="23"/>
      <c r="AJ322" s="26" t="s">
        <v>926</v>
      </c>
      <c r="AK322" s="27">
        <v>1571</v>
      </c>
      <c r="AL322" s="27"/>
      <c r="AQ322" s="28">
        <v>1</v>
      </c>
      <c r="AR322" s="28">
        <v>1000</v>
      </c>
      <c r="AS322" s="28">
        <v>3000</v>
      </c>
      <c r="AW322" s="27"/>
      <c r="AX322" s="27"/>
      <c r="AY322" s="27"/>
      <c r="BK322" s="27"/>
      <c r="BL322" s="27"/>
      <c r="BW322" s="27"/>
      <c r="BX322" s="27"/>
      <c r="BY322" s="27"/>
      <c r="CH322" s="29"/>
      <c r="CI322" s="23" t="s">
        <v>397</v>
      </c>
      <c r="CJ322" s="28">
        <v>10</v>
      </c>
    </row>
    <row r="323" spans="1:107" x14ac:dyDescent="0.2">
      <c r="A323" s="18">
        <v>949</v>
      </c>
      <c r="B323" s="19">
        <v>11</v>
      </c>
      <c r="C323" s="19">
        <f t="shared" ref="C323:C324" si="56">A323*10000+B323</f>
        <v>9490011</v>
      </c>
      <c r="D323" s="19" t="s">
        <v>4622</v>
      </c>
      <c r="E323" s="165" t="s">
        <v>3969</v>
      </c>
      <c r="F323" s="165"/>
      <c r="I323" s="164" t="s">
        <v>3873</v>
      </c>
      <c r="J323" s="21"/>
      <c r="K323" s="21"/>
      <c r="L323" s="21"/>
      <c r="M323" s="21"/>
      <c r="N323" s="22" t="s">
        <v>1327</v>
      </c>
      <c r="O323" s="22" t="s">
        <v>3998</v>
      </c>
      <c r="P323" s="22"/>
      <c r="Q323" s="22" t="s">
        <v>2041</v>
      </c>
      <c r="R323" s="22"/>
      <c r="S323" s="22"/>
      <c r="T323" s="22" t="s">
        <v>2298</v>
      </c>
      <c r="U323" s="116" t="s">
        <v>3971</v>
      </c>
      <c r="V323" s="22" t="s">
        <v>3972</v>
      </c>
      <c r="W323" s="22" t="s">
        <v>6</v>
      </c>
      <c r="X323" s="22"/>
      <c r="Y323" s="23" t="s">
        <v>145</v>
      </c>
      <c r="Z323" s="22"/>
      <c r="AA323" s="22"/>
      <c r="AB323" s="22"/>
      <c r="AC323" s="22"/>
      <c r="AD323" s="22"/>
      <c r="AE323" s="24"/>
      <c r="AF323" s="24" t="s">
        <v>2043</v>
      </c>
      <c r="AG323" s="22"/>
      <c r="AH323" s="23"/>
      <c r="AJ323" s="26" t="s">
        <v>926</v>
      </c>
      <c r="AK323" s="27">
        <v>1571</v>
      </c>
      <c r="AL323" s="27"/>
      <c r="AQ323" s="28">
        <v>2</v>
      </c>
      <c r="AR323" s="28">
        <v>1500</v>
      </c>
      <c r="AS323" s="28">
        <v>3000</v>
      </c>
      <c r="AW323" s="27"/>
      <c r="AX323" s="27"/>
      <c r="AY323" s="27"/>
      <c r="BK323" s="27"/>
      <c r="BL323" s="27"/>
      <c r="BW323" s="27"/>
      <c r="BX323" s="27"/>
      <c r="BY323" s="27"/>
      <c r="CH323" s="29"/>
      <c r="CI323" s="23" t="s">
        <v>397</v>
      </c>
      <c r="CJ323" s="28">
        <v>10</v>
      </c>
    </row>
    <row r="324" spans="1:107" x14ac:dyDescent="0.2">
      <c r="A324" s="18">
        <v>949</v>
      </c>
      <c r="B324" s="19">
        <v>21</v>
      </c>
      <c r="C324" s="19">
        <f t="shared" si="56"/>
        <v>9490021</v>
      </c>
      <c r="D324" s="19" t="s">
        <v>4623</v>
      </c>
      <c r="E324" s="165" t="s">
        <v>3969</v>
      </c>
      <c r="F324" s="165"/>
      <c r="I324" s="164" t="s">
        <v>3873</v>
      </c>
      <c r="J324" s="21"/>
      <c r="K324" s="21"/>
      <c r="L324" s="21"/>
      <c r="M324" s="21"/>
      <c r="N324" s="22" t="s">
        <v>1327</v>
      </c>
      <c r="O324" s="22" t="s">
        <v>3998</v>
      </c>
      <c r="P324" s="22"/>
      <c r="Q324" s="22" t="s">
        <v>2041</v>
      </c>
      <c r="R324" s="22"/>
      <c r="S324" s="22"/>
      <c r="T324" s="22" t="s">
        <v>2298</v>
      </c>
      <c r="U324" s="116" t="s">
        <v>3971</v>
      </c>
      <c r="V324" s="22" t="s">
        <v>3972</v>
      </c>
      <c r="W324" s="22" t="s">
        <v>6</v>
      </c>
      <c r="X324" s="22"/>
      <c r="Y324" s="23" t="s">
        <v>145</v>
      </c>
      <c r="Z324" s="22"/>
      <c r="AA324" s="22"/>
      <c r="AB324" s="22"/>
      <c r="AC324" s="22"/>
      <c r="AD324" s="22"/>
      <c r="AE324" s="24"/>
      <c r="AF324" s="24" t="s">
        <v>2043</v>
      </c>
      <c r="AG324" s="22"/>
      <c r="AH324" s="23"/>
      <c r="AJ324" s="26" t="s">
        <v>926</v>
      </c>
      <c r="AK324" s="27">
        <v>1571</v>
      </c>
      <c r="AL324" s="27"/>
      <c r="AQ324" s="28">
        <v>3</v>
      </c>
      <c r="AR324" s="28">
        <v>2000</v>
      </c>
      <c r="AS324" s="28">
        <v>3000</v>
      </c>
      <c r="AW324" s="27"/>
      <c r="AX324" s="27"/>
      <c r="AY324" s="27"/>
      <c r="BK324" s="27"/>
      <c r="BL324" s="27"/>
      <c r="BW324" s="27"/>
      <c r="BX324" s="27"/>
      <c r="BY324" s="27"/>
      <c r="CH324" s="29"/>
      <c r="CI324" s="23" t="s">
        <v>397</v>
      </c>
      <c r="CJ324" s="28">
        <v>10</v>
      </c>
    </row>
    <row r="325" spans="1:107" x14ac:dyDescent="0.2">
      <c r="A325" s="192">
        <v>949</v>
      </c>
      <c r="B325" s="193">
        <v>31</v>
      </c>
      <c r="C325" s="193">
        <f t="shared" ref="C325" si="57">A325*10000+B325</f>
        <v>9490031</v>
      </c>
      <c r="D325" s="193" t="s">
        <v>4624</v>
      </c>
      <c r="E325" s="165" t="s">
        <v>3969</v>
      </c>
      <c r="F325" s="165"/>
      <c r="G325" s="194"/>
      <c r="H325" s="194"/>
      <c r="I325" s="164" t="s">
        <v>3873</v>
      </c>
      <c r="J325" s="195"/>
      <c r="K325" s="195"/>
      <c r="L325" s="195"/>
      <c r="M325" s="195"/>
      <c r="N325" s="196" t="s">
        <v>1327</v>
      </c>
      <c r="O325" s="196" t="s">
        <v>3998</v>
      </c>
      <c r="P325" s="196"/>
      <c r="Q325" s="196" t="s">
        <v>2041</v>
      </c>
      <c r="R325" s="196"/>
      <c r="S325" s="196"/>
      <c r="T325" s="196" t="s">
        <v>2298</v>
      </c>
      <c r="U325" s="197" t="s">
        <v>3971</v>
      </c>
      <c r="V325" s="196" t="s">
        <v>3972</v>
      </c>
      <c r="W325" s="196" t="s">
        <v>6</v>
      </c>
      <c r="X325" s="196"/>
      <c r="Y325" s="198" t="s">
        <v>145</v>
      </c>
      <c r="Z325" s="196"/>
      <c r="AA325" s="196"/>
      <c r="AB325" s="196"/>
      <c r="AC325" s="196"/>
      <c r="AD325" s="196"/>
      <c r="AE325" s="24"/>
      <c r="AF325" s="24" t="s">
        <v>2043</v>
      </c>
      <c r="AG325" s="22"/>
      <c r="AH325" s="23"/>
      <c r="AJ325" s="26" t="s">
        <v>926</v>
      </c>
      <c r="AK325" s="27">
        <v>1571</v>
      </c>
      <c r="AL325" s="27"/>
      <c r="AQ325" s="28">
        <v>4</v>
      </c>
      <c r="AR325" s="28">
        <v>2500</v>
      </c>
      <c r="AS325" s="28">
        <v>3000</v>
      </c>
      <c r="AW325" s="27"/>
      <c r="AX325" s="27"/>
      <c r="AY325" s="27"/>
      <c r="BK325" s="27"/>
      <c r="BL325" s="27"/>
      <c r="BW325" s="27"/>
      <c r="BX325" s="27"/>
      <c r="BY325" s="27"/>
      <c r="CH325" s="29"/>
      <c r="CI325" s="23" t="s">
        <v>397</v>
      </c>
      <c r="CJ325" s="28">
        <v>10</v>
      </c>
    </row>
    <row r="326" spans="1:107" s="14" customFormat="1" ht="21" customHeight="1" x14ac:dyDescent="0.3">
      <c r="A326" s="8"/>
      <c r="B326" s="8"/>
      <c r="C326" s="8"/>
      <c r="D326" s="8"/>
      <c r="E326" s="9" t="s">
        <v>4638</v>
      </c>
      <c r="F326" s="9"/>
      <c r="G326" s="9"/>
      <c r="H326" s="9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1"/>
      <c r="Z326" s="10"/>
      <c r="AA326" s="10"/>
      <c r="AB326" s="10"/>
      <c r="AC326" s="10"/>
      <c r="AD326" s="10"/>
      <c r="AE326" s="12"/>
      <c r="AF326" s="12"/>
      <c r="AG326" s="10"/>
      <c r="AH326" s="13"/>
      <c r="AI326" s="13"/>
      <c r="AJ326" s="13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3"/>
      <c r="AV326" s="13"/>
      <c r="AW326" s="13"/>
      <c r="AX326" s="31"/>
      <c r="AY326" s="31"/>
      <c r="AZ326" s="15"/>
      <c r="BA326" s="15"/>
      <c r="BB326" s="15"/>
      <c r="BC326" s="15"/>
      <c r="BD326" s="15"/>
      <c r="BE326" s="15"/>
      <c r="BF326" s="15"/>
      <c r="BG326" s="15"/>
      <c r="BH326" s="13"/>
      <c r="BI326" s="13"/>
      <c r="BJ326" s="13"/>
      <c r="BK326" s="31"/>
      <c r="BL326" s="31"/>
      <c r="BM326" s="15"/>
      <c r="BN326" s="15"/>
      <c r="BO326" s="15"/>
      <c r="BP326" s="15"/>
      <c r="BQ326" s="15"/>
      <c r="BR326" s="15"/>
      <c r="BS326" s="15"/>
      <c r="BT326" s="15"/>
      <c r="BU326" s="13"/>
      <c r="BV326" s="13"/>
      <c r="BW326" s="13"/>
      <c r="BX326" s="31"/>
      <c r="BY326" s="31"/>
      <c r="BZ326" s="15"/>
      <c r="CA326" s="15"/>
      <c r="CB326" s="15"/>
      <c r="CC326" s="15"/>
      <c r="CD326" s="15"/>
      <c r="CE326" s="15"/>
      <c r="CF326" s="15"/>
      <c r="CG326" s="15"/>
      <c r="CH326" s="10"/>
      <c r="CI326" s="8"/>
      <c r="CJ326" s="16"/>
      <c r="CK326" s="8"/>
      <c r="CT326" s="17"/>
      <c r="CU326" s="17"/>
      <c r="CV326" s="17"/>
      <c r="CW326" s="17"/>
      <c r="CX326" s="17"/>
      <c r="CY326" s="17"/>
      <c r="CZ326" s="17"/>
      <c r="DA326" s="17"/>
      <c r="DB326" s="17"/>
      <c r="DC326" s="15"/>
    </row>
    <row r="327" spans="1:107" s="128" customFormat="1" x14ac:dyDescent="0.2">
      <c r="A327" s="184">
        <v>951</v>
      </c>
      <c r="B327" s="185">
        <v>1</v>
      </c>
      <c r="C327" s="185">
        <f t="shared" ref="C327:C358" si="58">A327*10000+B327</f>
        <v>9510001</v>
      </c>
      <c r="D327" s="185" t="s">
        <v>986</v>
      </c>
      <c r="E327" s="129" t="s">
        <v>925</v>
      </c>
      <c r="F327" s="129"/>
      <c r="G327" s="129"/>
      <c r="H327" s="129"/>
      <c r="I327" s="114" t="s">
        <v>486</v>
      </c>
      <c r="J327" s="114"/>
      <c r="K327" s="114"/>
      <c r="L327" s="114"/>
      <c r="M327" s="114"/>
      <c r="N327" s="114" t="s">
        <v>1650</v>
      </c>
      <c r="O327" s="114" t="s">
        <v>924</v>
      </c>
      <c r="P327" s="130"/>
      <c r="Q327" s="130" t="s">
        <v>2041</v>
      </c>
      <c r="R327" s="130"/>
      <c r="S327" s="130"/>
      <c r="T327" s="130" t="s">
        <v>948</v>
      </c>
      <c r="U327" s="117" t="s">
        <v>4640</v>
      </c>
      <c r="V327" s="114"/>
      <c r="W327" s="114" t="s">
        <v>137</v>
      </c>
      <c r="X327" s="114"/>
      <c r="Y327" s="128" t="s">
        <v>137</v>
      </c>
      <c r="Z327" s="114"/>
      <c r="AA327" s="114"/>
      <c r="AB327" s="114"/>
      <c r="AC327" s="114"/>
      <c r="AD327" s="114"/>
      <c r="AE327" s="130"/>
      <c r="AF327" s="130" t="s">
        <v>2041</v>
      </c>
      <c r="AG327" s="114"/>
      <c r="AI327" s="131"/>
      <c r="AJ327" s="131" t="s">
        <v>926</v>
      </c>
      <c r="AK327" s="132">
        <v>1571</v>
      </c>
      <c r="AL327" s="132"/>
      <c r="AM327" s="134"/>
      <c r="AN327" s="134"/>
      <c r="AO327" s="134"/>
      <c r="AP327" s="134"/>
      <c r="AQ327" s="134">
        <v>1</v>
      </c>
      <c r="AR327" s="134">
        <v>1000</v>
      </c>
      <c r="AS327" s="134">
        <v>3000</v>
      </c>
      <c r="AT327" s="134"/>
      <c r="AU327" s="131"/>
      <c r="AV327" s="131"/>
      <c r="AW327" s="132"/>
      <c r="AX327" s="132"/>
      <c r="AY327" s="132"/>
      <c r="AZ327" s="134"/>
      <c r="BA327" s="134"/>
      <c r="BB327" s="134"/>
      <c r="BC327" s="134"/>
      <c r="BD327" s="134"/>
      <c r="BE327" s="134"/>
      <c r="BF327" s="134"/>
      <c r="BG327" s="134"/>
      <c r="BH327" s="131"/>
      <c r="BI327" s="131"/>
      <c r="BJ327" s="131"/>
      <c r="BK327" s="132"/>
      <c r="BL327" s="132"/>
      <c r="BM327" s="134"/>
      <c r="BN327" s="134"/>
      <c r="BO327" s="134"/>
      <c r="BP327" s="134"/>
      <c r="BQ327" s="134"/>
      <c r="BR327" s="134"/>
      <c r="BS327" s="134"/>
      <c r="BT327" s="134"/>
      <c r="BU327" s="131"/>
      <c r="BV327" s="131"/>
      <c r="BW327" s="132"/>
      <c r="BX327" s="132"/>
      <c r="BY327" s="132"/>
      <c r="BZ327" s="134"/>
      <c r="CA327" s="134"/>
      <c r="CB327" s="134"/>
      <c r="CC327" s="134"/>
      <c r="CD327" s="134"/>
      <c r="CE327" s="134"/>
      <c r="CF327" s="134"/>
      <c r="CG327" s="134"/>
      <c r="CH327" s="127"/>
      <c r="CI327" s="128" t="s">
        <v>397</v>
      </c>
      <c r="CJ327" s="134">
        <v>10</v>
      </c>
      <c r="CT327" s="135"/>
      <c r="CU327" s="135"/>
      <c r="CV327" s="135"/>
      <c r="CW327" s="135"/>
      <c r="CX327" s="135"/>
      <c r="CY327" s="135"/>
      <c r="CZ327" s="135"/>
      <c r="DA327" s="135"/>
      <c r="DB327" s="135"/>
      <c r="DC327" s="134"/>
    </row>
    <row r="328" spans="1:107" s="128" customFormat="1" x14ac:dyDescent="0.2">
      <c r="A328" s="184">
        <v>951</v>
      </c>
      <c r="B328" s="185">
        <v>11</v>
      </c>
      <c r="C328" s="185">
        <f t="shared" si="58"/>
        <v>9510011</v>
      </c>
      <c r="D328" s="185" t="s">
        <v>987</v>
      </c>
      <c r="E328" s="129" t="s">
        <v>925</v>
      </c>
      <c r="F328" s="129"/>
      <c r="G328" s="129"/>
      <c r="H328" s="129"/>
      <c r="I328" s="114" t="s">
        <v>486</v>
      </c>
      <c r="J328" s="114"/>
      <c r="K328" s="114"/>
      <c r="L328" s="114"/>
      <c r="M328" s="114"/>
      <c r="N328" s="114" t="s">
        <v>1650</v>
      </c>
      <c r="O328" s="114" t="s">
        <v>924</v>
      </c>
      <c r="P328" s="130"/>
      <c r="Q328" s="130" t="s">
        <v>2041</v>
      </c>
      <c r="R328" s="130"/>
      <c r="S328" s="130"/>
      <c r="T328" s="130" t="s">
        <v>948</v>
      </c>
      <c r="U328" s="117" t="s">
        <v>4641</v>
      </c>
      <c r="V328" s="114"/>
      <c r="W328" s="114" t="s">
        <v>137</v>
      </c>
      <c r="X328" s="114"/>
      <c r="Y328" s="128" t="s">
        <v>137</v>
      </c>
      <c r="Z328" s="114"/>
      <c r="AA328" s="114"/>
      <c r="AB328" s="114"/>
      <c r="AC328" s="114"/>
      <c r="AD328" s="114"/>
      <c r="AE328" s="130"/>
      <c r="AF328" s="130" t="s">
        <v>2041</v>
      </c>
      <c r="AG328" s="114"/>
      <c r="AI328" s="131"/>
      <c r="AJ328" s="132">
        <v>898</v>
      </c>
      <c r="AK328" s="132">
        <v>3592</v>
      </c>
      <c r="AL328" s="132"/>
      <c r="AM328" s="134"/>
      <c r="AN328" s="134"/>
      <c r="AO328" s="134"/>
      <c r="AP328" s="134"/>
      <c r="AQ328" s="134">
        <v>2</v>
      </c>
      <c r="AR328" s="134">
        <v>1500</v>
      </c>
      <c r="AS328" s="134">
        <v>3000</v>
      </c>
      <c r="AT328" s="134"/>
      <c r="AU328" s="131"/>
      <c r="AV328" s="131"/>
      <c r="AW328" s="132"/>
      <c r="AX328" s="132"/>
      <c r="AY328" s="132"/>
      <c r="AZ328" s="134"/>
      <c r="BA328" s="134"/>
      <c r="BB328" s="134"/>
      <c r="BC328" s="134"/>
      <c r="BD328" s="134"/>
      <c r="BE328" s="134"/>
      <c r="BF328" s="134"/>
      <c r="BG328" s="134"/>
      <c r="BH328" s="131"/>
      <c r="BI328" s="131"/>
      <c r="BJ328" s="131"/>
      <c r="BK328" s="132"/>
      <c r="BL328" s="132"/>
      <c r="BM328" s="134"/>
      <c r="BN328" s="134"/>
      <c r="BO328" s="134"/>
      <c r="BP328" s="134"/>
      <c r="BQ328" s="134"/>
      <c r="BR328" s="134"/>
      <c r="BS328" s="134"/>
      <c r="BT328" s="134"/>
      <c r="BU328" s="131"/>
      <c r="BV328" s="131"/>
      <c r="BW328" s="132"/>
      <c r="BX328" s="132"/>
      <c r="BY328" s="132"/>
      <c r="BZ328" s="134"/>
      <c r="CA328" s="134"/>
      <c r="CB328" s="134"/>
      <c r="CC328" s="134"/>
      <c r="CD328" s="134"/>
      <c r="CE328" s="134"/>
      <c r="CF328" s="134"/>
      <c r="CG328" s="134"/>
      <c r="CH328" s="127"/>
      <c r="CI328" s="128" t="s">
        <v>397</v>
      </c>
      <c r="CJ328" s="134">
        <v>15</v>
      </c>
      <c r="CT328" s="135"/>
      <c r="CU328" s="135"/>
      <c r="CV328" s="135"/>
      <c r="CW328" s="135"/>
      <c r="CX328" s="135"/>
      <c r="CY328" s="135"/>
      <c r="CZ328" s="135"/>
      <c r="DA328" s="135"/>
      <c r="DB328" s="135"/>
      <c r="DC328" s="134"/>
    </row>
    <row r="329" spans="1:107" s="128" customFormat="1" x14ac:dyDescent="0.2">
      <c r="A329" s="184">
        <v>951</v>
      </c>
      <c r="B329" s="185">
        <v>21</v>
      </c>
      <c r="C329" s="185">
        <f t="shared" si="58"/>
        <v>9510021</v>
      </c>
      <c r="D329" s="185" t="s">
        <v>988</v>
      </c>
      <c r="E329" s="129" t="s">
        <v>925</v>
      </c>
      <c r="F329" s="129"/>
      <c r="G329" s="129"/>
      <c r="H329" s="129"/>
      <c r="I329" s="114" t="s">
        <v>486</v>
      </c>
      <c r="J329" s="114"/>
      <c r="K329" s="114"/>
      <c r="L329" s="114"/>
      <c r="M329" s="114"/>
      <c r="N329" s="114" t="s">
        <v>1650</v>
      </c>
      <c r="O329" s="114" t="s">
        <v>924</v>
      </c>
      <c r="P329" s="130"/>
      <c r="Q329" s="130" t="s">
        <v>2041</v>
      </c>
      <c r="R329" s="130"/>
      <c r="S329" s="130"/>
      <c r="T329" s="130" t="s">
        <v>948</v>
      </c>
      <c r="U329" s="117" t="s">
        <v>4642</v>
      </c>
      <c r="V329" s="114"/>
      <c r="W329" s="114" t="s">
        <v>137</v>
      </c>
      <c r="X329" s="114"/>
      <c r="Y329" s="128" t="s">
        <v>137</v>
      </c>
      <c r="Z329" s="114"/>
      <c r="AA329" s="114"/>
      <c r="AB329" s="114"/>
      <c r="AC329" s="114"/>
      <c r="AD329" s="114"/>
      <c r="AE329" s="130"/>
      <c r="AF329" s="130" t="s">
        <v>2041</v>
      </c>
      <c r="AG329" s="114"/>
      <c r="AI329" s="131"/>
      <c r="AJ329" s="131" t="s">
        <v>928</v>
      </c>
      <c r="AK329" s="132">
        <v>4850</v>
      </c>
      <c r="AL329" s="132"/>
      <c r="AM329" s="134"/>
      <c r="AN329" s="134"/>
      <c r="AO329" s="134"/>
      <c r="AP329" s="134"/>
      <c r="AQ329" s="134">
        <v>3</v>
      </c>
      <c r="AR329" s="134">
        <v>2000</v>
      </c>
      <c r="AS329" s="134">
        <v>3000</v>
      </c>
      <c r="AT329" s="134"/>
      <c r="AU329" s="131"/>
      <c r="AV329" s="131"/>
      <c r="AW329" s="132"/>
      <c r="AX329" s="132"/>
      <c r="AY329" s="132"/>
      <c r="AZ329" s="134"/>
      <c r="BA329" s="134"/>
      <c r="BB329" s="134"/>
      <c r="BC329" s="134"/>
      <c r="BD329" s="134"/>
      <c r="BE329" s="134"/>
      <c r="BF329" s="134"/>
      <c r="BG329" s="134"/>
      <c r="BH329" s="131"/>
      <c r="BI329" s="131"/>
      <c r="BJ329" s="131"/>
      <c r="BK329" s="132"/>
      <c r="BL329" s="132"/>
      <c r="BM329" s="134"/>
      <c r="BN329" s="134"/>
      <c r="BO329" s="134"/>
      <c r="BP329" s="134"/>
      <c r="BQ329" s="134"/>
      <c r="BR329" s="134"/>
      <c r="BS329" s="134"/>
      <c r="BT329" s="134"/>
      <c r="BU329" s="131"/>
      <c r="BV329" s="131"/>
      <c r="BW329" s="132"/>
      <c r="BX329" s="132"/>
      <c r="BY329" s="132"/>
      <c r="BZ329" s="134"/>
      <c r="CA329" s="134"/>
      <c r="CB329" s="134"/>
      <c r="CC329" s="134"/>
      <c r="CD329" s="134"/>
      <c r="CE329" s="134"/>
      <c r="CF329" s="134"/>
      <c r="CG329" s="134"/>
      <c r="CH329" s="127"/>
      <c r="CI329" s="128" t="s">
        <v>397</v>
      </c>
      <c r="CJ329" s="134">
        <v>20</v>
      </c>
      <c r="CT329" s="135"/>
      <c r="CU329" s="135"/>
      <c r="CV329" s="135"/>
      <c r="CW329" s="135"/>
      <c r="CX329" s="135"/>
      <c r="CY329" s="135"/>
      <c r="CZ329" s="135"/>
      <c r="DA329" s="135"/>
      <c r="DB329" s="135"/>
      <c r="DC329" s="134"/>
    </row>
    <row r="330" spans="1:107" s="128" customFormat="1" x14ac:dyDescent="0.2">
      <c r="A330" s="184">
        <v>951</v>
      </c>
      <c r="B330" s="185">
        <v>31</v>
      </c>
      <c r="C330" s="185">
        <f t="shared" si="58"/>
        <v>9510031</v>
      </c>
      <c r="D330" s="185" t="s">
        <v>989</v>
      </c>
      <c r="E330" s="129" t="s">
        <v>925</v>
      </c>
      <c r="F330" s="129"/>
      <c r="G330" s="129"/>
      <c r="H330" s="129"/>
      <c r="I330" s="114" t="s">
        <v>486</v>
      </c>
      <c r="J330" s="114"/>
      <c r="K330" s="114"/>
      <c r="L330" s="114"/>
      <c r="M330" s="114"/>
      <c r="N330" s="114" t="s">
        <v>1650</v>
      </c>
      <c r="O330" s="114" t="s">
        <v>924</v>
      </c>
      <c r="P330" s="130"/>
      <c r="Q330" s="130" t="s">
        <v>2041</v>
      </c>
      <c r="R330" s="130"/>
      <c r="S330" s="130"/>
      <c r="T330" s="130" t="s">
        <v>948</v>
      </c>
      <c r="U330" s="117" t="s">
        <v>4643</v>
      </c>
      <c r="V330" s="114"/>
      <c r="W330" s="114" t="s">
        <v>137</v>
      </c>
      <c r="X330" s="114"/>
      <c r="Y330" s="128" t="s">
        <v>137</v>
      </c>
      <c r="Z330" s="114"/>
      <c r="AA330" s="114"/>
      <c r="AB330" s="114"/>
      <c r="AC330" s="114"/>
      <c r="AD330" s="114"/>
      <c r="AE330" s="130"/>
      <c r="AF330" s="130" t="s">
        <v>2041</v>
      </c>
      <c r="AG330" s="114"/>
      <c r="AI330" s="131"/>
      <c r="AJ330" s="131" t="s">
        <v>929</v>
      </c>
      <c r="AK330" s="132">
        <v>6472</v>
      </c>
      <c r="AL330" s="132"/>
      <c r="AM330" s="134"/>
      <c r="AN330" s="134"/>
      <c r="AO330" s="134"/>
      <c r="AP330" s="134"/>
      <c r="AQ330" s="134">
        <v>4</v>
      </c>
      <c r="AR330" s="134">
        <v>2500</v>
      </c>
      <c r="AS330" s="134">
        <v>3000</v>
      </c>
      <c r="AT330" s="134"/>
      <c r="AU330" s="131"/>
      <c r="AV330" s="131"/>
      <c r="AW330" s="132"/>
      <c r="AX330" s="132"/>
      <c r="AY330" s="132"/>
      <c r="AZ330" s="134"/>
      <c r="BA330" s="134"/>
      <c r="BB330" s="134"/>
      <c r="BC330" s="134"/>
      <c r="BD330" s="134"/>
      <c r="BE330" s="134"/>
      <c r="BF330" s="134"/>
      <c r="BG330" s="134"/>
      <c r="BH330" s="131"/>
      <c r="BI330" s="131"/>
      <c r="BJ330" s="131"/>
      <c r="BK330" s="132"/>
      <c r="BL330" s="132"/>
      <c r="BM330" s="134"/>
      <c r="BN330" s="134"/>
      <c r="BO330" s="134"/>
      <c r="BP330" s="134"/>
      <c r="BQ330" s="134"/>
      <c r="BR330" s="134"/>
      <c r="BS330" s="134"/>
      <c r="BT330" s="134"/>
      <c r="BU330" s="131"/>
      <c r="BV330" s="131"/>
      <c r="BW330" s="132"/>
      <c r="BX330" s="132"/>
      <c r="BY330" s="132"/>
      <c r="BZ330" s="134"/>
      <c r="CA330" s="134"/>
      <c r="CB330" s="134"/>
      <c r="CC330" s="134"/>
      <c r="CD330" s="134"/>
      <c r="CE330" s="134"/>
      <c r="CF330" s="134"/>
      <c r="CG330" s="134"/>
      <c r="CH330" s="127"/>
      <c r="CI330" s="128" t="s">
        <v>397</v>
      </c>
      <c r="CJ330" s="134">
        <v>25</v>
      </c>
      <c r="CT330" s="135"/>
      <c r="CU330" s="135"/>
      <c r="CV330" s="135"/>
      <c r="CW330" s="135"/>
      <c r="CX330" s="135"/>
      <c r="CY330" s="135"/>
      <c r="CZ330" s="135"/>
      <c r="DA330" s="135"/>
      <c r="DB330" s="135"/>
      <c r="DC330" s="134"/>
    </row>
    <row r="331" spans="1:107" s="128" customFormat="1" x14ac:dyDescent="0.2">
      <c r="A331" s="184">
        <v>952</v>
      </c>
      <c r="B331" s="185">
        <v>1</v>
      </c>
      <c r="C331" s="185">
        <f t="shared" si="58"/>
        <v>9520001</v>
      </c>
      <c r="D331" s="185" t="s">
        <v>990</v>
      </c>
      <c r="E331" s="129" t="s">
        <v>949</v>
      </c>
      <c r="F331" s="129"/>
      <c r="G331" s="129"/>
      <c r="H331" s="129"/>
      <c r="I331" s="114" t="s">
        <v>486</v>
      </c>
      <c r="J331" s="114"/>
      <c r="K331" s="114"/>
      <c r="L331" s="114"/>
      <c r="M331" s="114"/>
      <c r="N331" s="114" t="s">
        <v>1650</v>
      </c>
      <c r="O331" s="114" t="s">
        <v>924</v>
      </c>
      <c r="P331" s="130"/>
      <c r="Q331" s="130" t="s">
        <v>2041</v>
      </c>
      <c r="R331" s="130"/>
      <c r="S331" s="130"/>
      <c r="T331" s="130" t="s">
        <v>948</v>
      </c>
      <c r="U331" s="117" t="s">
        <v>4644</v>
      </c>
      <c r="V331" s="114"/>
      <c r="W331" s="114" t="s">
        <v>137</v>
      </c>
      <c r="X331" s="114"/>
      <c r="Y331" s="128" t="s">
        <v>137</v>
      </c>
      <c r="Z331" s="114"/>
      <c r="AA331" s="114"/>
      <c r="AB331" s="114"/>
      <c r="AC331" s="114"/>
      <c r="AD331" s="114"/>
      <c r="AE331" s="130"/>
      <c r="AF331" s="130" t="s">
        <v>2041</v>
      </c>
      <c r="AG331" s="114"/>
      <c r="AI331" s="131"/>
      <c r="AJ331" s="131" t="s">
        <v>926</v>
      </c>
      <c r="AK331" s="132">
        <v>1571</v>
      </c>
      <c r="AL331" s="132"/>
      <c r="AM331" s="134"/>
      <c r="AN331" s="134"/>
      <c r="AO331" s="134"/>
      <c r="AP331" s="134"/>
      <c r="AQ331" s="134">
        <v>5</v>
      </c>
      <c r="AR331" s="134">
        <v>1000</v>
      </c>
      <c r="AS331" s="134">
        <v>3000</v>
      </c>
      <c r="AT331" s="134"/>
      <c r="AU331" s="131"/>
      <c r="AV331" s="131"/>
      <c r="AW331" s="132"/>
      <c r="AX331" s="132"/>
      <c r="AY331" s="132"/>
      <c r="AZ331" s="134"/>
      <c r="BA331" s="134"/>
      <c r="BB331" s="134"/>
      <c r="BC331" s="134"/>
      <c r="BD331" s="134"/>
      <c r="BE331" s="134"/>
      <c r="BF331" s="134"/>
      <c r="BG331" s="134"/>
      <c r="BH331" s="131"/>
      <c r="BI331" s="131"/>
      <c r="BJ331" s="131"/>
      <c r="BK331" s="132"/>
      <c r="BL331" s="132"/>
      <c r="BM331" s="134"/>
      <c r="BN331" s="134"/>
      <c r="BO331" s="134"/>
      <c r="BP331" s="134"/>
      <c r="BQ331" s="134"/>
      <c r="BR331" s="134"/>
      <c r="BS331" s="134"/>
      <c r="BT331" s="134"/>
      <c r="BU331" s="131"/>
      <c r="BV331" s="131"/>
      <c r="BW331" s="132"/>
      <c r="BX331" s="132"/>
      <c r="BY331" s="132"/>
      <c r="BZ331" s="134"/>
      <c r="CA331" s="134"/>
      <c r="CB331" s="134"/>
      <c r="CC331" s="134"/>
      <c r="CD331" s="134"/>
      <c r="CE331" s="134"/>
      <c r="CF331" s="134"/>
      <c r="CG331" s="134"/>
      <c r="CH331" s="127"/>
      <c r="CI331" s="128" t="s">
        <v>397</v>
      </c>
      <c r="CJ331" s="134">
        <v>10</v>
      </c>
      <c r="CT331" s="135"/>
      <c r="CU331" s="135"/>
      <c r="CV331" s="135"/>
      <c r="CW331" s="135"/>
      <c r="CX331" s="135"/>
      <c r="CY331" s="135"/>
      <c r="CZ331" s="135"/>
      <c r="DA331" s="135"/>
      <c r="DB331" s="135"/>
      <c r="DC331" s="134"/>
    </row>
    <row r="332" spans="1:107" s="128" customFormat="1" x14ac:dyDescent="0.2">
      <c r="A332" s="184">
        <v>952</v>
      </c>
      <c r="B332" s="185">
        <v>11</v>
      </c>
      <c r="C332" s="185">
        <f t="shared" si="58"/>
        <v>9520011</v>
      </c>
      <c r="D332" s="185" t="s">
        <v>991</v>
      </c>
      <c r="E332" s="129" t="s">
        <v>949</v>
      </c>
      <c r="F332" s="129"/>
      <c r="G332" s="129"/>
      <c r="H332" s="129"/>
      <c r="I332" s="114" t="s">
        <v>486</v>
      </c>
      <c r="J332" s="114"/>
      <c r="K332" s="114"/>
      <c r="L332" s="114"/>
      <c r="M332" s="114"/>
      <c r="N332" s="114" t="s">
        <v>1650</v>
      </c>
      <c r="O332" s="114" t="s">
        <v>924</v>
      </c>
      <c r="P332" s="130"/>
      <c r="Q332" s="130" t="s">
        <v>2041</v>
      </c>
      <c r="R332" s="130"/>
      <c r="S332" s="130"/>
      <c r="T332" s="130" t="s">
        <v>948</v>
      </c>
      <c r="U332" s="117" t="s">
        <v>4645</v>
      </c>
      <c r="V332" s="114"/>
      <c r="W332" s="114" t="s">
        <v>137</v>
      </c>
      <c r="X332" s="114"/>
      <c r="Y332" s="128" t="s">
        <v>137</v>
      </c>
      <c r="Z332" s="114"/>
      <c r="AA332" s="114"/>
      <c r="AB332" s="114"/>
      <c r="AC332" s="114"/>
      <c r="AD332" s="114"/>
      <c r="AE332" s="130"/>
      <c r="AF332" s="130" t="s">
        <v>2041</v>
      </c>
      <c r="AG332" s="114"/>
      <c r="AI332" s="131"/>
      <c r="AJ332" s="132">
        <v>898</v>
      </c>
      <c r="AK332" s="132">
        <v>3592</v>
      </c>
      <c r="AL332" s="132"/>
      <c r="AM332" s="134"/>
      <c r="AN332" s="134"/>
      <c r="AO332" s="134"/>
      <c r="AP332" s="134"/>
      <c r="AQ332" s="134">
        <v>6</v>
      </c>
      <c r="AR332" s="134">
        <v>1500</v>
      </c>
      <c r="AS332" s="134">
        <v>3000</v>
      </c>
      <c r="AT332" s="134"/>
      <c r="AU332" s="131"/>
      <c r="AV332" s="131"/>
      <c r="AW332" s="132"/>
      <c r="AX332" s="132"/>
      <c r="AY332" s="132"/>
      <c r="AZ332" s="134"/>
      <c r="BA332" s="134"/>
      <c r="BB332" s="134"/>
      <c r="BC332" s="134"/>
      <c r="BD332" s="134"/>
      <c r="BE332" s="134"/>
      <c r="BF332" s="134"/>
      <c r="BG332" s="134"/>
      <c r="BH332" s="131"/>
      <c r="BI332" s="131"/>
      <c r="BJ332" s="131"/>
      <c r="BK332" s="132"/>
      <c r="BL332" s="132"/>
      <c r="BM332" s="134"/>
      <c r="BN332" s="134"/>
      <c r="BO332" s="134"/>
      <c r="BP332" s="134"/>
      <c r="BQ332" s="134"/>
      <c r="BR332" s="134"/>
      <c r="BS332" s="134"/>
      <c r="BT332" s="134"/>
      <c r="BU332" s="131"/>
      <c r="BV332" s="131"/>
      <c r="BW332" s="132"/>
      <c r="BX332" s="132"/>
      <c r="BY332" s="132"/>
      <c r="BZ332" s="134"/>
      <c r="CA332" s="134"/>
      <c r="CB332" s="134"/>
      <c r="CC332" s="134"/>
      <c r="CD332" s="134"/>
      <c r="CE332" s="134"/>
      <c r="CF332" s="134"/>
      <c r="CG332" s="134"/>
      <c r="CH332" s="127"/>
      <c r="CI332" s="128" t="s">
        <v>397</v>
      </c>
      <c r="CJ332" s="134">
        <v>15</v>
      </c>
      <c r="CT332" s="135"/>
      <c r="CU332" s="135"/>
      <c r="CV332" s="135"/>
      <c r="CW332" s="135"/>
      <c r="CX332" s="135"/>
      <c r="CY332" s="135"/>
      <c r="CZ332" s="135"/>
      <c r="DA332" s="135"/>
      <c r="DB332" s="135"/>
      <c r="DC332" s="134"/>
    </row>
    <row r="333" spans="1:107" s="128" customFormat="1" x14ac:dyDescent="0.2">
      <c r="A333" s="184">
        <v>952</v>
      </c>
      <c r="B333" s="185">
        <v>21</v>
      </c>
      <c r="C333" s="185">
        <f t="shared" si="58"/>
        <v>9520021</v>
      </c>
      <c r="D333" s="185" t="s">
        <v>992</v>
      </c>
      <c r="E333" s="129" t="s">
        <v>949</v>
      </c>
      <c r="F333" s="129"/>
      <c r="G333" s="129"/>
      <c r="H333" s="129"/>
      <c r="I333" s="114" t="s">
        <v>486</v>
      </c>
      <c r="J333" s="114"/>
      <c r="K333" s="114"/>
      <c r="L333" s="114"/>
      <c r="M333" s="114"/>
      <c r="N333" s="114" t="s">
        <v>1650</v>
      </c>
      <c r="O333" s="114" t="s">
        <v>924</v>
      </c>
      <c r="P333" s="130"/>
      <c r="Q333" s="130" t="s">
        <v>2041</v>
      </c>
      <c r="R333" s="130"/>
      <c r="S333" s="130"/>
      <c r="T333" s="130" t="s">
        <v>948</v>
      </c>
      <c r="U333" s="117" t="s">
        <v>4646</v>
      </c>
      <c r="V333" s="114"/>
      <c r="W333" s="114" t="s">
        <v>137</v>
      </c>
      <c r="X333" s="114"/>
      <c r="Y333" s="128" t="s">
        <v>137</v>
      </c>
      <c r="Z333" s="114"/>
      <c r="AA333" s="114"/>
      <c r="AB333" s="114"/>
      <c r="AC333" s="114"/>
      <c r="AD333" s="114"/>
      <c r="AE333" s="130"/>
      <c r="AF333" s="130" t="s">
        <v>2041</v>
      </c>
      <c r="AG333" s="114"/>
      <c r="AI333" s="131"/>
      <c r="AJ333" s="131" t="s">
        <v>928</v>
      </c>
      <c r="AK333" s="132">
        <v>4850</v>
      </c>
      <c r="AL333" s="132"/>
      <c r="AM333" s="134"/>
      <c r="AN333" s="134"/>
      <c r="AO333" s="134"/>
      <c r="AP333" s="134"/>
      <c r="AQ333" s="134">
        <v>7</v>
      </c>
      <c r="AR333" s="134">
        <v>2000</v>
      </c>
      <c r="AS333" s="134">
        <v>3000</v>
      </c>
      <c r="AT333" s="134"/>
      <c r="AU333" s="131"/>
      <c r="AV333" s="131"/>
      <c r="AW333" s="132"/>
      <c r="AX333" s="132"/>
      <c r="AY333" s="132"/>
      <c r="AZ333" s="134"/>
      <c r="BA333" s="134"/>
      <c r="BB333" s="134"/>
      <c r="BC333" s="134"/>
      <c r="BD333" s="134"/>
      <c r="BE333" s="134"/>
      <c r="BF333" s="134"/>
      <c r="BG333" s="134"/>
      <c r="BH333" s="131"/>
      <c r="BI333" s="131"/>
      <c r="BJ333" s="131"/>
      <c r="BK333" s="132"/>
      <c r="BL333" s="132"/>
      <c r="BM333" s="134"/>
      <c r="BN333" s="134"/>
      <c r="BO333" s="134"/>
      <c r="BP333" s="134"/>
      <c r="BQ333" s="134"/>
      <c r="BR333" s="134"/>
      <c r="BS333" s="134"/>
      <c r="BT333" s="134"/>
      <c r="BU333" s="131"/>
      <c r="BV333" s="131"/>
      <c r="BW333" s="132"/>
      <c r="BX333" s="132"/>
      <c r="BY333" s="132"/>
      <c r="BZ333" s="134"/>
      <c r="CA333" s="134"/>
      <c r="CB333" s="134"/>
      <c r="CC333" s="134"/>
      <c r="CD333" s="134"/>
      <c r="CE333" s="134"/>
      <c r="CF333" s="134"/>
      <c r="CG333" s="134"/>
      <c r="CH333" s="127"/>
      <c r="CI333" s="128" t="s">
        <v>397</v>
      </c>
      <c r="CJ333" s="134">
        <v>20</v>
      </c>
      <c r="CT333" s="135"/>
      <c r="CU333" s="135"/>
      <c r="CV333" s="135"/>
      <c r="CW333" s="135"/>
      <c r="CX333" s="135"/>
      <c r="CY333" s="135"/>
      <c r="CZ333" s="135"/>
      <c r="DA333" s="135"/>
      <c r="DB333" s="135"/>
      <c r="DC333" s="134"/>
    </row>
    <row r="334" spans="1:107" s="128" customFormat="1" x14ac:dyDescent="0.2">
      <c r="A334" s="184">
        <v>952</v>
      </c>
      <c r="B334" s="185">
        <v>31</v>
      </c>
      <c r="C334" s="185">
        <f t="shared" si="58"/>
        <v>9520031</v>
      </c>
      <c r="D334" s="185" t="s">
        <v>993</v>
      </c>
      <c r="E334" s="129" t="s">
        <v>949</v>
      </c>
      <c r="F334" s="129"/>
      <c r="G334" s="129"/>
      <c r="H334" s="129"/>
      <c r="I334" s="114" t="s">
        <v>486</v>
      </c>
      <c r="J334" s="114"/>
      <c r="K334" s="114"/>
      <c r="L334" s="114"/>
      <c r="M334" s="114"/>
      <c r="N334" s="114" t="s">
        <v>1650</v>
      </c>
      <c r="O334" s="114" t="s">
        <v>924</v>
      </c>
      <c r="P334" s="130"/>
      <c r="Q334" s="130" t="s">
        <v>2041</v>
      </c>
      <c r="R334" s="130"/>
      <c r="S334" s="130"/>
      <c r="T334" s="130" t="s">
        <v>948</v>
      </c>
      <c r="U334" s="117" t="s">
        <v>4647</v>
      </c>
      <c r="V334" s="114"/>
      <c r="W334" s="114" t="s">
        <v>137</v>
      </c>
      <c r="X334" s="114"/>
      <c r="Y334" s="128" t="s">
        <v>137</v>
      </c>
      <c r="Z334" s="114"/>
      <c r="AA334" s="114"/>
      <c r="AB334" s="114"/>
      <c r="AC334" s="114"/>
      <c r="AD334" s="114"/>
      <c r="AE334" s="130"/>
      <c r="AF334" s="130" t="s">
        <v>2041</v>
      </c>
      <c r="AG334" s="114"/>
      <c r="AI334" s="131"/>
      <c r="AJ334" s="131" t="s">
        <v>929</v>
      </c>
      <c r="AK334" s="132">
        <v>6472</v>
      </c>
      <c r="AL334" s="132"/>
      <c r="AM334" s="134"/>
      <c r="AN334" s="134"/>
      <c r="AO334" s="134"/>
      <c r="AP334" s="134"/>
      <c r="AQ334" s="134">
        <v>8</v>
      </c>
      <c r="AR334" s="134">
        <v>2500</v>
      </c>
      <c r="AS334" s="134">
        <v>3000</v>
      </c>
      <c r="AT334" s="134"/>
      <c r="AU334" s="131"/>
      <c r="AV334" s="131"/>
      <c r="AW334" s="132"/>
      <c r="AX334" s="132"/>
      <c r="AY334" s="132"/>
      <c r="AZ334" s="134"/>
      <c r="BA334" s="134"/>
      <c r="BB334" s="134"/>
      <c r="BC334" s="134"/>
      <c r="BD334" s="134"/>
      <c r="BE334" s="134"/>
      <c r="BF334" s="134"/>
      <c r="BG334" s="134"/>
      <c r="BH334" s="131"/>
      <c r="BI334" s="131"/>
      <c r="BJ334" s="131"/>
      <c r="BK334" s="132"/>
      <c r="BL334" s="132"/>
      <c r="BM334" s="134"/>
      <c r="BN334" s="134"/>
      <c r="BO334" s="134"/>
      <c r="BP334" s="134"/>
      <c r="BQ334" s="134"/>
      <c r="BR334" s="134"/>
      <c r="BS334" s="134"/>
      <c r="BT334" s="134"/>
      <c r="BU334" s="131"/>
      <c r="BV334" s="131"/>
      <c r="BW334" s="132"/>
      <c r="BX334" s="132"/>
      <c r="BY334" s="132"/>
      <c r="BZ334" s="134"/>
      <c r="CA334" s="134"/>
      <c r="CB334" s="134"/>
      <c r="CC334" s="134"/>
      <c r="CD334" s="134"/>
      <c r="CE334" s="134"/>
      <c r="CF334" s="134"/>
      <c r="CG334" s="134"/>
      <c r="CH334" s="127"/>
      <c r="CI334" s="128" t="s">
        <v>397</v>
      </c>
      <c r="CJ334" s="134">
        <v>25</v>
      </c>
      <c r="CT334" s="135"/>
      <c r="CU334" s="135"/>
      <c r="CV334" s="135"/>
      <c r="CW334" s="135"/>
      <c r="CX334" s="135"/>
      <c r="CY334" s="135"/>
      <c r="CZ334" s="135"/>
      <c r="DA334" s="135"/>
      <c r="DB334" s="135"/>
      <c r="DC334" s="134"/>
    </row>
    <row r="335" spans="1:107" s="128" customFormat="1" x14ac:dyDescent="0.2">
      <c r="A335" s="184">
        <v>953</v>
      </c>
      <c r="B335" s="185">
        <v>1</v>
      </c>
      <c r="C335" s="185">
        <f t="shared" si="58"/>
        <v>9530001</v>
      </c>
      <c r="D335" s="185" t="s">
        <v>994</v>
      </c>
      <c r="E335" s="129" t="s">
        <v>977</v>
      </c>
      <c r="F335" s="129"/>
      <c r="G335" s="129"/>
      <c r="H335" s="129"/>
      <c r="I335" s="114" t="s">
        <v>486</v>
      </c>
      <c r="J335" s="114"/>
      <c r="K335" s="114"/>
      <c r="L335" s="114"/>
      <c r="M335" s="114"/>
      <c r="N335" s="114" t="s">
        <v>1650</v>
      </c>
      <c r="O335" s="114" t="s">
        <v>924</v>
      </c>
      <c r="P335" s="130"/>
      <c r="Q335" s="130" t="s">
        <v>2041</v>
      </c>
      <c r="R335" s="130"/>
      <c r="S335" s="130"/>
      <c r="T335" s="130" t="s">
        <v>948</v>
      </c>
      <c r="U335" s="117" t="s">
        <v>4648</v>
      </c>
      <c r="V335" s="114"/>
      <c r="W335" s="114" t="s">
        <v>137</v>
      </c>
      <c r="X335" s="114"/>
      <c r="Y335" s="128" t="s">
        <v>137</v>
      </c>
      <c r="Z335" s="114"/>
      <c r="AA335" s="114"/>
      <c r="AB335" s="114"/>
      <c r="AC335" s="114"/>
      <c r="AD335" s="114"/>
      <c r="AE335" s="130"/>
      <c r="AF335" s="130" t="s">
        <v>2041</v>
      </c>
      <c r="AG335" s="114"/>
      <c r="AI335" s="131"/>
      <c r="AJ335" s="131" t="s">
        <v>926</v>
      </c>
      <c r="AK335" s="132">
        <v>1571</v>
      </c>
      <c r="AL335" s="132"/>
      <c r="AM335" s="134"/>
      <c r="AN335" s="134"/>
      <c r="AO335" s="134"/>
      <c r="AP335" s="134"/>
      <c r="AQ335" s="134">
        <v>9</v>
      </c>
      <c r="AR335" s="134">
        <v>1000</v>
      </c>
      <c r="AS335" s="134">
        <v>3000</v>
      </c>
      <c r="AT335" s="134"/>
      <c r="AU335" s="131"/>
      <c r="AV335" s="131"/>
      <c r="AW335" s="132"/>
      <c r="AX335" s="132"/>
      <c r="AY335" s="132"/>
      <c r="AZ335" s="134"/>
      <c r="BA335" s="134"/>
      <c r="BB335" s="134"/>
      <c r="BC335" s="134"/>
      <c r="BD335" s="134"/>
      <c r="BE335" s="134"/>
      <c r="BF335" s="134"/>
      <c r="BG335" s="134"/>
      <c r="BH335" s="131"/>
      <c r="BI335" s="131"/>
      <c r="BJ335" s="131"/>
      <c r="BK335" s="132"/>
      <c r="BL335" s="132"/>
      <c r="BM335" s="134"/>
      <c r="BN335" s="134"/>
      <c r="BO335" s="134"/>
      <c r="BP335" s="134"/>
      <c r="BQ335" s="134"/>
      <c r="BR335" s="134"/>
      <c r="BS335" s="134"/>
      <c r="BT335" s="134"/>
      <c r="BU335" s="131"/>
      <c r="BV335" s="131"/>
      <c r="BW335" s="132"/>
      <c r="BX335" s="132"/>
      <c r="BY335" s="132"/>
      <c r="BZ335" s="134"/>
      <c r="CA335" s="134"/>
      <c r="CB335" s="134"/>
      <c r="CC335" s="134"/>
      <c r="CD335" s="134"/>
      <c r="CE335" s="134"/>
      <c r="CF335" s="134"/>
      <c r="CG335" s="134"/>
      <c r="CH335" s="127"/>
      <c r="CI335" s="128" t="s">
        <v>397</v>
      </c>
      <c r="CJ335" s="134">
        <v>10</v>
      </c>
      <c r="CT335" s="135"/>
      <c r="CU335" s="135"/>
      <c r="CV335" s="135"/>
      <c r="CW335" s="135"/>
      <c r="CX335" s="135"/>
      <c r="CY335" s="135"/>
      <c r="CZ335" s="135"/>
      <c r="DA335" s="135"/>
      <c r="DB335" s="135"/>
      <c r="DC335" s="134"/>
    </row>
    <row r="336" spans="1:107" s="128" customFormat="1" x14ac:dyDescent="0.2">
      <c r="A336" s="184">
        <v>953</v>
      </c>
      <c r="B336" s="185">
        <v>11</v>
      </c>
      <c r="C336" s="185">
        <f t="shared" si="58"/>
        <v>9530011</v>
      </c>
      <c r="D336" s="185" t="s">
        <v>995</v>
      </c>
      <c r="E336" s="129" t="s">
        <v>977</v>
      </c>
      <c r="F336" s="129"/>
      <c r="G336" s="129"/>
      <c r="H336" s="129"/>
      <c r="I336" s="114" t="s">
        <v>486</v>
      </c>
      <c r="J336" s="114"/>
      <c r="K336" s="114"/>
      <c r="L336" s="114"/>
      <c r="M336" s="114"/>
      <c r="N336" s="114" t="s">
        <v>1650</v>
      </c>
      <c r="O336" s="114" t="s">
        <v>924</v>
      </c>
      <c r="P336" s="130"/>
      <c r="Q336" s="130" t="s">
        <v>2041</v>
      </c>
      <c r="R336" s="130"/>
      <c r="S336" s="130"/>
      <c r="T336" s="130" t="s">
        <v>948</v>
      </c>
      <c r="U336" s="117" t="s">
        <v>4649</v>
      </c>
      <c r="V336" s="114"/>
      <c r="W336" s="114" t="s">
        <v>137</v>
      </c>
      <c r="X336" s="114"/>
      <c r="Y336" s="128" t="s">
        <v>137</v>
      </c>
      <c r="Z336" s="114"/>
      <c r="AA336" s="114"/>
      <c r="AB336" s="114"/>
      <c r="AC336" s="114"/>
      <c r="AD336" s="114"/>
      <c r="AE336" s="130"/>
      <c r="AF336" s="130" t="s">
        <v>2041</v>
      </c>
      <c r="AG336" s="114"/>
      <c r="AI336" s="131"/>
      <c r="AJ336" s="132">
        <v>898</v>
      </c>
      <c r="AK336" s="132">
        <v>3592</v>
      </c>
      <c r="AL336" s="132"/>
      <c r="AM336" s="134"/>
      <c r="AN336" s="134"/>
      <c r="AO336" s="134"/>
      <c r="AP336" s="134"/>
      <c r="AQ336" s="134">
        <v>10</v>
      </c>
      <c r="AR336" s="134">
        <v>1500</v>
      </c>
      <c r="AS336" s="134">
        <v>3000</v>
      </c>
      <c r="AT336" s="134"/>
      <c r="AU336" s="131"/>
      <c r="AV336" s="131"/>
      <c r="AW336" s="132"/>
      <c r="AX336" s="132"/>
      <c r="AY336" s="132"/>
      <c r="AZ336" s="134"/>
      <c r="BA336" s="134"/>
      <c r="BB336" s="134"/>
      <c r="BC336" s="134"/>
      <c r="BD336" s="134"/>
      <c r="BE336" s="134"/>
      <c r="BF336" s="134"/>
      <c r="BG336" s="134"/>
      <c r="BH336" s="131"/>
      <c r="BI336" s="131"/>
      <c r="BJ336" s="131"/>
      <c r="BK336" s="132"/>
      <c r="BL336" s="132"/>
      <c r="BM336" s="134"/>
      <c r="BN336" s="134"/>
      <c r="BO336" s="134"/>
      <c r="BP336" s="134"/>
      <c r="BQ336" s="134"/>
      <c r="BR336" s="134"/>
      <c r="BS336" s="134"/>
      <c r="BT336" s="134"/>
      <c r="BU336" s="131"/>
      <c r="BV336" s="131"/>
      <c r="BW336" s="132"/>
      <c r="BX336" s="132"/>
      <c r="BY336" s="132"/>
      <c r="BZ336" s="134"/>
      <c r="CA336" s="134"/>
      <c r="CB336" s="134"/>
      <c r="CC336" s="134"/>
      <c r="CD336" s="134"/>
      <c r="CE336" s="134"/>
      <c r="CF336" s="134"/>
      <c r="CG336" s="134"/>
      <c r="CH336" s="127"/>
      <c r="CI336" s="128" t="s">
        <v>397</v>
      </c>
      <c r="CJ336" s="134">
        <v>15</v>
      </c>
      <c r="CT336" s="135"/>
      <c r="CU336" s="135"/>
      <c r="CV336" s="135"/>
      <c r="CW336" s="135"/>
      <c r="CX336" s="135"/>
      <c r="CY336" s="135"/>
      <c r="CZ336" s="135"/>
      <c r="DA336" s="135"/>
      <c r="DB336" s="135"/>
      <c r="DC336" s="134"/>
    </row>
    <row r="337" spans="1:107" s="128" customFormat="1" x14ac:dyDescent="0.2">
      <c r="A337" s="184">
        <v>953</v>
      </c>
      <c r="B337" s="185">
        <v>21</v>
      </c>
      <c r="C337" s="185">
        <f t="shared" si="58"/>
        <v>9530021</v>
      </c>
      <c r="D337" s="185" t="s">
        <v>996</v>
      </c>
      <c r="E337" s="129" t="s">
        <v>977</v>
      </c>
      <c r="F337" s="129"/>
      <c r="G337" s="129"/>
      <c r="H337" s="129"/>
      <c r="I337" s="114" t="s">
        <v>486</v>
      </c>
      <c r="J337" s="114"/>
      <c r="K337" s="114"/>
      <c r="L337" s="114"/>
      <c r="M337" s="114"/>
      <c r="N337" s="114" t="s">
        <v>1650</v>
      </c>
      <c r="O337" s="114" t="s">
        <v>924</v>
      </c>
      <c r="P337" s="130"/>
      <c r="Q337" s="130" t="s">
        <v>2041</v>
      </c>
      <c r="R337" s="130"/>
      <c r="S337" s="130"/>
      <c r="T337" s="130" t="s">
        <v>948</v>
      </c>
      <c r="U337" s="117" t="s">
        <v>4650</v>
      </c>
      <c r="V337" s="114"/>
      <c r="W337" s="114" t="s">
        <v>137</v>
      </c>
      <c r="X337" s="114"/>
      <c r="Y337" s="128" t="s">
        <v>137</v>
      </c>
      <c r="Z337" s="114"/>
      <c r="AA337" s="114"/>
      <c r="AB337" s="114"/>
      <c r="AC337" s="114"/>
      <c r="AD337" s="114"/>
      <c r="AE337" s="130"/>
      <c r="AF337" s="130" t="s">
        <v>2041</v>
      </c>
      <c r="AG337" s="114"/>
      <c r="AI337" s="131"/>
      <c r="AJ337" s="131" t="s">
        <v>928</v>
      </c>
      <c r="AK337" s="132">
        <v>4850</v>
      </c>
      <c r="AL337" s="132"/>
      <c r="AM337" s="134"/>
      <c r="AN337" s="134"/>
      <c r="AO337" s="134"/>
      <c r="AP337" s="134"/>
      <c r="AQ337" s="134">
        <v>11</v>
      </c>
      <c r="AR337" s="134">
        <v>2000</v>
      </c>
      <c r="AS337" s="134">
        <v>3000</v>
      </c>
      <c r="AT337" s="134"/>
      <c r="AU337" s="131"/>
      <c r="AV337" s="131"/>
      <c r="AW337" s="132"/>
      <c r="AX337" s="132"/>
      <c r="AY337" s="132"/>
      <c r="AZ337" s="134"/>
      <c r="BA337" s="134"/>
      <c r="BB337" s="134"/>
      <c r="BC337" s="134"/>
      <c r="BD337" s="134"/>
      <c r="BE337" s="134"/>
      <c r="BF337" s="134"/>
      <c r="BG337" s="134"/>
      <c r="BH337" s="131"/>
      <c r="BI337" s="131"/>
      <c r="BJ337" s="131"/>
      <c r="BK337" s="132"/>
      <c r="BL337" s="132"/>
      <c r="BM337" s="134"/>
      <c r="BN337" s="134"/>
      <c r="BO337" s="134"/>
      <c r="BP337" s="134"/>
      <c r="BQ337" s="134"/>
      <c r="BR337" s="134"/>
      <c r="BS337" s="134"/>
      <c r="BT337" s="134"/>
      <c r="BU337" s="131"/>
      <c r="BV337" s="131"/>
      <c r="BW337" s="132"/>
      <c r="BX337" s="132"/>
      <c r="BY337" s="132"/>
      <c r="BZ337" s="134"/>
      <c r="CA337" s="134"/>
      <c r="CB337" s="134"/>
      <c r="CC337" s="134"/>
      <c r="CD337" s="134"/>
      <c r="CE337" s="134"/>
      <c r="CF337" s="134"/>
      <c r="CG337" s="134"/>
      <c r="CH337" s="127"/>
      <c r="CI337" s="128" t="s">
        <v>397</v>
      </c>
      <c r="CJ337" s="134">
        <v>20</v>
      </c>
      <c r="CT337" s="135"/>
      <c r="CU337" s="135"/>
      <c r="CV337" s="135"/>
      <c r="CW337" s="135"/>
      <c r="CX337" s="135"/>
      <c r="CY337" s="135"/>
      <c r="CZ337" s="135"/>
      <c r="DA337" s="135"/>
      <c r="DB337" s="135"/>
      <c r="DC337" s="134"/>
    </row>
    <row r="338" spans="1:107" s="128" customFormat="1" x14ac:dyDescent="0.2">
      <c r="A338" s="184">
        <v>953</v>
      </c>
      <c r="B338" s="185">
        <v>31</v>
      </c>
      <c r="C338" s="185">
        <f t="shared" si="58"/>
        <v>9530031</v>
      </c>
      <c r="D338" s="185" t="s">
        <v>997</v>
      </c>
      <c r="E338" s="129" t="s">
        <v>977</v>
      </c>
      <c r="F338" s="129"/>
      <c r="G338" s="129"/>
      <c r="H338" s="129"/>
      <c r="I338" s="114" t="s">
        <v>486</v>
      </c>
      <c r="J338" s="114"/>
      <c r="K338" s="114"/>
      <c r="L338" s="114"/>
      <c r="M338" s="114"/>
      <c r="N338" s="114" t="s">
        <v>1650</v>
      </c>
      <c r="O338" s="114" t="s">
        <v>924</v>
      </c>
      <c r="P338" s="130"/>
      <c r="Q338" s="130" t="s">
        <v>2041</v>
      </c>
      <c r="R338" s="130"/>
      <c r="S338" s="130"/>
      <c r="T338" s="130" t="s">
        <v>948</v>
      </c>
      <c r="U338" s="117" t="s">
        <v>4651</v>
      </c>
      <c r="V338" s="114"/>
      <c r="W338" s="114" t="s">
        <v>137</v>
      </c>
      <c r="X338" s="114"/>
      <c r="Y338" s="128" t="s">
        <v>137</v>
      </c>
      <c r="Z338" s="114"/>
      <c r="AA338" s="114"/>
      <c r="AB338" s="114"/>
      <c r="AC338" s="114"/>
      <c r="AD338" s="114"/>
      <c r="AE338" s="130"/>
      <c r="AF338" s="130" t="s">
        <v>2041</v>
      </c>
      <c r="AG338" s="114"/>
      <c r="AI338" s="131"/>
      <c r="AJ338" s="131" t="s">
        <v>929</v>
      </c>
      <c r="AK338" s="132">
        <v>6472</v>
      </c>
      <c r="AL338" s="132"/>
      <c r="AM338" s="134"/>
      <c r="AN338" s="134"/>
      <c r="AO338" s="134"/>
      <c r="AP338" s="134"/>
      <c r="AQ338" s="134">
        <v>12</v>
      </c>
      <c r="AR338" s="134">
        <v>2500</v>
      </c>
      <c r="AS338" s="134">
        <v>3000</v>
      </c>
      <c r="AT338" s="134"/>
      <c r="AU338" s="131"/>
      <c r="AV338" s="131"/>
      <c r="AW338" s="132"/>
      <c r="AX338" s="132"/>
      <c r="AY338" s="132"/>
      <c r="AZ338" s="134"/>
      <c r="BA338" s="134"/>
      <c r="BB338" s="134"/>
      <c r="BC338" s="134"/>
      <c r="BD338" s="134"/>
      <c r="BE338" s="134"/>
      <c r="BF338" s="134"/>
      <c r="BG338" s="134"/>
      <c r="BH338" s="131"/>
      <c r="BI338" s="131"/>
      <c r="BJ338" s="131"/>
      <c r="BK338" s="132"/>
      <c r="BL338" s="132"/>
      <c r="BM338" s="134"/>
      <c r="BN338" s="134"/>
      <c r="BO338" s="134"/>
      <c r="BP338" s="134"/>
      <c r="BQ338" s="134"/>
      <c r="BR338" s="134"/>
      <c r="BS338" s="134"/>
      <c r="BT338" s="134"/>
      <c r="BU338" s="131"/>
      <c r="BV338" s="131"/>
      <c r="BW338" s="132"/>
      <c r="BX338" s="132"/>
      <c r="BY338" s="132"/>
      <c r="BZ338" s="134"/>
      <c r="CA338" s="134"/>
      <c r="CB338" s="134"/>
      <c r="CC338" s="134"/>
      <c r="CD338" s="134"/>
      <c r="CE338" s="134"/>
      <c r="CF338" s="134"/>
      <c r="CG338" s="134"/>
      <c r="CH338" s="127"/>
      <c r="CI338" s="128" t="s">
        <v>397</v>
      </c>
      <c r="CJ338" s="134">
        <v>25</v>
      </c>
      <c r="CT338" s="135"/>
      <c r="CU338" s="135"/>
      <c r="CV338" s="135"/>
      <c r="CW338" s="135"/>
      <c r="CX338" s="135"/>
      <c r="CY338" s="135"/>
      <c r="CZ338" s="135"/>
      <c r="DA338" s="135"/>
      <c r="DB338" s="135"/>
      <c r="DC338" s="134"/>
    </row>
    <row r="339" spans="1:107" s="128" customFormat="1" x14ac:dyDescent="0.2">
      <c r="A339" s="184">
        <v>954</v>
      </c>
      <c r="B339" s="185">
        <v>1</v>
      </c>
      <c r="C339" s="185">
        <f t="shared" si="58"/>
        <v>9540001</v>
      </c>
      <c r="D339" s="185" t="s">
        <v>998</v>
      </c>
      <c r="E339" s="129" t="s">
        <v>979</v>
      </c>
      <c r="F339" s="129"/>
      <c r="G339" s="129"/>
      <c r="H339" s="129"/>
      <c r="I339" s="114" t="s">
        <v>1126</v>
      </c>
      <c r="J339" s="114"/>
      <c r="K339" s="114"/>
      <c r="L339" s="114"/>
      <c r="M339" s="114"/>
      <c r="N339" s="114" t="s">
        <v>1650</v>
      </c>
      <c r="O339" s="114" t="s">
        <v>924</v>
      </c>
      <c r="P339" s="130"/>
      <c r="Q339" s="130" t="s">
        <v>2041</v>
      </c>
      <c r="R339" s="130"/>
      <c r="S339" s="130"/>
      <c r="T339" s="130" t="s">
        <v>948</v>
      </c>
      <c r="U339" s="117" t="s">
        <v>4652</v>
      </c>
      <c r="V339" s="114"/>
      <c r="W339" s="114" t="s">
        <v>137</v>
      </c>
      <c r="X339" s="114"/>
      <c r="Y339" s="128" t="s">
        <v>137</v>
      </c>
      <c r="Z339" s="114"/>
      <c r="AA339" s="114"/>
      <c r="AB339" s="114"/>
      <c r="AC339" s="114"/>
      <c r="AD339" s="114"/>
      <c r="AE339" s="130"/>
      <c r="AF339" s="130" t="s">
        <v>2041</v>
      </c>
      <c r="AG339" s="114"/>
      <c r="AI339" s="131"/>
      <c r="AJ339" s="131" t="s">
        <v>926</v>
      </c>
      <c r="AK339" s="132">
        <v>1571</v>
      </c>
      <c r="AL339" s="132"/>
      <c r="AM339" s="134"/>
      <c r="AN339" s="134"/>
      <c r="AO339" s="134"/>
      <c r="AP339" s="134"/>
      <c r="AQ339" s="134">
        <v>13</v>
      </c>
      <c r="AR339" s="134">
        <v>1000</v>
      </c>
      <c r="AS339" s="134">
        <v>3000</v>
      </c>
      <c r="AT339" s="134"/>
      <c r="AU339" s="131"/>
      <c r="AV339" s="131"/>
      <c r="AW339" s="132"/>
      <c r="AX339" s="132"/>
      <c r="AY339" s="132"/>
      <c r="AZ339" s="134"/>
      <c r="BA339" s="134"/>
      <c r="BB339" s="134"/>
      <c r="BC339" s="134"/>
      <c r="BD339" s="134"/>
      <c r="BE339" s="134"/>
      <c r="BF339" s="134"/>
      <c r="BG339" s="134"/>
      <c r="BH339" s="131"/>
      <c r="BI339" s="131"/>
      <c r="BJ339" s="131"/>
      <c r="BK339" s="132"/>
      <c r="BL339" s="132"/>
      <c r="BM339" s="134"/>
      <c r="BN339" s="134"/>
      <c r="BO339" s="134"/>
      <c r="BP339" s="134"/>
      <c r="BQ339" s="134"/>
      <c r="BR339" s="134"/>
      <c r="BS339" s="134"/>
      <c r="BT339" s="134"/>
      <c r="BU339" s="131"/>
      <c r="BV339" s="131"/>
      <c r="BW339" s="132"/>
      <c r="BX339" s="132"/>
      <c r="BY339" s="132"/>
      <c r="BZ339" s="134"/>
      <c r="CA339" s="134"/>
      <c r="CB339" s="134"/>
      <c r="CC339" s="134"/>
      <c r="CD339" s="134"/>
      <c r="CE339" s="134"/>
      <c r="CF339" s="134"/>
      <c r="CG339" s="134"/>
      <c r="CH339" s="127"/>
      <c r="CI339" s="128" t="s">
        <v>397</v>
      </c>
      <c r="CJ339" s="134">
        <v>10</v>
      </c>
      <c r="CT339" s="135"/>
      <c r="CU339" s="135"/>
      <c r="CV339" s="135"/>
      <c r="CW339" s="135"/>
      <c r="CX339" s="135"/>
      <c r="CY339" s="135"/>
      <c r="CZ339" s="135"/>
      <c r="DA339" s="135"/>
      <c r="DB339" s="135"/>
      <c r="DC339" s="134"/>
    </row>
    <row r="340" spans="1:107" s="128" customFormat="1" x14ac:dyDescent="0.2">
      <c r="A340" s="184">
        <v>954</v>
      </c>
      <c r="B340" s="185">
        <v>11</v>
      </c>
      <c r="C340" s="185">
        <f t="shared" si="58"/>
        <v>9540011</v>
      </c>
      <c r="D340" s="185" t="s">
        <v>999</v>
      </c>
      <c r="E340" s="129" t="s">
        <v>979</v>
      </c>
      <c r="F340" s="129"/>
      <c r="G340" s="129"/>
      <c r="H340" s="129"/>
      <c r="I340" s="114" t="s">
        <v>1126</v>
      </c>
      <c r="J340" s="114"/>
      <c r="K340" s="114"/>
      <c r="L340" s="114"/>
      <c r="M340" s="114"/>
      <c r="N340" s="114" t="s">
        <v>1650</v>
      </c>
      <c r="O340" s="114" t="s">
        <v>924</v>
      </c>
      <c r="P340" s="130"/>
      <c r="Q340" s="130" t="s">
        <v>2041</v>
      </c>
      <c r="R340" s="130"/>
      <c r="S340" s="130"/>
      <c r="T340" s="130" t="s">
        <v>948</v>
      </c>
      <c r="U340" s="117" t="s">
        <v>4653</v>
      </c>
      <c r="V340" s="114"/>
      <c r="W340" s="114" t="s">
        <v>137</v>
      </c>
      <c r="X340" s="114"/>
      <c r="Y340" s="128" t="s">
        <v>137</v>
      </c>
      <c r="Z340" s="114"/>
      <c r="AA340" s="114"/>
      <c r="AB340" s="114"/>
      <c r="AC340" s="114"/>
      <c r="AD340" s="114"/>
      <c r="AE340" s="130"/>
      <c r="AF340" s="130" t="s">
        <v>2041</v>
      </c>
      <c r="AG340" s="114"/>
      <c r="AI340" s="131"/>
      <c r="AJ340" s="132">
        <v>898</v>
      </c>
      <c r="AK340" s="132">
        <v>3592</v>
      </c>
      <c r="AL340" s="132"/>
      <c r="AM340" s="134"/>
      <c r="AN340" s="134"/>
      <c r="AO340" s="134"/>
      <c r="AP340" s="134"/>
      <c r="AQ340" s="134">
        <v>14</v>
      </c>
      <c r="AR340" s="134">
        <v>1500</v>
      </c>
      <c r="AS340" s="134">
        <v>3000</v>
      </c>
      <c r="AT340" s="134"/>
      <c r="AU340" s="131"/>
      <c r="AV340" s="131"/>
      <c r="AW340" s="132"/>
      <c r="AX340" s="132"/>
      <c r="AY340" s="132"/>
      <c r="AZ340" s="134"/>
      <c r="BA340" s="134"/>
      <c r="BB340" s="134"/>
      <c r="BC340" s="134"/>
      <c r="BD340" s="134"/>
      <c r="BE340" s="134"/>
      <c r="BF340" s="134"/>
      <c r="BG340" s="134"/>
      <c r="BH340" s="131"/>
      <c r="BI340" s="131"/>
      <c r="BJ340" s="131"/>
      <c r="BK340" s="132"/>
      <c r="BL340" s="132"/>
      <c r="BM340" s="134"/>
      <c r="BN340" s="134"/>
      <c r="BO340" s="134"/>
      <c r="BP340" s="134"/>
      <c r="BQ340" s="134"/>
      <c r="BR340" s="134"/>
      <c r="BS340" s="134"/>
      <c r="BT340" s="134"/>
      <c r="BU340" s="131"/>
      <c r="BV340" s="131"/>
      <c r="BW340" s="132"/>
      <c r="BX340" s="132"/>
      <c r="BY340" s="132"/>
      <c r="BZ340" s="134"/>
      <c r="CA340" s="134"/>
      <c r="CB340" s="134"/>
      <c r="CC340" s="134"/>
      <c r="CD340" s="134"/>
      <c r="CE340" s="134"/>
      <c r="CF340" s="134"/>
      <c r="CG340" s="134"/>
      <c r="CH340" s="127"/>
      <c r="CI340" s="128" t="s">
        <v>397</v>
      </c>
      <c r="CJ340" s="134">
        <v>15</v>
      </c>
      <c r="CT340" s="135"/>
      <c r="CU340" s="135"/>
      <c r="CV340" s="135"/>
      <c r="CW340" s="135"/>
      <c r="CX340" s="135"/>
      <c r="CY340" s="135"/>
      <c r="CZ340" s="135"/>
      <c r="DA340" s="135"/>
      <c r="DB340" s="135"/>
      <c r="DC340" s="134"/>
    </row>
    <row r="341" spans="1:107" s="128" customFormat="1" x14ac:dyDescent="0.2">
      <c r="A341" s="184">
        <v>954</v>
      </c>
      <c r="B341" s="185">
        <v>21</v>
      </c>
      <c r="C341" s="185">
        <f t="shared" si="58"/>
        <v>9540021</v>
      </c>
      <c r="D341" s="185" t="s">
        <v>1000</v>
      </c>
      <c r="E341" s="129" t="s">
        <v>979</v>
      </c>
      <c r="F341" s="129"/>
      <c r="G341" s="129"/>
      <c r="H341" s="129"/>
      <c r="I341" s="114" t="s">
        <v>1126</v>
      </c>
      <c r="J341" s="114"/>
      <c r="K341" s="114"/>
      <c r="L341" s="114"/>
      <c r="M341" s="114"/>
      <c r="N341" s="114" t="s">
        <v>1650</v>
      </c>
      <c r="O341" s="114" t="s">
        <v>924</v>
      </c>
      <c r="P341" s="130"/>
      <c r="Q341" s="130" t="s">
        <v>2041</v>
      </c>
      <c r="R341" s="130"/>
      <c r="S341" s="130"/>
      <c r="T341" s="130" t="s">
        <v>948</v>
      </c>
      <c r="U341" s="117" t="s">
        <v>4654</v>
      </c>
      <c r="V341" s="114"/>
      <c r="W341" s="114" t="s">
        <v>137</v>
      </c>
      <c r="X341" s="114"/>
      <c r="Y341" s="128" t="s">
        <v>137</v>
      </c>
      <c r="Z341" s="114"/>
      <c r="AA341" s="114"/>
      <c r="AB341" s="114"/>
      <c r="AC341" s="114"/>
      <c r="AD341" s="114"/>
      <c r="AE341" s="130"/>
      <c r="AF341" s="130" t="s">
        <v>2041</v>
      </c>
      <c r="AG341" s="114"/>
      <c r="AI341" s="131"/>
      <c r="AJ341" s="131" t="s">
        <v>928</v>
      </c>
      <c r="AK341" s="132">
        <v>4850</v>
      </c>
      <c r="AL341" s="132"/>
      <c r="AM341" s="134"/>
      <c r="AN341" s="134"/>
      <c r="AO341" s="134"/>
      <c r="AP341" s="134"/>
      <c r="AQ341" s="134">
        <v>15</v>
      </c>
      <c r="AR341" s="134">
        <v>2000</v>
      </c>
      <c r="AS341" s="134">
        <v>3000</v>
      </c>
      <c r="AT341" s="134"/>
      <c r="AU341" s="131"/>
      <c r="AV341" s="131"/>
      <c r="AW341" s="132"/>
      <c r="AX341" s="132"/>
      <c r="AY341" s="132"/>
      <c r="AZ341" s="134"/>
      <c r="BA341" s="134"/>
      <c r="BB341" s="134"/>
      <c r="BC341" s="134"/>
      <c r="BD341" s="134"/>
      <c r="BE341" s="134"/>
      <c r="BF341" s="134"/>
      <c r="BG341" s="134"/>
      <c r="BH341" s="131"/>
      <c r="BI341" s="131"/>
      <c r="BJ341" s="131"/>
      <c r="BK341" s="132"/>
      <c r="BL341" s="132"/>
      <c r="BM341" s="134"/>
      <c r="BN341" s="134"/>
      <c r="BO341" s="134"/>
      <c r="BP341" s="134"/>
      <c r="BQ341" s="134"/>
      <c r="BR341" s="134"/>
      <c r="BS341" s="134"/>
      <c r="BT341" s="134"/>
      <c r="BU341" s="131"/>
      <c r="BV341" s="131"/>
      <c r="BW341" s="132"/>
      <c r="BX341" s="132"/>
      <c r="BY341" s="132"/>
      <c r="BZ341" s="134"/>
      <c r="CA341" s="134"/>
      <c r="CB341" s="134"/>
      <c r="CC341" s="134"/>
      <c r="CD341" s="134"/>
      <c r="CE341" s="134"/>
      <c r="CF341" s="134"/>
      <c r="CG341" s="134"/>
      <c r="CH341" s="127"/>
      <c r="CI341" s="128" t="s">
        <v>397</v>
      </c>
      <c r="CJ341" s="134">
        <v>20</v>
      </c>
      <c r="CT341" s="135"/>
      <c r="CU341" s="135"/>
      <c r="CV341" s="135"/>
      <c r="CW341" s="135"/>
      <c r="CX341" s="135"/>
      <c r="CY341" s="135"/>
      <c r="CZ341" s="135"/>
      <c r="DA341" s="135"/>
      <c r="DB341" s="135"/>
      <c r="DC341" s="134"/>
    </row>
    <row r="342" spans="1:107" s="128" customFormat="1" x14ac:dyDescent="0.2">
      <c r="A342" s="184">
        <v>954</v>
      </c>
      <c r="B342" s="185">
        <v>31</v>
      </c>
      <c r="C342" s="185">
        <f t="shared" si="58"/>
        <v>9540031</v>
      </c>
      <c r="D342" s="185" t="s">
        <v>1001</v>
      </c>
      <c r="E342" s="129" t="s">
        <v>979</v>
      </c>
      <c r="F342" s="129"/>
      <c r="G342" s="129"/>
      <c r="H342" s="129"/>
      <c r="I342" s="114" t="s">
        <v>1126</v>
      </c>
      <c r="J342" s="114"/>
      <c r="K342" s="114"/>
      <c r="L342" s="114"/>
      <c r="M342" s="114"/>
      <c r="N342" s="114" t="s">
        <v>1650</v>
      </c>
      <c r="O342" s="114" t="s">
        <v>924</v>
      </c>
      <c r="P342" s="130"/>
      <c r="Q342" s="130" t="s">
        <v>2041</v>
      </c>
      <c r="R342" s="130"/>
      <c r="S342" s="130"/>
      <c r="T342" s="130" t="s">
        <v>948</v>
      </c>
      <c r="U342" s="117" t="s">
        <v>4655</v>
      </c>
      <c r="V342" s="114"/>
      <c r="W342" s="114" t="s">
        <v>137</v>
      </c>
      <c r="X342" s="114"/>
      <c r="Y342" s="128" t="s">
        <v>137</v>
      </c>
      <c r="Z342" s="114"/>
      <c r="AA342" s="114"/>
      <c r="AB342" s="114"/>
      <c r="AC342" s="114"/>
      <c r="AD342" s="114"/>
      <c r="AE342" s="130"/>
      <c r="AF342" s="130" t="s">
        <v>2041</v>
      </c>
      <c r="AG342" s="114"/>
      <c r="AI342" s="131"/>
      <c r="AJ342" s="131" t="s">
        <v>929</v>
      </c>
      <c r="AK342" s="132">
        <v>6472</v>
      </c>
      <c r="AL342" s="132"/>
      <c r="AM342" s="134"/>
      <c r="AN342" s="134"/>
      <c r="AO342" s="134"/>
      <c r="AP342" s="134"/>
      <c r="AQ342" s="134">
        <v>16</v>
      </c>
      <c r="AR342" s="134">
        <v>2500</v>
      </c>
      <c r="AS342" s="134">
        <v>3000</v>
      </c>
      <c r="AT342" s="134"/>
      <c r="AU342" s="131"/>
      <c r="AV342" s="131"/>
      <c r="AW342" s="132"/>
      <c r="AX342" s="132"/>
      <c r="AY342" s="132"/>
      <c r="AZ342" s="134"/>
      <c r="BA342" s="134"/>
      <c r="BB342" s="134"/>
      <c r="BC342" s="134"/>
      <c r="BD342" s="134"/>
      <c r="BE342" s="134"/>
      <c r="BF342" s="134"/>
      <c r="BG342" s="134"/>
      <c r="BH342" s="131"/>
      <c r="BI342" s="131"/>
      <c r="BJ342" s="131"/>
      <c r="BK342" s="132"/>
      <c r="BL342" s="132"/>
      <c r="BM342" s="134"/>
      <c r="BN342" s="134"/>
      <c r="BO342" s="134"/>
      <c r="BP342" s="134"/>
      <c r="BQ342" s="134"/>
      <c r="BR342" s="134"/>
      <c r="BS342" s="134"/>
      <c r="BT342" s="134"/>
      <c r="BU342" s="131"/>
      <c r="BV342" s="131"/>
      <c r="BW342" s="132"/>
      <c r="BX342" s="132"/>
      <c r="BY342" s="132"/>
      <c r="BZ342" s="134"/>
      <c r="CA342" s="134"/>
      <c r="CB342" s="134"/>
      <c r="CC342" s="134"/>
      <c r="CD342" s="134"/>
      <c r="CE342" s="134"/>
      <c r="CF342" s="134"/>
      <c r="CG342" s="134"/>
      <c r="CH342" s="127"/>
      <c r="CI342" s="128" t="s">
        <v>397</v>
      </c>
      <c r="CJ342" s="134">
        <v>25</v>
      </c>
      <c r="CT342" s="135"/>
      <c r="CU342" s="135"/>
      <c r="CV342" s="135"/>
      <c r="CW342" s="135"/>
      <c r="CX342" s="135"/>
      <c r="CY342" s="135"/>
      <c r="CZ342" s="135"/>
      <c r="DA342" s="135"/>
      <c r="DB342" s="135"/>
      <c r="DC342" s="134"/>
    </row>
    <row r="343" spans="1:107" s="128" customFormat="1" x14ac:dyDescent="0.2">
      <c r="A343" s="184">
        <v>955</v>
      </c>
      <c r="B343" s="185">
        <v>1</v>
      </c>
      <c r="C343" s="185">
        <f t="shared" si="58"/>
        <v>9550001</v>
      </c>
      <c r="D343" s="185" t="s">
        <v>1332</v>
      </c>
      <c r="E343" s="129" t="s">
        <v>1384</v>
      </c>
      <c r="F343" s="129"/>
      <c r="G343" s="129"/>
      <c r="H343" s="129"/>
      <c r="I343" s="114" t="s">
        <v>1331</v>
      </c>
      <c r="J343" s="114"/>
      <c r="K343" s="114"/>
      <c r="L343" s="114"/>
      <c r="M343" s="114"/>
      <c r="N343" s="114" t="s">
        <v>1650</v>
      </c>
      <c r="O343" s="114" t="s">
        <v>924</v>
      </c>
      <c r="P343" s="130"/>
      <c r="Q343" s="130" t="s">
        <v>2041</v>
      </c>
      <c r="R343" s="130"/>
      <c r="S343" s="130"/>
      <c r="T343" s="130" t="s">
        <v>948</v>
      </c>
      <c r="U343" s="117" t="s">
        <v>4656</v>
      </c>
      <c r="V343" s="114"/>
      <c r="W343" s="114" t="s">
        <v>137</v>
      </c>
      <c r="X343" s="114"/>
      <c r="Y343" s="128" t="s">
        <v>137</v>
      </c>
      <c r="Z343" s="114"/>
      <c r="AA343" s="114"/>
      <c r="AB343" s="114"/>
      <c r="AC343" s="114"/>
      <c r="AD343" s="114"/>
      <c r="AE343" s="130"/>
      <c r="AF343" s="130" t="s">
        <v>2041</v>
      </c>
      <c r="AG343" s="114"/>
      <c r="AI343" s="131"/>
      <c r="AJ343" s="131" t="s">
        <v>926</v>
      </c>
      <c r="AK343" s="132">
        <v>1571</v>
      </c>
      <c r="AL343" s="132"/>
      <c r="AM343" s="134"/>
      <c r="AN343" s="134"/>
      <c r="AO343" s="134"/>
      <c r="AP343" s="134"/>
      <c r="AQ343" s="134">
        <v>17</v>
      </c>
      <c r="AR343" s="134">
        <v>1000</v>
      </c>
      <c r="AS343" s="134">
        <v>3000</v>
      </c>
      <c r="AT343" s="134"/>
      <c r="AU343" s="131"/>
      <c r="AV343" s="131"/>
      <c r="AW343" s="132"/>
      <c r="AX343" s="132"/>
      <c r="AY343" s="132"/>
      <c r="AZ343" s="134"/>
      <c r="BA343" s="134"/>
      <c r="BB343" s="134"/>
      <c r="BC343" s="134"/>
      <c r="BD343" s="134"/>
      <c r="BE343" s="134"/>
      <c r="BF343" s="134"/>
      <c r="BG343" s="134"/>
      <c r="BH343" s="131"/>
      <c r="BI343" s="131"/>
      <c r="BJ343" s="131"/>
      <c r="BK343" s="132"/>
      <c r="BL343" s="132"/>
      <c r="BM343" s="134"/>
      <c r="BN343" s="134"/>
      <c r="BO343" s="134"/>
      <c r="BP343" s="134"/>
      <c r="BQ343" s="134"/>
      <c r="BR343" s="134"/>
      <c r="BS343" s="134"/>
      <c r="BT343" s="134"/>
      <c r="BU343" s="131"/>
      <c r="BV343" s="131"/>
      <c r="BW343" s="132"/>
      <c r="BX343" s="132"/>
      <c r="BY343" s="132"/>
      <c r="BZ343" s="134"/>
      <c r="CA343" s="134"/>
      <c r="CB343" s="134"/>
      <c r="CC343" s="134"/>
      <c r="CD343" s="134"/>
      <c r="CE343" s="134"/>
      <c r="CF343" s="134"/>
      <c r="CG343" s="134"/>
      <c r="CH343" s="127"/>
      <c r="CI343" s="128" t="s">
        <v>397</v>
      </c>
      <c r="CJ343" s="134">
        <v>10</v>
      </c>
      <c r="CT343" s="135"/>
      <c r="CU343" s="135"/>
      <c r="CV343" s="135"/>
      <c r="CW343" s="135"/>
      <c r="CX343" s="135"/>
      <c r="CY343" s="135"/>
      <c r="CZ343" s="135"/>
      <c r="DA343" s="135"/>
      <c r="DB343" s="135"/>
      <c r="DC343" s="134"/>
    </row>
    <row r="344" spans="1:107" s="128" customFormat="1" x14ac:dyDescent="0.2">
      <c r="A344" s="184">
        <v>955</v>
      </c>
      <c r="B344" s="185">
        <v>11</v>
      </c>
      <c r="C344" s="185">
        <f t="shared" si="58"/>
        <v>9550011</v>
      </c>
      <c r="D344" s="185" t="s">
        <v>1333</v>
      </c>
      <c r="E344" s="129" t="s">
        <v>1258</v>
      </c>
      <c r="F344" s="129"/>
      <c r="G344" s="129"/>
      <c r="H344" s="129"/>
      <c r="I344" s="114" t="s">
        <v>1331</v>
      </c>
      <c r="J344" s="114"/>
      <c r="K344" s="114"/>
      <c r="L344" s="114"/>
      <c r="M344" s="114"/>
      <c r="N344" s="114" t="s">
        <v>1650</v>
      </c>
      <c r="O344" s="114" t="s">
        <v>924</v>
      </c>
      <c r="P344" s="130"/>
      <c r="Q344" s="130" t="s">
        <v>2041</v>
      </c>
      <c r="R344" s="130"/>
      <c r="S344" s="130"/>
      <c r="T344" s="130" t="s">
        <v>948</v>
      </c>
      <c r="U344" s="117" t="s">
        <v>4657</v>
      </c>
      <c r="V344" s="114"/>
      <c r="W344" s="114" t="s">
        <v>137</v>
      </c>
      <c r="X344" s="114"/>
      <c r="Y344" s="128" t="s">
        <v>137</v>
      </c>
      <c r="Z344" s="114"/>
      <c r="AA344" s="114"/>
      <c r="AB344" s="114"/>
      <c r="AC344" s="114"/>
      <c r="AD344" s="114"/>
      <c r="AE344" s="130"/>
      <c r="AF344" s="130" t="s">
        <v>2041</v>
      </c>
      <c r="AG344" s="114"/>
      <c r="AI344" s="131"/>
      <c r="AJ344" s="132">
        <v>898</v>
      </c>
      <c r="AK344" s="132">
        <v>3592</v>
      </c>
      <c r="AL344" s="132"/>
      <c r="AM344" s="134"/>
      <c r="AN344" s="134"/>
      <c r="AO344" s="134"/>
      <c r="AP344" s="134"/>
      <c r="AQ344" s="134">
        <v>18</v>
      </c>
      <c r="AR344" s="134">
        <v>1500</v>
      </c>
      <c r="AS344" s="134">
        <v>3000</v>
      </c>
      <c r="AT344" s="134"/>
      <c r="AU344" s="131"/>
      <c r="AV344" s="131"/>
      <c r="AW344" s="132"/>
      <c r="AX344" s="132"/>
      <c r="AY344" s="132"/>
      <c r="AZ344" s="134"/>
      <c r="BA344" s="134"/>
      <c r="BB344" s="134"/>
      <c r="BC344" s="134"/>
      <c r="BD344" s="134"/>
      <c r="BE344" s="134"/>
      <c r="BF344" s="134"/>
      <c r="BG344" s="134"/>
      <c r="BH344" s="131"/>
      <c r="BI344" s="131"/>
      <c r="BJ344" s="131"/>
      <c r="BK344" s="132"/>
      <c r="BL344" s="132"/>
      <c r="BM344" s="134"/>
      <c r="BN344" s="134"/>
      <c r="BO344" s="134"/>
      <c r="BP344" s="134"/>
      <c r="BQ344" s="134"/>
      <c r="BR344" s="134"/>
      <c r="BS344" s="134"/>
      <c r="BT344" s="134"/>
      <c r="BU344" s="131"/>
      <c r="BV344" s="131"/>
      <c r="BW344" s="132"/>
      <c r="BX344" s="132"/>
      <c r="BY344" s="132"/>
      <c r="BZ344" s="134"/>
      <c r="CA344" s="134"/>
      <c r="CB344" s="134"/>
      <c r="CC344" s="134"/>
      <c r="CD344" s="134"/>
      <c r="CE344" s="134"/>
      <c r="CF344" s="134"/>
      <c r="CG344" s="134"/>
      <c r="CH344" s="127"/>
      <c r="CI344" s="128" t="s">
        <v>397</v>
      </c>
      <c r="CJ344" s="134">
        <v>15</v>
      </c>
      <c r="CT344" s="135"/>
      <c r="CU344" s="135"/>
      <c r="CV344" s="135"/>
      <c r="CW344" s="135"/>
      <c r="CX344" s="135"/>
      <c r="CY344" s="135"/>
      <c r="CZ344" s="135"/>
      <c r="DA344" s="135"/>
      <c r="DB344" s="135"/>
      <c r="DC344" s="134"/>
    </row>
    <row r="345" spans="1:107" s="128" customFormat="1" x14ac:dyDescent="0.2">
      <c r="A345" s="184">
        <v>955</v>
      </c>
      <c r="B345" s="185">
        <v>21</v>
      </c>
      <c r="C345" s="185">
        <f t="shared" si="58"/>
        <v>9550021</v>
      </c>
      <c r="D345" s="185" t="s">
        <v>1334</v>
      </c>
      <c r="E345" s="129" t="s">
        <v>1258</v>
      </c>
      <c r="F345" s="129"/>
      <c r="G345" s="129"/>
      <c r="H345" s="129"/>
      <c r="I345" s="114" t="s">
        <v>1331</v>
      </c>
      <c r="J345" s="114"/>
      <c r="K345" s="114"/>
      <c r="L345" s="114"/>
      <c r="M345" s="114"/>
      <c r="N345" s="114" t="s">
        <v>1650</v>
      </c>
      <c r="O345" s="114" t="s">
        <v>924</v>
      </c>
      <c r="P345" s="130"/>
      <c r="Q345" s="130" t="s">
        <v>2041</v>
      </c>
      <c r="R345" s="130"/>
      <c r="S345" s="130"/>
      <c r="T345" s="130" t="s">
        <v>948</v>
      </c>
      <c r="U345" s="117" t="s">
        <v>4658</v>
      </c>
      <c r="V345" s="114"/>
      <c r="W345" s="114" t="s">
        <v>137</v>
      </c>
      <c r="X345" s="114"/>
      <c r="Y345" s="128" t="s">
        <v>137</v>
      </c>
      <c r="Z345" s="114"/>
      <c r="AA345" s="114"/>
      <c r="AB345" s="114"/>
      <c r="AC345" s="114"/>
      <c r="AD345" s="114"/>
      <c r="AE345" s="130"/>
      <c r="AF345" s="130" t="s">
        <v>2041</v>
      </c>
      <c r="AG345" s="114"/>
      <c r="AI345" s="131"/>
      <c r="AJ345" s="131" t="s">
        <v>928</v>
      </c>
      <c r="AK345" s="132">
        <v>4850</v>
      </c>
      <c r="AL345" s="132"/>
      <c r="AM345" s="134"/>
      <c r="AN345" s="134"/>
      <c r="AO345" s="134"/>
      <c r="AP345" s="134"/>
      <c r="AQ345" s="134">
        <v>19</v>
      </c>
      <c r="AR345" s="134">
        <v>2000</v>
      </c>
      <c r="AS345" s="134">
        <v>3000</v>
      </c>
      <c r="AT345" s="134"/>
      <c r="AU345" s="131"/>
      <c r="AV345" s="131"/>
      <c r="AW345" s="132"/>
      <c r="AX345" s="132"/>
      <c r="AY345" s="132"/>
      <c r="AZ345" s="134"/>
      <c r="BA345" s="134"/>
      <c r="BB345" s="134"/>
      <c r="BC345" s="134"/>
      <c r="BD345" s="134"/>
      <c r="BE345" s="134"/>
      <c r="BF345" s="134"/>
      <c r="BG345" s="134"/>
      <c r="BH345" s="131"/>
      <c r="BI345" s="131"/>
      <c r="BJ345" s="131"/>
      <c r="BK345" s="132"/>
      <c r="BL345" s="132"/>
      <c r="BM345" s="134"/>
      <c r="BN345" s="134"/>
      <c r="BO345" s="134"/>
      <c r="BP345" s="134"/>
      <c r="BQ345" s="134"/>
      <c r="BR345" s="134"/>
      <c r="BS345" s="134"/>
      <c r="BT345" s="134"/>
      <c r="BU345" s="131"/>
      <c r="BV345" s="131"/>
      <c r="BW345" s="132"/>
      <c r="BX345" s="132"/>
      <c r="BY345" s="132"/>
      <c r="BZ345" s="134"/>
      <c r="CA345" s="134"/>
      <c r="CB345" s="134"/>
      <c r="CC345" s="134"/>
      <c r="CD345" s="134"/>
      <c r="CE345" s="134"/>
      <c r="CF345" s="134"/>
      <c r="CG345" s="134"/>
      <c r="CH345" s="127"/>
      <c r="CI345" s="128" t="s">
        <v>397</v>
      </c>
      <c r="CJ345" s="134">
        <v>20</v>
      </c>
      <c r="CT345" s="135"/>
      <c r="CU345" s="135"/>
      <c r="CV345" s="135"/>
      <c r="CW345" s="135"/>
      <c r="CX345" s="135"/>
      <c r="CY345" s="135"/>
      <c r="CZ345" s="135"/>
      <c r="DA345" s="135"/>
      <c r="DB345" s="135"/>
      <c r="DC345" s="134"/>
    </row>
    <row r="346" spans="1:107" s="128" customFormat="1" x14ac:dyDescent="0.2">
      <c r="A346" s="184">
        <v>955</v>
      </c>
      <c r="B346" s="185">
        <v>31</v>
      </c>
      <c r="C346" s="185">
        <f t="shared" si="58"/>
        <v>9550031</v>
      </c>
      <c r="D346" s="185" t="s">
        <v>1335</v>
      </c>
      <c r="E346" s="129" t="s">
        <v>1258</v>
      </c>
      <c r="F346" s="129"/>
      <c r="G346" s="129"/>
      <c r="H346" s="129"/>
      <c r="I346" s="114" t="s">
        <v>1331</v>
      </c>
      <c r="J346" s="114"/>
      <c r="K346" s="114"/>
      <c r="L346" s="114"/>
      <c r="M346" s="114"/>
      <c r="N346" s="114" t="s">
        <v>1650</v>
      </c>
      <c r="O346" s="114" t="s">
        <v>924</v>
      </c>
      <c r="P346" s="130"/>
      <c r="Q346" s="130" t="s">
        <v>2041</v>
      </c>
      <c r="R346" s="130"/>
      <c r="S346" s="130"/>
      <c r="T346" s="130" t="s">
        <v>948</v>
      </c>
      <c r="U346" s="117" t="s">
        <v>4659</v>
      </c>
      <c r="V346" s="114"/>
      <c r="W346" s="114" t="s">
        <v>137</v>
      </c>
      <c r="X346" s="114"/>
      <c r="Y346" s="128" t="s">
        <v>137</v>
      </c>
      <c r="Z346" s="114"/>
      <c r="AA346" s="114"/>
      <c r="AB346" s="114"/>
      <c r="AC346" s="114"/>
      <c r="AD346" s="114"/>
      <c r="AE346" s="130"/>
      <c r="AF346" s="130" t="s">
        <v>2041</v>
      </c>
      <c r="AG346" s="114"/>
      <c r="AI346" s="131"/>
      <c r="AJ346" s="131" t="s">
        <v>929</v>
      </c>
      <c r="AK346" s="132">
        <v>6472</v>
      </c>
      <c r="AL346" s="132"/>
      <c r="AM346" s="134"/>
      <c r="AN346" s="134"/>
      <c r="AO346" s="134"/>
      <c r="AP346" s="134"/>
      <c r="AQ346" s="134">
        <v>20</v>
      </c>
      <c r="AR346" s="134">
        <v>2500</v>
      </c>
      <c r="AS346" s="134">
        <v>3000</v>
      </c>
      <c r="AT346" s="134"/>
      <c r="AU346" s="131"/>
      <c r="AV346" s="131"/>
      <c r="AW346" s="132"/>
      <c r="AX346" s="132"/>
      <c r="AY346" s="132"/>
      <c r="AZ346" s="134"/>
      <c r="BA346" s="134"/>
      <c r="BB346" s="134"/>
      <c r="BC346" s="134"/>
      <c r="BD346" s="134"/>
      <c r="BE346" s="134"/>
      <c r="BF346" s="134"/>
      <c r="BG346" s="134"/>
      <c r="BH346" s="131"/>
      <c r="BI346" s="131"/>
      <c r="BJ346" s="131"/>
      <c r="BK346" s="132"/>
      <c r="BL346" s="132"/>
      <c r="BM346" s="134"/>
      <c r="BN346" s="134"/>
      <c r="BO346" s="134"/>
      <c r="BP346" s="134"/>
      <c r="BQ346" s="134"/>
      <c r="BR346" s="134"/>
      <c r="BS346" s="134"/>
      <c r="BT346" s="134"/>
      <c r="BU346" s="131"/>
      <c r="BV346" s="131"/>
      <c r="BW346" s="132"/>
      <c r="BX346" s="132"/>
      <c r="BY346" s="132"/>
      <c r="BZ346" s="134"/>
      <c r="CA346" s="134"/>
      <c r="CB346" s="134"/>
      <c r="CC346" s="134"/>
      <c r="CD346" s="134"/>
      <c r="CE346" s="134"/>
      <c r="CF346" s="134"/>
      <c r="CG346" s="134"/>
      <c r="CH346" s="127"/>
      <c r="CI346" s="128" t="s">
        <v>397</v>
      </c>
      <c r="CJ346" s="134">
        <v>25</v>
      </c>
      <c r="CT346" s="135"/>
      <c r="CU346" s="135"/>
      <c r="CV346" s="135"/>
      <c r="CW346" s="135"/>
      <c r="CX346" s="135"/>
      <c r="CY346" s="135"/>
      <c r="CZ346" s="135"/>
      <c r="DA346" s="135"/>
      <c r="DB346" s="135"/>
      <c r="DC346" s="134"/>
    </row>
    <row r="347" spans="1:107" s="128" customFormat="1" x14ac:dyDescent="0.2">
      <c r="A347" s="184">
        <v>956</v>
      </c>
      <c r="B347" s="185">
        <v>1</v>
      </c>
      <c r="C347" s="185">
        <f t="shared" si="58"/>
        <v>9560001</v>
      </c>
      <c r="D347" s="185" t="s">
        <v>1352</v>
      </c>
      <c r="E347" s="129" t="s">
        <v>1356</v>
      </c>
      <c r="F347" s="129"/>
      <c r="G347" s="129"/>
      <c r="H347" s="129"/>
      <c r="I347" s="114" t="s">
        <v>1331</v>
      </c>
      <c r="J347" s="114"/>
      <c r="K347" s="114"/>
      <c r="L347" s="114"/>
      <c r="M347" s="114"/>
      <c r="N347" s="114" t="s">
        <v>1650</v>
      </c>
      <c r="O347" s="114" t="s">
        <v>924</v>
      </c>
      <c r="P347" s="130"/>
      <c r="Q347" s="130" t="s">
        <v>2041</v>
      </c>
      <c r="R347" s="130"/>
      <c r="S347" s="130"/>
      <c r="T347" s="130" t="s">
        <v>948</v>
      </c>
      <c r="U347" s="117" t="s">
        <v>4660</v>
      </c>
      <c r="V347" s="114"/>
      <c r="W347" s="114" t="s">
        <v>137</v>
      </c>
      <c r="X347" s="114"/>
      <c r="Y347" s="128" t="s">
        <v>137</v>
      </c>
      <c r="Z347" s="114"/>
      <c r="AA347" s="114"/>
      <c r="AB347" s="114"/>
      <c r="AC347" s="114"/>
      <c r="AD347" s="114"/>
      <c r="AE347" s="130"/>
      <c r="AF347" s="130" t="s">
        <v>2041</v>
      </c>
      <c r="AG347" s="114"/>
      <c r="AI347" s="131"/>
      <c r="AJ347" s="131" t="s">
        <v>926</v>
      </c>
      <c r="AK347" s="132">
        <v>1571</v>
      </c>
      <c r="AL347" s="132"/>
      <c r="AM347" s="134"/>
      <c r="AN347" s="134"/>
      <c r="AO347" s="134"/>
      <c r="AP347" s="134"/>
      <c r="AQ347" s="134">
        <v>21</v>
      </c>
      <c r="AR347" s="134">
        <v>1000</v>
      </c>
      <c r="AS347" s="134">
        <v>3000</v>
      </c>
      <c r="AT347" s="134"/>
      <c r="AU347" s="131"/>
      <c r="AV347" s="131"/>
      <c r="AW347" s="132"/>
      <c r="AX347" s="132"/>
      <c r="AY347" s="132"/>
      <c r="AZ347" s="134"/>
      <c r="BA347" s="134"/>
      <c r="BB347" s="134"/>
      <c r="BC347" s="134"/>
      <c r="BD347" s="134"/>
      <c r="BE347" s="134"/>
      <c r="BF347" s="134"/>
      <c r="BG347" s="134"/>
      <c r="BH347" s="131"/>
      <c r="BI347" s="131"/>
      <c r="BJ347" s="131"/>
      <c r="BK347" s="132"/>
      <c r="BL347" s="132"/>
      <c r="BM347" s="134"/>
      <c r="BN347" s="134"/>
      <c r="BO347" s="134"/>
      <c r="BP347" s="134"/>
      <c r="BQ347" s="134"/>
      <c r="BR347" s="134"/>
      <c r="BS347" s="134"/>
      <c r="BT347" s="134"/>
      <c r="BU347" s="131"/>
      <c r="BV347" s="131"/>
      <c r="BW347" s="132"/>
      <c r="BX347" s="132"/>
      <c r="BY347" s="132"/>
      <c r="BZ347" s="134"/>
      <c r="CA347" s="134"/>
      <c r="CB347" s="134"/>
      <c r="CC347" s="134"/>
      <c r="CD347" s="134"/>
      <c r="CE347" s="134"/>
      <c r="CF347" s="134"/>
      <c r="CG347" s="134"/>
      <c r="CH347" s="127"/>
      <c r="CI347" s="128" t="s">
        <v>397</v>
      </c>
      <c r="CJ347" s="134">
        <v>10</v>
      </c>
      <c r="CT347" s="135"/>
      <c r="CU347" s="135"/>
      <c r="CV347" s="135"/>
      <c r="CW347" s="135"/>
      <c r="CX347" s="135"/>
      <c r="CY347" s="135"/>
      <c r="CZ347" s="135"/>
      <c r="DA347" s="135"/>
      <c r="DB347" s="135"/>
      <c r="DC347" s="134"/>
    </row>
    <row r="348" spans="1:107" s="128" customFormat="1" x14ac:dyDescent="0.2">
      <c r="A348" s="184">
        <v>956</v>
      </c>
      <c r="B348" s="185">
        <v>11</v>
      </c>
      <c r="C348" s="185">
        <f t="shared" si="58"/>
        <v>9560011</v>
      </c>
      <c r="D348" s="185" t="s">
        <v>1353</v>
      </c>
      <c r="E348" s="129" t="s">
        <v>1356</v>
      </c>
      <c r="F348" s="129"/>
      <c r="G348" s="129"/>
      <c r="H348" s="129"/>
      <c r="I348" s="114" t="s">
        <v>1331</v>
      </c>
      <c r="J348" s="114"/>
      <c r="K348" s="114"/>
      <c r="L348" s="114"/>
      <c r="M348" s="114"/>
      <c r="N348" s="114" t="s">
        <v>1650</v>
      </c>
      <c r="O348" s="114" t="s">
        <v>924</v>
      </c>
      <c r="P348" s="130"/>
      <c r="Q348" s="130" t="s">
        <v>2041</v>
      </c>
      <c r="R348" s="130"/>
      <c r="S348" s="130"/>
      <c r="T348" s="130" t="s">
        <v>948</v>
      </c>
      <c r="U348" s="117" t="s">
        <v>4661</v>
      </c>
      <c r="V348" s="114"/>
      <c r="W348" s="114" t="s">
        <v>137</v>
      </c>
      <c r="X348" s="114"/>
      <c r="Y348" s="128" t="s">
        <v>137</v>
      </c>
      <c r="Z348" s="114"/>
      <c r="AA348" s="114"/>
      <c r="AB348" s="114"/>
      <c r="AC348" s="114"/>
      <c r="AD348" s="114"/>
      <c r="AE348" s="130"/>
      <c r="AF348" s="130" t="s">
        <v>2041</v>
      </c>
      <c r="AG348" s="114"/>
      <c r="AI348" s="131"/>
      <c r="AJ348" s="132">
        <v>898</v>
      </c>
      <c r="AK348" s="132">
        <v>3592</v>
      </c>
      <c r="AL348" s="132"/>
      <c r="AM348" s="134"/>
      <c r="AN348" s="134"/>
      <c r="AO348" s="134"/>
      <c r="AP348" s="134"/>
      <c r="AQ348" s="134">
        <v>22</v>
      </c>
      <c r="AR348" s="134">
        <v>1500</v>
      </c>
      <c r="AS348" s="134">
        <v>3000</v>
      </c>
      <c r="AT348" s="134"/>
      <c r="AU348" s="131"/>
      <c r="AV348" s="131"/>
      <c r="AW348" s="132"/>
      <c r="AX348" s="132"/>
      <c r="AY348" s="132"/>
      <c r="AZ348" s="134"/>
      <c r="BA348" s="134"/>
      <c r="BB348" s="134"/>
      <c r="BC348" s="134"/>
      <c r="BD348" s="134"/>
      <c r="BE348" s="134"/>
      <c r="BF348" s="134"/>
      <c r="BG348" s="134"/>
      <c r="BH348" s="131"/>
      <c r="BI348" s="131"/>
      <c r="BJ348" s="131"/>
      <c r="BK348" s="132"/>
      <c r="BL348" s="132"/>
      <c r="BM348" s="134"/>
      <c r="BN348" s="134"/>
      <c r="BO348" s="134"/>
      <c r="BP348" s="134"/>
      <c r="BQ348" s="134"/>
      <c r="BR348" s="134"/>
      <c r="BS348" s="134"/>
      <c r="BT348" s="134"/>
      <c r="BU348" s="131"/>
      <c r="BV348" s="131"/>
      <c r="BW348" s="132"/>
      <c r="BX348" s="132"/>
      <c r="BY348" s="132"/>
      <c r="BZ348" s="134"/>
      <c r="CA348" s="134"/>
      <c r="CB348" s="134"/>
      <c r="CC348" s="134"/>
      <c r="CD348" s="134"/>
      <c r="CE348" s="134"/>
      <c r="CF348" s="134"/>
      <c r="CG348" s="134"/>
      <c r="CH348" s="127"/>
      <c r="CI348" s="128" t="s">
        <v>397</v>
      </c>
      <c r="CJ348" s="134">
        <v>15</v>
      </c>
      <c r="CT348" s="135"/>
      <c r="CU348" s="135"/>
      <c r="CV348" s="135"/>
      <c r="CW348" s="135"/>
      <c r="CX348" s="135"/>
      <c r="CY348" s="135"/>
      <c r="CZ348" s="135"/>
      <c r="DA348" s="135"/>
      <c r="DB348" s="135"/>
      <c r="DC348" s="134"/>
    </row>
    <row r="349" spans="1:107" s="128" customFormat="1" x14ac:dyDescent="0.2">
      <c r="A349" s="184">
        <v>956</v>
      </c>
      <c r="B349" s="185">
        <v>21</v>
      </c>
      <c r="C349" s="185">
        <f t="shared" si="58"/>
        <v>9560021</v>
      </c>
      <c r="D349" s="185" t="s">
        <v>1354</v>
      </c>
      <c r="E349" s="129" t="s">
        <v>1356</v>
      </c>
      <c r="F349" s="129"/>
      <c r="G349" s="129"/>
      <c r="H349" s="129"/>
      <c r="I349" s="114" t="s">
        <v>1331</v>
      </c>
      <c r="J349" s="114"/>
      <c r="K349" s="114"/>
      <c r="L349" s="114"/>
      <c r="M349" s="114"/>
      <c r="N349" s="114" t="s">
        <v>1650</v>
      </c>
      <c r="O349" s="114" t="s">
        <v>924</v>
      </c>
      <c r="P349" s="130"/>
      <c r="Q349" s="130" t="s">
        <v>2041</v>
      </c>
      <c r="R349" s="130"/>
      <c r="S349" s="130"/>
      <c r="T349" s="130" t="s">
        <v>948</v>
      </c>
      <c r="U349" s="117" t="s">
        <v>4662</v>
      </c>
      <c r="V349" s="114"/>
      <c r="W349" s="114" t="s">
        <v>137</v>
      </c>
      <c r="X349" s="114"/>
      <c r="Y349" s="128" t="s">
        <v>137</v>
      </c>
      <c r="Z349" s="114"/>
      <c r="AA349" s="114"/>
      <c r="AB349" s="114"/>
      <c r="AC349" s="114"/>
      <c r="AD349" s="114"/>
      <c r="AE349" s="130"/>
      <c r="AF349" s="130" t="s">
        <v>2041</v>
      </c>
      <c r="AG349" s="114"/>
      <c r="AI349" s="131"/>
      <c r="AJ349" s="131" t="s">
        <v>928</v>
      </c>
      <c r="AK349" s="132">
        <v>4850</v>
      </c>
      <c r="AL349" s="132"/>
      <c r="AM349" s="134"/>
      <c r="AN349" s="134"/>
      <c r="AO349" s="134"/>
      <c r="AP349" s="134"/>
      <c r="AQ349" s="134">
        <v>23</v>
      </c>
      <c r="AR349" s="134">
        <v>2000</v>
      </c>
      <c r="AS349" s="134">
        <v>3000</v>
      </c>
      <c r="AT349" s="134"/>
      <c r="AU349" s="131"/>
      <c r="AV349" s="131"/>
      <c r="AW349" s="132"/>
      <c r="AX349" s="132"/>
      <c r="AY349" s="132"/>
      <c r="AZ349" s="134"/>
      <c r="BA349" s="134"/>
      <c r="BB349" s="134"/>
      <c r="BC349" s="134"/>
      <c r="BD349" s="134"/>
      <c r="BE349" s="134"/>
      <c r="BF349" s="134"/>
      <c r="BG349" s="134"/>
      <c r="BH349" s="131"/>
      <c r="BI349" s="131"/>
      <c r="BJ349" s="131"/>
      <c r="BK349" s="132"/>
      <c r="BL349" s="132"/>
      <c r="BM349" s="134"/>
      <c r="BN349" s="134"/>
      <c r="BO349" s="134"/>
      <c r="BP349" s="134"/>
      <c r="BQ349" s="134"/>
      <c r="BR349" s="134"/>
      <c r="BS349" s="134"/>
      <c r="BT349" s="134"/>
      <c r="BU349" s="131"/>
      <c r="BV349" s="131"/>
      <c r="BW349" s="132"/>
      <c r="BX349" s="132"/>
      <c r="BY349" s="132"/>
      <c r="BZ349" s="134"/>
      <c r="CA349" s="134"/>
      <c r="CB349" s="134"/>
      <c r="CC349" s="134"/>
      <c r="CD349" s="134"/>
      <c r="CE349" s="134"/>
      <c r="CF349" s="134"/>
      <c r="CG349" s="134"/>
      <c r="CH349" s="127"/>
      <c r="CI349" s="128" t="s">
        <v>397</v>
      </c>
      <c r="CJ349" s="134">
        <v>20</v>
      </c>
      <c r="CT349" s="135"/>
      <c r="CU349" s="135"/>
      <c r="CV349" s="135"/>
      <c r="CW349" s="135"/>
      <c r="CX349" s="135"/>
      <c r="CY349" s="135"/>
      <c r="CZ349" s="135"/>
      <c r="DA349" s="135"/>
      <c r="DB349" s="135"/>
      <c r="DC349" s="134"/>
    </row>
    <row r="350" spans="1:107" s="128" customFormat="1" x14ac:dyDescent="0.2">
      <c r="A350" s="184">
        <v>956</v>
      </c>
      <c r="B350" s="185">
        <v>31</v>
      </c>
      <c r="C350" s="185">
        <f t="shared" si="58"/>
        <v>9560031</v>
      </c>
      <c r="D350" s="185" t="s">
        <v>1355</v>
      </c>
      <c r="E350" s="129" t="s">
        <v>1356</v>
      </c>
      <c r="F350" s="129"/>
      <c r="G350" s="129"/>
      <c r="H350" s="129"/>
      <c r="I350" s="114" t="s">
        <v>1331</v>
      </c>
      <c r="J350" s="114"/>
      <c r="K350" s="114"/>
      <c r="L350" s="114"/>
      <c r="M350" s="114"/>
      <c r="N350" s="114" t="s">
        <v>1650</v>
      </c>
      <c r="O350" s="114" t="s">
        <v>924</v>
      </c>
      <c r="P350" s="130"/>
      <c r="Q350" s="130" t="s">
        <v>2041</v>
      </c>
      <c r="R350" s="130"/>
      <c r="S350" s="130"/>
      <c r="T350" s="130" t="s">
        <v>948</v>
      </c>
      <c r="U350" s="117" t="s">
        <v>4663</v>
      </c>
      <c r="V350" s="114"/>
      <c r="W350" s="114" t="s">
        <v>137</v>
      </c>
      <c r="X350" s="114"/>
      <c r="Y350" s="128" t="s">
        <v>137</v>
      </c>
      <c r="Z350" s="114"/>
      <c r="AA350" s="114"/>
      <c r="AB350" s="114"/>
      <c r="AC350" s="114"/>
      <c r="AD350" s="114"/>
      <c r="AE350" s="130"/>
      <c r="AF350" s="130" t="s">
        <v>2041</v>
      </c>
      <c r="AG350" s="114"/>
      <c r="AI350" s="131"/>
      <c r="AJ350" s="131" t="s">
        <v>929</v>
      </c>
      <c r="AK350" s="132">
        <v>6472</v>
      </c>
      <c r="AL350" s="132"/>
      <c r="AM350" s="134"/>
      <c r="AN350" s="134"/>
      <c r="AO350" s="134"/>
      <c r="AP350" s="134"/>
      <c r="AQ350" s="134">
        <v>24</v>
      </c>
      <c r="AR350" s="134">
        <v>2500</v>
      </c>
      <c r="AS350" s="134">
        <v>3000</v>
      </c>
      <c r="AT350" s="134"/>
      <c r="AU350" s="131"/>
      <c r="AV350" s="131"/>
      <c r="AW350" s="132"/>
      <c r="AX350" s="132"/>
      <c r="AY350" s="132"/>
      <c r="AZ350" s="134"/>
      <c r="BA350" s="134"/>
      <c r="BB350" s="134"/>
      <c r="BC350" s="134"/>
      <c r="BD350" s="134"/>
      <c r="BE350" s="134"/>
      <c r="BF350" s="134"/>
      <c r="BG350" s="134"/>
      <c r="BH350" s="131"/>
      <c r="BI350" s="131"/>
      <c r="BJ350" s="131"/>
      <c r="BK350" s="132"/>
      <c r="BL350" s="132"/>
      <c r="BM350" s="134"/>
      <c r="BN350" s="134"/>
      <c r="BO350" s="134"/>
      <c r="BP350" s="134"/>
      <c r="BQ350" s="134"/>
      <c r="BR350" s="134"/>
      <c r="BS350" s="134"/>
      <c r="BT350" s="134"/>
      <c r="BU350" s="131"/>
      <c r="BV350" s="131"/>
      <c r="BW350" s="132"/>
      <c r="BX350" s="132"/>
      <c r="BY350" s="132"/>
      <c r="BZ350" s="134"/>
      <c r="CA350" s="134"/>
      <c r="CB350" s="134"/>
      <c r="CC350" s="134"/>
      <c r="CD350" s="134"/>
      <c r="CE350" s="134"/>
      <c r="CF350" s="134"/>
      <c r="CG350" s="134"/>
      <c r="CH350" s="127"/>
      <c r="CI350" s="128" t="s">
        <v>397</v>
      </c>
      <c r="CJ350" s="134">
        <v>25</v>
      </c>
      <c r="CT350" s="135"/>
      <c r="CU350" s="135"/>
      <c r="CV350" s="135"/>
      <c r="CW350" s="135"/>
      <c r="CX350" s="135"/>
      <c r="CY350" s="135"/>
      <c r="CZ350" s="135"/>
      <c r="DA350" s="135"/>
      <c r="DB350" s="135"/>
      <c r="DC350" s="134"/>
    </row>
    <row r="351" spans="1:107" s="128" customFormat="1" x14ac:dyDescent="0.2">
      <c r="A351" s="184">
        <v>957</v>
      </c>
      <c r="B351" s="185">
        <v>1</v>
      </c>
      <c r="C351" s="185">
        <f t="shared" si="58"/>
        <v>9570001</v>
      </c>
      <c r="D351" s="185" t="s">
        <v>1368</v>
      </c>
      <c r="E351" s="129" t="s">
        <v>1383</v>
      </c>
      <c r="F351" s="129"/>
      <c r="G351" s="129"/>
      <c r="H351" s="129"/>
      <c r="I351" s="114" t="s">
        <v>1331</v>
      </c>
      <c r="J351" s="114"/>
      <c r="K351" s="114"/>
      <c r="L351" s="114"/>
      <c r="M351" s="114"/>
      <c r="N351" s="114" t="s">
        <v>1650</v>
      </c>
      <c r="O351" s="114" t="s">
        <v>924</v>
      </c>
      <c r="P351" s="130"/>
      <c r="Q351" s="130" t="s">
        <v>2041</v>
      </c>
      <c r="R351" s="130"/>
      <c r="S351" s="130"/>
      <c r="T351" s="130" t="s">
        <v>948</v>
      </c>
      <c r="U351" s="117" t="s">
        <v>4664</v>
      </c>
      <c r="V351" s="114"/>
      <c r="W351" s="114" t="s">
        <v>137</v>
      </c>
      <c r="X351" s="114"/>
      <c r="Y351" s="128" t="s">
        <v>137</v>
      </c>
      <c r="Z351" s="114"/>
      <c r="AA351" s="114"/>
      <c r="AB351" s="114"/>
      <c r="AC351" s="114"/>
      <c r="AD351" s="114"/>
      <c r="AE351" s="130"/>
      <c r="AF351" s="130" t="s">
        <v>2041</v>
      </c>
      <c r="AG351" s="114"/>
      <c r="AI351" s="131"/>
      <c r="AJ351" s="131" t="s">
        <v>926</v>
      </c>
      <c r="AK351" s="132">
        <v>1571</v>
      </c>
      <c r="AL351" s="132"/>
      <c r="AM351" s="134"/>
      <c r="AN351" s="134"/>
      <c r="AO351" s="134"/>
      <c r="AP351" s="134"/>
      <c r="AQ351" s="134">
        <v>25</v>
      </c>
      <c r="AR351" s="134">
        <v>1000</v>
      </c>
      <c r="AS351" s="134">
        <v>3000</v>
      </c>
      <c r="AT351" s="134"/>
      <c r="AU351" s="131"/>
      <c r="AV351" s="131"/>
      <c r="AW351" s="132"/>
      <c r="AX351" s="132"/>
      <c r="AY351" s="132"/>
      <c r="AZ351" s="134"/>
      <c r="BA351" s="134"/>
      <c r="BB351" s="134"/>
      <c r="BC351" s="134"/>
      <c r="BD351" s="134"/>
      <c r="BE351" s="134"/>
      <c r="BF351" s="134"/>
      <c r="BG351" s="134"/>
      <c r="BH351" s="131"/>
      <c r="BI351" s="131"/>
      <c r="BJ351" s="131"/>
      <c r="BK351" s="132"/>
      <c r="BL351" s="132"/>
      <c r="BM351" s="134"/>
      <c r="BN351" s="134"/>
      <c r="BO351" s="134"/>
      <c r="BP351" s="134"/>
      <c r="BQ351" s="134"/>
      <c r="BR351" s="134"/>
      <c r="BS351" s="134"/>
      <c r="BT351" s="134"/>
      <c r="BU351" s="131"/>
      <c r="BV351" s="131"/>
      <c r="BW351" s="132"/>
      <c r="BX351" s="132"/>
      <c r="BY351" s="132"/>
      <c r="BZ351" s="134"/>
      <c r="CA351" s="134"/>
      <c r="CB351" s="134"/>
      <c r="CC351" s="134"/>
      <c r="CD351" s="134"/>
      <c r="CE351" s="134"/>
      <c r="CF351" s="134"/>
      <c r="CG351" s="134"/>
      <c r="CH351" s="127"/>
      <c r="CI351" s="128" t="s">
        <v>397</v>
      </c>
      <c r="CJ351" s="134">
        <v>10</v>
      </c>
      <c r="CT351" s="135"/>
      <c r="CU351" s="135"/>
      <c r="CV351" s="135"/>
      <c r="CW351" s="135"/>
      <c r="CX351" s="135"/>
      <c r="CY351" s="135"/>
      <c r="CZ351" s="135"/>
      <c r="DA351" s="135"/>
      <c r="DB351" s="135"/>
      <c r="DC351" s="134"/>
    </row>
    <row r="352" spans="1:107" s="128" customFormat="1" x14ac:dyDescent="0.2">
      <c r="A352" s="184">
        <v>957</v>
      </c>
      <c r="B352" s="185">
        <v>11</v>
      </c>
      <c r="C352" s="185">
        <f t="shared" si="58"/>
        <v>9570011</v>
      </c>
      <c r="D352" s="185" t="s">
        <v>1369</v>
      </c>
      <c r="E352" s="129" t="s">
        <v>1383</v>
      </c>
      <c r="F352" s="129"/>
      <c r="G352" s="129"/>
      <c r="H352" s="129"/>
      <c r="I352" s="114" t="s">
        <v>1331</v>
      </c>
      <c r="J352" s="114"/>
      <c r="K352" s="114"/>
      <c r="L352" s="114"/>
      <c r="M352" s="114"/>
      <c r="N352" s="114" t="s">
        <v>1650</v>
      </c>
      <c r="O352" s="114" t="s">
        <v>924</v>
      </c>
      <c r="P352" s="130"/>
      <c r="Q352" s="130" t="s">
        <v>2041</v>
      </c>
      <c r="R352" s="130"/>
      <c r="S352" s="130"/>
      <c r="T352" s="130" t="s">
        <v>948</v>
      </c>
      <c r="U352" s="117" t="s">
        <v>4665</v>
      </c>
      <c r="V352" s="114"/>
      <c r="W352" s="114" t="s">
        <v>137</v>
      </c>
      <c r="X352" s="114"/>
      <c r="Y352" s="128" t="s">
        <v>137</v>
      </c>
      <c r="Z352" s="114"/>
      <c r="AA352" s="114"/>
      <c r="AB352" s="114"/>
      <c r="AC352" s="114"/>
      <c r="AD352" s="114"/>
      <c r="AE352" s="130"/>
      <c r="AF352" s="130" t="s">
        <v>2041</v>
      </c>
      <c r="AG352" s="114"/>
      <c r="AI352" s="131"/>
      <c r="AJ352" s="132">
        <v>898</v>
      </c>
      <c r="AK352" s="132">
        <v>3592</v>
      </c>
      <c r="AL352" s="132"/>
      <c r="AM352" s="134"/>
      <c r="AN352" s="134"/>
      <c r="AO352" s="134"/>
      <c r="AP352" s="134"/>
      <c r="AQ352" s="134">
        <v>26</v>
      </c>
      <c r="AR352" s="134">
        <v>1500</v>
      </c>
      <c r="AS352" s="134">
        <v>3000</v>
      </c>
      <c r="AT352" s="134"/>
      <c r="AU352" s="131"/>
      <c r="AV352" s="131"/>
      <c r="AW352" s="132"/>
      <c r="AX352" s="132"/>
      <c r="AY352" s="132"/>
      <c r="AZ352" s="134"/>
      <c r="BA352" s="134"/>
      <c r="BB352" s="134"/>
      <c r="BC352" s="134"/>
      <c r="BD352" s="134"/>
      <c r="BE352" s="134"/>
      <c r="BF352" s="134"/>
      <c r="BG352" s="134"/>
      <c r="BH352" s="131"/>
      <c r="BI352" s="131"/>
      <c r="BJ352" s="131"/>
      <c r="BK352" s="132"/>
      <c r="BL352" s="132"/>
      <c r="BM352" s="134"/>
      <c r="BN352" s="134"/>
      <c r="BO352" s="134"/>
      <c r="BP352" s="134"/>
      <c r="BQ352" s="134"/>
      <c r="BR352" s="134"/>
      <c r="BS352" s="134"/>
      <c r="BT352" s="134"/>
      <c r="BU352" s="131"/>
      <c r="BV352" s="131"/>
      <c r="BW352" s="132"/>
      <c r="BX352" s="132"/>
      <c r="BY352" s="132"/>
      <c r="BZ352" s="134"/>
      <c r="CA352" s="134"/>
      <c r="CB352" s="134"/>
      <c r="CC352" s="134"/>
      <c r="CD352" s="134"/>
      <c r="CE352" s="134"/>
      <c r="CF352" s="134"/>
      <c r="CG352" s="134"/>
      <c r="CH352" s="127"/>
      <c r="CI352" s="128" t="s">
        <v>397</v>
      </c>
      <c r="CJ352" s="134">
        <v>15</v>
      </c>
      <c r="CT352" s="135"/>
      <c r="CU352" s="135"/>
      <c r="CV352" s="135"/>
      <c r="CW352" s="135"/>
      <c r="CX352" s="135"/>
      <c r="CY352" s="135"/>
      <c r="CZ352" s="135"/>
      <c r="DA352" s="135"/>
      <c r="DB352" s="135"/>
      <c r="DC352" s="134"/>
    </row>
    <row r="353" spans="1:107" s="128" customFormat="1" x14ac:dyDescent="0.2">
      <c r="A353" s="184">
        <v>957</v>
      </c>
      <c r="B353" s="185">
        <v>21</v>
      </c>
      <c r="C353" s="185">
        <f t="shared" si="58"/>
        <v>9570021</v>
      </c>
      <c r="D353" s="185" t="s">
        <v>1370</v>
      </c>
      <c r="E353" s="129" t="s">
        <v>1383</v>
      </c>
      <c r="F353" s="129"/>
      <c r="G353" s="129"/>
      <c r="H353" s="129"/>
      <c r="I353" s="114" t="s">
        <v>1331</v>
      </c>
      <c r="J353" s="114"/>
      <c r="K353" s="114"/>
      <c r="L353" s="114"/>
      <c r="M353" s="114"/>
      <c r="N353" s="114" t="s">
        <v>1650</v>
      </c>
      <c r="O353" s="114" t="s">
        <v>924</v>
      </c>
      <c r="P353" s="130"/>
      <c r="Q353" s="130" t="s">
        <v>2041</v>
      </c>
      <c r="R353" s="130"/>
      <c r="S353" s="130"/>
      <c r="T353" s="130" t="s">
        <v>948</v>
      </c>
      <c r="U353" s="117" t="s">
        <v>4666</v>
      </c>
      <c r="V353" s="114"/>
      <c r="W353" s="114" t="s">
        <v>137</v>
      </c>
      <c r="X353" s="114"/>
      <c r="Y353" s="128" t="s">
        <v>137</v>
      </c>
      <c r="Z353" s="114"/>
      <c r="AA353" s="114"/>
      <c r="AB353" s="114"/>
      <c r="AC353" s="114"/>
      <c r="AD353" s="114"/>
      <c r="AE353" s="130"/>
      <c r="AF353" s="130" t="s">
        <v>2041</v>
      </c>
      <c r="AG353" s="114"/>
      <c r="AI353" s="131"/>
      <c r="AJ353" s="131" t="s">
        <v>928</v>
      </c>
      <c r="AK353" s="132">
        <v>4850</v>
      </c>
      <c r="AL353" s="132"/>
      <c r="AM353" s="134"/>
      <c r="AN353" s="134"/>
      <c r="AO353" s="134"/>
      <c r="AP353" s="134"/>
      <c r="AQ353" s="134">
        <v>27</v>
      </c>
      <c r="AR353" s="134">
        <v>2000</v>
      </c>
      <c r="AS353" s="134">
        <v>3000</v>
      </c>
      <c r="AT353" s="134"/>
      <c r="AU353" s="131"/>
      <c r="AV353" s="131"/>
      <c r="AW353" s="132"/>
      <c r="AX353" s="132"/>
      <c r="AY353" s="132"/>
      <c r="AZ353" s="134"/>
      <c r="BA353" s="134"/>
      <c r="BB353" s="134"/>
      <c r="BC353" s="134"/>
      <c r="BD353" s="134"/>
      <c r="BE353" s="134"/>
      <c r="BF353" s="134"/>
      <c r="BG353" s="134"/>
      <c r="BH353" s="131"/>
      <c r="BI353" s="131"/>
      <c r="BJ353" s="131"/>
      <c r="BK353" s="132"/>
      <c r="BL353" s="132"/>
      <c r="BM353" s="134"/>
      <c r="BN353" s="134"/>
      <c r="BO353" s="134"/>
      <c r="BP353" s="134"/>
      <c r="BQ353" s="134"/>
      <c r="BR353" s="134"/>
      <c r="BS353" s="134"/>
      <c r="BT353" s="134"/>
      <c r="BU353" s="131"/>
      <c r="BV353" s="131"/>
      <c r="BW353" s="132"/>
      <c r="BX353" s="132"/>
      <c r="BY353" s="132"/>
      <c r="BZ353" s="134"/>
      <c r="CA353" s="134"/>
      <c r="CB353" s="134"/>
      <c r="CC353" s="134"/>
      <c r="CD353" s="134"/>
      <c r="CE353" s="134"/>
      <c r="CF353" s="134"/>
      <c r="CG353" s="134"/>
      <c r="CH353" s="127"/>
      <c r="CI353" s="128" t="s">
        <v>397</v>
      </c>
      <c r="CJ353" s="134">
        <v>20</v>
      </c>
      <c r="CT353" s="135"/>
      <c r="CU353" s="135"/>
      <c r="CV353" s="135"/>
      <c r="CW353" s="135"/>
      <c r="CX353" s="135"/>
      <c r="CY353" s="135"/>
      <c r="CZ353" s="135"/>
      <c r="DA353" s="135"/>
      <c r="DB353" s="135"/>
      <c r="DC353" s="134"/>
    </row>
    <row r="354" spans="1:107" s="128" customFormat="1" x14ac:dyDescent="0.2">
      <c r="A354" s="184">
        <v>957</v>
      </c>
      <c r="B354" s="185">
        <v>31</v>
      </c>
      <c r="C354" s="185">
        <f t="shared" si="58"/>
        <v>9570031</v>
      </c>
      <c r="D354" s="185" t="s">
        <v>1371</v>
      </c>
      <c r="E354" s="129" t="s">
        <v>1383</v>
      </c>
      <c r="F354" s="129"/>
      <c r="G354" s="129"/>
      <c r="H354" s="129"/>
      <c r="I354" s="114" t="s">
        <v>1331</v>
      </c>
      <c r="J354" s="114"/>
      <c r="K354" s="114"/>
      <c r="L354" s="114"/>
      <c r="M354" s="114"/>
      <c r="N354" s="114" t="s">
        <v>1650</v>
      </c>
      <c r="O354" s="114" t="s">
        <v>924</v>
      </c>
      <c r="P354" s="130"/>
      <c r="Q354" s="130" t="s">
        <v>2041</v>
      </c>
      <c r="R354" s="130"/>
      <c r="S354" s="130"/>
      <c r="T354" s="130" t="s">
        <v>948</v>
      </c>
      <c r="U354" s="117" t="s">
        <v>4667</v>
      </c>
      <c r="V354" s="114"/>
      <c r="W354" s="114" t="s">
        <v>137</v>
      </c>
      <c r="X354" s="114"/>
      <c r="Y354" s="128" t="s">
        <v>137</v>
      </c>
      <c r="Z354" s="114"/>
      <c r="AA354" s="114"/>
      <c r="AB354" s="114"/>
      <c r="AC354" s="114"/>
      <c r="AD354" s="114"/>
      <c r="AE354" s="130"/>
      <c r="AF354" s="130" t="s">
        <v>2041</v>
      </c>
      <c r="AG354" s="114"/>
      <c r="AI354" s="131"/>
      <c r="AJ354" s="131" t="s">
        <v>929</v>
      </c>
      <c r="AK354" s="132">
        <v>6472</v>
      </c>
      <c r="AL354" s="132"/>
      <c r="AM354" s="134"/>
      <c r="AN354" s="134"/>
      <c r="AO354" s="134"/>
      <c r="AP354" s="134"/>
      <c r="AQ354" s="134">
        <v>28</v>
      </c>
      <c r="AR354" s="134">
        <v>2500</v>
      </c>
      <c r="AS354" s="134">
        <v>3000</v>
      </c>
      <c r="AT354" s="134"/>
      <c r="AU354" s="131"/>
      <c r="AV354" s="131"/>
      <c r="AW354" s="132"/>
      <c r="AX354" s="132"/>
      <c r="AY354" s="132"/>
      <c r="AZ354" s="134"/>
      <c r="BA354" s="134"/>
      <c r="BB354" s="134"/>
      <c r="BC354" s="134"/>
      <c r="BD354" s="134"/>
      <c r="BE354" s="134"/>
      <c r="BF354" s="134"/>
      <c r="BG354" s="134"/>
      <c r="BH354" s="131"/>
      <c r="BI354" s="131"/>
      <c r="BJ354" s="131"/>
      <c r="BK354" s="132"/>
      <c r="BL354" s="132"/>
      <c r="BM354" s="134"/>
      <c r="BN354" s="134"/>
      <c r="BO354" s="134"/>
      <c r="BP354" s="134"/>
      <c r="BQ354" s="134"/>
      <c r="BR354" s="134"/>
      <c r="BS354" s="134"/>
      <c r="BT354" s="134"/>
      <c r="BU354" s="131"/>
      <c r="BV354" s="131"/>
      <c r="BW354" s="132"/>
      <c r="BX354" s="132"/>
      <c r="BY354" s="132"/>
      <c r="BZ354" s="134"/>
      <c r="CA354" s="134"/>
      <c r="CB354" s="134"/>
      <c r="CC354" s="134"/>
      <c r="CD354" s="134"/>
      <c r="CE354" s="134"/>
      <c r="CF354" s="134"/>
      <c r="CG354" s="134"/>
      <c r="CH354" s="127"/>
      <c r="CI354" s="128" t="s">
        <v>397</v>
      </c>
      <c r="CJ354" s="134">
        <v>25</v>
      </c>
      <c r="CT354" s="135"/>
      <c r="CU354" s="135"/>
      <c r="CV354" s="135"/>
      <c r="CW354" s="135"/>
      <c r="CX354" s="135"/>
      <c r="CY354" s="135"/>
      <c r="CZ354" s="135"/>
      <c r="DA354" s="135"/>
      <c r="DB354" s="135"/>
      <c r="DC354" s="134"/>
    </row>
    <row r="355" spans="1:107" s="128" customFormat="1" x14ac:dyDescent="0.2">
      <c r="A355" s="184">
        <v>958</v>
      </c>
      <c r="B355" s="185">
        <v>1</v>
      </c>
      <c r="C355" s="185">
        <f t="shared" si="58"/>
        <v>9580001</v>
      </c>
      <c r="D355" s="185" t="s">
        <v>1946</v>
      </c>
      <c r="E355" s="129" t="s">
        <v>2061</v>
      </c>
      <c r="F355" s="129"/>
      <c r="G355" s="129"/>
      <c r="H355" s="129"/>
      <c r="I355" s="114" t="s">
        <v>1331</v>
      </c>
      <c r="J355" s="114"/>
      <c r="K355" s="114"/>
      <c r="L355" s="114"/>
      <c r="M355" s="114"/>
      <c r="N355" s="114" t="s">
        <v>1650</v>
      </c>
      <c r="O355" s="114" t="s">
        <v>924</v>
      </c>
      <c r="P355" s="130"/>
      <c r="Q355" s="130" t="s">
        <v>2041</v>
      </c>
      <c r="R355" s="130"/>
      <c r="S355" s="130"/>
      <c r="T355" s="130" t="s">
        <v>948</v>
      </c>
      <c r="U355" s="117" t="s">
        <v>4668</v>
      </c>
      <c r="V355" s="114"/>
      <c r="W355" s="114" t="s">
        <v>137</v>
      </c>
      <c r="X355" s="114"/>
      <c r="Y355" s="128" t="s">
        <v>137</v>
      </c>
      <c r="Z355" s="114"/>
      <c r="AA355" s="114"/>
      <c r="AB355" s="114"/>
      <c r="AC355" s="114"/>
      <c r="AD355" s="114"/>
      <c r="AE355" s="130"/>
      <c r="AF355" s="130" t="s">
        <v>2041</v>
      </c>
      <c r="AG355" s="114"/>
      <c r="AI355" s="131"/>
      <c r="AJ355" s="131" t="s">
        <v>926</v>
      </c>
      <c r="AK355" s="132">
        <v>1571</v>
      </c>
      <c r="AL355" s="132"/>
      <c r="AM355" s="134"/>
      <c r="AN355" s="134"/>
      <c r="AO355" s="134"/>
      <c r="AP355" s="134"/>
      <c r="AQ355" s="134">
        <v>1</v>
      </c>
      <c r="AR355" s="134">
        <v>1000</v>
      </c>
      <c r="AS355" s="134">
        <v>3000</v>
      </c>
      <c r="AT355" s="134"/>
      <c r="AU355" s="131"/>
      <c r="AV355" s="131"/>
      <c r="AW355" s="132"/>
      <c r="AX355" s="132"/>
      <c r="AY355" s="132"/>
      <c r="AZ355" s="134"/>
      <c r="BA355" s="134"/>
      <c r="BB355" s="134"/>
      <c r="BC355" s="134"/>
      <c r="BD355" s="134"/>
      <c r="BE355" s="134"/>
      <c r="BF355" s="134"/>
      <c r="BG355" s="134"/>
      <c r="BH355" s="131"/>
      <c r="BI355" s="131"/>
      <c r="BJ355" s="131"/>
      <c r="BK355" s="132"/>
      <c r="BL355" s="132"/>
      <c r="BM355" s="134"/>
      <c r="BN355" s="134"/>
      <c r="BO355" s="134"/>
      <c r="BP355" s="134"/>
      <c r="BQ355" s="134"/>
      <c r="BR355" s="134"/>
      <c r="BS355" s="134"/>
      <c r="BT355" s="134"/>
      <c r="BU355" s="131"/>
      <c r="BV355" s="131"/>
      <c r="BW355" s="132"/>
      <c r="BX355" s="132"/>
      <c r="BY355" s="132"/>
      <c r="BZ355" s="134"/>
      <c r="CA355" s="134"/>
      <c r="CB355" s="134"/>
      <c r="CC355" s="134"/>
      <c r="CD355" s="134"/>
      <c r="CE355" s="134"/>
      <c r="CF355" s="134"/>
      <c r="CG355" s="134"/>
      <c r="CH355" s="127"/>
      <c r="CI355" s="128" t="s">
        <v>397</v>
      </c>
      <c r="CJ355" s="134">
        <v>10</v>
      </c>
      <c r="CT355" s="135"/>
      <c r="CU355" s="135"/>
      <c r="CV355" s="135"/>
      <c r="CW355" s="135"/>
      <c r="CX355" s="135"/>
      <c r="CY355" s="135"/>
      <c r="CZ355" s="135"/>
      <c r="DA355" s="135"/>
      <c r="DB355" s="135"/>
      <c r="DC355" s="134"/>
    </row>
    <row r="356" spans="1:107" s="128" customFormat="1" x14ac:dyDescent="0.2">
      <c r="A356" s="184">
        <v>958</v>
      </c>
      <c r="B356" s="185">
        <v>11</v>
      </c>
      <c r="C356" s="185">
        <f t="shared" si="58"/>
        <v>9580011</v>
      </c>
      <c r="D356" s="185" t="s">
        <v>1947</v>
      </c>
      <c r="E356" s="129" t="s">
        <v>2061</v>
      </c>
      <c r="F356" s="129"/>
      <c r="G356" s="129"/>
      <c r="H356" s="129"/>
      <c r="I356" s="114" t="s">
        <v>1331</v>
      </c>
      <c r="J356" s="114"/>
      <c r="K356" s="114"/>
      <c r="L356" s="114"/>
      <c r="M356" s="114"/>
      <c r="N356" s="114" t="s">
        <v>1650</v>
      </c>
      <c r="O356" s="114" t="s">
        <v>924</v>
      </c>
      <c r="P356" s="130"/>
      <c r="Q356" s="130" t="s">
        <v>2041</v>
      </c>
      <c r="R356" s="130"/>
      <c r="S356" s="130"/>
      <c r="T356" s="130" t="s">
        <v>948</v>
      </c>
      <c r="U356" s="117" t="s">
        <v>4669</v>
      </c>
      <c r="V356" s="114"/>
      <c r="W356" s="114" t="s">
        <v>137</v>
      </c>
      <c r="X356" s="114"/>
      <c r="Y356" s="128" t="s">
        <v>137</v>
      </c>
      <c r="Z356" s="114"/>
      <c r="AA356" s="114"/>
      <c r="AB356" s="114"/>
      <c r="AC356" s="114"/>
      <c r="AD356" s="114"/>
      <c r="AE356" s="130"/>
      <c r="AF356" s="130" t="s">
        <v>2041</v>
      </c>
      <c r="AG356" s="114"/>
      <c r="AI356" s="131"/>
      <c r="AJ356" s="132">
        <v>898</v>
      </c>
      <c r="AK356" s="132">
        <v>3592</v>
      </c>
      <c r="AL356" s="132"/>
      <c r="AM356" s="134"/>
      <c r="AN356" s="134"/>
      <c r="AO356" s="134"/>
      <c r="AP356" s="134"/>
      <c r="AQ356" s="134">
        <v>2</v>
      </c>
      <c r="AR356" s="134">
        <v>1500</v>
      </c>
      <c r="AS356" s="134">
        <v>3000</v>
      </c>
      <c r="AT356" s="134"/>
      <c r="AU356" s="131"/>
      <c r="AV356" s="131"/>
      <c r="AW356" s="132"/>
      <c r="AX356" s="132"/>
      <c r="AY356" s="132"/>
      <c r="AZ356" s="134"/>
      <c r="BA356" s="134"/>
      <c r="BB356" s="134"/>
      <c r="BC356" s="134"/>
      <c r="BD356" s="134"/>
      <c r="BE356" s="134"/>
      <c r="BF356" s="134"/>
      <c r="BG356" s="134"/>
      <c r="BH356" s="131"/>
      <c r="BI356" s="131"/>
      <c r="BJ356" s="131"/>
      <c r="BK356" s="132"/>
      <c r="BL356" s="132"/>
      <c r="BM356" s="134"/>
      <c r="BN356" s="134"/>
      <c r="BO356" s="134"/>
      <c r="BP356" s="134"/>
      <c r="BQ356" s="134"/>
      <c r="BR356" s="134"/>
      <c r="BS356" s="134"/>
      <c r="BT356" s="134"/>
      <c r="BU356" s="131"/>
      <c r="BV356" s="131"/>
      <c r="BW356" s="132"/>
      <c r="BX356" s="132"/>
      <c r="BY356" s="132"/>
      <c r="BZ356" s="134"/>
      <c r="CA356" s="134"/>
      <c r="CB356" s="134"/>
      <c r="CC356" s="134"/>
      <c r="CD356" s="134"/>
      <c r="CE356" s="134"/>
      <c r="CF356" s="134"/>
      <c r="CG356" s="134"/>
      <c r="CH356" s="127"/>
      <c r="CI356" s="128" t="s">
        <v>397</v>
      </c>
      <c r="CJ356" s="134">
        <v>15</v>
      </c>
      <c r="CT356" s="135"/>
      <c r="CU356" s="135"/>
      <c r="CV356" s="135"/>
      <c r="CW356" s="135"/>
      <c r="CX356" s="135"/>
      <c r="CY356" s="135"/>
      <c r="CZ356" s="135"/>
      <c r="DA356" s="135"/>
      <c r="DB356" s="135"/>
      <c r="DC356" s="134"/>
    </row>
    <row r="357" spans="1:107" s="128" customFormat="1" x14ac:dyDescent="0.2">
      <c r="A357" s="184">
        <v>958</v>
      </c>
      <c r="B357" s="185">
        <v>21</v>
      </c>
      <c r="C357" s="185">
        <f t="shared" si="58"/>
        <v>9580021</v>
      </c>
      <c r="D357" s="185" t="s">
        <v>1948</v>
      </c>
      <c r="E357" s="129" t="s">
        <v>2061</v>
      </c>
      <c r="F357" s="129"/>
      <c r="G357" s="129"/>
      <c r="H357" s="129"/>
      <c r="I357" s="114" t="s">
        <v>1331</v>
      </c>
      <c r="J357" s="114"/>
      <c r="K357" s="114"/>
      <c r="L357" s="114"/>
      <c r="M357" s="114"/>
      <c r="N357" s="114" t="s">
        <v>1650</v>
      </c>
      <c r="O357" s="114" t="s">
        <v>924</v>
      </c>
      <c r="P357" s="130"/>
      <c r="Q357" s="130" t="s">
        <v>2041</v>
      </c>
      <c r="R357" s="130"/>
      <c r="S357" s="130"/>
      <c r="T357" s="130" t="s">
        <v>948</v>
      </c>
      <c r="U357" s="117" t="s">
        <v>4670</v>
      </c>
      <c r="V357" s="114"/>
      <c r="W357" s="114" t="s">
        <v>137</v>
      </c>
      <c r="X357" s="114"/>
      <c r="Y357" s="128" t="s">
        <v>137</v>
      </c>
      <c r="Z357" s="114"/>
      <c r="AA357" s="114"/>
      <c r="AB357" s="114"/>
      <c r="AC357" s="114"/>
      <c r="AD357" s="114"/>
      <c r="AE357" s="130"/>
      <c r="AF357" s="130" t="s">
        <v>2041</v>
      </c>
      <c r="AG357" s="114"/>
      <c r="AI357" s="131"/>
      <c r="AJ357" s="131" t="s">
        <v>928</v>
      </c>
      <c r="AK357" s="132">
        <v>4850</v>
      </c>
      <c r="AL357" s="132"/>
      <c r="AM357" s="134"/>
      <c r="AN357" s="134"/>
      <c r="AO357" s="134"/>
      <c r="AP357" s="134"/>
      <c r="AQ357" s="134">
        <v>3</v>
      </c>
      <c r="AR357" s="134">
        <v>2000</v>
      </c>
      <c r="AS357" s="134">
        <v>3000</v>
      </c>
      <c r="AT357" s="134"/>
      <c r="AU357" s="131"/>
      <c r="AV357" s="131"/>
      <c r="AW357" s="132"/>
      <c r="AX357" s="132"/>
      <c r="AY357" s="132"/>
      <c r="AZ357" s="134"/>
      <c r="BA357" s="134"/>
      <c r="BB357" s="134"/>
      <c r="BC357" s="134"/>
      <c r="BD357" s="134"/>
      <c r="BE357" s="134"/>
      <c r="BF357" s="134"/>
      <c r="BG357" s="134"/>
      <c r="BH357" s="131"/>
      <c r="BI357" s="131"/>
      <c r="BJ357" s="131"/>
      <c r="BK357" s="132"/>
      <c r="BL357" s="132"/>
      <c r="BM357" s="134"/>
      <c r="BN357" s="134"/>
      <c r="BO357" s="134"/>
      <c r="BP357" s="134"/>
      <c r="BQ357" s="134"/>
      <c r="BR357" s="134"/>
      <c r="BS357" s="134"/>
      <c r="BT357" s="134"/>
      <c r="BU357" s="131"/>
      <c r="BV357" s="131"/>
      <c r="BW357" s="132"/>
      <c r="BX357" s="132"/>
      <c r="BY357" s="132"/>
      <c r="BZ357" s="134"/>
      <c r="CA357" s="134"/>
      <c r="CB357" s="134"/>
      <c r="CC357" s="134"/>
      <c r="CD357" s="134"/>
      <c r="CE357" s="134"/>
      <c r="CF357" s="134"/>
      <c r="CG357" s="134"/>
      <c r="CH357" s="127"/>
      <c r="CI357" s="128" t="s">
        <v>397</v>
      </c>
      <c r="CJ357" s="134">
        <v>20</v>
      </c>
      <c r="CT357" s="135"/>
      <c r="CU357" s="135"/>
      <c r="CV357" s="135"/>
      <c r="CW357" s="135"/>
      <c r="CX357" s="135"/>
      <c r="CY357" s="135"/>
      <c r="CZ357" s="135"/>
      <c r="DA357" s="135"/>
      <c r="DB357" s="135"/>
      <c r="DC357" s="134"/>
    </row>
    <row r="358" spans="1:107" s="128" customFormat="1" x14ac:dyDescent="0.2">
      <c r="A358" s="184">
        <v>958</v>
      </c>
      <c r="B358" s="185">
        <v>31</v>
      </c>
      <c r="C358" s="185">
        <f t="shared" si="58"/>
        <v>9580031</v>
      </c>
      <c r="D358" s="185" t="s">
        <v>1949</v>
      </c>
      <c r="E358" s="129" t="s">
        <v>2061</v>
      </c>
      <c r="F358" s="129"/>
      <c r="G358" s="129"/>
      <c r="H358" s="129"/>
      <c r="I358" s="114" t="s">
        <v>1331</v>
      </c>
      <c r="J358" s="114"/>
      <c r="K358" s="114"/>
      <c r="L358" s="114"/>
      <c r="M358" s="114"/>
      <c r="N358" s="114" t="s">
        <v>1650</v>
      </c>
      <c r="O358" s="114" t="s">
        <v>924</v>
      </c>
      <c r="P358" s="130"/>
      <c r="Q358" s="130" t="s">
        <v>2041</v>
      </c>
      <c r="R358" s="130"/>
      <c r="S358" s="130"/>
      <c r="T358" s="130" t="s">
        <v>948</v>
      </c>
      <c r="U358" s="117" t="s">
        <v>4671</v>
      </c>
      <c r="V358" s="114"/>
      <c r="W358" s="114" t="s">
        <v>137</v>
      </c>
      <c r="X358" s="114"/>
      <c r="Y358" s="128" t="s">
        <v>137</v>
      </c>
      <c r="Z358" s="114"/>
      <c r="AA358" s="114"/>
      <c r="AB358" s="114"/>
      <c r="AC358" s="114"/>
      <c r="AD358" s="114"/>
      <c r="AE358" s="130"/>
      <c r="AF358" s="130" t="s">
        <v>2041</v>
      </c>
      <c r="AG358" s="114"/>
      <c r="AI358" s="131"/>
      <c r="AJ358" s="131" t="s">
        <v>929</v>
      </c>
      <c r="AK358" s="132">
        <v>6472</v>
      </c>
      <c r="AL358" s="132"/>
      <c r="AM358" s="134"/>
      <c r="AN358" s="134"/>
      <c r="AO358" s="134"/>
      <c r="AP358" s="134"/>
      <c r="AQ358" s="134">
        <v>4</v>
      </c>
      <c r="AR358" s="134">
        <v>2500</v>
      </c>
      <c r="AS358" s="134">
        <v>3000</v>
      </c>
      <c r="AT358" s="134"/>
      <c r="AU358" s="131"/>
      <c r="AV358" s="131"/>
      <c r="AW358" s="132"/>
      <c r="AX358" s="132"/>
      <c r="AY358" s="132"/>
      <c r="AZ358" s="134"/>
      <c r="BA358" s="134"/>
      <c r="BB358" s="134"/>
      <c r="BC358" s="134"/>
      <c r="BD358" s="134"/>
      <c r="BE358" s="134"/>
      <c r="BF358" s="134"/>
      <c r="BG358" s="134"/>
      <c r="BH358" s="131"/>
      <c r="BI358" s="131"/>
      <c r="BJ358" s="131"/>
      <c r="BK358" s="132"/>
      <c r="BL358" s="132"/>
      <c r="BM358" s="134"/>
      <c r="BN358" s="134"/>
      <c r="BO358" s="134"/>
      <c r="BP358" s="134"/>
      <c r="BQ358" s="134"/>
      <c r="BR358" s="134"/>
      <c r="BS358" s="134"/>
      <c r="BT358" s="134"/>
      <c r="BU358" s="131"/>
      <c r="BV358" s="131"/>
      <c r="BW358" s="132"/>
      <c r="BX358" s="132"/>
      <c r="BY358" s="132"/>
      <c r="BZ358" s="134"/>
      <c r="CA358" s="134"/>
      <c r="CB358" s="134"/>
      <c r="CC358" s="134"/>
      <c r="CD358" s="134"/>
      <c r="CE358" s="134"/>
      <c r="CF358" s="134"/>
      <c r="CG358" s="134"/>
      <c r="CH358" s="127"/>
      <c r="CI358" s="128" t="s">
        <v>397</v>
      </c>
      <c r="CJ358" s="134">
        <v>25</v>
      </c>
      <c r="CT358" s="135"/>
      <c r="CU358" s="135"/>
      <c r="CV358" s="135"/>
      <c r="CW358" s="135"/>
      <c r="CX358" s="135"/>
      <c r="CY358" s="135"/>
      <c r="CZ358" s="135"/>
      <c r="DA358" s="135"/>
      <c r="DB358" s="135"/>
      <c r="DC358" s="134"/>
    </row>
    <row r="359" spans="1:107" s="14" customFormat="1" ht="21" customHeight="1" x14ac:dyDescent="0.3">
      <c r="A359" s="8"/>
      <c r="B359" s="8"/>
      <c r="C359" s="8"/>
      <c r="D359" s="8"/>
      <c r="E359" s="9" t="s">
        <v>4639</v>
      </c>
      <c r="F359" s="9"/>
      <c r="G359" s="9"/>
      <c r="H359" s="9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1"/>
      <c r="Z359" s="10"/>
      <c r="AA359" s="10"/>
      <c r="AB359" s="10"/>
      <c r="AC359" s="10"/>
      <c r="AD359" s="10"/>
      <c r="AE359" s="12"/>
      <c r="AF359" s="12"/>
      <c r="AG359" s="10"/>
      <c r="AH359" s="13"/>
      <c r="AI359" s="13"/>
      <c r="AJ359" s="13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3"/>
      <c r="AV359" s="13"/>
      <c r="AW359" s="13"/>
      <c r="AX359" s="31"/>
      <c r="AY359" s="31"/>
      <c r="AZ359" s="15"/>
      <c r="BA359" s="15"/>
      <c r="BB359" s="15"/>
      <c r="BC359" s="15"/>
      <c r="BD359" s="15"/>
      <c r="BE359" s="15"/>
      <c r="BF359" s="15"/>
      <c r="BG359" s="15"/>
      <c r="BH359" s="13"/>
      <c r="BI359" s="13"/>
      <c r="BJ359" s="13"/>
      <c r="BK359" s="31"/>
      <c r="BL359" s="31"/>
      <c r="BM359" s="15"/>
      <c r="BN359" s="15"/>
      <c r="BO359" s="15"/>
      <c r="BP359" s="15"/>
      <c r="BQ359" s="15"/>
      <c r="BR359" s="15"/>
      <c r="BS359" s="15"/>
      <c r="BT359" s="15"/>
      <c r="BU359" s="13"/>
      <c r="BV359" s="13"/>
      <c r="BW359" s="13"/>
      <c r="BX359" s="31"/>
      <c r="BY359" s="31"/>
      <c r="BZ359" s="15"/>
      <c r="CA359" s="15"/>
      <c r="CB359" s="15"/>
      <c r="CC359" s="15"/>
      <c r="CD359" s="15"/>
      <c r="CE359" s="15"/>
      <c r="CF359" s="15"/>
      <c r="CG359" s="15"/>
      <c r="CH359" s="10"/>
      <c r="CI359" s="8"/>
      <c r="CJ359" s="16"/>
      <c r="CK359" s="8"/>
      <c r="CT359" s="17"/>
      <c r="CU359" s="17"/>
      <c r="CV359" s="17"/>
      <c r="CW359" s="17"/>
      <c r="CX359" s="17"/>
      <c r="CY359" s="17"/>
      <c r="CZ359" s="17"/>
      <c r="DA359" s="17"/>
      <c r="DB359" s="17"/>
      <c r="DC359" s="15"/>
    </row>
    <row r="360" spans="1:107" s="128" customFormat="1" x14ac:dyDescent="0.2">
      <c r="A360" s="184">
        <v>961</v>
      </c>
      <c r="B360" s="185">
        <v>1</v>
      </c>
      <c r="C360" s="185">
        <f t="shared" ref="C360:C391" si="59">A360*10000+B360</f>
        <v>9610001</v>
      </c>
      <c r="D360" s="185" t="s">
        <v>986</v>
      </c>
      <c r="E360" s="129" t="s">
        <v>925</v>
      </c>
      <c r="F360" s="129"/>
      <c r="G360" s="129"/>
      <c r="H360" s="129"/>
      <c r="I360" s="114" t="s">
        <v>486</v>
      </c>
      <c r="J360" s="114"/>
      <c r="K360" s="114"/>
      <c r="L360" s="114"/>
      <c r="M360" s="114"/>
      <c r="N360" s="114" t="s">
        <v>1327</v>
      </c>
      <c r="O360" s="114" t="s">
        <v>1327</v>
      </c>
      <c r="P360" s="114"/>
      <c r="Q360" s="114" t="s">
        <v>2041</v>
      </c>
      <c r="R360" s="114"/>
      <c r="S360" s="114"/>
      <c r="T360" s="114" t="s">
        <v>2298</v>
      </c>
      <c r="U360" s="117" t="s">
        <v>4672</v>
      </c>
      <c r="V360" s="114" t="s">
        <v>1883</v>
      </c>
      <c r="W360" s="114" t="s">
        <v>137</v>
      </c>
      <c r="X360" s="114"/>
      <c r="Y360" s="128" t="s">
        <v>137</v>
      </c>
      <c r="Z360" s="114"/>
      <c r="AA360" s="114"/>
      <c r="AB360" s="114"/>
      <c r="AC360" s="114"/>
      <c r="AD360" s="114"/>
      <c r="AE360" s="130"/>
      <c r="AF360" s="130" t="s">
        <v>2043</v>
      </c>
      <c r="AG360" s="114"/>
      <c r="AI360" s="131"/>
      <c r="AJ360" s="131" t="s">
        <v>926</v>
      </c>
      <c r="AK360" s="132">
        <v>1571</v>
      </c>
      <c r="AL360" s="132"/>
      <c r="AM360" s="134"/>
      <c r="AN360" s="134"/>
      <c r="AO360" s="134"/>
      <c r="AP360" s="134"/>
      <c r="AQ360" s="134">
        <v>1</v>
      </c>
      <c r="AR360" s="134">
        <v>1000</v>
      </c>
      <c r="AS360" s="134">
        <v>3000</v>
      </c>
      <c r="AT360" s="134"/>
      <c r="AU360" s="131"/>
      <c r="AV360" s="131"/>
      <c r="AW360" s="132"/>
      <c r="AX360" s="132"/>
      <c r="AY360" s="132"/>
      <c r="AZ360" s="134"/>
      <c r="BA360" s="134"/>
      <c r="BB360" s="134"/>
      <c r="BC360" s="134"/>
      <c r="BD360" s="134"/>
      <c r="BE360" s="134"/>
      <c r="BF360" s="134"/>
      <c r="BG360" s="134"/>
      <c r="BH360" s="131"/>
      <c r="BI360" s="131"/>
      <c r="BJ360" s="131"/>
      <c r="BK360" s="132"/>
      <c r="BL360" s="132"/>
      <c r="BM360" s="134"/>
      <c r="BN360" s="134"/>
      <c r="BO360" s="134"/>
      <c r="BP360" s="134"/>
      <c r="BQ360" s="134"/>
      <c r="BR360" s="134"/>
      <c r="BS360" s="134"/>
      <c r="BT360" s="134"/>
      <c r="BU360" s="131"/>
      <c r="BV360" s="131"/>
      <c r="BW360" s="132"/>
      <c r="BX360" s="132"/>
      <c r="BY360" s="132"/>
      <c r="BZ360" s="134"/>
      <c r="CA360" s="134"/>
      <c r="CB360" s="134"/>
      <c r="CC360" s="134"/>
      <c r="CD360" s="134"/>
      <c r="CE360" s="134"/>
      <c r="CF360" s="134"/>
      <c r="CG360" s="134"/>
      <c r="CH360" s="127"/>
      <c r="CI360" s="128" t="s">
        <v>397</v>
      </c>
      <c r="CJ360" s="134">
        <v>10</v>
      </c>
      <c r="CT360" s="135"/>
      <c r="CU360" s="135"/>
      <c r="CV360" s="135"/>
      <c r="CW360" s="135"/>
      <c r="CX360" s="135"/>
      <c r="CY360" s="135"/>
      <c r="CZ360" s="135"/>
      <c r="DA360" s="135"/>
      <c r="DB360" s="135"/>
      <c r="DC360" s="134"/>
    </row>
    <row r="361" spans="1:107" s="128" customFormat="1" x14ac:dyDescent="0.2">
      <c r="A361" s="184">
        <v>961</v>
      </c>
      <c r="B361" s="185">
        <v>11</v>
      </c>
      <c r="C361" s="185">
        <f t="shared" si="59"/>
        <v>9610011</v>
      </c>
      <c r="D361" s="185" t="s">
        <v>987</v>
      </c>
      <c r="E361" s="129" t="s">
        <v>925</v>
      </c>
      <c r="F361" s="129"/>
      <c r="G361" s="129"/>
      <c r="H361" s="129"/>
      <c r="I361" s="114" t="s">
        <v>486</v>
      </c>
      <c r="J361" s="114"/>
      <c r="K361" s="114"/>
      <c r="L361" s="114"/>
      <c r="M361" s="114"/>
      <c r="N361" s="114" t="s">
        <v>1327</v>
      </c>
      <c r="O361" s="114" t="s">
        <v>1327</v>
      </c>
      <c r="P361" s="114"/>
      <c r="Q361" s="114" t="s">
        <v>2041</v>
      </c>
      <c r="R361" s="114"/>
      <c r="S361" s="114"/>
      <c r="T361" s="114" t="s">
        <v>2298</v>
      </c>
      <c r="U361" s="117" t="s">
        <v>4673</v>
      </c>
      <c r="V361" s="114" t="s">
        <v>1883</v>
      </c>
      <c r="W361" s="114" t="s">
        <v>137</v>
      </c>
      <c r="X361" s="114"/>
      <c r="Y361" s="128" t="s">
        <v>137</v>
      </c>
      <c r="Z361" s="114"/>
      <c r="AA361" s="114"/>
      <c r="AB361" s="114"/>
      <c r="AC361" s="114"/>
      <c r="AD361" s="114"/>
      <c r="AE361" s="130"/>
      <c r="AF361" s="130" t="s">
        <v>2043</v>
      </c>
      <c r="AG361" s="114"/>
      <c r="AI361" s="131"/>
      <c r="AJ361" s="131" t="s">
        <v>926</v>
      </c>
      <c r="AK361" s="132">
        <v>1571</v>
      </c>
      <c r="AL361" s="132"/>
      <c r="AM361" s="134"/>
      <c r="AN361" s="134"/>
      <c r="AO361" s="134"/>
      <c r="AP361" s="134"/>
      <c r="AQ361" s="134">
        <v>2</v>
      </c>
      <c r="AR361" s="134">
        <v>1500</v>
      </c>
      <c r="AS361" s="134">
        <v>3000</v>
      </c>
      <c r="AT361" s="134"/>
      <c r="AU361" s="131"/>
      <c r="AV361" s="131"/>
      <c r="AW361" s="132"/>
      <c r="AX361" s="132"/>
      <c r="AY361" s="132"/>
      <c r="AZ361" s="134"/>
      <c r="BA361" s="134"/>
      <c r="BB361" s="134"/>
      <c r="BC361" s="134"/>
      <c r="BD361" s="134"/>
      <c r="BE361" s="134"/>
      <c r="BF361" s="134"/>
      <c r="BG361" s="134"/>
      <c r="BH361" s="131"/>
      <c r="BI361" s="131"/>
      <c r="BJ361" s="131"/>
      <c r="BK361" s="132"/>
      <c r="BL361" s="132"/>
      <c r="BM361" s="134"/>
      <c r="BN361" s="134"/>
      <c r="BO361" s="134"/>
      <c r="BP361" s="134"/>
      <c r="BQ361" s="134"/>
      <c r="BR361" s="134"/>
      <c r="BS361" s="134"/>
      <c r="BT361" s="134"/>
      <c r="BU361" s="131"/>
      <c r="BV361" s="131"/>
      <c r="BW361" s="132"/>
      <c r="BX361" s="132"/>
      <c r="BY361" s="132"/>
      <c r="BZ361" s="134"/>
      <c r="CA361" s="134"/>
      <c r="CB361" s="134"/>
      <c r="CC361" s="134"/>
      <c r="CD361" s="134"/>
      <c r="CE361" s="134"/>
      <c r="CF361" s="134"/>
      <c r="CG361" s="134"/>
      <c r="CH361" s="127"/>
      <c r="CI361" s="128" t="s">
        <v>397</v>
      </c>
      <c r="CJ361" s="134">
        <v>15</v>
      </c>
      <c r="CT361" s="135"/>
      <c r="CU361" s="135"/>
      <c r="CV361" s="135"/>
      <c r="CW361" s="135"/>
      <c r="CX361" s="135"/>
      <c r="CY361" s="135"/>
      <c r="CZ361" s="135"/>
      <c r="DA361" s="135"/>
      <c r="DB361" s="135"/>
      <c r="DC361" s="134"/>
    </row>
    <row r="362" spans="1:107" s="128" customFormat="1" x14ac:dyDescent="0.2">
      <c r="A362" s="184">
        <v>961</v>
      </c>
      <c r="B362" s="185">
        <v>21</v>
      </c>
      <c r="C362" s="185">
        <f t="shared" si="59"/>
        <v>9610021</v>
      </c>
      <c r="D362" s="185" t="s">
        <v>988</v>
      </c>
      <c r="E362" s="129" t="s">
        <v>925</v>
      </c>
      <c r="F362" s="129"/>
      <c r="G362" s="129"/>
      <c r="H362" s="129"/>
      <c r="I362" s="114" t="s">
        <v>486</v>
      </c>
      <c r="J362" s="114"/>
      <c r="K362" s="114"/>
      <c r="L362" s="114"/>
      <c r="M362" s="114"/>
      <c r="N362" s="114" t="s">
        <v>1327</v>
      </c>
      <c r="O362" s="114" t="s">
        <v>1327</v>
      </c>
      <c r="P362" s="114"/>
      <c r="Q362" s="114" t="s">
        <v>2041</v>
      </c>
      <c r="R362" s="114"/>
      <c r="S362" s="114"/>
      <c r="T362" s="114" t="s">
        <v>2298</v>
      </c>
      <c r="U362" s="117" t="s">
        <v>4674</v>
      </c>
      <c r="V362" s="114" t="s">
        <v>1883</v>
      </c>
      <c r="W362" s="114" t="s">
        <v>137</v>
      </c>
      <c r="X362" s="114"/>
      <c r="Y362" s="128" t="s">
        <v>137</v>
      </c>
      <c r="Z362" s="114"/>
      <c r="AA362" s="114"/>
      <c r="AB362" s="114"/>
      <c r="AC362" s="114"/>
      <c r="AD362" s="114"/>
      <c r="AE362" s="130"/>
      <c r="AF362" s="130" t="s">
        <v>2043</v>
      </c>
      <c r="AG362" s="114"/>
      <c r="AI362" s="131"/>
      <c r="AJ362" s="131" t="s">
        <v>926</v>
      </c>
      <c r="AK362" s="132">
        <v>1571</v>
      </c>
      <c r="AL362" s="132"/>
      <c r="AM362" s="134"/>
      <c r="AN362" s="134"/>
      <c r="AO362" s="134"/>
      <c r="AP362" s="134"/>
      <c r="AQ362" s="134">
        <v>3</v>
      </c>
      <c r="AR362" s="134">
        <v>2000</v>
      </c>
      <c r="AS362" s="134">
        <v>3000</v>
      </c>
      <c r="AT362" s="134"/>
      <c r="AU362" s="131"/>
      <c r="AV362" s="131"/>
      <c r="AW362" s="132"/>
      <c r="AX362" s="132"/>
      <c r="AY362" s="132"/>
      <c r="AZ362" s="134"/>
      <c r="BA362" s="134"/>
      <c r="BB362" s="134"/>
      <c r="BC362" s="134"/>
      <c r="BD362" s="134"/>
      <c r="BE362" s="134"/>
      <c r="BF362" s="134"/>
      <c r="BG362" s="134"/>
      <c r="BH362" s="131"/>
      <c r="BI362" s="131"/>
      <c r="BJ362" s="131"/>
      <c r="BK362" s="132"/>
      <c r="BL362" s="132"/>
      <c r="BM362" s="134"/>
      <c r="BN362" s="134"/>
      <c r="BO362" s="134"/>
      <c r="BP362" s="134"/>
      <c r="BQ362" s="134"/>
      <c r="BR362" s="134"/>
      <c r="BS362" s="134"/>
      <c r="BT362" s="134"/>
      <c r="BU362" s="131"/>
      <c r="BV362" s="131"/>
      <c r="BW362" s="132"/>
      <c r="BX362" s="132"/>
      <c r="BY362" s="132"/>
      <c r="BZ362" s="134"/>
      <c r="CA362" s="134"/>
      <c r="CB362" s="134"/>
      <c r="CC362" s="134"/>
      <c r="CD362" s="134"/>
      <c r="CE362" s="134"/>
      <c r="CF362" s="134"/>
      <c r="CG362" s="134"/>
      <c r="CH362" s="127"/>
      <c r="CI362" s="128" t="s">
        <v>397</v>
      </c>
      <c r="CJ362" s="134">
        <v>20</v>
      </c>
      <c r="CT362" s="135"/>
      <c r="CU362" s="135"/>
      <c r="CV362" s="135"/>
      <c r="CW362" s="135"/>
      <c r="CX362" s="135"/>
      <c r="CY362" s="135"/>
      <c r="CZ362" s="135"/>
      <c r="DA362" s="135"/>
      <c r="DB362" s="135"/>
      <c r="DC362" s="134"/>
    </row>
    <row r="363" spans="1:107" s="128" customFormat="1" x14ac:dyDescent="0.2">
      <c r="A363" s="184">
        <v>961</v>
      </c>
      <c r="B363" s="185">
        <v>31</v>
      </c>
      <c r="C363" s="185">
        <f t="shared" si="59"/>
        <v>9610031</v>
      </c>
      <c r="D363" s="185" t="s">
        <v>989</v>
      </c>
      <c r="E363" s="129" t="s">
        <v>925</v>
      </c>
      <c r="F363" s="129"/>
      <c r="G363" s="129"/>
      <c r="H363" s="129"/>
      <c r="I363" s="114" t="s">
        <v>486</v>
      </c>
      <c r="J363" s="114"/>
      <c r="K363" s="114"/>
      <c r="L363" s="114"/>
      <c r="M363" s="114"/>
      <c r="N363" s="114" t="s">
        <v>1327</v>
      </c>
      <c r="O363" s="114" t="s">
        <v>1327</v>
      </c>
      <c r="P363" s="114"/>
      <c r="Q363" s="114" t="s">
        <v>2041</v>
      </c>
      <c r="R363" s="114"/>
      <c r="S363" s="114"/>
      <c r="T363" s="114" t="s">
        <v>2298</v>
      </c>
      <c r="U363" s="117" t="s">
        <v>4675</v>
      </c>
      <c r="V363" s="114" t="s">
        <v>1883</v>
      </c>
      <c r="W363" s="114" t="s">
        <v>137</v>
      </c>
      <c r="X363" s="114"/>
      <c r="Y363" s="128" t="s">
        <v>137</v>
      </c>
      <c r="Z363" s="114"/>
      <c r="AA363" s="114"/>
      <c r="AB363" s="114"/>
      <c r="AC363" s="114"/>
      <c r="AD363" s="114"/>
      <c r="AE363" s="130"/>
      <c r="AF363" s="130" t="s">
        <v>2043</v>
      </c>
      <c r="AG363" s="114"/>
      <c r="AI363" s="131"/>
      <c r="AJ363" s="131" t="s">
        <v>926</v>
      </c>
      <c r="AK363" s="132">
        <v>1571</v>
      </c>
      <c r="AL363" s="132"/>
      <c r="AM363" s="134"/>
      <c r="AN363" s="134"/>
      <c r="AO363" s="134"/>
      <c r="AP363" s="134"/>
      <c r="AQ363" s="134">
        <v>4</v>
      </c>
      <c r="AR363" s="134">
        <v>2500</v>
      </c>
      <c r="AS363" s="134">
        <v>3000</v>
      </c>
      <c r="AT363" s="134"/>
      <c r="AU363" s="131"/>
      <c r="AV363" s="131"/>
      <c r="AW363" s="132"/>
      <c r="AX363" s="132"/>
      <c r="AY363" s="132"/>
      <c r="AZ363" s="134"/>
      <c r="BA363" s="134"/>
      <c r="BB363" s="134"/>
      <c r="BC363" s="134"/>
      <c r="BD363" s="134"/>
      <c r="BE363" s="134"/>
      <c r="BF363" s="134"/>
      <c r="BG363" s="134"/>
      <c r="BH363" s="131"/>
      <c r="BI363" s="131"/>
      <c r="BJ363" s="131"/>
      <c r="BK363" s="132"/>
      <c r="BL363" s="132"/>
      <c r="BM363" s="134"/>
      <c r="BN363" s="134"/>
      <c r="BO363" s="134"/>
      <c r="BP363" s="134"/>
      <c r="BQ363" s="134"/>
      <c r="BR363" s="134"/>
      <c r="BS363" s="134"/>
      <c r="BT363" s="134"/>
      <c r="BU363" s="131"/>
      <c r="BV363" s="131"/>
      <c r="BW363" s="132"/>
      <c r="BX363" s="132"/>
      <c r="BY363" s="132"/>
      <c r="BZ363" s="134"/>
      <c r="CA363" s="134"/>
      <c r="CB363" s="134"/>
      <c r="CC363" s="134"/>
      <c r="CD363" s="134"/>
      <c r="CE363" s="134"/>
      <c r="CF363" s="134"/>
      <c r="CG363" s="134"/>
      <c r="CH363" s="127"/>
      <c r="CI363" s="128" t="s">
        <v>397</v>
      </c>
      <c r="CJ363" s="134">
        <v>25</v>
      </c>
      <c r="CT363" s="135"/>
      <c r="CU363" s="135"/>
      <c r="CV363" s="135"/>
      <c r="CW363" s="135"/>
      <c r="CX363" s="135"/>
      <c r="CY363" s="135"/>
      <c r="CZ363" s="135"/>
      <c r="DA363" s="135"/>
      <c r="DB363" s="135"/>
      <c r="DC363" s="134"/>
    </row>
    <row r="364" spans="1:107" s="128" customFormat="1" x14ac:dyDescent="0.2">
      <c r="A364" s="184">
        <v>962</v>
      </c>
      <c r="B364" s="185">
        <v>1</v>
      </c>
      <c r="C364" s="185">
        <f t="shared" si="59"/>
        <v>9620001</v>
      </c>
      <c r="D364" s="185" t="s">
        <v>990</v>
      </c>
      <c r="E364" s="129" t="s">
        <v>949</v>
      </c>
      <c r="F364" s="129"/>
      <c r="G364" s="129"/>
      <c r="H364" s="129"/>
      <c r="I364" s="114" t="s">
        <v>486</v>
      </c>
      <c r="J364" s="114"/>
      <c r="K364" s="114"/>
      <c r="L364" s="114"/>
      <c r="M364" s="114"/>
      <c r="N364" s="114" t="s">
        <v>1327</v>
      </c>
      <c r="O364" s="114" t="s">
        <v>1327</v>
      </c>
      <c r="P364" s="114"/>
      <c r="Q364" s="114" t="s">
        <v>2041</v>
      </c>
      <c r="R364" s="114"/>
      <c r="S364" s="114"/>
      <c r="T364" s="114" t="s">
        <v>2298</v>
      </c>
      <c r="U364" s="117" t="s">
        <v>4676</v>
      </c>
      <c r="V364" s="114" t="s">
        <v>1884</v>
      </c>
      <c r="W364" s="114" t="s">
        <v>137</v>
      </c>
      <c r="X364" s="114"/>
      <c r="Y364" s="128" t="s">
        <v>137</v>
      </c>
      <c r="Z364" s="114"/>
      <c r="AA364" s="114"/>
      <c r="AB364" s="114"/>
      <c r="AC364" s="114"/>
      <c r="AD364" s="114"/>
      <c r="AE364" s="130"/>
      <c r="AF364" s="130" t="s">
        <v>2043</v>
      </c>
      <c r="AG364" s="114"/>
      <c r="AI364" s="131"/>
      <c r="AJ364" s="131" t="s">
        <v>926</v>
      </c>
      <c r="AK364" s="132">
        <v>1571</v>
      </c>
      <c r="AL364" s="132"/>
      <c r="AM364" s="134"/>
      <c r="AN364" s="134"/>
      <c r="AO364" s="134"/>
      <c r="AP364" s="134"/>
      <c r="AQ364" s="134">
        <v>5</v>
      </c>
      <c r="AR364" s="134">
        <v>1000</v>
      </c>
      <c r="AS364" s="134">
        <v>3000</v>
      </c>
      <c r="AT364" s="134"/>
      <c r="AU364" s="131"/>
      <c r="AV364" s="131"/>
      <c r="AW364" s="132"/>
      <c r="AX364" s="132"/>
      <c r="AY364" s="132"/>
      <c r="AZ364" s="134"/>
      <c r="BA364" s="134"/>
      <c r="BB364" s="134"/>
      <c r="BC364" s="134"/>
      <c r="BD364" s="134"/>
      <c r="BE364" s="134"/>
      <c r="BF364" s="134"/>
      <c r="BG364" s="134"/>
      <c r="BH364" s="131"/>
      <c r="BI364" s="131"/>
      <c r="BJ364" s="131"/>
      <c r="BK364" s="132"/>
      <c r="BL364" s="132"/>
      <c r="BM364" s="134"/>
      <c r="BN364" s="134"/>
      <c r="BO364" s="134"/>
      <c r="BP364" s="134"/>
      <c r="BQ364" s="134"/>
      <c r="BR364" s="134"/>
      <c r="BS364" s="134"/>
      <c r="BT364" s="134"/>
      <c r="BU364" s="131"/>
      <c r="BV364" s="131"/>
      <c r="BW364" s="132"/>
      <c r="BX364" s="132"/>
      <c r="BY364" s="132"/>
      <c r="BZ364" s="134"/>
      <c r="CA364" s="134"/>
      <c r="CB364" s="134"/>
      <c r="CC364" s="134"/>
      <c r="CD364" s="134"/>
      <c r="CE364" s="134"/>
      <c r="CF364" s="134"/>
      <c r="CG364" s="134"/>
      <c r="CH364" s="127"/>
      <c r="CI364" s="128" t="s">
        <v>397</v>
      </c>
      <c r="CJ364" s="134">
        <v>10</v>
      </c>
      <c r="CT364" s="135"/>
      <c r="CU364" s="135"/>
      <c r="CV364" s="135"/>
      <c r="CW364" s="135"/>
      <c r="CX364" s="135"/>
      <c r="CY364" s="135"/>
      <c r="CZ364" s="135"/>
      <c r="DA364" s="135"/>
      <c r="DB364" s="135"/>
      <c r="DC364" s="134"/>
    </row>
    <row r="365" spans="1:107" s="128" customFormat="1" x14ac:dyDescent="0.2">
      <c r="A365" s="184">
        <v>962</v>
      </c>
      <c r="B365" s="185">
        <v>11</v>
      </c>
      <c r="C365" s="185">
        <f t="shared" si="59"/>
        <v>9620011</v>
      </c>
      <c r="D365" s="185" t="s">
        <v>991</v>
      </c>
      <c r="E365" s="129" t="s">
        <v>949</v>
      </c>
      <c r="F365" s="129"/>
      <c r="G365" s="129"/>
      <c r="H365" s="129"/>
      <c r="I365" s="114" t="s">
        <v>486</v>
      </c>
      <c r="J365" s="114"/>
      <c r="K365" s="114"/>
      <c r="L365" s="114"/>
      <c r="M365" s="114"/>
      <c r="N365" s="114" t="s">
        <v>1327</v>
      </c>
      <c r="O365" s="114" t="s">
        <v>1327</v>
      </c>
      <c r="P365" s="114"/>
      <c r="Q365" s="114" t="s">
        <v>2041</v>
      </c>
      <c r="R365" s="114"/>
      <c r="S365" s="114"/>
      <c r="T365" s="114" t="s">
        <v>2298</v>
      </c>
      <c r="U365" s="117" t="s">
        <v>4677</v>
      </c>
      <c r="V365" s="114" t="s">
        <v>1884</v>
      </c>
      <c r="W365" s="114" t="s">
        <v>137</v>
      </c>
      <c r="X365" s="114"/>
      <c r="Y365" s="128" t="s">
        <v>137</v>
      </c>
      <c r="Z365" s="114"/>
      <c r="AA365" s="114"/>
      <c r="AB365" s="114"/>
      <c r="AC365" s="114"/>
      <c r="AD365" s="114"/>
      <c r="AE365" s="130"/>
      <c r="AF365" s="130" t="s">
        <v>2043</v>
      </c>
      <c r="AG365" s="114"/>
      <c r="AI365" s="131"/>
      <c r="AJ365" s="131" t="s">
        <v>926</v>
      </c>
      <c r="AK365" s="132">
        <v>1571</v>
      </c>
      <c r="AL365" s="132"/>
      <c r="AM365" s="134"/>
      <c r="AN365" s="134"/>
      <c r="AO365" s="134"/>
      <c r="AP365" s="134"/>
      <c r="AQ365" s="134">
        <v>6</v>
      </c>
      <c r="AR365" s="134">
        <v>1500</v>
      </c>
      <c r="AS365" s="134">
        <v>3000</v>
      </c>
      <c r="AT365" s="134"/>
      <c r="AU365" s="131"/>
      <c r="AV365" s="131"/>
      <c r="AW365" s="132"/>
      <c r="AX365" s="132"/>
      <c r="AY365" s="132"/>
      <c r="AZ365" s="134"/>
      <c r="BA365" s="134"/>
      <c r="BB365" s="134"/>
      <c r="BC365" s="134"/>
      <c r="BD365" s="134"/>
      <c r="BE365" s="134"/>
      <c r="BF365" s="134"/>
      <c r="BG365" s="134"/>
      <c r="BH365" s="131"/>
      <c r="BI365" s="131"/>
      <c r="BJ365" s="131"/>
      <c r="BK365" s="132"/>
      <c r="BL365" s="132"/>
      <c r="BM365" s="134"/>
      <c r="BN365" s="134"/>
      <c r="BO365" s="134"/>
      <c r="BP365" s="134"/>
      <c r="BQ365" s="134"/>
      <c r="BR365" s="134"/>
      <c r="BS365" s="134"/>
      <c r="BT365" s="134"/>
      <c r="BU365" s="131"/>
      <c r="BV365" s="131"/>
      <c r="BW365" s="132"/>
      <c r="BX365" s="132"/>
      <c r="BY365" s="132"/>
      <c r="BZ365" s="134"/>
      <c r="CA365" s="134"/>
      <c r="CB365" s="134"/>
      <c r="CC365" s="134"/>
      <c r="CD365" s="134"/>
      <c r="CE365" s="134"/>
      <c r="CF365" s="134"/>
      <c r="CG365" s="134"/>
      <c r="CH365" s="127"/>
      <c r="CI365" s="128" t="s">
        <v>397</v>
      </c>
      <c r="CJ365" s="134">
        <v>15</v>
      </c>
      <c r="CT365" s="135"/>
      <c r="CU365" s="135"/>
      <c r="CV365" s="135"/>
      <c r="CW365" s="135"/>
      <c r="CX365" s="135"/>
      <c r="CY365" s="135"/>
      <c r="CZ365" s="135"/>
      <c r="DA365" s="135"/>
      <c r="DB365" s="135"/>
      <c r="DC365" s="134"/>
    </row>
    <row r="366" spans="1:107" s="128" customFormat="1" x14ac:dyDescent="0.2">
      <c r="A366" s="184">
        <v>962</v>
      </c>
      <c r="B366" s="185">
        <v>21</v>
      </c>
      <c r="C366" s="185">
        <f t="shared" si="59"/>
        <v>9620021</v>
      </c>
      <c r="D366" s="185" t="s">
        <v>992</v>
      </c>
      <c r="E366" s="129" t="s">
        <v>949</v>
      </c>
      <c r="F366" s="129"/>
      <c r="G366" s="129"/>
      <c r="H366" s="129"/>
      <c r="I366" s="114" t="s">
        <v>486</v>
      </c>
      <c r="J366" s="114"/>
      <c r="K366" s="114"/>
      <c r="L366" s="114"/>
      <c r="M366" s="114"/>
      <c r="N366" s="114" t="s">
        <v>1327</v>
      </c>
      <c r="O366" s="114" t="s">
        <v>1327</v>
      </c>
      <c r="P366" s="114"/>
      <c r="Q366" s="114" t="s">
        <v>2041</v>
      </c>
      <c r="R366" s="114"/>
      <c r="S366" s="114"/>
      <c r="T366" s="114" t="s">
        <v>2298</v>
      </c>
      <c r="U366" s="117" t="s">
        <v>4678</v>
      </c>
      <c r="V366" s="114" t="s">
        <v>1884</v>
      </c>
      <c r="W366" s="114" t="s">
        <v>137</v>
      </c>
      <c r="X366" s="114"/>
      <c r="Y366" s="128" t="s">
        <v>137</v>
      </c>
      <c r="Z366" s="114"/>
      <c r="AA366" s="114"/>
      <c r="AB366" s="114"/>
      <c r="AC366" s="114"/>
      <c r="AD366" s="114"/>
      <c r="AE366" s="130"/>
      <c r="AF366" s="130" t="s">
        <v>2043</v>
      </c>
      <c r="AG366" s="114"/>
      <c r="AI366" s="131"/>
      <c r="AJ366" s="131" t="s">
        <v>926</v>
      </c>
      <c r="AK366" s="132">
        <v>1571</v>
      </c>
      <c r="AL366" s="132"/>
      <c r="AM366" s="134"/>
      <c r="AN366" s="134"/>
      <c r="AO366" s="134"/>
      <c r="AP366" s="134"/>
      <c r="AQ366" s="134">
        <v>7</v>
      </c>
      <c r="AR366" s="134">
        <v>2000</v>
      </c>
      <c r="AS366" s="134">
        <v>3000</v>
      </c>
      <c r="AT366" s="134"/>
      <c r="AU366" s="131"/>
      <c r="AV366" s="131"/>
      <c r="AW366" s="132"/>
      <c r="AX366" s="132"/>
      <c r="AY366" s="132"/>
      <c r="AZ366" s="134"/>
      <c r="BA366" s="134"/>
      <c r="BB366" s="134"/>
      <c r="BC366" s="134"/>
      <c r="BD366" s="134"/>
      <c r="BE366" s="134"/>
      <c r="BF366" s="134"/>
      <c r="BG366" s="134"/>
      <c r="BH366" s="131"/>
      <c r="BI366" s="131"/>
      <c r="BJ366" s="131"/>
      <c r="BK366" s="132"/>
      <c r="BL366" s="132"/>
      <c r="BM366" s="134"/>
      <c r="BN366" s="134"/>
      <c r="BO366" s="134"/>
      <c r="BP366" s="134"/>
      <c r="BQ366" s="134"/>
      <c r="BR366" s="134"/>
      <c r="BS366" s="134"/>
      <c r="BT366" s="134"/>
      <c r="BU366" s="131"/>
      <c r="BV366" s="131"/>
      <c r="BW366" s="132"/>
      <c r="BX366" s="132"/>
      <c r="BY366" s="132"/>
      <c r="BZ366" s="134"/>
      <c r="CA366" s="134"/>
      <c r="CB366" s="134"/>
      <c r="CC366" s="134"/>
      <c r="CD366" s="134"/>
      <c r="CE366" s="134"/>
      <c r="CF366" s="134"/>
      <c r="CG366" s="134"/>
      <c r="CH366" s="127"/>
      <c r="CI366" s="128" t="s">
        <v>397</v>
      </c>
      <c r="CJ366" s="134">
        <v>20</v>
      </c>
      <c r="CT366" s="135"/>
      <c r="CU366" s="135"/>
      <c r="CV366" s="135"/>
      <c r="CW366" s="135"/>
      <c r="CX366" s="135"/>
      <c r="CY366" s="135"/>
      <c r="CZ366" s="135"/>
      <c r="DA366" s="135"/>
      <c r="DB366" s="135"/>
      <c r="DC366" s="134"/>
    </row>
    <row r="367" spans="1:107" s="128" customFormat="1" x14ac:dyDescent="0.2">
      <c r="A367" s="184">
        <v>962</v>
      </c>
      <c r="B367" s="185">
        <v>31</v>
      </c>
      <c r="C367" s="185">
        <f t="shared" si="59"/>
        <v>9620031</v>
      </c>
      <c r="D367" s="185" t="s">
        <v>993</v>
      </c>
      <c r="E367" s="129" t="s">
        <v>949</v>
      </c>
      <c r="F367" s="129"/>
      <c r="G367" s="129"/>
      <c r="H367" s="129"/>
      <c r="I367" s="114" t="s">
        <v>486</v>
      </c>
      <c r="J367" s="114"/>
      <c r="K367" s="114"/>
      <c r="L367" s="114"/>
      <c r="M367" s="114"/>
      <c r="N367" s="114" t="s">
        <v>1327</v>
      </c>
      <c r="O367" s="114" t="s">
        <v>1327</v>
      </c>
      <c r="P367" s="114"/>
      <c r="Q367" s="114" t="s">
        <v>2041</v>
      </c>
      <c r="R367" s="114"/>
      <c r="S367" s="114"/>
      <c r="T367" s="114" t="s">
        <v>2298</v>
      </c>
      <c r="U367" s="117" t="s">
        <v>4679</v>
      </c>
      <c r="V367" s="114" t="s">
        <v>1884</v>
      </c>
      <c r="W367" s="114" t="s">
        <v>137</v>
      </c>
      <c r="X367" s="114"/>
      <c r="Y367" s="128" t="s">
        <v>137</v>
      </c>
      <c r="Z367" s="114"/>
      <c r="AA367" s="114"/>
      <c r="AB367" s="114"/>
      <c r="AC367" s="114"/>
      <c r="AD367" s="114"/>
      <c r="AE367" s="130"/>
      <c r="AF367" s="130" t="s">
        <v>2043</v>
      </c>
      <c r="AG367" s="114"/>
      <c r="AI367" s="131"/>
      <c r="AJ367" s="131" t="s">
        <v>926</v>
      </c>
      <c r="AK367" s="132">
        <v>1571</v>
      </c>
      <c r="AL367" s="132"/>
      <c r="AM367" s="134"/>
      <c r="AN367" s="134"/>
      <c r="AO367" s="134"/>
      <c r="AP367" s="134"/>
      <c r="AQ367" s="134">
        <v>8</v>
      </c>
      <c r="AR367" s="134">
        <v>2500</v>
      </c>
      <c r="AS367" s="134">
        <v>3000</v>
      </c>
      <c r="AT367" s="134"/>
      <c r="AU367" s="131"/>
      <c r="AV367" s="131"/>
      <c r="AW367" s="132"/>
      <c r="AX367" s="132"/>
      <c r="AY367" s="132"/>
      <c r="AZ367" s="134"/>
      <c r="BA367" s="134"/>
      <c r="BB367" s="134"/>
      <c r="BC367" s="134"/>
      <c r="BD367" s="134"/>
      <c r="BE367" s="134"/>
      <c r="BF367" s="134"/>
      <c r="BG367" s="134"/>
      <c r="BH367" s="131"/>
      <c r="BI367" s="131"/>
      <c r="BJ367" s="131"/>
      <c r="BK367" s="132"/>
      <c r="BL367" s="132"/>
      <c r="BM367" s="134"/>
      <c r="BN367" s="134"/>
      <c r="BO367" s="134"/>
      <c r="BP367" s="134"/>
      <c r="BQ367" s="134"/>
      <c r="BR367" s="134"/>
      <c r="BS367" s="134"/>
      <c r="BT367" s="134"/>
      <c r="BU367" s="131"/>
      <c r="BV367" s="131"/>
      <c r="BW367" s="132"/>
      <c r="BX367" s="132"/>
      <c r="BY367" s="132"/>
      <c r="BZ367" s="134"/>
      <c r="CA367" s="134"/>
      <c r="CB367" s="134"/>
      <c r="CC367" s="134"/>
      <c r="CD367" s="134"/>
      <c r="CE367" s="134"/>
      <c r="CF367" s="134"/>
      <c r="CG367" s="134"/>
      <c r="CH367" s="127"/>
      <c r="CI367" s="128" t="s">
        <v>397</v>
      </c>
      <c r="CJ367" s="134">
        <v>25</v>
      </c>
      <c r="CT367" s="135"/>
      <c r="CU367" s="135"/>
      <c r="CV367" s="135"/>
      <c r="CW367" s="135"/>
      <c r="CX367" s="135"/>
      <c r="CY367" s="135"/>
      <c r="CZ367" s="135"/>
      <c r="DA367" s="135"/>
      <c r="DB367" s="135"/>
      <c r="DC367" s="134"/>
    </row>
    <row r="368" spans="1:107" s="128" customFormat="1" x14ac:dyDescent="0.2">
      <c r="A368" s="184">
        <v>963</v>
      </c>
      <c r="B368" s="185">
        <v>1</v>
      </c>
      <c r="C368" s="185">
        <f t="shared" si="59"/>
        <v>9630001</v>
      </c>
      <c r="D368" s="185" t="s">
        <v>994</v>
      </c>
      <c r="E368" s="129" t="s">
        <v>977</v>
      </c>
      <c r="F368" s="129"/>
      <c r="G368" s="129"/>
      <c r="H368" s="129"/>
      <c r="I368" s="114" t="s">
        <v>486</v>
      </c>
      <c r="J368" s="114"/>
      <c r="K368" s="114"/>
      <c r="L368" s="114"/>
      <c r="M368" s="114"/>
      <c r="N368" s="114" t="s">
        <v>1327</v>
      </c>
      <c r="O368" s="114" t="s">
        <v>1327</v>
      </c>
      <c r="P368" s="114"/>
      <c r="Q368" s="114" t="s">
        <v>2041</v>
      </c>
      <c r="R368" s="114"/>
      <c r="S368" s="114"/>
      <c r="T368" s="114" t="s">
        <v>2298</v>
      </c>
      <c r="U368" s="117" t="s">
        <v>4680</v>
      </c>
      <c r="V368" s="114" t="s">
        <v>1885</v>
      </c>
      <c r="W368" s="114" t="s">
        <v>137</v>
      </c>
      <c r="X368" s="114"/>
      <c r="Y368" s="128" t="s">
        <v>137</v>
      </c>
      <c r="Z368" s="114"/>
      <c r="AA368" s="114"/>
      <c r="AB368" s="114"/>
      <c r="AC368" s="114"/>
      <c r="AD368" s="114"/>
      <c r="AE368" s="130"/>
      <c r="AF368" s="130" t="s">
        <v>2043</v>
      </c>
      <c r="AG368" s="114"/>
      <c r="AI368" s="131"/>
      <c r="AJ368" s="131" t="s">
        <v>926</v>
      </c>
      <c r="AK368" s="132">
        <v>1571</v>
      </c>
      <c r="AL368" s="132"/>
      <c r="AM368" s="134"/>
      <c r="AN368" s="134"/>
      <c r="AO368" s="134"/>
      <c r="AP368" s="134"/>
      <c r="AQ368" s="134">
        <v>9</v>
      </c>
      <c r="AR368" s="134">
        <v>1000</v>
      </c>
      <c r="AS368" s="134">
        <v>3000</v>
      </c>
      <c r="AT368" s="134"/>
      <c r="AU368" s="131"/>
      <c r="AV368" s="131"/>
      <c r="AW368" s="132"/>
      <c r="AX368" s="132"/>
      <c r="AY368" s="132"/>
      <c r="AZ368" s="134"/>
      <c r="BA368" s="134"/>
      <c r="BB368" s="134"/>
      <c r="BC368" s="134"/>
      <c r="BD368" s="134"/>
      <c r="BE368" s="134"/>
      <c r="BF368" s="134"/>
      <c r="BG368" s="134"/>
      <c r="BH368" s="131"/>
      <c r="BI368" s="131"/>
      <c r="BJ368" s="131"/>
      <c r="BK368" s="132"/>
      <c r="BL368" s="132"/>
      <c r="BM368" s="134"/>
      <c r="BN368" s="134"/>
      <c r="BO368" s="134"/>
      <c r="BP368" s="134"/>
      <c r="BQ368" s="134"/>
      <c r="BR368" s="134"/>
      <c r="BS368" s="134"/>
      <c r="BT368" s="134"/>
      <c r="BU368" s="131"/>
      <c r="BV368" s="131"/>
      <c r="BW368" s="132"/>
      <c r="BX368" s="132"/>
      <c r="BY368" s="132"/>
      <c r="BZ368" s="134"/>
      <c r="CA368" s="134"/>
      <c r="CB368" s="134"/>
      <c r="CC368" s="134"/>
      <c r="CD368" s="134"/>
      <c r="CE368" s="134"/>
      <c r="CF368" s="134"/>
      <c r="CG368" s="134"/>
      <c r="CH368" s="127"/>
      <c r="CI368" s="128" t="s">
        <v>397</v>
      </c>
      <c r="CJ368" s="134">
        <v>10</v>
      </c>
      <c r="CT368" s="135"/>
      <c r="CU368" s="135"/>
      <c r="CV368" s="135"/>
      <c r="CW368" s="135"/>
      <c r="CX368" s="135"/>
      <c r="CY368" s="135"/>
      <c r="CZ368" s="135"/>
      <c r="DA368" s="135"/>
      <c r="DB368" s="135"/>
      <c r="DC368" s="134"/>
    </row>
    <row r="369" spans="1:107" s="128" customFormat="1" x14ac:dyDescent="0.2">
      <c r="A369" s="184">
        <v>963</v>
      </c>
      <c r="B369" s="185">
        <v>11</v>
      </c>
      <c r="C369" s="185">
        <f t="shared" si="59"/>
        <v>9630011</v>
      </c>
      <c r="D369" s="185" t="s">
        <v>995</v>
      </c>
      <c r="E369" s="129" t="s">
        <v>977</v>
      </c>
      <c r="F369" s="129"/>
      <c r="G369" s="129"/>
      <c r="H369" s="129"/>
      <c r="I369" s="114" t="s">
        <v>486</v>
      </c>
      <c r="J369" s="114"/>
      <c r="K369" s="114"/>
      <c r="L369" s="114"/>
      <c r="M369" s="114"/>
      <c r="N369" s="114" t="s">
        <v>1327</v>
      </c>
      <c r="O369" s="114" t="s">
        <v>1327</v>
      </c>
      <c r="P369" s="114"/>
      <c r="Q369" s="114" t="s">
        <v>2041</v>
      </c>
      <c r="R369" s="114"/>
      <c r="S369" s="114"/>
      <c r="T369" s="114" t="s">
        <v>2298</v>
      </c>
      <c r="U369" s="117" t="s">
        <v>4681</v>
      </c>
      <c r="V369" s="114" t="s">
        <v>1885</v>
      </c>
      <c r="W369" s="114" t="s">
        <v>137</v>
      </c>
      <c r="X369" s="114"/>
      <c r="Y369" s="128" t="s">
        <v>137</v>
      </c>
      <c r="Z369" s="114"/>
      <c r="AA369" s="114"/>
      <c r="AB369" s="114"/>
      <c r="AC369" s="114"/>
      <c r="AD369" s="114"/>
      <c r="AE369" s="130"/>
      <c r="AF369" s="130" t="s">
        <v>2043</v>
      </c>
      <c r="AG369" s="114"/>
      <c r="AI369" s="131"/>
      <c r="AJ369" s="131" t="s">
        <v>926</v>
      </c>
      <c r="AK369" s="132">
        <v>1571</v>
      </c>
      <c r="AL369" s="132"/>
      <c r="AM369" s="134"/>
      <c r="AN369" s="134"/>
      <c r="AO369" s="134"/>
      <c r="AP369" s="134"/>
      <c r="AQ369" s="134">
        <v>10</v>
      </c>
      <c r="AR369" s="134">
        <v>1500</v>
      </c>
      <c r="AS369" s="134">
        <v>3000</v>
      </c>
      <c r="AT369" s="134"/>
      <c r="AU369" s="131"/>
      <c r="AV369" s="131"/>
      <c r="AW369" s="132"/>
      <c r="AX369" s="132"/>
      <c r="AY369" s="132"/>
      <c r="AZ369" s="134"/>
      <c r="BA369" s="134"/>
      <c r="BB369" s="134"/>
      <c r="BC369" s="134"/>
      <c r="BD369" s="134"/>
      <c r="BE369" s="134"/>
      <c r="BF369" s="134"/>
      <c r="BG369" s="134"/>
      <c r="BH369" s="131"/>
      <c r="BI369" s="131"/>
      <c r="BJ369" s="131"/>
      <c r="BK369" s="132"/>
      <c r="BL369" s="132"/>
      <c r="BM369" s="134"/>
      <c r="BN369" s="134"/>
      <c r="BO369" s="134"/>
      <c r="BP369" s="134"/>
      <c r="BQ369" s="134"/>
      <c r="BR369" s="134"/>
      <c r="BS369" s="134"/>
      <c r="BT369" s="134"/>
      <c r="BU369" s="131"/>
      <c r="BV369" s="131"/>
      <c r="BW369" s="132"/>
      <c r="BX369" s="132"/>
      <c r="BY369" s="132"/>
      <c r="BZ369" s="134"/>
      <c r="CA369" s="134"/>
      <c r="CB369" s="134"/>
      <c r="CC369" s="134"/>
      <c r="CD369" s="134"/>
      <c r="CE369" s="134"/>
      <c r="CF369" s="134"/>
      <c r="CG369" s="134"/>
      <c r="CH369" s="127"/>
      <c r="CI369" s="128" t="s">
        <v>397</v>
      </c>
      <c r="CJ369" s="134">
        <v>15</v>
      </c>
      <c r="CT369" s="135"/>
      <c r="CU369" s="135"/>
      <c r="CV369" s="135"/>
      <c r="CW369" s="135"/>
      <c r="CX369" s="135"/>
      <c r="CY369" s="135"/>
      <c r="CZ369" s="135"/>
      <c r="DA369" s="135"/>
      <c r="DB369" s="135"/>
      <c r="DC369" s="134"/>
    </row>
    <row r="370" spans="1:107" s="128" customFormat="1" x14ac:dyDescent="0.2">
      <c r="A370" s="184">
        <v>963</v>
      </c>
      <c r="B370" s="185">
        <v>21</v>
      </c>
      <c r="C370" s="185">
        <f t="shared" si="59"/>
        <v>9630021</v>
      </c>
      <c r="D370" s="185" t="s">
        <v>996</v>
      </c>
      <c r="E370" s="129" t="s">
        <v>977</v>
      </c>
      <c r="F370" s="129"/>
      <c r="G370" s="129"/>
      <c r="H370" s="129"/>
      <c r="I370" s="114" t="s">
        <v>486</v>
      </c>
      <c r="J370" s="114"/>
      <c r="K370" s="114"/>
      <c r="L370" s="114"/>
      <c r="M370" s="114"/>
      <c r="N370" s="114" t="s">
        <v>1327</v>
      </c>
      <c r="O370" s="114" t="s">
        <v>1327</v>
      </c>
      <c r="P370" s="114"/>
      <c r="Q370" s="114" t="s">
        <v>2041</v>
      </c>
      <c r="R370" s="114"/>
      <c r="S370" s="114"/>
      <c r="T370" s="114" t="s">
        <v>2298</v>
      </c>
      <c r="U370" s="117" t="s">
        <v>4682</v>
      </c>
      <c r="V370" s="114" t="s">
        <v>1885</v>
      </c>
      <c r="W370" s="114" t="s">
        <v>137</v>
      </c>
      <c r="X370" s="114"/>
      <c r="Y370" s="128" t="s">
        <v>137</v>
      </c>
      <c r="Z370" s="114"/>
      <c r="AA370" s="114"/>
      <c r="AB370" s="114"/>
      <c r="AC370" s="114"/>
      <c r="AD370" s="114"/>
      <c r="AE370" s="130"/>
      <c r="AF370" s="130" t="s">
        <v>2043</v>
      </c>
      <c r="AG370" s="114"/>
      <c r="AI370" s="131"/>
      <c r="AJ370" s="131" t="s">
        <v>926</v>
      </c>
      <c r="AK370" s="132">
        <v>1571</v>
      </c>
      <c r="AL370" s="132"/>
      <c r="AM370" s="134"/>
      <c r="AN370" s="134"/>
      <c r="AO370" s="134"/>
      <c r="AP370" s="134"/>
      <c r="AQ370" s="134">
        <v>11</v>
      </c>
      <c r="AR370" s="134">
        <v>2000</v>
      </c>
      <c r="AS370" s="134">
        <v>3000</v>
      </c>
      <c r="AT370" s="134"/>
      <c r="AU370" s="131"/>
      <c r="AV370" s="131"/>
      <c r="AW370" s="132"/>
      <c r="AX370" s="132"/>
      <c r="AY370" s="132"/>
      <c r="AZ370" s="134"/>
      <c r="BA370" s="134"/>
      <c r="BB370" s="134"/>
      <c r="BC370" s="134"/>
      <c r="BD370" s="134"/>
      <c r="BE370" s="134"/>
      <c r="BF370" s="134"/>
      <c r="BG370" s="134"/>
      <c r="BH370" s="131"/>
      <c r="BI370" s="131"/>
      <c r="BJ370" s="131"/>
      <c r="BK370" s="132"/>
      <c r="BL370" s="132"/>
      <c r="BM370" s="134"/>
      <c r="BN370" s="134"/>
      <c r="BO370" s="134"/>
      <c r="BP370" s="134"/>
      <c r="BQ370" s="134"/>
      <c r="BR370" s="134"/>
      <c r="BS370" s="134"/>
      <c r="BT370" s="134"/>
      <c r="BU370" s="131"/>
      <c r="BV370" s="131"/>
      <c r="BW370" s="132"/>
      <c r="BX370" s="132"/>
      <c r="BY370" s="132"/>
      <c r="BZ370" s="134"/>
      <c r="CA370" s="134"/>
      <c r="CB370" s="134"/>
      <c r="CC370" s="134"/>
      <c r="CD370" s="134"/>
      <c r="CE370" s="134"/>
      <c r="CF370" s="134"/>
      <c r="CG370" s="134"/>
      <c r="CH370" s="127"/>
      <c r="CI370" s="128" t="s">
        <v>397</v>
      </c>
      <c r="CJ370" s="134">
        <v>20</v>
      </c>
      <c r="CT370" s="135"/>
      <c r="CU370" s="135"/>
      <c r="CV370" s="135"/>
      <c r="CW370" s="135"/>
      <c r="CX370" s="135"/>
      <c r="CY370" s="135"/>
      <c r="CZ370" s="135"/>
      <c r="DA370" s="135"/>
      <c r="DB370" s="135"/>
      <c r="DC370" s="134"/>
    </row>
    <row r="371" spans="1:107" s="128" customFormat="1" x14ac:dyDescent="0.2">
      <c r="A371" s="184">
        <v>963</v>
      </c>
      <c r="B371" s="185">
        <v>31</v>
      </c>
      <c r="C371" s="185">
        <f t="shared" si="59"/>
        <v>9630031</v>
      </c>
      <c r="D371" s="185" t="s">
        <v>997</v>
      </c>
      <c r="E371" s="129" t="s">
        <v>977</v>
      </c>
      <c r="F371" s="129"/>
      <c r="G371" s="129"/>
      <c r="H371" s="129"/>
      <c r="I371" s="114" t="s">
        <v>486</v>
      </c>
      <c r="J371" s="114"/>
      <c r="K371" s="114"/>
      <c r="L371" s="114"/>
      <c r="M371" s="114"/>
      <c r="N371" s="114" t="s">
        <v>1327</v>
      </c>
      <c r="O371" s="114" t="s">
        <v>1327</v>
      </c>
      <c r="P371" s="114"/>
      <c r="Q371" s="114" t="s">
        <v>2041</v>
      </c>
      <c r="R371" s="114"/>
      <c r="S371" s="114"/>
      <c r="T371" s="114" t="s">
        <v>2298</v>
      </c>
      <c r="U371" s="117" t="s">
        <v>4683</v>
      </c>
      <c r="V371" s="114" t="s">
        <v>1885</v>
      </c>
      <c r="W371" s="114" t="s">
        <v>137</v>
      </c>
      <c r="X371" s="114"/>
      <c r="Y371" s="128" t="s">
        <v>137</v>
      </c>
      <c r="Z371" s="114"/>
      <c r="AA371" s="114"/>
      <c r="AB371" s="114"/>
      <c r="AC371" s="114"/>
      <c r="AD371" s="114"/>
      <c r="AE371" s="130"/>
      <c r="AF371" s="130" t="s">
        <v>2043</v>
      </c>
      <c r="AG371" s="114"/>
      <c r="AI371" s="131"/>
      <c r="AJ371" s="131" t="s">
        <v>926</v>
      </c>
      <c r="AK371" s="132">
        <v>1571</v>
      </c>
      <c r="AL371" s="132"/>
      <c r="AM371" s="134"/>
      <c r="AN371" s="134"/>
      <c r="AO371" s="134"/>
      <c r="AP371" s="134"/>
      <c r="AQ371" s="134">
        <v>12</v>
      </c>
      <c r="AR371" s="134">
        <v>2500</v>
      </c>
      <c r="AS371" s="134">
        <v>3000</v>
      </c>
      <c r="AT371" s="134"/>
      <c r="AU371" s="131"/>
      <c r="AV371" s="131"/>
      <c r="AW371" s="132"/>
      <c r="AX371" s="132"/>
      <c r="AY371" s="132"/>
      <c r="AZ371" s="134"/>
      <c r="BA371" s="134"/>
      <c r="BB371" s="134"/>
      <c r="BC371" s="134"/>
      <c r="BD371" s="134"/>
      <c r="BE371" s="134"/>
      <c r="BF371" s="134"/>
      <c r="BG371" s="134"/>
      <c r="BH371" s="131"/>
      <c r="BI371" s="131"/>
      <c r="BJ371" s="131"/>
      <c r="BK371" s="132"/>
      <c r="BL371" s="132"/>
      <c r="BM371" s="134"/>
      <c r="BN371" s="134"/>
      <c r="BO371" s="134"/>
      <c r="BP371" s="134"/>
      <c r="BQ371" s="134"/>
      <c r="BR371" s="134"/>
      <c r="BS371" s="134"/>
      <c r="BT371" s="134"/>
      <c r="BU371" s="131"/>
      <c r="BV371" s="131"/>
      <c r="BW371" s="132"/>
      <c r="BX371" s="132"/>
      <c r="BY371" s="132"/>
      <c r="BZ371" s="134"/>
      <c r="CA371" s="134"/>
      <c r="CB371" s="134"/>
      <c r="CC371" s="134"/>
      <c r="CD371" s="134"/>
      <c r="CE371" s="134"/>
      <c r="CF371" s="134"/>
      <c r="CG371" s="134"/>
      <c r="CH371" s="127"/>
      <c r="CI371" s="128" t="s">
        <v>397</v>
      </c>
      <c r="CJ371" s="134">
        <v>25</v>
      </c>
      <c r="CT371" s="135"/>
      <c r="CU371" s="135"/>
      <c r="CV371" s="135"/>
      <c r="CW371" s="135"/>
      <c r="CX371" s="135"/>
      <c r="CY371" s="135"/>
      <c r="CZ371" s="135"/>
      <c r="DA371" s="135"/>
      <c r="DB371" s="135"/>
      <c r="DC371" s="134"/>
    </row>
    <row r="372" spans="1:107" s="128" customFormat="1" x14ac:dyDescent="0.2">
      <c r="A372" s="184">
        <v>964</v>
      </c>
      <c r="B372" s="185">
        <v>1</v>
      </c>
      <c r="C372" s="185">
        <f t="shared" si="59"/>
        <v>9640001</v>
      </c>
      <c r="D372" s="185" t="s">
        <v>998</v>
      </c>
      <c r="E372" s="129" t="s">
        <v>979</v>
      </c>
      <c r="F372" s="129"/>
      <c r="G372" s="129"/>
      <c r="H372" s="129"/>
      <c r="I372" s="114" t="s">
        <v>1126</v>
      </c>
      <c r="J372" s="114"/>
      <c r="K372" s="114"/>
      <c r="L372" s="114"/>
      <c r="M372" s="114"/>
      <c r="N372" s="114" t="s">
        <v>1327</v>
      </c>
      <c r="O372" s="114" t="s">
        <v>1327</v>
      </c>
      <c r="P372" s="114"/>
      <c r="Q372" s="114" t="s">
        <v>2041</v>
      </c>
      <c r="R372" s="114"/>
      <c r="S372" s="114"/>
      <c r="T372" s="114" t="s">
        <v>2298</v>
      </c>
      <c r="U372" s="117" t="s">
        <v>4684</v>
      </c>
      <c r="V372" s="114" t="s">
        <v>1886</v>
      </c>
      <c r="W372" s="114" t="s">
        <v>137</v>
      </c>
      <c r="X372" s="114"/>
      <c r="Y372" s="128" t="s">
        <v>137</v>
      </c>
      <c r="Z372" s="114"/>
      <c r="AA372" s="114"/>
      <c r="AB372" s="114"/>
      <c r="AC372" s="114"/>
      <c r="AD372" s="114"/>
      <c r="AE372" s="130"/>
      <c r="AF372" s="130" t="s">
        <v>2043</v>
      </c>
      <c r="AG372" s="114"/>
      <c r="AI372" s="131"/>
      <c r="AJ372" s="131" t="s">
        <v>926</v>
      </c>
      <c r="AK372" s="132">
        <v>1571</v>
      </c>
      <c r="AL372" s="132"/>
      <c r="AM372" s="134"/>
      <c r="AN372" s="134"/>
      <c r="AO372" s="134"/>
      <c r="AP372" s="134"/>
      <c r="AQ372" s="134">
        <v>13</v>
      </c>
      <c r="AR372" s="134">
        <v>1000</v>
      </c>
      <c r="AS372" s="134">
        <v>3000</v>
      </c>
      <c r="AT372" s="134"/>
      <c r="AU372" s="131"/>
      <c r="AV372" s="131"/>
      <c r="AW372" s="132"/>
      <c r="AX372" s="132"/>
      <c r="AY372" s="132"/>
      <c r="AZ372" s="134"/>
      <c r="BA372" s="134"/>
      <c r="BB372" s="134"/>
      <c r="BC372" s="134"/>
      <c r="BD372" s="134"/>
      <c r="BE372" s="134"/>
      <c r="BF372" s="134"/>
      <c r="BG372" s="134"/>
      <c r="BH372" s="131"/>
      <c r="BI372" s="131"/>
      <c r="BJ372" s="131"/>
      <c r="BK372" s="132"/>
      <c r="BL372" s="132"/>
      <c r="BM372" s="134"/>
      <c r="BN372" s="134"/>
      <c r="BO372" s="134"/>
      <c r="BP372" s="134"/>
      <c r="BQ372" s="134"/>
      <c r="BR372" s="134"/>
      <c r="BS372" s="134"/>
      <c r="BT372" s="134"/>
      <c r="BU372" s="131"/>
      <c r="BV372" s="131"/>
      <c r="BW372" s="132"/>
      <c r="BX372" s="132"/>
      <c r="BY372" s="132"/>
      <c r="BZ372" s="134"/>
      <c r="CA372" s="134"/>
      <c r="CB372" s="134"/>
      <c r="CC372" s="134"/>
      <c r="CD372" s="134"/>
      <c r="CE372" s="134"/>
      <c r="CF372" s="134"/>
      <c r="CG372" s="134"/>
      <c r="CH372" s="127"/>
      <c r="CI372" s="128" t="s">
        <v>397</v>
      </c>
      <c r="CJ372" s="134">
        <v>10</v>
      </c>
      <c r="CT372" s="135"/>
      <c r="CU372" s="135"/>
      <c r="CV372" s="135"/>
      <c r="CW372" s="135"/>
      <c r="CX372" s="135"/>
      <c r="CY372" s="135"/>
      <c r="CZ372" s="135"/>
      <c r="DA372" s="135"/>
      <c r="DB372" s="135"/>
      <c r="DC372" s="134"/>
    </row>
    <row r="373" spans="1:107" s="128" customFormat="1" x14ac:dyDescent="0.2">
      <c r="A373" s="184">
        <v>964</v>
      </c>
      <c r="B373" s="185">
        <v>11</v>
      </c>
      <c r="C373" s="185">
        <f t="shared" si="59"/>
        <v>9640011</v>
      </c>
      <c r="D373" s="185" t="s">
        <v>999</v>
      </c>
      <c r="E373" s="129" t="s">
        <v>979</v>
      </c>
      <c r="F373" s="129"/>
      <c r="G373" s="129"/>
      <c r="H373" s="129"/>
      <c r="I373" s="114" t="s">
        <v>1126</v>
      </c>
      <c r="J373" s="114"/>
      <c r="K373" s="114"/>
      <c r="L373" s="114"/>
      <c r="M373" s="114"/>
      <c r="N373" s="114" t="s">
        <v>1327</v>
      </c>
      <c r="O373" s="114" t="s">
        <v>1327</v>
      </c>
      <c r="P373" s="114"/>
      <c r="Q373" s="114" t="s">
        <v>2041</v>
      </c>
      <c r="R373" s="114"/>
      <c r="S373" s="114"/>
      <c r="T373" s="114" t="s">
        <v>2298</v>
      </c>
      <c r="U373" s="117" t="s">
        <v>4685</v>
      </c>
      <c r="V373" s="114" t="s">
        <v>1886</v>
      </c>
      <c r="W373" s="114" t="s">
        <v>137</v>
      </c>
      <c r="X373" s="114"/>
      <c r="Y373" s="128" t="s">
        <v>137</v>
      </c>
      <c r="Z373" s="114"/>
      <c r="AA373" s="114"/>
      <c r="AB373" s="114"/>
      <c r="AC373" s="114"/>
      <c r="AD373" s="114"/>
      <c r="AE373" s="130"/>
      <c r="AF373" s="130" t="s">
        <v>2043</v>
      </c>
      <c r="AG373" s="114"/>
      <c r="AI373" s="131"/>
      <c r="AJ373" s="131" t="s">
        <v>926</v>
      </c>
      <c r="AK373" s="132">
        <v>1571</v>
      </c>
      <c r="AL373" s="132"/>
      <c r="AM373" s="134"/>
      <c r="AN373" s="134"/>
      <c r="AO373" s="134"/>
      <c r="AP373" s="134"/>
      <c r="AQ373" s="134">
        <v>14</v>
      </c>
      <c r="AR373" s="134">
        <v>1500</v>
      </c>
      <c r="AS373" s="134">
        <v>3000</v>
      </c>
      <c r="AT373" s="134"/>
      <c r="AU373" s="131"/>
      <c r="AV373" s="131"/>
      <c r="AW373" s="132"/>
      <c r="AX373" s="132"/>
      <c r="AY373" s="132"/>
      <c r="AZ373" s="134"/>
      <c r="BA373" s="134"/>
      <c r="BB373" s="134"/>
      <c r="BC373" s="134"/>
      <c r="BD373" s="134"/>
      <c r="BE373" s="134"/>
      <c r="BF373" s="134"/>
      <c r="BG373" s="134"/>
      <c r="BH373" s="131"/>
      <c r="BI373" s="131"/>
      <c r="BJ373" s="131"/>
      <c r="BK373" s="132"/>
      <c r="BL373" s="132"/>
      <c r="BM373" s="134"/>
      <c r="BN373" s="134"/>
      <c r="BO373" s="134"/>
      <c r="BP373" s="134"/>
      <c r="BQ373" s="134"/>
      <c r="BR373" s="134"/>
      <c r="BS373" s="134"/>
      <c r="BT373" s="134"/>
      <c r="BU373" s="131"/>
      <c r="BV373" s="131"/>
      <c r="BW373" s="132"/>
      <c r="BX373" s="132"/>
      <c r="BY373" s="132"/>
      <c r="BZ373" s="134"/>
      <c r="CA373" s="134"/>
      <c r="CB373" s="134"/>
      <c r="CC373" s="134"/>
      <c r="CD373" s="134"/>
      <c r="CE373" s="134"/>
      <c r="CF373" s="134"/>
      <c r="CG373" s="134"/>
      <c r="CH373" s="127"/>
      <c r="CI373" s="128" t="s">
        <v>397</v>
      </c>
      <c r="CJ373" s="134">
        <v>15</v>
      </c>
      <c r="CT373" s="135"/>
      <c r="CU373" s="135"/>
      <c r="CV373" s="135"/>
      <c r="CW373" s="135"/>
      <c r="CX373" s="135"/>
      <c r="CY373" s="135"/>
      <c r="CZ373" s="135"/>
      <c r="DA373" s="135"/>
      <c r="DB373" s="135"/>
      <c r="DC373" s="134"/>
    </row>
    <row r="374" spans="1:107" s="128" customFormat="1" x14ac:dyDescent="0.2">
      <c r="A374" s="184">
        <v>964</v>
      </c>
      <c r="B374" s="185">
        <v>21</v>
      </c>
      <c r="C374" s="185">
        <f t="shared" si="59"/>
        <v>9640021</v>
      </c>
      <c r="D374" s="185" t="s">
        <v>1000</v>
      </c>
      <c r="E374" s="129" t="s">
        <v>979</v>
      </c>
      <c r="F374" s="129"/>
      <c r="G374" s="129"/>
      <c r="H374" s="129"/>
      <c r="I374" s="114" t="s">
        <v>1126</v>
      </c>
      <c r="J374" s="114"/>
      <c r="K374" s="114"/>
      <c r="L374" s="114"/>
      <c r="M374" s="114"/>
      <c r="N374" s="114" t="s">
        <v>1327</v>
      </c>
      <c r="O374" s="114" t="s">
        <v>1327</v>
      </c>
      <c r="P374" s="114"/>
      <c r="Q374" s="114" t="s">
        <v>2041</v>
      </c>
      <c r="R374" s="114"/>
      <c r="S374" s="114"/>
      <c r="T374" s="114" t="s">
        <v>2298</v>
      </c>
      <c r="U374" s="117" t="s">
        <v>4686</v>
      </c>
      <c r="V374" s="114" t="s">
        <v>1886</v>
      </c>
      <c r="W374" s="114" t="s">
        <v>137</v>
      </c>
      <c r="X374" s="114"/>
      <c r="Y374" s="128" t="s">
        <v>137</v>
      </c>
      <c r="Z374" s="114"/>
      <c r="AA374" s="114"/>
      <c r="AB374" s="114"/>
      <c r="AC374" s="114"/>
      <c r="AD374" s="114"/>
      <c r="AE374" s="130"/>
      <c r="AF374" s="130" t="s">
        <v>2043</v>
      </c>
      <c r="AG374" s="114"/>
      <c r="AI374" s="131"/>
      <c r="AJ374" s="131" t="s">
        <v>926</v>
      </c>
      <c r="AK374" s="132">
        <v>1571</v>
      </c>
      <c r="AL374" s="132"/>
      <c r="AM374" s="134"/>
      <c r="AN374" s="134"/>
      <c r="AO374" s="134"/>
      <c r="AP374" s="134"/>
      <c r="AQ374" s="134">
        <v>15</v>
      </c>
      <c r="AR374" s="134">
        <v>2000</v>
      </c>
      <c r="AS374" s="134">
        <v>3000</v>
      </c>
      <c r="AT374" s="134"/>
      <c r="AU374" s="131"/>
      <c r="AV374" s="131"/>
      <c r="AW374" s="132"/>
      <c r="AX374" s="132"/>
      <c r="AY374" s="132"/>
      <c r="AZ374" s="134"/>
      <c r="BA374" s="134"/>
      <c r="BB374" s="134"/>
      <c r="BC374" s="134"/>
      <c r="BD374" s="134"/>
      <c r="BE374" s="134"/>
      <c r="BF374" s="134"/>
      <c r="BG374" s="134"/>
      <c r="BH374" s="131"/>
      <c r="BI374" s="131"/>
      <c r="BJ374" s="131"/>
      <c r="BK374" s="132"/>
      <c r="BL374" s="132"/>
      <c r="BM374" s="134"/>
      <c r="BN374" s="134"/>
      <c r="BO374" s="134"/>
      <c r="BP374" s="134"/>
      <c r="BQ374" s="134"/>
      <c r="BR374" s="134"/>
      <c r="BS374" s="134"/>
      <c r="BT374" s="134"/>
      <c r="BU374" s="131"/>
      <c r="BV374" s="131"/>
      <c r="BW374" s="132"/>
      <c r="BX374" s="132"/>
      <c r="BY374" s="132"/>
      <c r="BZ374" s="134"/>
      <c r="CA374" s="134"/>
      <c r="CB374" s="134"/>
      <c r="CC374" s="134"/>
      <c r="CD374" s="134"/>
      <c r="CE374" s="134"/>
      <c r="CF374" s="134"/>
      <c r="CG374" s="134"/>
      <c r="CH374" s="127"/>
      <c r="CI374" s="128" t="s">
        <v>397</v>
      </c>
      <c r="CJ374" s="134">
        <v>20</v>
      </c>
      <c r="CT374" s="135"/>
      <c r="CU374" s="135"/>
      <c r="CV374" s="135"/>
      <c r="CW374" s="135"/>
      <c r="CX374" s="135"/>
      <c r="CY374" s="135"/>
      <c r="CZ374" s="135"/>
      <c r="DA374" s="135"/>
      <c r="DB374" s="135"/>
      <c r="DC374" s="134"/>
    </row>
    <row r="375" spans="1:107" s="128" customFormat="1" x14ac:dyDescent="0.2">
      <c r="A375" s="184">
        <v>964</v>
      </c>
      <c r="B375" s="185">
        <v>31</v>
      </c>
      <c r="C375" s="185">
        <f t="shared" si="59"/>
        <v>9640031</v>
      </c>
      <c r="D375" s="185" t="s">
        <v>1001</v>
      </c>
      <c r="E375" s="129" t="s">
        <v>979</v>
      </c>
      <c r="F375" s="129"/>
      <c r="G375" s="129"/>
      <c r="H375" s="129"/>
      <c r="I375" s="114" t="s">
        <v>1126</v>
      </c>
      <c r="J375" s="114"/>
      <c r="K375" s="114"/>
      <c r="L375" s="114"/>
      <c r="M375" s="114"/>
      <c r="N375" s="114" t="s">
        <v>1327</v>
      </c>
      <c r="O375" s="114" t="s">
        <v>1327</v>
      </c>
      <c r="P375" s="114"/>
      <c r="Q375" s="114" t="s">
        <v>2041</v>
      </c>
      <c r="R375" s="114"/>
      <c r="S375" s="114"/>
      <c r="T375" s="114" t="s">
        <v>2298</v>
      </c>
      <c r="U375" s="117" t="s">
        <v>4687</v>
      </c>
      <c r="V375" s="114" t="s">
        <v>1886</v>
      </c>
      <c r="W375" s="114" t="s">
        <v>137</v>
      </c>
      <c r="X375" s="114"/>
      <c r="Y375" s="128" t="s">
        <v>137</v>
      </c>
      <c r="Z375" s="114"/>
      <c r="AA375" s="114"/>
      <c r="AB375" s="114"/>
      <c r="AC375" s="114"/>
      <c r="AD375" s="114"/>
      <c r="AE375" s="130"/>
      <c r="AF375" s="130" t="s">
        <v>2043</v>
      </c>
      <c r="AG375" s="114"/>
      <c r="AI375" s="131"/>
      <c r="AJ375" s="131" t="s">
        <v>926</v>
      </c>
      <c r="AK375" s="132">
        <v>1571</v>
      </c>
      <c r="AL375" s="132"/>
      <c r="AM375" s="134"/>
      <c r="AN375" s="134"/>
      <c r="AO375" s="134"/>
      <c r="AP375" s="134"/>
      <c r="AQ375" s="134">
        <v>16</v>
      </c>
      <c r="AR375" s="134">
        <v>2500</v>
      </c>
      <c r="AS375" s="134">
        <v>3000</v>
      </c>
      <c r="AT375" s="134"/>
      <c r="AU375" s="131"/>
      <c r="AV375" s="131"/>
      <c r="AW375" s="132"/>
      <c r="AX375" s="132"/>
      <c r="AY375" s="132"/>
      <c r="AZ375" s="134"/>
      <c r="BA375" s="134"/>
      <c r="BB375" s="134"/>
      <c r="BC375" s="134"/>
      <c r="BD375" s="134"/>
      <c r="BE375" s="134"/>
      <c r="BF375" s="134"/>
      <c r="BG375" s="134"/>
      <c r="BH375" s="131"/>
      <c r="BI375" s="131"/>
      <c r="BJ375" s="131"/>
      <c r="BK375" s="132"/>
      <c r="BL375" s="132"/>
      <c r="BM375" s="134"/>
      <c r="BN375" s="134"/>
      <c r="BO375" s="134"/>
      <c r="BP375" s="134"/>
      <c r="BQ375" s="134"/>
      <c r="BR375" s="134"/>
      <c r="BS375" s="134"/>
      <c r="BT375" s="134"/>
      <c r="BU375" s="131"/>
      <c r="BV375" s="131"/>
      <c r="BW375" s="132"/>
      <c r="BX375" s="132"/>
      <c r="BY375" s="132"/>
      <c r="BZ375" s="134"/>
      <c r="CA375" s="134"/>
      <c r="CB375" s="134"/>
      <c r="CC375" s="134"/>
      <c r="CD375" s="134"/>
      <c r="CE375" s="134"/>
      <c r="CF375" s="134"/>
      <c r="CG375" s="134"/>
      <c r="CH375" s="127"/>
      <c r="CI375" s="128" t="s">
        <v>397</v>
      </c>
      <c r="CJ375" s="134">
        <v>25</v>
      </c>
      <c r="CT375" s="135"/>
      <c r="CU375" s="135"/>
      <c r="CV375" s="135"/>
      <c r="CW375" s="135"/>
      <c r="CX375" s="135"/>
      <c r="CY375" s="135"/>
      <c r="CZ375" s="135"/>
      <c r="DA375" s="135"/>
      <c r="DB375" s="135"/>
      <c r="DC375" s="134"/>
    </row>
    <row r="376" spans="1:107" s="128" customFormat="1" x14ac:dyDescent="0.2">
      <c r="A376" s="184">
        <v>965</v>
      </c>
      <c r="B376" s="185">
        <v>1</v>
      </c>
      <c r="C376" s="185">
        <f t="shared" si="59"/>
        <v>9650001</v>
      </c>
      <c r="D376" s="185" t="s">
        <v>4612</v>
      </c>
      <c r="E376" s="129" t="s">
        <v>1384</v>
      </c>
      <c r="F376" s="129"/>
      <c r="G376" s="129"/>
      <c r="H376" s="129"/>
      <c r="I376" s="114" t="s">
        <v>486</v>
      </c>
      <c r="J376" s="114"/>
      <c r="K376" s="114"/>
      <c r="L376" s="114"/>
      <c r="M376" s="114"/>
      <c r="N376" s="114" t="s">
        <v>1327</v>
      </c>
      <c r="O376" s="114" t="s">
        <v>1327</v>
      </c>
      <c r="P376" s="114"/>
      <c r="Q376" s="114" t="s">
        <v>2041</v>
      </c>
      <c r="R376" s="114"/>
      <c r="S376" s="114"/>
      <c r="T376" s="114" t="s">
        <v>2298</v>
      </c>
      <c r="U376" s="117" t="s">
        <v>4688</v>
      </c>
      <c r="V376" s="114" t="s">
        <v>1887</v>
      </c>
      <c r="W376" s="114" t="s">
        <v>137</v>
      </c>
      <c r="X376" s="114"/>
      <c r="Y376" s="128" t="s">
        <v>137</v>
      </c>
      <c r="Z376" s="114"/>
      <c r="AA376" s="114"/>
      <c r="AB376" s="114"/>
      <c r="AC376" s="114"/>
      <c r="AD376" s="114"/>
      <c r="AE376" s="130"/>
      <c r="AF376" s="130" t="s">
        <v>2043</v>
      </c>
      <c r="AG376" s="114"/>
      <c r="AI376" s="131"/>
      <c r="AJ376" s="131" t="s">
        <v>926</v>
      </c>
      <c r="AK376" s="132">
        <v>1571</v>
      </c>
      <c r="AL376" s="132"/>
      <c r="AM376" s="134"/>
      <c r="AN376" s="134"/>
      <c r="AO376" s="134"/>
      <c r="AP376" s="134"/>
      <c r="AQ376" s="134">
        <v>17</v>
      </c>
      <c r="AR376" s="134">
        <v>1000</v>
      </c>
      <c r="AS376" s="134">
        <v>3000</v>
      </c>
      <c r="AT376" s="134"/>
      <c r="AU376" s="131"/>
      <c r="AV376" s="131"/>
      <c r="AW376" s="132"/>
      <c r="AX376" s="132"/>
      <c r="AY376" s="132"/>
      <c r="AZ376" s="134"/>
      <c r="BA376" s="134"/>
      <c r="BB376" s="134"/>
      <c r="BC376" s="134"/>
      <c r="BD376" s="134"/>
      <c r="BE376" s="134"/>
      <c r="BF376" s="134"/>
      <c r="BG376" s="134"/>
      <c r="BH376" s="131"/>
      <c r="BI376" s="131"/>
      <c r="BJ376" s="131"/>
      <c r="BK376" s="132"/>
      <c r="BL376" s="132"/>
      <c r="BM376" s="134"/>
      <c r="BN376" s="134"/>
      <c r="BO376" s="134"/>
      <c r="BP376" s="134"/>
      <c r="BQ376" s="134"/>
      <c r="BR376" s="134"/>
      <c r="BS376" s="134"/>
      <c r="BT376" s="134"/>
      <c r="BU376" s="131"/>
      <c r="BV376" s="131"/>
      <c r="BW376" s="132"/>
      <c r="BX376" s="132"/>
      <c r="BY376" s="132"/>
      <c r="BZ376" s="134"/>
      <c r="CA376" s="134"/>
      <c r="CB376" s="134"/>
      <c r="CC376" s="134"/>
      <c r="CD376" s="134"/>
      <c r="CE376" s="134"/>
      <c r="CF376" s="134"/>
      <c r="CG376" s="134"/>
      <c r="CH376" s="127"/>
      <c r="CI376" s="128" t="s">
        <v>397</v>
      </c>
      <c r="CJ376" s="134">
        <v>10</v>
      </c>
      <c r="CT376" s="135"/>
      <c r="CU376" s="135"/>
      <c r="CV376" s="135"/>
      <c r="CW376" s="135"/>
      <c r="CX376" s="135"/>
      <c r="CY376" s="135"/>
      <c r="CZ376" s="135"/>
      <c r="DA376" s="135"/>
      <c r="DB376" s="135"/>
      <c r="DC376" s="134"/>
    </row>
    <row r="377" spans="1:107" s="128" customFormat="1" x14ac:dyDescent="0.2">
      <c r="A377" s="184">
        <v>965</v>
      </c>
      <c r="B377" s="185">
        <v>11</v>
      </c>
      <c r="C377" s="185">
        <f t="shared" si="59"/>
        <v>9650011</v>
      </c>
      <c r="D377" s="185" t="s">
        <v>4613</v>
      </c>
      <c r="E377" s="129" t="s">
        <v>1384</v>
      </c>
      <c r="F377" s="129"/>
      <c r="G377" s="129"/>
      <c r="H377" s="129"/>
      <c r="I377" s="114" t="s">
        <v>486</v>
      </c>
      <c r="J377" s="114"/>
      <c r="K377" s="114"/>
      <c r="L377" s="114"/>
      <c r="M377" s="114"/>
      <c r="N377" s="114" t="s">
        <v>1327</v>
      </c>
      <c r="O377" s="114" t="s">
        <v>1327</v>
      </c>
      <c r="P377" s="114"/>
      <c r="Q377" s="114" t="s">
        <v>2041</v>
      </c>
      <c r="R377" s="114"/>
      <c r="S377" s="114"/>
      <c r="T377" s="114" t="s">
        <v>2298</v>
      </c>
      <c r="U377" s="117" t="s">
        <v>4689</v>
      </c>
      <c r="V377" s="114" t="s">
        <v>1887</v>
      </c>
      <c r="W377" s="114" t="s">
        <v>137</v>
      </c>
      <c r="X377" s="114"/>
      <c r="Y377" s="128" t="s">
        <v>137</v>
      </c>
      <c r="Z377" s="114"/>
      <c r="AA377" s="114"/>
      <c r="AB377" s="114"/>
      <c r="AC377" s="114"/>
      <c r="AD377" s="114"/>
      <c r="AE377" s="130"/>
      <c r="AF377" s="130" t="s">
        <v>2043</v>
      </c>
      <c r="AG377" s="114"/>
      <c r="AI377" s="131"/>
      <c r="AJ377" s="131" t="s">
        <v>926</v>
      </c>
      <c r="AK377" s="132">
        <v>1571</v>
      </c>
      <c r="AL377" s="132"/>
      <c r="AM377" s="134"/>
      <c r="AN377" s="134"/>
      <c r="AO377" s="134"/>
      <c r="AP377" s="134"/>
      <c r="AQ377" s="134">
        <v>18</v>
      </c>
      <c r="AR377" s="134">
        <v>1500</v>
      </c>
      <c r="AS377" s="134">
        <v>3000</v>
      </c>
      <c r="AT377" s="134"/>
      <c r="AU377" s="131"/>
      <c r="AV377" s="131"/>
      <c r="AW377" s="132"/>
      <c r="AX377" s="132"/>
      <c r="AY377" s="132"/>
      <c r="AZ377" s="134"/>
      <c r="BA377" s="134"/>
      <c r="BB377" s="134"/>
      <c r="BC377" s="134"/>
      <c r="BD377" s="134"/>
      <c r="BE377" s="134"/>
      <c r="BF377" s="134"/>
      <c r="BG377" s="134"/>
      <c r="BH377" s="131"/>
      <c r="BI377" s="131"/>
      <c r="BJ377" s="131"/>
      <c r="BK377" s="132"/>
      <c r="BL377" s="132"/>
      <c r="BM377" s="134"/>
      <c r="BN377" s="134"/>
      <c r="BO377" s="134"/>
      <c r="BP377" s="134"/>
      <c r="BQ377" s="134"/>
      <c r="BR377" s="134"/>
      <c r="BS377" s="134"/>
      <c r="BT377" s="134"/>
      <c r="BU377" s="131"/>
      <c r="BV377" s="131"/>
      <c r="BW377" s="132"/>
      <c r="BX377" s="132"/>
      <c r="BY377" s="132"/>
      <c r="BZ377" s="134"/>
      <c r="CA377" s="134"/>
      <c r="CB377" s="134"/>
      <c r="CC377" s="134"/>
      <c r="CD377" s="134"/>
      <c r="CE377" s="134"/>
      <c r="CF377" s="134"/>
      <c r="CG377" s="134"/>
      <c r="CH377" s="127"/>
      <c r="CI377" s="128" t="s">
        <v>397</v>
      </c>
      <c r="CJ377" s="134">
        <v>15</v>
      </c>
      <c r="CT377" s="135"/>
      <c r="CU377" s="135"/>
      <c r="CV377" s="135"/>
      <c r="CW377" s="135"/>
      <c r="CX377" s="135"/>
      <c r="CY377" s="135"/>
      <c r="CZ377" s="135"/>
      <c r="DA377" s="135"/>
      <c r="DB377" s="135"/>
      <c r="DC377" s="134"/>
    </row>
    <row r="378" spans="1:107" s="128" customFormat="1" x14ac:dyDescent="0.2">
      <c r="A378" s="184">
        <v>965</v>
      </c>
      <c r="B378" s="185">
        <v>21</v>
      </c>
      <c r="C378" s="185">
        <f t="shared" si="59"/>
        <v>9650021</v>
      </c>
      <c r="D378" s="185" t="s">
        <v>4614</v>
      </c>
      <c r="E378" s="129" t="s">
        <v>1384</v>
      </c>
      <c r="F378" s="129"/>
      <c r="G378" s="129"/>
      <c r="H378" s="129"/>
      <c r="I378" s="114" t="s">
        <v>486</v>
      </c>
      <c r="J378" s="114"/>
      <c r="K378" s="114"/>
      <c r="L378" s="114"/>
      <c r="M378" s="114"/>
      <c r="N378" s="114" t="s">
        <v>1327</v>
      </c>
      <c r="O378" s="114" t="s">
        <v>1327</v>
      </c>
      <c r="P378" s="114"/>
      <c r="Q378" s="114" t="s">
        <v>2041</v>
      </c>
      <c r="R378" s="114"/>
      <c r="S378" s="114"/>
      <c r="T378" s="114" t="s">
        <v>2298</v>
      </c>
      <c r="U378" s="117" t="s">
        <v>4690</v>
      </c>
      <c r="V378" s="114" t="s">
        <v>1887</v>
      </c>
      <c r="W378" s="114" t="s">
        <v>137</v>
      </c>
      <c r="X378" s="114"/>
      <c r="Y378" s="128" t="s">
        <v>137</v>
      </c>
      <c r="Z378" s="114"/>
      <c r="AA378" s="114"/>
      <c r="AB378" s="114"/>
      <c r="AC378" s="114"/>
      <c r="AD378" s="114"/>
      <c r="AE378" s="130"/>
      <c r="AF378" s="130" t="s">
        <v>2043</v>
      </c>
      <c r="AG378" s="114"/>
      <c r="AI378" s="131"/>
      <c r="AJ378" s="131" t="s">
        <v>926</v>
      </c>
      <c r="AK378" s="132">
        <v>1571</v>
      </c>
      <c r="AL378" s="132"/>
      <c r="AM378" s="134"/>
      <c r="AN378" s="134"/>
      <c r="AO378" s="134"/>
      <c r="AP378" s="134"/>
      <c r="AQ378" s="134">
        <v>19</v>
      </c>
      <c r="AR378" s="134">
        <v>2000</v>
      </c>
      <c r="AS378" s="134">
        <v>3000</v>
      </c>
      <c r="AT378" s="134"/>
      <c r="AU378" s="131"/>
      <c r="AV378" s="131"/>
      <c r="AW378" s="132"/>
      <c r="AX378" s="132"/>
      <c r="AY378" s="132"/>
      <c r="AZ378" s="134"/>
      <c r="BA378" s="134"/>
      <c r="BB378" s="134"/>
      <c r="BC378" s="134"/>
      <c r="BD378" s="134"/>
      <c r="BE378" s="134"/>
      <c r="BF378" s="134"/>
      <c r="BG378" s="134"/>
      <c r="BH378" s="131"/>
      <c r="BI378" s="131"/>
      <c r="BJ378" s="131"/>
      <c r="BK378" s="132"/>
      <c r="BL378" s="132"/>
      <c r="BM378" s="134"/>
      <c r="BN378" s="134"/>
      <c r="BO378" s="134"/>
      <c r="BP378" s="134"/>
      <c r="BQ378" s="134"/>
      <c r="BR378" s="134"/>
      <c r="BS378" s="134"/>
      <c r="BT378" s="134"/>
      <c r="BU378" s="131"/>
      <c r="BV378" s="131"/>
      <c r="BW378" s="132"/>
      <c r="BX378" s="132"/>
      <c r="BY378" s="132"/>
      <c r="BZ378" s="134"/>
      <c r="CA378" s="134"/>
      <c r="CB378" s="134"/>
      <c r="CC378" s="134"/>
      <c r="CD378" s="134"/>
      <c r="CE378" s="134"/>
      <c r="CF378" s="134"/>
      <c r="CG378" s="134"/>
      <c r="CH378" s="127"/>
      <c r="CI378" s="128" t="s">
        <v>397</v>
      </c>
      <c r="CJ378" s="134">
        <v>20</v>
      </c>
      <c r="CT378" s="135"/>
      <c r="CU378" s="135"/>
      <c r="CV378" s="135"/>
      <c r="CW378" s="135"/>
      <c r="CX378" s="135"/>
      <c r="CY378" s="135"/>
      <c r="CZ378" s="135"/>
      <c r="DA378" s="135"/>
      <c r="DB378" s="135"/>
      <c r="DC378" s="134"/>
    </row>
    <row r="379" spans="1:107" s="128" customFormat="1" x14ac:dyDescent="0.2">
      <c r="A379" s="184">
        <v>965</v>
      </c>
      <c r="B379" s="185">
        <v>31</v>
      </c>
      <c r="C379" s="185">
        <f t="shared" si="59"/>
        <v>9650031</v>
      </c>
      <c r="D379" s="185" t="s">
        <v>4615</v>
      </c>
      <c r="E379" s="129" t="s">
        <v>1384</v>
      </c>
      <c r="F379" s="129"/>
      <c r="G379" s="129"/>
      <c r="H379" s="129"/>
      <c r="I379" s="114" t="s">
        <v>486</v>
      </c>
      <c r="J379" s="114"/>
      <c r="K379" s="114"/>
      <c r="L379" s="114"/>
      <c r="M379" s="114"/>
      <c r="N379" s="114" t="s">
        <v>1327</v>
      </c>
      <c r="O379" s="114" t="s">
        <v>1327</v>
      </c>
      <c r="P379" s="114"/>
      <c r="Q379" s="114" t="s">
        <v>2041</v>
      </c>
      <c r="R379" s="114"/>
      <c r="S379" s="114"/>
      <c r="T379" s="114" t="s">
        <v>2298</v>
      </c>
      <c r="U379" s="117" t="s">
        <v>4691</v>
      </c>
      <c r="V379" s="114" t="s">
        <v>1887</v>
      </c>
      <c r="W379" s="114" t="s">
        <v>137</v>
      </c>
      <c r="X379" s="114"/>
      <c r="Y379" s="128" t="s">
        <v>137</v>
      </c>
      <c r="Z379" s="114"/>
      <c r="AA379" s="114"/>
      <c r="AB379" s="114"/>
      <c r="AC379" s="114"/>
      <c r="AD379" s="114"/>
      <c r="AE379" s="130"/>
      <c r="AF379" s="130" t="s">
        <v>2043</v>
      </c>
      <c r="AG379" s="114"/>
      <c r="AI379" s="131"/>
      <c r="AJ379" s="131" t="s">
        <v>926</v>
      </c>
      <c r="AK379" s="132">
        <v>1571</v>
      </c>
      <c r="AL379" s="132"/>
      <c r="AM379" s="134"/>
      <c r="AN379" s="134"/>
      <c r="AO379" s="134"/>
      <c r="AP379" s="134"/>
      <c r="AQ379" s="134">
        <v>20</v>
      </c>
      <c r="AR379" s="134">
        <v>2500</v>
      </c>
      <c r="AS379" s="134">
        <v>3000</v>
      </c>
      <c r="AT379" s="134"/>
      <c r="AU379" s="131"/>
      <c r="AV379" s="131"/>
      <c r="AW379" s="132"/>
      <c r="AX379" s="132"/>
      <c r="AY379" s="132"/>
      <c r="AZ379" s="134"/>
      <c r="BA379" s="134"/>
      <c r="BB379" s="134"/>
      <c r="BC379" s="134"/>
      <c r="BD379" s="134"/>
      <c r="BE379" s="134"/>
      <c r="BF379" s="134"/>
      <c r="BG379" s="134"/>
      <c r="BH379" s="131"/>
      <c r="BI379" s="131"/>
      <c r="BJ379" s="131"/>
      <c r="BK379" s="132"/>
      <c r="BL379" s="132"/>
      <c r="BM379" s="134"/>
      <c r="BN379" s="134"/>
      <c r="BO379" s="134"/>
      <c r="BP379" s="134"/>
      <c r="BQ379" s="134"/>
      <c r="BR379" s="134"/>
      <c r="BS379" s="134"/>
      <c r="BT379" s="134"/>
      <c r="BU379" s="131"/>
      <c r="BV379" s="131"/>
      <c r="BW379" s="132"/>
      <c r="BX379" s="132"/>
      <c r="BY379" s="132"/>
      <c r="BZ379" s="134"/>
      <c r="CA379" s="134"/>
      <c r="CB379" s="134"/>
      <c r="CC379" s="134"/>
      <c r="CD379" s="134"/>
      <c r="CE379" s="134"/>
      <c r="CF379" s="134"/>
      <c r="CG379" s="134"/>
      <c r="CH379" s="127"/>
      <c r="CI379" s="128" t="s">
        <v>397</v>
      </c>
      <c r="CJ379" s="134">
        <v>25</v>
      </c>
      <c r="CT379" s="135"/>
      <c r="CU379" s="135"/>
      <c r="CV379" s="135"/>
      <c r="CW379" s="135"/>
      <c r="CX379" s="135"/>
      <c r="CY379" s="135"/>
      <c r="CZ379" s="135"/>
      <c r="DA379" s="135"/>
      <c r="DB379" s="135"/>
      <c r="DC379" s="134"/>
    </row>
    <row r="380" spans="1:107" s="128" customFormat="1" x14ac:dyDescent="0.2">
      <c r="A380" s="184">
        <v>966</v>
      </c>
      <c r="B380" s="185">
        <v>1</v>
      </c>
      <c r="C380" s="185">
        <f t="shared" si="59"/>
        <v>9660001</v>
      </c>
      <c r="D380" s="185" t="s">
        <v>1352</v>
      </c>
      <c r="E380" s="129" t="s">
        <v>1356</v>
      </c>
      <c r="F380" s="129"/>
      <c r="G380" s="129"/>
      <c r="H380" s="129"/>
      <c r="I380" s="114" t="s">
        <v>1331</v>
      </c>
      <c r="J380" s="114"/>
      <c r="K380" s="114"/>
      <c r="L380" s="114"/>
      <c r="M380" s="114"/>
      <c r="N380" s="114" t="s">
        <v>1327</v>
      </c>
      <c r="O380" s="114" t="s">
        <v>1327</v>
      </c>
      <c r="P380" s="114"/>
      <c r="Q380" s="114" t="s">
        <v>2041</v>
      </c>
      <c r="R380" s="114"/>
      <c r="S380" s="114"/>
      <c r="T380" s="114" t="s">
        <v>2298</v>
      </c>
      <c r="U380" s="117" t="s">
        <v>4692</v>
      </c>
      <c r="V380" s="114" t="s">
        <v>1888</v>
      </c>
      <c r="W380" s="114" t="s">
        <v>137</v>
      </c>
      <c r="X380" s="114"/>
      <c r="Y380" s="128" t="s">
        <v>137</v>
      </c>
      <c r="Z380" s="114"/>
      <c r="AA380" s="114"/>
      <c r="AB380" s="114"/>
      <c r="AC380" s="114"/>
      <c r="AD380" s="114"/>
      <c r="AE380" s="130"/>
      <c r="AF380" s="130" t="s">
        <v>2043</v>
      </c>
      <c r="AG380" s="114"/>
      <c r="AI380" s="131"/>
      <c r="AJ380" s="131" t="s">
        <v>926</v>
      </c>
      <c r="AK380" s="132">
        <v>1571</v>
      </c>
      <c r="AL380" s="132"/>
      <c r="AM380" s="134"/>
      <c r="AN380" s="134"/>
      <c r="AO380" s="134"/>
      <c r="AP380" s="134"/>
      <c r="AQ380" s="134">
        <v>21</v>
      </c>
      <c r="AR380" s="134">
        <v>1000</v>
      </c>
      <c r="AS380" s="134">
        <v>3000</v>
      </c>
      <c r="AT380" s="134"/>
      <c r="AU380" s="131"/>
      <c r="AV380" s="131"/>
      <c r="AW380" s="132"/>
      <c r="AX380" s="132"/>
      <c r="AY380" s="132"/>
      <c r="AZ380" s="134"/>
      <c r="BA380" s="134"/>
      <c r="BB380" s="134"/>
      <c r="BC380" s="134"/>
      <c r="BD380" s="134"/>
      <c r="BE380" s="134"/>
      <c r="BF380" s="134"/>
      <c r="BG380" s="134"/>
      <c r="BH380" s="131"/>
      <c r="BI380" s="131"/>
      <c r="BJ380" s="131"/>
      <c r="BK380" s="132"/>
      <c r="BL380" s="132"/>
      <c r="BM380" s="134"/>
      <c r="BN380" s="134"/>
      <c r="BO380" s="134"/>
      <c r="BP380" s="134"/>
      <c r="BQ380" s="134"/>
      <c r="BR380" s="134"/>
      <c r="BS380" s="134"/>
      <c r="BT380" s="134"/>
      <c r="BU380" s="131"/>
      <c r="BV380" s="131"/>
      <c r="BW380" s="132"/>
      <c r="BX380" s="132"/>
      <c r="BY380" s="132"/>
      <c r="BZ380" s="134"/>
      <c r="CA380" s="134"/>
      <c r="CB380" s="134"/>
      <c r="CC380" s="134"/>
      <c r="CD380" s="134"/>
      <c r="CE380" s="134"/>
      <c r="CF380" s="134"/>
      <c r="CG380" s="134"/>
      <c r="CH380" s="127"/>
      <c r="CI380" s="128" t="s">
        <v>397</v>
      </c>
      <c r="CJ380" s="134">
        <v>10</v>
      </c>
      <c r="CT380" s="135"/>
      <c r="CU380" s="135"/>
      <c r="CV380" s="135"/>
      <c r="CW380" s="135"/>
      <c r="CX380" s="135"/>
      <c r="CY380" s="135"/>
      <c r="CZ380" s="135"/>
      <c r="DA380" s="135"/>
      <c r="DB380" s="135"/>
      <c r="DC380" s="134"/>
    </row>
    <row r="381" spans="1:107" s="128" customFormat="1" x14ac:dyDescent="0.2">
      <c r="A381" s="184">
        <v>966</v>
      </c>
      <c r="B381" s="185">
        <v>11</v>
      </c>
      <c r="C381" s="185">
        <f t="shared" si="59"/>
        <v>9660011</v>
      </c>
      <c r="D381" s="185" t="s">
        <v>4616</v>
      </c>
      <c r="E381" s="129" t="s">
        <v>1356</v>
      </c>
      <c r="F381" s="129"/>
      <c r="G381" s="129"/>
      <c r="H381" s="129"/>
      <c r="I381" s="114" t="s">
        <v>1331</v>
      </c>
      <c r="J381" s="114"/>
      <c r="K381" s="114"/>
      <c r="L381" s="114"/>
      <c r="M381" s="114"/>
      <c r="N381" s="114" t="s">
        <v>1327</v>
      </c>
      <c r="O381" s="114" t="s">
        <v>1327</v>
      </c>
      <c r="P381" s="114"/>
      <c r="Q381" s="114" t="s">
        <v>2041</v>
      </c>
      <c r="R381" s="114"/>
      <c r="S381" s="114"/>
      <c r="T381" s="114" t="s">
        <v>2298</v>
      </c>
      <c r="U381" s="117" t="s">
        <v>4693</v>
      </c>
      <c r="V381" s="114" t="s">
        <v>1888</v>
      </c>
      <c r="W381" s="114" t="s">
        <v>137</v>
      </c>
      <c r="X381" s="114"/>
      <c r="Y381" s="128" t="s">
        <v>137</v>
      </c>
      <c r="Z381" s="114"/>
      <c r="AA381" s="114"/>
      <c r="AB381" s="114"/>
      <c r="AC381" s="114"/>
      <c r="AD381" s="114"/>
      <c r="AE381" s="130"/>
      <c r="AF381" s="130" t="s">
        <v>2043</v>
      </c>
      <c r="AG381" s="114"/>
      <c r="AI381" s="131"/>
      <c r="AJ381" s="131" t="s">
        <v>926</v>
      </c>
      <c r="AK381" s="132">
        <v>1571</v>
      </c>
      <c r="AL381" s="132"/>
      <c r="AM381" s="134"/>
      <c r="AN381" s="134"/>
      <c r="AO381" s="134"/>
      <c r="AP381" s="134"/>
      <c r="AQ381" s="134">
        <v>22</v>
      </c>
      <c r="AR381" s="134">
        <v>1500</v>
      </c>
      <c r="AS381" s="134">
        <v>3000</v>
      </c>
      <c r="AT381" s="134"/>
      <c r="AU381" s="131"/>
      <c r="AV381" s="131"/>
      <c r="AW381" s="132"/>
      <c r="AX381" s="132"/>
      <c r="AY381" s="132"/>
      <c r="AZ381" s="134"/>
      <c r="BA381" s="134"/>
      <c r="BB381" s="134"/>
      <c r="BC381" s="134"/>
      <c r="BD381" s="134"/>
      <c r="BE381" s="134"/>
      <c r="BF381" s="134"/>
      <c r="BG381" s="134"/>
      <c r="BH381" s="131"/>
      <c r="BI381" s="131"/>
      <c r="BJ381" s="131"/>
      <c r="BK381" s="132"/>
      <c r="BL381" s="132"/>
      <c r="BM381" s="134"/>
      <c r="BN381" s="134"/>
      <c r="BO381" s="134"/>
      <c r="BP381" s="134"/>
      <c r="BQ381" s="134"/>
      <c r="BR381" s="134"/>
      <c r="BS381" s="134"/>
      <c r="BT381" s="134"/>
      <c r="BU381" s="131"/>
      <c r="BV381" s="131"/>
      <c r="BW381" s="132"/>
      <c r="BX381" s="132"/>
      <c r="BY381" s="132"/>
      <c r="BZ381" s="134"/>
      <c r="CA381" s="134"/>
      <c r="CB381" s="134"/>
      <c r="CC381" s="134"/>
      <c r="CD381" s="134"/>
      <c r="CE381" s="134"/>
      <c r="CF381" s="134"/>
      <c r="CG381" s="134"/>
      <c r="CH381" s="127"/>
      <c r="CI381" s="128" t="s">
        <v>397</v>
      </c>
      <c r="CJ381" s="134">
        <v>15</v>
      </c>
      <c r="CT381" s="135"/>
      <c r="CU381" s="135"/>
      <c r="CV381" s="135"/>
      <c r="CW381" s="135"/>
      <c r="CX381" s="135"/>
      <c r="CY381" s="135"/>
      <c r="CZ381" s="135"/>
      <c r="DA381" s="135"/>
      <c r="DB381" s="135"/>
      <c r="DC381" s="134"/>
    </row>
    <row r="382" spans="1:107" s="128" customFormat="1" x14ac:dyDescent="0.2">
      <c r="A382" s="184">
        <v>966</v>
      </c>
      <c r="B382" s="185">
        <v>21</v>
      </c>
      <c r="C382" s="185">
        <f t="shared" si="59"/>
        <v>9660021</v>
      </c>
      <c r="D382" s="185" t="s">
        <v>4617</v>
      </c>
      <c r="E382" s="129" t="s">
        <v>1356</v>
      </c>
      <c r="F382" s="129"/>
      <c r="G382" s="129"/>
      <c r="H382" s="129"/>
      <c r="I382" s="114" t="s">
        <v>1331</v>
      </c>
      <c r="J382" s="114"/>
      <c r="K382" s="114"/>
      <c r="L382" s="114"/>
      <c r="M382" s="114"/>
      <c r="N382" s="114" t="s">
        <v>1327</v>
      </c>
      <c r="O382" s="114" t="s">
        <v>1327</v>
      </c>
      <c r="P382" s="114"/>
      <c r="Q382" s="114" t="s">
        <v>2041</v>
      </c>
      <c r="R382" s="114"/>
      <c r="S382" s="114"/>
      <c r="T382" s="114" t="s">
        <v>2298</v>
      </c>
      <c r="U382" s="117" t="s">
        <v>4694</v>
      </c>
      <c r="V382" s="114" t="s">
        <v>1888</v>
      </c>
      <c r="W382" s="114" t="s">
        <v>137</v>
      </c>
      <c r="X382" s="114"/>
      <c r="Y382" s="128" t="s">
        <v>137</v>
      </c>
      <c r="Z382" s="114"/>
      <c r="AA382" s="114"/>
      <c r="AB382" s="114"/>
      <c r="AC382" s="114"/>
      <c r="AD382" s="114"/>
      <c r="AE382" s="130"/>
      <c r="AF382" s="130" t="s">
        <v>2043</v>
      </c>
      <c r="AG382" s="114"/>
      <c r="AI382" s="131"/>
      <c r="AJ382" s="131" t="s">
        <v>926</v>
      </c>
      <c r="AK382" s="132">
        <v>1571</v>
      </c>
      <c r="AL382" s="132"/>
      <c r="AM382" s="134"/>
      <c r="AN382" s="134"/>
      <c r="AO382" s="134"/>
      <c r="AP382" s="134"/>
      <c r="AQ382" s="134">
        <v>23</v>
      </c>
      <c r="AR382" s="134">
        <v>2000</v>
      </c>
      <c r="AS382" s="134">
        <v>3000</v>
      </c>
      <c r="AT382" s="134"/>
      <c r="AU382" s="131"/>
      <c r="AV382" s="131"/>
      <c r="AW382" s="132"/>
      <c r="AX382" s="132"/>
      <c r="AY382" s="132"/>
      <c r="AZ382" s="134"/>
      <c r="BA382" s="134"/>
      <c r="BB382" s="134"/>
      <c r="BC382" s="134"/>
      <c r="BD382" s="134"/>
      <c r="BE382" s="134"/>
      <c r="BF382" s="134"/>
      <c r="BG382" s="134"/>
      <c r="BH382" s="131"/>
      <c r="BI382" s="131"/>
      <c r="BJ382" s="131"/>
      <c r="BK382" s="132"/>
      <c r="BL382" s="132"/>
      <c r="BM382" s="134"/>
      <c r="BN382" s="134"/>
      <c r="BO382" s="134"/>
      <c r="BP382" s="134"/>
      <c r="BQ382" s="134"/>
      <c r="BR382" s="134"/>
      <c r="BS382" s="134"/>
      <c r="BT382" s="134"/>
      <c r="BU382" s="131"/>
      <c r="BV382" s="131"/>
      <c r="BW382" s="132"/>
      <c r="BX382" s="132"/>
      <c r="BY382" s="132"/>
      <c r="BZ382" s="134"/>
      <c r="CA382" s="134"/>
      <c r="CB382" s="134"/>
      <c r="CC382" s="134"/>
      <c r="CD382" s="134"/>
      <c r="CE382" s="134"/>
      <c r="CF382" s="134"/>
      <c r="CG382" s="134"/>
      <c r="CH382" s="127"/>
      <c r="CI382" s="128" t="s">
        <v>397</v>
      </c>
      <c r="CJ382" s="134">
        <v>20</v>
      </c>
      <c r="CT382" s="135"/>
      <c r="CU382" s="135"/>
      <c r="CV382" s="135"/>
      <c r="CW382" s="135"/>
      <c r="CX382" s="135"/>
      <c r="CY382" s="135"/>
      <c r="CZ382" s="135"/>
      <c r="DA382" s="135"/>
      <c r="DB382" s="135"/>
      <c r="DC382" s="134"/>
    </row>
    <row r="383" spans="1:107" s="128" customFormat="1" x14ac:dyDescent="0.2">
      <c r="A383" s="184">
        <v>966</v>
      </c>
      <c r="B383" s="185">
        <v>31</v>
      </c>
      <c r="C383" s="185">
        <f t="shared" si="59"/>
        <v>9660031</v>
      </c>
      <c r="D383" s="185" t="s">
        <v>4618</v>
      </c>
      <c r="E383" s="129" t="s">
        <v>1356</v>
      </c>
      <c r="F383" s="129"/>
      <c r="G383" s="129"/>
      <c r="H383" s="129"/>
      <c r="I383" s="114" t="s">
        <v>1331</v>
      </c>
      <c r="J383" s="114"/>
      <c r="K383" s="114"/>
      <c r="L383" s="114"/>
      <c r="M383" s="114"/>
      <c r="N383" s="114" t="s">
        <v>1327</v>
      </c>
      <c r="O383" s="114" t="s">
        <v>1327</v>
      </c>
      <c r="P383" s="114"/>
      <c r="Q383" s="114" t="s">
        <v>2041</v>
      </c>
      <c r="R383" s="114"/>
      <c r="S383" s="114"/>
      <c r="T383" s="114" t="s">
        <v>2298</v>
      </c>
      <c r="U383" s="117" t="s">
        <v>4695</v>
      </c>
      <c r="V383" s="114" t="s">
        <v>1888</v>
      </c>
      <c r="W383" s="114" t="s">
        <v>137</v>
      </c>
      <c r="X383" s="114"/>
      <c r="Y383" s="128" t="s">
        <v>137</v>
      </c>
      <c r="Z383" s="114"/>
      <c r="AA383" s="114"/>
      <c r="AB383" s="114"/>
      <c r="AC383" s="114"/>
      <c r="AD383" s="114"/>
      <c r="AE383" s="130"/>
      <c r="AF383" s="130" t="s">
        <v>2043</v>
      </c>
      <c r="AG383" s="114"/>
      <c r="AI383" s="131"/>
      <c r="AJ383" s="131" t="s">
        <v>926</v>
      </c>
      <c r="AK383" s="132">
        <v>1571</v>
      </c>
      <c r="AL383" s="132"/>
      <c r="AM383" s="134"/>
      <c r="AN383" s="134"/>
      <c r="AO383" s="134"/>
      <c r="AP383" s="134"/>
      <c r="AQ383" s="134">
        <v>24</v>
      </c>
      <c r="AR383" s="134">
        <v>2500</v>
      </c>
      <c r="AS383" s="134">
        <v>3000</v>
      </c>
      <c r="AT383" s="134"/>
      <c r="AU383" s="131"/>
      <c r="AV383" s="131"/>
      <c r="AW383" s="132"/>
      <c r="AX383" s="132"/>
      <c r="AY383" s="132"/>
      <c r="AZ383" s="134"/>
      <c r="BA383" s="134"/>
      <c r="BB383" s="134"/>
      <c r="BC383" s="134"/>
      <c r="BD383" s="134"/>
      <c r="BE383" s="134"/>
      <c r="BF383" s="134"/>
      <c r="BG383" s="134"/>
      <c r="BH383" s="131"/>
      <c r="BI383" s="131"/>
      <c r="BJ383" s="131"/>
      <c r="BK383" s="132"/>
      <c r="BL383" s="132"/>
      <c r="BM383" s="134"/>
      <c r="BN383" s="134"/>
      <c r="BO383" s="134"/>
      <c r="BP383" s="134"/>
      <c r="BQ383" s="134"/>
      <c r="BR383" s="134"/>
      <c r="BS383" s="134"/>
      <c r="BT383" s="134"/>
      <c r="BU383" s="131"/>
      <c r="BV383" s="131"/>
      <c r="BW383" s="132"/>
      <c r="BX383" s="132"/>
      <c r="BY383" s="132"/>
      <c r="BZ383" s="134"/>
      <c r="CA383" s="134"/>
      <c r="CB383" s="134"/>
      <c r="CC383" s="134"/>
      <c r="CD383" s="134"/>
      <c r="CE383" s="134"/>
      <c r="CF383" s="134"/>
      <c r="CG383" s="134"/>
      <c r="CH383" s="127"/>
      <c r="CI383" s="128" t="s">
        <v>397</v>
      </c>
      <c r="CJ383" s="134">
        <v>25</v>
      </c>
      <c r="CT383" s="135"/>
      <c r="CU383" s="135"/>
      <c r="CV383" s="135"/>
      <c r="CW383" s="135"/>
      <c r="CX383" s="135"/>
      <c r="CY383" s="135"/>
      <c r="CZ383" s="135"/>
      <c r="DA383" s="135"/>
      <c r="DB383" s="135"/>
      <c r="DC383" s="134"/>
    </row>
    <row r="384" spans="1:107" s="128" customFormat="1" x14ac:dyDescent="0.2">
      <c r="A384" s="184">
        <v>967</v>
      </c>
      <c r="B384" s="185">
        <v>1</v>
      </c>
      <c r="C384" s="185">
        <f t="shared" si="59"/>
        <v>9670001</v>
      </c>
      <c r="D384" s="185" t="s">
        <v>1368</v>
      </c>
      <c r="E384" s="129" t="s">
        <v>1383</v>
      </c>
      <c r="F384" s="129"/>
      <c r="G384" s="129"/>
      <c r="H384" s="129"/>
      <c r="I384" s="114" t="s">
        <v>1331</v>
      </c>
      <c r="J384" s="114"/>
      <c r="K384" s="114"/>
      <c r="L384" s="114"/>
      <c r="M384" s="114"/>
      <c r="N384" s="114" t="s">
        <v>1327</v>
      </c>
      <c r="O384" s="114" t="s">
        <v>1327</v>
      </c>
      <c r="P384" s="114"/>
      <c r="Q384" s="114" t="s">
        <v>2041</v>
      </c>
      <c r="R384" s="114"/>
      <c r="S384" s="114"/>
      <c r="T384" s="114" t="s">
        <v>2298</v>
      </c>
      <c r="U384" s="117" t="s">
        <v>4696</v>
      </c>
      <c r="V384" s="114" t="s">
        <v>1889</v>
      </c>
      <c r="W384" s="114" t="s">
        <v>137</v>
      </c>
      <c r="X384" s="114"/>
      <c r="Y384" s="128" t="s">
        <v>137</v>
      </c>
      <c r="Z384" s="114"/>
      <c r="AA384" s="114"/>
      <c r="AB384" s="114"/>
      <c r="AC384" s="114"/>
      <c r="AD384" s="114"/>
      <c r="AE384" s="130"/>
      <c r="AF384" s="130" t="s">
        <v>2043</v>
      </c>
      <c r="AG384" s="114"/>
      <c r="AI384" s="131"/>
      <c r="AJ384" s="131" t="s">
        <v>926</v>
      </c>
      <c r="AK384" s="132">
        <v>1571</v>
      </c>
      <c r="AL384" s="132"/>
      <c r="AM384" s="134"/>
      <c r="AN384" s="134"/>
      <c r="AO384" s="134"/>
      <c r="AP384" s="134"/>
      <c r="AQ384" s="134">
        <v>25</v>
      </c>
      <c r="AR384" s="134">
        <v>1000</v>
      </c>
      <c r="AS384" s="134">
        <v>3000</v>
      </c>
      <c r="AT384" s="134"/>
      <c r="AU384" s="131"/>
      <c r="AV384" s="131"/>
      <c r="AW384" s="132"/>
      <c r="AX384" s="132"/>
      <c r="AY384" s="132"/>
      <c r="AZ384" s="134"/>
      <c r="BA384" s="134"/>
      <c r="BB384" s="134"/>
      <c r="BC384" s="134"/>
      <c r="BD384" s="134"/>
      <c r="BE384" s="134"/>
      <c r="BF384" s="134"/>
      <c r="BG384" s="134"/>
      <c r="BH384" s="131"/>
      <c r="BI384" s="131"/>
      <c r="BJ384" s="131"/>
      <c r="BK384" s="132"/>
      <c r="BL384" s="132"/>
      <c r="BM384" s="134"/>
      <c r="BN384" s="134"/>
      <c r="BO384" s="134"/>
      <c r="BP384" s="134"/>
      <c r="BQ384" s="134"/>
      <c r="BR384" s="134"/>
      <c r="BS384" s="134"/>
      <c r="BT384" s="134"/>
      <c r="BU384" s="131"/>
      <c r="BV384" s="131"/>
      <c r="BW384" s="132"/>
      <c r="BX384" s="132"/>
      <c r="BY384" s="132"/>
      <c r="BZ384" s="134"/>
      <c r="CA384" s="134"/>
      <c r="CB384" s="134"/>
      <c r="CC384" s="134"/>
      <c r="CD384" s="134"/>
      <c r="CE384" s="134"/>
      <c r="CF384" s="134"/>
      <c r="CG384" s="134"/>
      <c r="CH384" s="127"/>
      <c r="CI384" s="128" t="s">
        <v>397</v>
      </c>
      <c r="CJ384" s="134">
        <v>10</v>
      </c>
      <c r="CT384" s="135"/>
      <c r="CU384" s="135"/>
      <c r="CV384" s="135"/>
      <c r="CW384" s="135"/>
      <c r="CX384" s="135"/>
      <c r="CY384" s="135"/>
      <c r="CZ384" s="135"/>
      <c r="DA384" s="135"/>
      <c r="DB384" s="135"/>
      <c r="DC384" s="134"/>
    </row>
    <row r="385" spans="1:107" s="128" customFormat="1" x14ac:dyDescent="0.2">
      <c r="A385" s="184">
        <v>967</v>
      </c>
      <c r="B385" s="185">
        <v>11</v>
      </c>
      <c r="C385" s="185">
        <f t="shared" si="59"/>
        <v>9670011</v>
      </c>
      <c r="D385" s="185" t="s">
        <v>1369</v>
      </c>
      <c r="E385" s="129" t="s">
        <v>1383</v>
      </c>
      <c r="F385" s="129"/>
      <c r="G385" s="129"/>
      <c r="H385" s="129"/>
      <c r="I385" s="114" t="s">
        <v>1331</v>
      </c>
      <c r="J385" s="114"/>
      <c r="K385" s="114"/>
      <c r="L385" s="114"/>
      <c r="M385" s="114"/>
      <c r="N385" s="114" t="s">
        <v>1327</v>
      </c>
      <c r="O385" s="114" t="s">
        <v>1327</v>
      </c>
      <c r="P385" s="114"/>
      <c r="Q385" s="114" t="s">
        <v>2041</v>
      </c>
      <c r="R385" s="114"/>
      <c r="S385" s="114"/>
      <c r="T385" s="114" t="s">
        <v>2298</v>
      </c>
      <c r="U385" s="117" t="s">
        <v>4697</v>
      </c>
      <c r="V385" s="114" t="s">
        <v>1889</v>
      </c>
      <c r="W385" s="114" t="s">
        <v>137</v>
      </c>
      <c r="X385" s="114"/>
      <c r="Y385" s="128" t="s">
        <v>137</v>
      </c>
      <c r="Z385" s="114"/>
      <c r="AA385" s="114"/>
      <c r="AB385" s="114"/>
      <c r="AC385" s="114"/>
      <c r="AD385" s="114"/>
      <c r="AE385" s="130"/>
      <c r="AF385" s="130" t="s">
        <v>2043</v>
      </c>
      <c r="AG385" s="114"/>
      <c r="AI385" s="131"/>
      <c r="AJ385" s="131" t="s">
        <v>926</v>
      </c>
      <c r="AK385" s="132">
        <v>1571</v>
      </c>
      <c r="AL385" s="132"/>
      <c r="AM385" s="134"/>
      <c r="AN385" s="134"/>
      <c r="AO385" s="134"/>
      <c r="AP385" s="134"/>
      <c r="AQ385" s="134">
        <v>26</v>
      </c>
      <c r="AR385" s="134">
        <v>1500</v>
      </c>
      <c r="AS385" s="134">
        <v>3000</v>
      </c>
      <c r="AT385" s="134"/>
      <c r="AU385" s="131"/>
      <c r="AV385" s="131"/>
      <c r="AW385" s="132"/>
      <c r="AX385" s="132"/>
      <c r="AY385" s="132"/>
      <c r="AZ385" s="134"/>
      <c r="BA385" s="134"/>
      <c r="BB385" s="134"/>
      <c r="BC385" s="134"/>
      <c r="BD385" s="134"/>
      <c r="BE385" s="134"/>
      <c r="BF385" s="134"/>
      <c r="BG385" s="134"/>
      <c r="BH385" s="131"/>
      <c r="BI385" s="131"/>
      <c r="BJ385" s="131"/>
      <c r="BK385" s="132"/>
      <c r="BL385" s="132"/>
      <c r="BM385" s="134"/>
      <c r="BN385" s="134"/>
      <c r="BO385" s="134"/>
      <c r="BP385" s="134"/>
      <c r="BQ385" s="134"/>
      <c r="BR385" s="134"/>
      <c r="BS385" s="134"/>
      <c r="BT385" s="134"/>
      <c r="BU385" s="131"/>
      <c r="BV385" s="131"/>
      <c r="BW385" s="132"/>
      <c r="BX385" s="132"/>
      <c r="BY385" s="132"/>
      <c r="BZ385" s="134"/>
      <c r="CA385" s="134"/>
      <c r="CB385" s="134"/>
      <c r="CC385" s="134"/>
      <c r="CD385" s="134"/>
      <c r="CE385" s="134"/>
      <c r="CF385" s="134"/>
      <c r="CG385" s="134"/>
      <c r="CH385" s="127"/>
      <c r="CI385" s="128" t="s">
        <v>397</v>
      </c>
      <c r="CJ385" s="134">
        <v>15</v>
      </c>
      <c r="CT385" s="135"/>
      <c r="CU385" s="135"/>
      <c r="CV385" s="135"/>
      <c r="CW385" s="135"/>
      <c r="CX385" s="135"/>
      <c r="CY385" s="135"/>
      <c r="CZ385" s="135"/>
      <c r="DA385" s="135"/>
      <c r="DB385" s="135"/>
      <c r="DC385" s="134"/>
    </row>
    <row r="386" spans="1:107" s="128" customFormat="1" x14ac:dyDescent="0.2">
      <c r="A386" s="184">
        <v>967</v>
      </c>
      <c r="B386" s="185">
        <v>21</v>
      </c>
      <c r="C386" s="185">
        <f t="shared" si="59"/>
        <v>9670021</v>
      </c>
      <c r="D386" s="185" t="s">
        <v>1370</v>
      </c>
      <c r="E386" s="129" t="s">
        <v>1383</v>
      </c>
      <c r="F386" s="129"/>
      <c r="G386" s="129"/>
      <c r="H386" s="129"/>
      <c r="I386" s="114" t="s">
        <v>1331</v>
      </c>
      <c r="J386" s="114"/>
      <c r="K386" s="114"/>
      <c r="L386" s="114"/>
      <c r="M386" s="114"/>
      <c r="N386" s="114" t="s">
        <v>1327</v>
      </c>
      <c r="O386" s="114" t="s">
        <v>1327</v>
      </c>
      <c r="P386" s="114"/>
      <c r="Q386" s="114" t="s">
        <v>2041</v>
      </c>
      <c r="R386" s="114"/>
      <c r="S386" s="114"/>
      <c r="T386" s="114" t="s">
        <v>2298</v>
      </c>
      <c r="U386" s="117" t="s">
        <v>4698</v>
      </c>
      <c r="V386" s="114" t="s">
        <v>1889</v>
      </c>
      <c r="W386" s="114" t="s">
        <v>137</v>
      </c>
      <c r="X386" s="114"/>
      <c r="Y386" s="128" t="s">
        <v>137</v>
      </c>
      <c r="Z386" s="114"/>
      <c r="AA386" s="114"/>
      <c r="AB386" s="114"/>
      <c r="AC386" s="114"/>
      <c r="AD386" s="114"/>
      <c r="AE386" s="130"/>
      <c r="AF386" s="130" t="s">
        <v>2043</v>
      </c>
      <c r="AG386" s="114"/>
      <c r="AI386" s="131"/>
      <c r="AJ386" s="131" t="s">
        <v>926</v>
      </c>
      <c r="AK386" s="132">
        <v>1571</v>
      </c>
      <c r="AL386" s="132"/>
      <c r="AM386" s="134"/>
      <c r="AN386" s="134"/>
      <c r="AO386" s="134"/>
      <c r="AP386" s="134"/>
      <c r="AQ386" s="134">
        <v>27</v>
      </c>
      <c r="AR386" s="134">
        <v>2000</v>
      </c>
      <c r="AS386" s="134">
        <v>3000</v>
      </c>
      <c r="AT386" s="134"/>
      <c r="AU386" s="131"/>
      <c r="AV386" s="131"/>
      <c r="AW386" s="132"/>
      <c r="AX386" s="132"/>
      <c r="AY386" s="132"/>
      <c r="AZ386" s="134"/>
      <c r="BA386" s="134"/>
      <c r="BB386" s="134"/>
      <c r="BC386" s="134"/>
      <c r="BD386" s="134"/>
      <c r="BE386" s="134"/>
      <c r="BF386" s="134"/>
      <c r="BG386" s="134"/>
      <c r="BH386" s="131"/>
      <c r="BI386" s="131"/>
      <c r="BJ386" s="131"/>
      <c r="BK386" s="132"/>
      <c r="BL386" s="132"/>
      <c r="BM386" s="134"/>
      <c r="BN386" s="134"/>
      <c r="BO386" s="134"/>
      <c r="BP386" s="134"/>
      <c r="BQ386" s="134"/>
      <c r="BR386" s="134"/>
      <c r="BS386" s="134"/>
      <c r="BT386" s="134"/>
      <c r="BU386" s="131"/>
      <c r="BV386" s="131"/>
      <c r="BW386" s="132"/>
      <c r="BX386" s="132"/>
      <c r="BY386" s="132"/>
      <c r="BZ386" s="134"/>
      <c r="CA386" s="134"/>
      <c r="CB386" s="134"/>
      <c r="CC386" s="134"/>
      <c r="CD386" s="134"/>
      <c r="CE386" s="134"/>
      <c r="CF386" s="134"/>
      <c r="CG386" s="134"/>
      <c r="CH386" s="127"/>
      <c r="CI386" s="128" t="s">
        <v>397</v>
      </c>
      <c r="CJ386" s="134">
        <v>20</v>
      </c>
      <c r="CT386" s="135"/>
      <c r="CU386" s="135"/>
      <c r="CV386" s="135"/>
      <c r="CW386" s="135"/>
      <c r="CX386" s="135"/>
      <c r="CY386" s="135"/>
      <c r="CZ386" s="135"/>
      <c r="DA386" s="135"/>
      <c r="DB386" s="135"/>
      <c r="DC386" s="134"/>
    </row>
    <row r="387" spans="1:107" s="128" customFormat="1" x14ac:dyDescent="0.2">
      <c r="A387" s="184">
        <v>967</v>
      </c>
      <c r="B387" s="185">
        <v>31</v>
      </c>
      <c r="C387" s="185">
        <f t="shared" si="59"/>
        <v>9670031</v>
      </c>
      <c r="D387" s="185" t="s">
        <v>1371</v>
      </c>
      <c r="E387" s="129" t="s">
        <v>1383</v>
      </c>
      <c r="F387" s="129"/>
      <c r="G387" s="129"/>
      <c r="H387" s="129"/>
      <c r="I387" s="114" t="s">
        <v>1331</v>
      </c>
      <c r="J387" s="114"/>
      <c r="K387" s="114"/>
      <c r="L387" s="114"/>
      <c r="M387" s="114"/>
      <c r="N387" s="114" t="s">
        <v>1327</v>
      </c>
      <c r="O387" s="114" t="s">
        <v>1327</v>
      </c>
      <c r="P387" s="114"/>
      <c r="Q387" s="114" t="s">
        <v>2041</v>
      </c>
      <c r="R387" s="114"/>
      <c r="S387" s="114"/>
      <c r="T387" s="114" t="s">
        <v>2298</v>
      </c>
      <c r="U387" s="117" t="s">
        <v>4699</v>
      </c>
      <c r="V387" s="114" t="s">
        <v>1889</v>
      </c>
      <c r="W387" s="114" t="s">
        <v>137</v>
      </c>
      <c r="X387" s="114"/>
      <c r="Y387" s="128" t="s">
        <v>137</v>
      </c>
      <c r="Z387" s="114"/>
      <c r="AA387" s="114"/>
      <c r="AB387" s="114"/>
      <c r="AC387" s="114"/>
      <c r="AD387" s="114"/>
      <c r="AE387" s="130"/>
      <c r="AF387" s="130" t="s">
        <v>2043</v>
      </c>
      <c r="AG387" s="114"/>
      <c r="AI387" s="131"/>
      <c r="AJ387" s="131" t="s">
        <v>926</v>
      </c>
      <c r="AK387" s="132">
        <v>1571</v>
      </c>
      <c r="AL387" s="132"/>
      <c r="AM387" s="134"/>
      <c r="AN387" s="134"/>
      <c r="AO387" s="134"/>
      <c r="AP387" s="134"/>
      <c r="AQ387" s="134">
        <v>28</v>
      </c>
      <c r="AR387" s="134">
        <v>2500</v>
      </c>
      <c r="AS387" s="134">
        <v>3000</v>
      </c>
      <c r="AT387" s="134"/>
      <c r="AU387" s="131"/>
      <c r="AV387" s="131"/>
      <c r="AW387" s="132"/>
      <c r="AX387" s="132"/>
      <c r="AY387" s="132"/>
      <c r="AZ387" s="134"/>
      <c r="BA387" s="134"/>
      <c r="BB387" s="134"/>
      <c r="BC387" s="134"/>
      <c r="BD387" s="134"/>
      <c r="BE387" s="134"/>
      <c r="BF387" s="134"/>
      <c r="BG387" s="134"/>
      <c r="BH387" s="131"/>
      <c r="BI387" s="131"/>
      <c r="BJ387" s="131"/>
      <c r="BK387" s="132"/>
      <c r="BL387" s="132"/>
      <c r="BM387" s="134"/>
      <c r="BN387" s="134"/>
      <c r="BO387" s="134"/>
      <c r="BP387" s="134"/>
      <c r="BQ387" s="134"/>
      <c r="BR387" s="134"/>
      <c r="BS387" s="134"/>
      <c r="BT387" s="134"/>
      <c r="BU387" s="131"/>
      <c r="BV387" s="131"/>
      <c r="BW387" s="132"/>
      <c r="BX387" s="132"/>
      <c r="BY387" s="132"/>
      <c r="BZ387" s="134"/>
      <c r="CA387" s="134"/>
      <c r="CB387" s="134"/>
      <c r="CC387" s="134"/>
      <c r="CD387" s="134"/>
      <c r="CE387" s="134"/>
      <c r="CF387" s="134"/>
      <c r="CG387" s="134"/>
      <c r="CH387" s="127"/>
      <c r="CI387" s="128" t="s">
        <v>397</v>
      </c>
      <c r="CJ387" s="134">
        <v>25</v>
      </c>
      <c r="CT387" s="135"/>
      <c r="CU387" s="135"/>
      <c r="CV387" s="135"/>
      <c r="CW387" s="135"/>
      <c r="CX387" s="135"/>
      <c r="CY387" s="135"/>
      <c r="CZ387" s="135"/>
      <c r="DA387" s="135"/>
      <c r="DB387" s="135"/>
      <c r="DC387" s="134"/>
    </row>
    <row r="388" spans="1:107" s="128" customFormat="1" x14ac:dyDescent="0.2">
      <c r="A388" s="184">
        <v>968</v>
      </c>
      <c r="B388" s="185">
        <v>1</v>
      </c>
      <c r="C388" s="185">
        <f t="shared" si="59"/>
        <v>9680001</v>
      </c>
      <c r="D388" s="185" t="s">
        <v>1950</v>
      </c>
      <c r="E388" s="129" t="s">
        <v>2061</v>
      </c>
      <c r="F388" s="129"/>
      <c r="G388" s="129"/>
      <c r="H388" s="129"/>
      <c r="I388" s="114" t="s">
        <v>1331</v>
      </c>
      <c r="J388" s="114"/>
      <c r="K388" s="114"/>
      <c r="L388" s="114"/>
      <c r="M388" s="114"/>
      <c r="N388" s="114" t="s">
        <v>1327</v>
      </c>
      <c r="O388" s="114" t="s">
        <v>1327</v>
      </c>
      <c r="P388" s="114"/>
      <c r="Q388" s="114" t="s">
        <v>2041</v>
      </c>
      <c r="R388" s="114"/>
      <c r="S388" s="114"/>
      <c r="T388" s="114" t="s">
        <v>2298</v>
      </c>
      <c r="U388" s="117" t="s">
        <v>4700</v>
      </c>
      <c r="V388" s="114" t="s">
        <v>1951</v>
      </c>
      <c r="W388" s="114" t="s">
        <v>137</v>
      </c>
      <c r="X388" s="114"/>
      <c r="Y388" s="128" t="s">
        <v>137</v>
      </c>
      <c r="Z388" s="114"/>
      <c r="AA388" s="114"/>
      <c r="AB388" s="114"/>
      <c r="AC388" s="114"/>
      <c r="AD388" s="114"/>
      <c r="AE388" s="130"/>
      <c r="AF388" s="130" t="s">
        <v>2043</v>
      </c>
      <c r="AG388" s="114"/>
      <c r="AI388" s="131"/>
      <c r="AJ388" s="131" t="s">
        <v>926</v>
      </c>
      <c r="AK388" s="132">
        <v>1571</v>
      </c>
      <c r="AL388" s="132"/>
      <c r="AM388" s="134"/>
      <c r="AN388" s="134"/>
      <c r="AO388" s="134"/>
      <c r="AP388" s="134"/>
      <c r="AQ388" s="134">
        <v>1</v>
      </c>
      <c r="AR388" s="134">
        <v>1000</v>
      </c>
      <c r="AS388" s="134">
        <v>3000</v>
      </c>
      <c r="AT388" s="134"/>
      <c r="AU388" s="131"/>
      <c r="AV388" s="131"/>
      <c r="AW388" s="132"/>
      <c r="AX388" s="132"/>
      <c r="AY388" s="132"/>
      <c r="AZ388" s="134"/>
      <c r="BA388" s="134"/>
      <c r="BB388" s="134"/>
      <c r="BC388" s="134"/>
      <c r="BD388" s="134"/>
      <c r="BE388" s="134"/>
      <c r="BF388" s="134"/>
      <c r="BG388" s="134"/>
      <c r="BH388" s="131"/>
      <c r="BI388" s="131"/>
      <c r="BJ388" s="131"/>
      <c r="BK388" s="132"/>
      <c r="BL388" s="132"/>
      <c r="BM388" s="134"/>
      <c r="BN388" s="134"/>
      <c r="BO388" s="134"/>
      <c r="BP388" s="134"/>
      <c r="BQ388" s="134"/>
      <c r="BR388" s="134"/>
      <c r="BS388" s="134"/>
      <c r="BT388" s="134"/>
      <c r="BU388" s="131"/>
      <c r="BV388" s="131"/>
      <c r="BW388" s="132"/>
      <c r="BX388" s="132"/>
      <c r="BY388" s="132"/>
      <c r="BZ388" s="134"/>
      <c r="CA388" s="134"/>
      <c r="CB388" s="134"/>
      <c r="CC388" s="134"/>
      <c r="CD388" s="134"/>
      <c r="CE388" s="134"/>
      <c r="CF388" s="134"/>
      <c r="CG388" s="134"/>
      <c r="CH388" s="127"/>
      <c r="CI388" s="128" t="s">
        <v>397</v>
      </c>
      <c r="CJ388" s="134">
        <v>10</v>
      </c>
      <c r="CT388" s="135"/>
      <c r="CU388" s="135"/>
      <c r="CV388" s="135"/>
      <c r="CW388" s="135"/>
      <c r="CX388" s="135"/>
      <c r="CY388" s="135"/>
      <c r="CZ388" s="135"/>
      <c r="DA388" s="135"/>
      <c r="DB388" s="135"/>
      <c r="DC388" s="134"/>
    </row>
    <row r="389" spans="1:107" s="128" customFormat="1" x14ac:dyDescent="0.2">
      <c r="A389" s="184">
        <v>968</v>
      </c>
      <c r="B389" s="185">
        <v>11</v>
      </c>
      <c r="C389" s="185">
        <f t="shared" si="59"/>
        <v>9680011</v>
      </c>
      <c r="D389" s="185" t="s">
        <v>4619</v>
      </c>
      <c r="E389" s="129" t="s">
        <v>2061</v>
      </c>
      <c r="F389" s="129"/>
      <c r="G389" s="129"/>
      <c r="H389" s="129"/>
      <c r="I389" s="114" t="s">
        <v>1331</v>
      </c>
      <c r="J389" s="114"/>
      <c r="K389" s="114"/>
      <c r="L389" s="114"/>
      <c r="M389" s="114"/>
      <c r="N389" s="114" t="s">
        <v>1327</v>
      </c>
      <c r="O389" s="114" t="s">
        <v>1327</v>
      </c>
      <c r="P389" s="114"/>
      <c r="Q389" s="114" t="s">
        <v>2041</v>
      </c>
      <c r="R389" s="114"/>
      <c r="S389" s="114"/>
      <c r="T389" s="114" t="s">
        <v>2298</v>
      </c>
      <c r="U389" s="117" t="s">
        <v>4701</v>
      </c>
      <c r="V389" s="114" t="s">
        <v>1951</v>
      </c>
      <c r="W389" s="114" t="s">
        <v>137</v>
      </c>
      <c r="X389" s="114"/>
      <c r="Y389" s="128" t="s">
        <v>137</v>
      </c>
      <c r="Z389" s="114"/>
      <c r="AA389" s="114"/>
      <c r="AB389" s="114"/>
      <c r="AC389" s="114"/>
      <c r="AD389" s="114"/>
      <c r="AE389" s="130"/>
      <c r="AF389" s="130" t="s">
        <v>2043</v>
      </c>
      <c r="AG389" s="114"/>
      <c r="AI389" s="131"/>
      <c r="AJ389" s="131" t="s">
        <v>926</v>
      </c>
      <c r="AK389" s="132">
        <v>1571</v>
      </c>
      <c r="AL389" s="132"/>
      <c r="AM389" s="134"/>
      <c r="AN389" s="134"/>
      <c r="AO389" s="134"/>
      <c r="AP389" s="134"/>
      <c r="AQ389" s="134">
        <v>2</v>
      </c>
      <c r="AR389" s="134">
        <v>1500</v>
      </c>
      <c r="AS389" s="134">
        <v>3000</v>
      </c>
      <c r="AT389" s="134"/>
      <c r="AU389" s="131"/>
      <c r="AV389" s="131"/>
      <c r="AW389" s="132"/>
      <c r="AX389" s="132"/>
      <c r="AY389" s="132"/>
      <c r="AZ389" s="134"/>
      <c r="BA389" s="134"/>
      <c r="BB389" s="134"/>
      <c r="BC389" s="134"/>
      <c r="BD389" s="134"/>
      <c r="BE389" s="134"/>
      <c r="BF389" s="134"/>
      <c r="BG389" s="134"/>
      <c r="BH389" s="131"/>
      <c r="BI389" s="131"/>
      <c r="BJ389" s="131"/>
      <c r="BK389" s="132"/>
      <c r="BL389" s="132"/>
      <c r="BM389" s="134"/>
      <c r="BN389" s="134"/>
      <c r="BO389" s="134"/>
      <c r="BP389" s="134"/>
      <c r="BQ389" s="134"/>
      <c r="BR389" s="134"/>
      <c r="BS389" s="134"/>
      <c r="BT389" s="134"/>
      <c r="BU389" s="131"/>
      <c r="BV389" s="131"/>
      <c r="BW389" s="132"/>
      <c r="BX389" s="132"/>
      <c r="BY389" s="132"/>
      <c r="BZ389" s="134"/>
      <c r="CA389" s="134"/>
      <c r="CB389" s="134"/>
      <c r="CC389" s="134"/>
      <c r="CD389" s="134"/>
      <c r="CE389" s="134"/>
      <c r="CF389" s="134"/>
      <c r="CG389" s="134"/>
      <c r="CH389" s="127"/>
      <c r="CI389" s="128" t="s">
        <v>397</v>
      </c>
      <c r="CJ389" s="134">
        <v>15</v>
      </c>
      <c r="CT389" s="135"/>
      <c r="CU389" s="135"/>
      <c r="CV389" s="135"/>
      <c r="CW389" s="135"/>
      <c r="CX389" s="135"/>
      <c r="CY389" s="135"/>
      <c r="CZ389" s="135"/>
      <c r="DA389" s="135"/>
      <c r="DB389" s="135"/>
      <c r="DC389" s="134"/>
    </row>
    <row r="390" spans="1:107" s="128" customFormat="1" x14ac:dyDescent="0.2">
      <c r="A390" s="184">
        <v>968</v>
      </c>
      <c r="B390" s="185">
        <v>21</v>
      </c>
      <c r="C390" s="185">
        <f t="shared" si="59"/>
        <v>9680021</v>
      </c>
      <c r="D390" s="185" t="s">
        <v>4620</v>
      </c>
      <c r="E390" s="129" t="s">
        <v>2061</v>
      </c>
      <c r="F390" s="129"/>
      <c r="G390" s="129"/>
      <c r="H390" s="129"/>
      <c r="I390" s="114" t="s">
        <v>1331</v>
      </c>
      <c r="J390" s="114"/>
      <c r="K390" s="114"/>
      <c r="L390" s="114"/>
      <c r="M390" s="114"/>
      <c r="N390" s="114" t="s">
        <v>1327</v>
      </c>
      <c r="O390" s="114" t="s">
        <v>1327</v>
      </c>
      <c r="P390" s="114"/>
      <c r="Q390" s="114" t="s">
        <v>2041</v>
      </c>
      <c r="R390" s="114"/>
      <c r="S390" s="114"/>
      <c r="T390" s="114" t="s">
        <v>2298</v>
      </c>
      <c r="U390" s="117" t="s">
        <v>4702</v>
      </c>
      <c r="V390" s="114" t="s">
        <v>1951</v>
      </c>
      <c r="W390" s="114" t="s">
        <v>137</v>
      </c>
      <c r="X390" s="114"/>
      <c r="Y390" s="128" t="s">
        <v>137</v>
      </c>
      <c r="Z390" s="114"/>
      <c r="AA390" s="114"/>
      <c r="AB390" s="114"/>
      <c r="AC390" s="114"/>
      <c r="AD390" s="114"/>
      <c r="AE390" s="130"/>
      <c r="AF390" s="130" t="s">
        <v>2043</v>
      </c>
      <c r="AG390" s="114"/>
      <c r="AI390" s="131"/>
      <c r="AJ390" s="131" t="s">
        <v>926</v>
      </c>
      <c r="AK390" s="132">
        <v>1571</v>
      </c>
      <c r="AL390" s="132"/>
      <c r="AM390" s="134"/>
      <c r="AN390" s="134"/>
      <c r="AO390" s="134"/>
      <c r="AP390" s="134"/>
      <c r="AQ390" s="134">
        <v>3</v>
      </c>
      <c r="AR390" s="134">
        <v>2000</v>
      </c>
      <c r="AS390" s="134">
        <v>3000</v>
      </c>
      <c r="AT390" s="134"/>
      <c r="AU390" s="131"/>
      <c r="AV390" s="131"/>
      <c r="AW390" s="132"/>
      <c r="AX390" s="132"/>
      <c r="AY390" s="132"/>
      <c r="AZ390" s="134"/>
      <c r="BA390" s="134"/>
      <c r="BB390" s="134"/>
      <c r="BC390" s="134"/>
      <c r="BD390" s="134"/>
      <c r="BE390" s="134"/>
      <c r="BF390" s="134"/>
      <c r="BG390" s="134"/>
      <c r="BH390" s="131"/>
      <c r="BI390" s="131"/>
      <c r="BJ390" s="131"/>
      <c r="BK390" s="132"/>
      <c r="BL390" s="132"/>
      <c r="BM390" s="134"/>
      <c r="BN390" s="134"/>
      <c r="BO390" s="134"/>
      <c r="BP390" s="134"/>
      <c r="BQ390" s="134"/>
      <c r="BR390" s="134"/>
      <c r="BS390" s="134"/>
      <c r="BT390" s="134"/>
      <c r="BU390" s="131"/>
      <c r="BV390" s="131"/>
      <c r="BW390" s="132"/>
      <c r="BX390" s="132"/>
      <c r="BY390" s="132"/>
      <c r="BZ390" s="134"/>
      <c r="CA390" s="134"/>
      <c r="CB390" s="134"/>
      <c r="CC390" s="134"/>
      <c r="CD390" s="134"/>
      <c r="CE390" s="134"/>
      <c r="CF390" s="134"/>
      <c r="CG390" s="134"/>
      <c r="CH390" s="127"/>
      <c r="CI390" s="128" t="s">
        <v>397</v>
      </c>
      <c r="CJ390" s="134">
        <v>20</v>
      </c>
      <c r="CT390" s="135"/>
      <c r="CU390" s="135"/>
      <c r="CV390" s="135"/>
      <c r="CW390" s="135"/>
      <c r="CX390" s="135"/>
      <c r="CY390" s="135"/>
      <c r="CZ390" s="135"/>
      <c r="DA390" s="135"/>
      <c r="DB390" s="135"/>
      <c r="DC390" s="134"/>
    </row>
    <row r="391" spans="1:107" s="128" customFormat="1" x14ac:dyDescent="0.2">
      <c r="A391" s="184">
        <v>968</v>
      </c>
      <c r="B391" s="185">
        <v>31</v>
      </c>
      <c r="C391" s="185">
        <f t="shared" si="59"/>
        <v>9680031</v>
      </c>
      <c r="D391" s="185" t="s">
        <v>4621</v>
      </c>
      <c r="E391" s="129" t="s">
        <v>2061</v>
      </c>
      <c r="F391" s="129"/>
      <c r="G391" s="129"/>
      <c r="H391" s="129"/>
      <c r="I391" s="114" t="s">
        <v>1331</v>
      </c>
      <c r="J391" s="114"/>
      <c r="K391" s="114"/>
      <c r="L391" s="114"/>
      <c r="M391" s="114"/>
      <c r="N391" s="114" t="s">
        <v>1327</v>
      </c>
      <c r="O391" s="114" t="s">
        <v>1327</v>
      </c>
      <c r="P391" s="114"/>
      <c r="Q391" s="114" t="s">
        <v>2041</v>
      </c>
      <c r="R391" s="114"/>
      <c r="S391" s="114"/>
      <c r="T391" s="114" t="s">
        <v>2298</v>
      </c>
      <c r="U391" s="117" t="s">
        <v>4703</v>
      </c>
      <c r="V391" s="114" t="s">
        <v>1951</v>
      </c>
      <c r="W391" s="114" t="s">
        <v>137</v>
      </c>
      <c r="X391" s="114"/>
      <c r="Y391" s="128" t="s">
        <v>137</v>
      </c>
      <c r="Z391" s="114"/>
      <c r="AA391" s="114"/>
      <c r="AB391" s="114"/>
      <c r="AC391" s="114"/>
      <c r="AD391" s="114"/>
      <c r="AE391" s="130"/>
      <c r="AF391" s="130" t="s">
        <v>2043</v>
      </c>
      <c r="AG391" s="114"/>
      <c r="AI391" s="131"/>
      <c r="AJ391" s="131" t="s">
        <v>926</v>
      </c>
      <c r="AK391" s="132">
        <v>1571</v>
      </c>
      <c r="AL391" s="132"/>
      <c r="AM391" s="134"/>
      <c r="AN391" s="134"/>
      <c r="AO391" s="134"/>
      <c r="AP391" s="134"/>
      <c r="AQ391" s="134">
        <v>4</v>
      </c>
      <c r="AR391" s="134">
        <v>2500</v>
      </c>
      <c r="AS391" s="134">
        <v>3000</v>
      </c>
      <c r="AT391" s="134"/>
      <c r="AU391" s="131"/>
      <c r="AV391" s="131"/>
      <c r="AW391" s="132"/>
      <c r="AX391" s="132"/>
      <c r="AY391" s="132"/>
      <c r="AZ391" s="134"/>
      <c r="BA391" s="134"/>
      <c r="BB391" s="134"/>
      <c r="BC391" s="134"/>
      <c r="BD391" s="134"/>
      <c r="BE391" s="134"/>
      <c r="BF391" s="134"/>
      <c r="BG391" s="134"/>
      <c r="BH391" s="131"/>
      <c r="BI391" s="131"/>
      <c r="BJ391" s="131"/>
      <c r="BK391" s="132"/>
      <c r="BL391" s="132"/>
      <c r="BM391" s="134"/>
      <c r="BN391" s="134"/>
      <c r="BO391" s="134"/>
      <c r="BP391" s="134"/>
      <c r="BQ391" s="134"/>
      <c r="BR391" s="134"/>
      <c r="BS391" s="134"/>
      <c r="BT391" s="134"/>
      <c r="BU391" s="131"/>
      <c r="BV391" s="131"/>
      <c r="BW391" s="132"/>
      <c r="BX391" s="132"/>
      <c r="BY391" s="132"/>
      <c r="BZ391" s="134"/>
      <c r="CA391" s="134"/>
      <c r="CB391" s="134"/>
      <c r="CC391" s="134"/>
      <c r="CD391" s="134"/>
      <c r="CE391" s="134"/>
      <c r="CF391" s="134"/>
      <c r="CG391" s="134"/>
      <c r="CH391" s="127"/>
      <c r="CI391" s="128" t="s">
        <v>397</v>
      </c>
      <c r="CJ391" s="134">
        <v>25</v>
      </c>
      <c r="CT391" s="135"/>
      <c r="CU391" s="135"/>
      <c r="CV391" s="135"/>
      <c r="CW391" s="135"/>
      <c r="CX391" s="135"/>
      <c r="CY391" s="135"/>
      <c r="CZ391" s="135"/>
      <c r="DA391" s="135"/>
      <c r="DB391" s="135"/>
      <c r="DC391" s="134"/>
    </row>
    <row r="392" spans="1:107" s="14" customFormat="1" ht="17.25" x14ac:dyDescent="0.3">
      <c r="A392" s="8"/>
      <c r="B392" s="8"/>
      <c r="C392" s="8"/>
      <c r="D392" s="8"/>
      <c r="E392" s="9" t="s">
        <v>107</v>
      </c>
      <c r="F392" s="9"/>
      <c r="G392" s="9"/>
      <c r="H392" s="9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1"/>
      <c r="Z392" s="10"/>
      <c r="AA392" s="10"/>
      <c r="AB392" s="10"/>
      <c r="AC392" s="10"/>
      <c r="AD392" s="10"/>
      <c r="AE392" s="12"/>
      <c r="AF392" s="12"/>
      <c r="AG392" s="10"/>
      <c r="AH392" s="13"/>
      <c r="AI392" s="13"/>
      <c r="AJ392" s="13"/>
      <c r="AK392" s="15"/>
      <c r="AL392" s="15"/>
      <c r="AM392" s="15"/>
      <c r="AN392" s="15"/>
      <c r="AO392" s="15"/>
      <c r="AP392" s="15"/>
      <c r="AQ392" s="15"/>
      <c r="AR392" s="15"/>
      <c r="AS392" s="15"/>
      <c r="AT392" s="15"/>
      <c r="AU392" s="13"/>
      <c r="AV392" s="13"/>
      <c r="AW392" s="13"/>
      <c r="AX392" s="31"/>
      <c r="AY392" s="31"/>
      <c r="AZ392" s="15"/>
      <c r="BA392" s="15"/>
      <c r="BB392" s="15"/>
      <c r="BC392" s="15"/>
      <c r="BD392" s="15"/>
      <c r="BE392" s="15"/>
      <c r="BF392" s="15"/>
      <c r="BG392" s="15"/>
      <c r="BH392" s="13"/>
      <c r="BI392" s="13"/>
      <c r="BJ392" s="13"/>
      <c r="BK392" s="31"/>
      <c r="BL392" s="31"/>
      <c r="BM392" s="15"/>
      <c r="BN392" s="15"/>
      <c r="BO392" s="15"/>
      <c r="BP392" s="15"/>
      <c r="BQ392" s="15"/>
      <c r="BR392" s="15"/>
      <c r="BS392" s="15"/>
      <c r="BT392" s="15"/>
      <c r="BU392" s="13"/>
      <c r="BV392" s="13"/>
      <c r="BW392" s="13"/>
      <c r="BX392" s="31"/>
      <c r="BY392" s="31"/>
      <c r="BZ392" s="15"/>
      <c r="CA392" s="15"/>
      <c r="CB392" s="15"/>
      <c r="CC392" s="15"/>
      <c r="CD392" s="15"/>
      <c r="CE392" s="15"/>
      <c r="CF392" s="15"/>
      <c r="CG392" s="15"/>
      <c r="CH392" s="10"/>
      <c r="CI392" s="8"/>
      <c r="CJ392" s="16"/>
      <c r="CK392" s="8"/>
      <c r="CT392" s="17"/>
      <c r="CU392" s="17"/>
      <c r="CV392" s="17"/>
      <c r="CW392" s="17"/>
      <c r="CX392" s="17"/>
      <c r="CY392" s="17"/>
      <c r="CZ392" s="17"/>
      <c r="DA392" s="17"/>
      <c r="DB392" s="17"/>
      <c r="DC392" s="15"/>
    </row>
    <row r="393" spans="1:107" s="25" customFormat="1" x14ac:dyDescent="0.2">
      <c r="A393" s="29" t="s">
        <v>108</v>
      </c>
      <c r="B393" s="34" t="s">
        <v>0</v>
      </c>
      <c r="C393" s="34">
        <f t="shared" si="35"/>
        <v>9990001</v>
      </c>
      <c r="D393" s="34" t="s">
        <v>985</v>
      </c>
      <c r="E393" s="20" t="s">
        <v>109</v>
      </c>
      <c r="F393" s="20"/>
      <c r="G393" s="20"/>
      <c r="H393" s="20"/>
      <c r="I393" s="22" t="s">
        <v>206</v>
      </c>
      <c r="J393" s="21"/>
      <c r="K393" s="21"/>
      <c r="L393" s="21"/>
      <c r="M393" s="21"/>
      <c r="N393" s="21" t="s">
        <v>1129</v>
      </c>
      <c r="O393" s="21" t="s">
        <v>980</v>
      </c>
      <c r="P393" s="21"/>
      <c r="Q393" s="21" t="s">
        <v>2041</v>
      </c>
      <c r="R393" s="21"/>
      <c r="S393" s="21"/>
      <c r="T393" s="21"/>
      <c r="U393" s="118"/>
      <c r="V393" s="21" t="s">
        <v>1819</v>
      </c>
      <c r="W393" s="21" t="s">
        <v>1820</v>
      </c>
      <c r="X393" s="21"/>
      <c r="Z393" s="21"/>
      <c r="AA393" s="21"/>
      <c r="AB393" s="35"/>
      <c r="AC393" s="35"/>
      <c r="AD393" s="35"/>
      <c r="AE393" s="36"/>
      <c r="AF393" s="24" t="s">
        <v>2041</v>
      </c>
      <c r="AG393" s="35"/>
      <c r="AH393" s="37" t="s">
        <v>33</v>
      </c>
      <c r="AK393" s="27"/>
      <c r="AL393" s="27"/>
      <c r="AM393" s="27"/>
      <c r="AN393" s="27"/>
      <c r="AO393" s="27"/>
      <c r="AP393" s="27"/>
      <c r="AQ393" s="27"/>
      <c r="AR393" s="27"/>
      <c r="AS393" s="27"/>
      <c r="AT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X393" s="27"/>
      <c r="BY393" s="27"/>
      <c r="BZ393" s="27"/>
      <c r="CA393" s="27"/>
      <c r="CB393" s="27"/>
      <c r="CC393" s="27"/>
      <c r="CD393" s="27"/>
      <c r="CE393" s="27"/>
      <c r="CF393" s="27"/>
      <c r="CG393" s="27"/>
      <c r="CH393" s="23"/>
      <c r="CJ393" s="27"/>
      <c r="CT393" s="38"/>
      <c r="CU393" s="38"/>
      <c r="CV393" s="38"/>
      <c r="CW393" s="38"/>
      <c r="CX393" s="38"/>
      <c r="CY393" s="38"/>
      <c r="CZ393" s="38"/>
      <c r="DA393" s="38"/>
      <c r="DB393" s="38"/>
      <c r="DC393" s="27"/>
    </row>
    <row r="394" spans="1:107" s="25" customFormat="1" x14ac:dyDescent="0.2">
      <c r="A394" s="29" t="s">
        <v>108</v>
      </c>
      <c r="B394" s="34" t="s">
        <v>26</v>
      </c>
      <c r="C394" s="34">
        <f t="shared" si="35"/>
        <v>9990002</v>
      </c>
      <c r="D394" s="34" t="s">
        <v>985</v>
      </c>
      <c r="E394" s="21" t="s">
        <v>1125</v>
      </c>
      <c r="F394" s="21"/>
      <c r="G394" s="21"/>
      <c r="H394" s="21"/>
      <c r="I394" s="21" t="s">
        <v>157</v>
      </c>
      <c r="J394" s="21"/>
      <c r="K394" s="21"/>
      <c r="L394" s="21"/>
      <c r="M394" s="21"/>
      <c r="N394" s="21" t="s">
        <v>158</v>
      </c>
      <c r="O394" s="21" t="s">
        <v>980</v>
      </c>
      <c r="P394" s="21"/>
      <c r="Q394" s="21" t="s">
        <v>2041</v>
      </c>
      <c r="R394" s="21"/>
      <c r="S394" s="21"/>
      <c r="T394" s="21"/>
      <c r="U394" s="118"/>
      <c r="V394" s="21" t="s">
        <v>1818</v>
      </c>
      <c r="W394" s="21" t="s">
        <v>1</v>
      </c>
      <c r="X394" s="21"/>
      <c r="Z394" s="21"/>
      <c r="AA394" s="21"/>
      <c r="AB394" s="35"/>
      <c r="AC394" s="35"/>
      <c r="AD394" s="35"/>
      <c r="AE394" s="36"/>
      <c r="AF394" s="24" t="s">
        <v>2041</v>
      </c>
      <c r="AG394" s="35"/>
      <c r="AH394" s="37" t="s">
        <v>33</v>
      </c>
      <c r="AK394" s="27"/>
      <c r="AL394" s="27"/>
      <c r="AM394" s="27"/>
      <c r="AN394" s="27"/>
      <c r="AO394" s="27"/>
      <c r="AP394" s="27"/>
      <c r="AQ394" s="27"/>
      <c r="AR394" s="27"/>
      <c r="AS394" s="27"/>
      <c r="AT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X394" s="27"/>
      <c r="BY394" s="27"/>
      <c r="BZ394" s="27"/>
      <c r="CA394" s="27"/>
      <c r="CB394" s="27"/>
      <c r="CC394" s="27"/>
      <c r="CD394" s="27"/>
      <c r="CE394" s="27"/>
      <c r="CF394" s="27"/>
      <c r="CG394" s="27"/>
      <c r="CH394" s="23"/>
      <c r="CJ394" s="27"/>
      <c r="CT394" s="38"/>
      <c r="CU394" s="38"/>
      <c r="CV394" s="38"/>
      <c r="CW394" s="38"/>
      <c r="CX394" s="38"/>
      <c r="CY394" s="38"/>
      <c r="CZ394" s="38"/>
      <c r="DA394" s="38"/>
      <c r="DB394" s="38"/>
      <c r="DC394" s="27"/>
    </row>
    <row r="395" spans="1:107" s="25" customFormat="1" x14ac:dyDescent="0.2">
      <c r="A395" s="29" t="s">
        <v>108</v>
      </c>
      <c r="B395" s="34" t="s">
        <v>27</v>
      </c>
      <c r="C395" s="34">
        <f t="shared" si="35"/>
        <v>9990003</v>
      </c>
      <c r="D395" s="34" t="s">
        <v>985</v>
      </c>
      <c r="E395" s="21" t="s">
        <v>981</v>
      </c>
      <c r="F395" s="21"/>
      <c r="G395" s="21"/>
      <c r="H395" s="21"/>
      <c r="I395" s="21" t="s">
        <v>157</v>
      </c>
      <c r="J395" s="21"/>
      <c r="K395" s="21"/>
      <c r="L395" s="21"/>
      <c r="M395" s="21"/>
      <c r="N395" s="21" t="s">
        <v>158</v>
      </c>
      <c r="O395" s="21" t="s">
        <v>980</v>
      </c>
      <c r="P395" s="21"/>
      <c r="Q395" s="21" t="s">
        <v>2041</v>
      </c>
      <c r="R395" s="21"/>
      <c r="S395" s="21"/>
      <c r="T395" s="21"/>
      <c r="U395" s="118"/>
      <c r="V395" s="21" t="s">
        <v>1818</v>
      </c>
      <c r="W395" s="21" t="s">
        <v>1</v>
      </c>
      <c r="X395" s="21"/>
      <c r="Z395" s="21"/>
      <c r="AA395" s="21"/>
      <c r="AB395" s="35"/>
      <c r="AC395" s="35"/>
      <c r="AD395" s="35"/>
      <c r="AE395" s="36"/>
      <c r="AF395" s="24" t="s">
        <v>2041</v>
      </c>
      <c r="AG395" s="35"/>
      <c r="AH395" s="37" t="s">
        <v>33</v>
      </c>
      <c r="AK395" s="27"/>
      <c r="AL395" s="27"/>
      <c r="AM395" s="27"/>
      <c r="AN395" s="27"/>
      <c r="AO395" s="27"/>
      <c r="AP395" s="27"/>
      <c r="AQ395" s="27"/>
      <c r="AR395" s="27"/>
      <c r="AS395" s="27"/>
      <c r="AT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X395" s="27"/>
      <c r="BY395" s="27"/>
      <c r="BZ395" s="27"/>
      <c r="CA395" s="27"/>
      <c r="CB395" s="27"/>
      <c r="CC395" s="27"/>
      <c r="CD395" s="27"/>
      <c r="CE395" s="27"/>
      <c r="CF395" s="27"/>
      <c r="CG395" s="27"/>
      <c r="CH395" s="23"/>
      <c r="CJ395" s="27"/>
      <c r="CT395" s="38"/>
      <c r="CU395" s="38"/>
      <c r="CV395" s="38"/>
      <c r="CW395" s="38"/>
      <c r="CX395" s="38"/>
      <c r="CY395" s="38"/>
      <c r="CZ395" s="38"/>
      <c r="DA395" s="38"/>
      <c r="DB395" s="38"/>
      <c r="DC395" s="27"/>
    </row>
    <row r="396" spans="1:107" s="25" customFormat="1" x14ac:dyDescent="0.2">
      <c r="A396" s="29" t="s">
        <v>108</v>
      </c>
      <c r="B396" s="34" t="s">
        <v>1</v>
      </c>
      <c r="C396" s="34">
        <f t="shared" si="35"/>
        <v>9990004</v>
      </c>
      <c r="D396" s="34" t="s">
        <v>985</v>
      </c>
      <c r="E396" s="21" t="s">
        <v>695</v>
      </c>
      <c r="F396" s="21"/>
      <c r="G396" s="21"/>
      <c r="H396" s="21"/>
      <c r="I396" s="21" t="s">
        <v>157</v>
      </c>
      <c r="J396" s="21"/>
      <c r="K396" s="21"/>
      <c r="L396" s="21"/>
      <c r="M396" s="21"/>
      <c r="N396" s="21" t="s">
        <v>158</v>
      </c>
      <c r="O396" s="21" t="s">
        <v>980</v>
      </c>
      <c r="P396" s="21"/>
      <c r="Q396" s="21" t="s">
        <v>2041</v>
      </c>
      <c r="R396" s="21"/>
      <c r="S396" s="21"/>
      <c r="T396" s="21"/>
      <c r="U396" s="118"/>
      <c r="V396" s="21" t="s">
        <v>1818</v>
      </c>
      <c r="W396" s="21" t="s">
        <v>1</v>
      </c>
      <c r="X396" s="21"/>
      <c r="Z396" s="21"/>
      <c r="AA396" s="21"/>
      <c r="AB396" s="21"/>
      <c r="AC396" s="21"/>
      <c r="AD396" s="21"/>
      <c r="AE396" s="39"/>
      <c r="AF396" s="24" t="s">
        <v>2041</v>
      </c>
      <c r="AG396" s="21"/>
      <c r="AH396" s="37" t="s">
        <v>33</v>
      </c>
      <c r="AK396" s="27"/>
      <c r="AL396" s="27"/>
      <c r="AM396" s="27"/>
      <c r="AN396" s="27"/>
      <c r="AO396" s="27"/>
      <c r="AP396" s="27"/>
      <c r="AQ396" s="27"/>
      <c r="AR396" s="27"/>
      <c r="AS396" s="27"/>
      <c r="AT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X396" s="27"/>
      <c r="BY396" s="27"/>
      <c r="BZ396" s="27"/>
      <c r="CA396" s="27"/>
      <c r="CB396" s="27"/>
      <c r="CC396" s="27"/>
      <c r="CD396" s="27"/>
      <c r="CE396" s="27"/>
      <c r="CF396" s="27"/>
      <c r="CG396" s="27"/>
      <c r="CH396" s="23"/>
      <c r="CJ396" s="27"/>
      <c r="CT396" s="38"/>
      <c r="CU396" s="38"/>
      <c r="CV396" s="38"/>
      <c r="CW396" s="38"/>
      <c r="CX396" s="38"/>
      <c r="CY396" s="38"/>
      <c r="CZ396" s="38"/>
      <c r="DA396" s="38"/>
      <c r="DB396" s="38"/>
      <c r="DC396" s="27"/>
    </row>
    <row r="397" spans="1:107" s="25" customFormat="1" x14ac:dyDescent="0.2">
      <c r="A397" s="29" t="s">
        <v>108</v>
      </c>
      <c r="B397" s="34" t="s">
        <v>2</v>
      </c>
      <c r="C397" s="34">
        <f t="shared" si="35"/>
        <v>9990005</v>
      </c>
      <c r="D397" s="34" t="s">
        <v>985</v>
      </c>
      <c r="E397" s="21" t="s">
        <v>695</v>
      </c>
      <c r="F397" s="21"/>
      <c r="G397" s="21"/>
      <c r="H397" s="21"/>
      <c r="I397" s="21" t="s">
        <v>157</v>
      </c>
      <c r="J397" s="21"/>
      <c r="K397" s="21"/>
      <c r="L397" s="21"/>
      <c r="M397" s="21"/>
      <c r="N397" s="21" t="s">
        <v>158</v>
      </c>
      <c r="O397" s="21" t="s">
        <v>980</v>
      </c>
      <c r="P397" s="21"/>
      <c r="Q397" s="21" t="s">
        <v>2041</v>
      </c>
      <c r="R397" s="21"/>
      <c r="S397" s="21"/>
      <c r="T397" s="21"/>
      <c r="U397" s="118"/>
      <c r="V397" s="21" t="s">
        <v>1818</v>
      </c>
      <c r="W397" s="21" t="s">
        <v>1</v>
      </c>
      <c r="X397" s="21"/>
      <c r="Z397" s="21"/>
      <c r="AA397" s="21"/>
      <c r="AB397" s="21"/>
      <c r="AC397" s="21"/>
      <c r="AD397" s="21"/>
      <c r="AE397" s="39"/>
      <c r="AF397" s="24" t="s">
        <v>2041</v>
      </c>
      <c r="AG397" s="21"/>
      <c r="AH397" s="37" t="s">
        <v>33</v>
      </c>
      <c r="AK397" s="27"/>
      <c r="AL397" s="27"/>
      <c r="AM397" s="27"/>
      <c r="AN397" s="27"/>
      <c r="AO397" s="27"/>
      <c r="AP397" s="27"/>
      <c r="AQ397" s="27"/>
      <c r="AR397" s="27"/>
      <c r="AS397" s="27"/>
      <c r="AT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X397" s="27"/>
      <c r="BY397" s="27"/>
      <c r="BZ397" s="27"/>
      <c r="CA397" s="27"/>
      <c r="CB397" s="27"/>
      <c r="CC397" s="27"/>
      <c r="CD397" s="27"/>
      <c r="CE397" s="27"/>
      <c r="CF397" s="27"/>
      <c r="CG397" s="27"/>
      <c r="CH397" s="23"/>
      <c r="CJ397" s="27"/>
      <c r="CT397" s="38"/>
      <c r="CU397" s="38"/>
      <c r="CV397" s="38"/>
      <c r="CW397" s="38"/>
      <c r="CX397" s="38"/>
      <c r="CY397" s="38"/>
      <c r="CZ397" s="38"/>
      <c r="DA397" s="38"/>
      <c r="DB397" s="38"/>
      <c r="DC397" s="27"/>
    </row>
    <row r="398" spans="1:107" s="25" customFormat="1" x14ac:dyDescent="0.2">
      <c r="A398" s="29" t="s">
        <v>108</v>
      </c>
      <c r="B398" s="34" t="s">
        <v>3</v>
      </c>
      <c r="C398" s="34">
        <f t="shared" si="35"/>
        <v>9990006</v>
      </c>
      <c r="D398" s="34" t="s">
        <v>985</v>
      </c>
      <c r="E398" s="21" t="s">
        <v>695</v>
      </c>
      <c r="F398" s="21"/>
      <c r="G398" s="21"/>
      <c r="H398" s="21"/>
      <c r="I398" s="21" t="s">
        <v>157</v>
      </c>
      <c r="J398" s="21"/>
      <c r="K398" s="21"/>
      <c r="L398" s="21"/>
      <c r="M398" s="21"/>
      <c r="N398" s="21" t="s">
        <v>158</v>
      </c>
      <c r="O398" s="21" t="s">
        <v>980</v>
      </c>
      <c r="P398" s="21"/>
      <c r="Q398" s="21" t="s">
        <v>2041</v>
      </c>
      <c r="R398" s="21"/>
      <c r="S398" s="21"/>
      <c r="T398" s="21"/>
      <c r="U398" s="118"/>
      <c r="V398" s="21" t="s">
        <v>1818</v>
      </c>
      <c r="W398" s="21" t="s">
        <v>1</v>
      </c>
      <c r="X398" s="21"/>
      <c r="Z398" s="21"/>
      <c r="AA398" s="21"/>
      <c r="AB398" s="21"/>
      <c r="AC398" s="21"/>
      <c r="AD398" s="21"/>
      <c r="AE398" s="39"/>
      <c r="AF398" s="24" t="s">
        <v>2041</v>
      </c>
      <c r="AG398" s="21"/>
      <c r="AH398" s="37" t="s">
        <v>33</v>
      </c>
      <c r="AK398" s="27"/>
      <c r="AL398" s="27"/>
      <c r="AM398" s="27"/>
      <c r="AN398" s="27"/>
      <c r="AO398" s="27"/>
      <c r="AP398" s="27"/>
      <c r="AQ398" s="27"/>
      <c r="AR398" s="27"/>
      <c r="AS398" s="27"/>
      <c r="AT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X398" s="27"/>
      <c r="BY398" s="27"/>
      <c r="BZ398" s="27"/>
      <c r="CA398" s="27"/>
      <c r="CB398" s="27"/>
      <c r="CC398" s="27"/>
      <c r="CD398" s="27"/>
      <c r="CE398" s="27"/>
      <c r="CF398" s="27"/>
      <c r="CG398" s="27"/>
      <c r="CH398" s="23"/>
      <c r="CJ398" s="27"/>
      <c r="CT398" s="38"/>
      <c r="CU398" s="38"/>
      <c r="CV398" s="38"/>
      <c r="CW398" s="38"/>
      <c r="CX398" s="38"/>
      <c r="CY398" s="38"/>
      <c r="CZ398" s="38"/>
      <c r="DA398" s="38"/>
      <c r="DB398" s="38"/>
      <c r="DC398" s="27"/>
    </row>
    <row r="399" spans="1:107" s="25" customFormat="1" x14ac:dyDescent="0.2">
      <c r="A399" s="29" t="s">
        <v>108</v>
      </c>
      <c r="B399" s="34" t="s">
        <v>4</v>
      </c>
      <c r="C399" s="34">
        <f t="shared" si="35"/>
        <v>9990007</v>
      </c>
      <c r="D399" s="34" t="s">
        <v>985</v>
      </c>
      <c r="E399" s="21" t="s">
        <v>1125</v>
      </c>
      <c r="F399" s="21"/>
      <c r="G399" s="21"/>
      <c r="H399" s="21"/>
      <c r="I399" s="21" t="s">
        <v>157</v>
      </c>
      <c r="J399" s="21"/>
      <c r="K399" s="21"/>
      <c r="L399" s="21"/>
      <c r="M399" s="21"/>
      <c r="N399" s="21" t="s">
        <v>158</v>
      </c>
      <c r="O399" s="21" t="s">
        <v>400</v>
      </c>
      <c r="P399" s="21"/>
      <c r="Q399" s="21" t="s">
        <v>2041</v>
      </c>
      <c r="R399" s="21"/>
      <c r="S399" s="21"/>
      <c r="T399" s="21"/>
      <c r="U399" s="118"/>
      <c r="V399" s="21" t="s">
        <v>1818</v>
      </c>
      <c r="W399" s="21" t="s">
        <v>1</v>
      </c>
      <c r="X399" s="21"/>
      <c r="Z399" s="21"/>
      <c r="AA399" s="21"/>
      <c r="AB399" s="21"/>
      <c r="AC399" s="21"/>
      <c r="AD399" s="21"/>
      <c r="AE399" s="39"/>
      <c r="AF399" s="24" t="s">
        <v>2041</v>
      </c>
      <c r="AG399" s="21"/>
      <c r="AH399" s="37" t="s">
        <v>33</v>
      </c>
      <c r="AK399" s="27"/>
      <c r="AL399" s="27"/>
      <c r="AM399" s="27"/>
      <c r="AN399" s="27"/>
      <c r="AO399" s="27"/>
      <c r="AP399" s="27"/>
      <c r="AQ399" s="27"/>
      <c r="AR399" s="27"/>
      <c r="AS399" s="27"/>
      <c r="AT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X399" s="27"/>
      <c r="BY399" s="27"/>
      <c r="BZ399" s="27"/>
      <c r="CA399" s="27"/>
      <c r="CB399" s="27"/>
      <c r="CC399" s="27"/>
      <c r="CD399" s="27"/>
      <c r="CE399" s="27"/>
      <c r="CF399" s="27"/>
      <c r="CG399" s="27"/>
      <c r="CH399" s="23"/>
      <c r="CJ399" s="27"/>
      <c r="CT399" s="38"/>
      <c r="CU399" s="38"/>
      <c r="CV399" s="38"/>
      <c r="CW399" s="38"/>
      <c r="CX399" s="38"/>
      <c r="CY399" s="38"/>
      <c r="CZ399" s="38"/>
      <c r="DA399" s="38"/>
      <c r="DB399" s="38"/>
      <c r="DC399" s="27"/>
    </row>
    <row r="400" spans="1:107" s="25" customFormat="1" x14ac:dyDescent="0.2">
      <c r="A400" s="29" t="s">
        <v>108</v>
      </c>
      <c r="B400" s="34" t="s">
        <v>5</v>
      </c>
      <c r="C400" s="34">
        <f t="shared" si="35"/>
        <v>9990008</v>
      </c>
      <c r="D400" s="34" t="s">
        <v>985</v>
      </c>
      <c r="E400" s="21" t="s">
        <v>1125</v>
      </c>
      <c r="F400" s="21"/>
      <c r="G400" s="21"/>
      <c r="H400" s="21"/>
      <c r="I400" s="21" t="s">
        <v>157</v>
      </c>
      <c r="J400" s="21"/>
      <c r="K400" s="21"/>
      <c r="L400" s="21"/>
      <c r="M400" s="21"/>
      <c r="N400" s="21" t="s">
        <v>158</v>
      </c>
      <c r="O400" s="21" t="s">
        <v>400</v>
      </c>
      <c r="P400" s="21"/>
      <c r="Q400" s="21" t="s">
        <v>2041</v>
      </c>
      <c r="R400" s="21"/>
      <c r="S400" s="21"/>
      <c r="T400" s="21"/>
      <c r="U400" s="118"/>
      <c r="V400" s="21" t="s">
        <v>1818</v>
      </c>
      <c r="W400" s="21" t="s">
        <v>1</v>
      </c>
      <c r="X400" s="21"/>
      <c r="Z400" s="21"/>
      <c r="AA400" s="21"/>
      <c r="AB400" s="21"/>
      <c r="AC400" s="21"/>
      <c r="AD400" s="21"/>
      <c r="AE400" s="39"/>
      <c r="AF400" s="24" t="s">
        <v>2041</v>
      </c>
      <c r="AG400" s="21"/>
      <c r="AH400" s="37" t="s">
        <v>33</v>
      </c>
      <c r="AK400" s="27"/>
      <c r="AL400" s="27"/>
      <c r="AM400" s="27"/>
      <c r="AN400" s="27"/>
      <c r="AO400" s="27"/>
      <c r="AP400" s="27"/>
      <c r="AQ400" s="27"/>
      <c r="AR400" s="27"/>
      <c r="AS400" s="27"/>
      <c r="AT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X400" s="27"/>
      <c r="BY400" s="27"/>
      <c r="BZ400" s="27"/>
      <c r="CA400" s="27"/>
      <c r="CB400" s="27"/>
      <c r="CC400" s="27"/>
      <c r="CD400" s="27"/>
      <c r="CE400" s="27"/>
      <c r="CF400" s="27"/>
      <c r="CG400" s="27"/>
      <c r="CH400" s="23"/>
      <c r="CJ400" s="27"/>
      <c r="CT400" s="38"/>
      <c r="CU400" s="38"/>
      <c r="CV400" s="38"/>
      <c r="CW400" s="38"/>
      <c r="CX400" s="38"/>
      <c r="CY400" s="38"/>
      <c r="CZ400" s="38"/>
      <c r="DA400" s="38"/>
      <c r="DB400" s="38"/>
      <c r="DC400" s="27"/>
    </row>
    <row r="401" spans="1:107" s="25" customFormat="1" x14ac:dyDescent="0.2">
      <c r="A401" s="29" t="s">
        <v>108</v>
      </c>
      <c r="B401" s="34" t="s">
        <v>6</v>
      </c>
      <c r="C401" s="34">
        <f t="shared" si="35"/>
        <v>9990009</v>
      </c>
      <c r="D401" s="34" t="s">
        <v>985</v>
      </c>
      <c r="E401" s="21" t="s">
        <v>1125</v>
      </c>
      <c r="F401" s="21"/>
      <c r="G401" s="21"/>
      <c r="H401" s="21"/>
      <c r="I401" s="21" t="s">
        <v>157</v>
      </c>
      <c r="J401" s="21"/>
      <c r="K401" s="21"/>
      <c r="L401" s="21"/>
      <c r="M401" s="21"/>
      <c r="N401" s="21" t="s">
        <v>158</v>
      </c>
      <c r="O401" s="21" t="s">
        <v>400</v>
      </c>
      <c r="P401" s="21"/>
      <c r="Q401" s="21" t="s">
        <v>2041</v>
      </c>
      <c r="R401" s="21"/>
      <c r="S401" s="21"/>
      <c r="T401" s="21"/>
      <c r="U401" s="118"/>
      <c r="V401" s="21" t="s">
        <v>1818</v>
      </c>
      <c r="W401" s="21" t="s">
        <v>1</v>
      </c>
      <c r="X401" s="21"/>
      <c r="Z401" s="21"/>
      <c r="AA401" s="21"/>
      <c r="AB401" s="21"/>
      <c r="AC401" s="21"/>
      <c r="AD401" s="21"/>
      <c r="AE401" s="39"/>
      <c r="AF401" s="24" t="s">
        <v>2041</v>
      </c>
      <c r="AG401" s="21"/>
      <c r="AH401" s="37" t="s">
        <v>33</v>
      </c>
      <c r="AK401" s="27"/>
      <c r="AL401" s="27"/>
      <c r="AM401" s="27"/>
      <c r="AN401" s="27"/>
      <c r="AO401" s="27"/>
      <c r="AP401" s="27"/>
      <c r="AQ401" s="27"/>
      <c r="AR401" s="27"/>
      <c r="AS401" s="27"/>
      <c r="AT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X401" s="27"/>
      <c r="BY401" s="27"/>
      <c r="BZ401" s="27"/>
      <c r="CA401" s="27"/>
      <c r="CB401" s="27"/>
      <c r="CC401" s="27"/>
      <c r="CD401" s="27"/>
      <c r="CE401" s="27"/>
      <c r="CF401" s="27"/>
      <c r="CG401" s="27"/>
      <c r="CH401" s="23"/>
      <c r="CJ401" s="27"/>
      <c r="CT401" s="38"/>
      <c r="CU401" s="38"/>
      <c r="CV401" s="38"/>
      <c r="CW401" s="38"/>
      <c r="CX401" s="38"/>
      <c r="CY401" s="38"/>
      <c r="CZ401" s="38"/>
      <c r="DA401" s="38"/>
      <c r="DB401" s="38"/>
      <c r="DC401" s="27"/>
    </row>
    <row r="402" spans="1:107" s="25" customFormat="1" x14ac:dyDescent="0.2">
      <c r="A402" s="29" t="s">
        <v>108</v>
      </c>
      <c r="B402" s="34" t="s">
        <v>7</v>
      </c>
      <c r="C402" s="34">
        <f t="shared" si="35"/>
        <v>9990010</v>
      </c>
      <c r="D402" s="34" t="s">
        <v>985</v>
      </c>
      <c r="E402" s="21" t="s">
        <v>1125</v>
      </c>
      <c r="F402" s="21"/>
      <c r="G402" s="21"/>
      <c r="H402" s="21"/>
      <c r="I402" s="21" t="s">
        <v>157</v>
      </c>
      <c r="J402" s="21"/>
      <c r="K402" s="21"/>
      <c r="L402" s="21"/>
      <c r="M402" s="21"/>
      <c r="N402" s="21" t="s">
        <v>158</v>
      </c>
      <c r="O402" s="21" t="s">
        <v>400</v>
      </c>
      <c r="P402" s="21"/>
      <c r="Q402" s="21" t="s">
        <v>2041</v>
      </c>
      <c r="R402" s="21"/>
      <c r="S402" s="21"/>
      <c r="T402" s="21"/>
      <c r="U402" s="118"/>
      <c r="V402" s="21" t="s">
        <v>1818</v>
      </c>
      <c r="W402" s="21" t="s">
        <v>1</v>
      </c>
      <c r="X402" s="21"/>
      <c r="Z402" s="21"/>
      <c r="AA402" s="21"/>
      <c r="AB402" s="21"/>
      <c r="AC402" s="21"/>
      <c r="AD402" s="21"/>
      <c r="AE402" s="39"/>
      <c r="AF402" s="24" t="s">
        <v>2041</v>
      </c>
      <c r="AG402" s="21"/>
      <c r="AH402" s="37" t="s">
        <v>33</v>
      </c>
      <c r="AK402" s="27"/>
      <c r="AL402" s="27"/>
      <c r="AM402" s="27"/>
      <c r="AN402" s="27"/>
      <c r="AO402" s="27"/>
      <c r="AP402" s="27"/>
      <c r="AQ402" s="27"/>
      <c r="AR402" s="27"/>
      <c r="AS402" s="27"/>
      <c r="AT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X402" s="27"/>
      <c r="BY402" s="27"/>
      <c r="BZ402" s="27"/>
      <c r="CA402" s="27"/>
      <c r="CB402" s="27"/>
      <c r="CC402" s="27"/>
      <c r="CD402" s="27"/>
      <c r="CE402" s="27"/>
      <c r="CF402" s="27"/>
      <c r="CG402" s="27"/>
      <c r="CH402" s="23"/>
      <c r="CJ402" s="27"/>
      <c r="CT402" s="38"/>
      <c r="CU402" s="38"/>
      <c r="CV402" s="38"/>
      <c r="CW402" s="38"/>
      <c r="CX402" s="38"/>
      <c r="CY402" s="38"/>
      <c r="CZ402" s="38"/>
      <c r="DA402" s="38"/>
      <c r="DB402" s="38"/>
      <c r="DC402" s="27"/>
    </row>
    <row r="403" spans="1:107" s="25" customFormat="1" x14ac:dyDescent="0.2">
      <c r="A403" s="29" t="s">
        <v>108</v>
      </c>
      <c r="B403" s="34" t="s">
        <v>8</v>
      </c>
      <c r="C403" s="34">
        <f t="shared" si="35"/>
        <v>9990011</v>
      </c>
      <c r="D403" s="34" t="s">
        <v>985</v>
      </c>
      <c r="E403" s="21" t="s">
        <v>1125</v>
      </c>
      <c r="F403" s="21"/>
      <c r="G403" s="21"/>
      <c r="H403" s="21"/>
      <c r="I403" s="21" t="s">
        <v>157</v>
      </c>
      <c r="J403" s="21"/>
      <c r="K403" s="21"/>
      <c r="L403" s="21"/>
      <c r="M403" s="21"/>
      <c r="N403" s="21" t="s">
        <v>158</v>
      </c>
      <c r="O403" s="21" t="s">
        <v>400</v>
      </c>
      <c r="P403" s="21"/>
      <c r="Q403" s="21" t="s">
        <v>2041</v>
      </c>
      <c r="R403" s="21"/>
      <c r="S403" s="21"/>
      <c r="T403" s="21"/>
      <c r="U403" s="118"/>
      <c r="V403" s="21" t="s">
        <v>1818</v>
      </c>
      <c r="W403" s="21" t="s">
        <v>1</v>
      </c>
      <c r="X403" s="21"/>
      <c r="Z403" s="21"/>
      <c r="AA403" s="21"/>
      <c r="AB403" s="21"/>
      <c r="AC403" s="21"/>
      <c r="AD403" s="21"/>
      <c r="AE403" s="39"/>
      <c r="AF403" s="24" t="s">
        <v>2041</v>
      </c>
      <c r="AG403" s="21"/>
      <c r="AH403" s="37" t="s">
        <v>33</v>
      </c>
      <c r="AK403" s="27"/>
      <c r="AL403" s="27"/>
      <c r="AM403" s="27"/>
      <c r="AN403" s="27"/>
      <c r="AO403" s="27"/>
      <c r="AP403" s="27"/>
      <c r="AQ403" s="27"/>
      <c r="AR403" s="27"/>
      <c r="AS403" s="27"/>
      <c r="AT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X403" s="27"/>
      <c r="BY403" s="27"/>
      <c r="BZ403" s="27"/>
      <c r="CA403" s="27"/>
      <c r="CB403" s="27"/>
      <c r="CC403" s="27"/>
      <c r="CD403" s="27"/>
      <c r="CE403" s="27"/>
      <c r="CF403" s="27"/>
      <c r="CG403" s="27"/>
      <c r="CH403" s="23"/>
      <c r="CJ403" s="27"/>
      <c r="CT403" s="38"/>
      <c r="CU403" s="38"/>
      <c r="CV403" s="38"/>
      <c r="CW403" s="38"/>
      <c r="CX403" s="38"/>
      <c r="CY403" s="38"/>
      <c r="CZ403" s="38"/>
      <c r="DA403" s="38"/>
      <c r="DB403" s="38"/>
      <c r="DC403" s="27"/>
    </row>
    <row r="404" spans="1:107" s="25" customFormat="1" x14ac:dyDescent="0.2">
      <c r="A404" s="29" t="s">
        <v>108</v>
      </c>
      <c r="B404" s="34" t="s">
        <v>9</v>
      </c>
      <c r="C404" s="34">
        <f t="shared" si="35"/>
        <v>9990012</v>
      </c>
      <c r="D404" s="34" t="s">
        <v>985</v>
      </c>
      <c r="E404" s="21" t="s">
        <v>1125</v>
      </c>
      <c r="F404" s="21"/>
      <c r="G404" s="21"/>
      <c r="H404" s="21"/>
      <c r="I404" s="21" t="s">
        <v>157</v>
      </c>
      <c r="J404" s="21"/>
      <c r="K404" s="21"/>
      <c r="L404" s="21"/>
      <c r="M404" s="21"/>
      <c r="N404" s="21" t="s">
        <v>158</v>
      </c>
      <c r="O404" s="21" t="s">
        <v>400</v>
      </c>
      <c r="P404" s="21"/>
      <c r="Q404" s="21" t="s">
        <v>2041</v>
      </c>
      <c r="R404" s="21"/>
      <c r="S404" s="21"/>
      <c r="T404" s="21"/>
      <c r="U404" s="118"/>
      <c r="V404" s="21" t="s">
        <v>1818</v>
      </c>
      <c r="W404" s="21" t="s">
        <v>1</v>
      </c>
      <c r="X404" s="21"/>
      <c r="Z404" s="21"/>
      <c r="AA404" s="21"/>
      <c r="AB404" s="21"/>
      <c r="AC404" s="21"/>
      <c r="AD404" s="21"/>
      <c r="AE404" s="39"/>
      <c r="AF404" s="24" t="s">
        <v>2041</v>
      </c>
      <c r="AG404" s="21"/>
      <c r="AH404" s="37" t="s">
        <v>33</v>
      </c>
      <c r="AK404" s="27"/>
      <c r="AL404" s="27"/>
      <c r="AM404" s="27"/>
      <c r="AN404" s="27"/>
      <c r="AO404" s="27"/>
      <c r="AP404" s="27"/>
      <c r="AQ404" s="27"/>
      <c r="AR404" s="27"/>
      <c r="AS404" s="27"/>
      <c r="AT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X404" s="27"/>
      <c r="BY404" s="27"/>
      <c r="BZ404" s="27"/>
      <c r="CA404" s="27"/>
      <c r="CB404" s="27"/>
      <c r="CC404" s="27"/>
      <c r="CD404" s="27"/>
      <c r="CE404" s="27"/>
      <c r="CF404" s="27"/>
      <c r="CG404" s="27"/>
      <c r="CH404" s="23"/>
      <c r="CJ404" s="27"/>
      <c r="CT404" s="38"/>
      <c r="CU404" s="38"/>
      <c r="CV404" s="38"/>
      <c r="CW404" s="38"/>
      <c r="CX404" s="38"/>
      <c r="CY404" s="38"/>
      <c r="CZ404" s="38"/>
      <c r="DA404" s="38"/>
      <c r="DB404" s="38"/>
      <c r="DC404" s="27"/>
    </row>
    <row r="405" spans="1:107" s="25" customFormat="1" x14ac:dyDescent="0.2">
      <c r="A405" s="29" t="s">
        <v>108</v>
      </c>
      <c r="B405" s="34" t="s">
        <v>10</v>
      </c>
      <c r="C405" s="34">
        <f t="shared" si="35"/>
        <v>9990013</v>
      </c>
      <c r="D405" s="34" t="s">
        <v>985</v>
      </c>
      <c r="E405" s="21" t="s">
        <v>1125</v>
      </c>
      <c r="F405" s="21"/>
      <c r="G405" s="21"/>
      <c r="H405" s="21"/>
      <c r="I405" s="21" t="s">
        <v>157</v>
      </c>
      <c r="J405" s="21"/>
      <c r="K405" s="21"/>
      <c r="L405" s="21"/>
      <c r="M405" s="21"/>
      <c r="N405" s="21" t="s">
        <v>158</v>
      </c>
      <c r="O405" s="21" t="s">
        <v>400</v>
      </c>
      <c r="P405" s="21"/>
      <c r="Q405" s="21" t="s">
        <v>2041</v>
      </c>
      <c r="R405" s="21"/>
      <c r="S405" s="21"/>
      <c r="T405" s="21"/>
      <c r="U405" s="118"/>
      <c r="V405" s="21" t="s">
        <v>1818</v>
      </c>
      <c r="W405" s="21" t="s">
        <v>1</v>
      </c>
      <c r="X405" s="21"/>
      <c r="Z405" s="21"/>
      <c r="AA405" s="21"/>
      <c r="AB405" s="21"/>
      <c r="AC405" s="21"/>
      <c r="AD405" s="21"/>
      <c r="AE405" s="39"/>
      <c r="AF405" s="24" t="s">
        <v>2041</v>
      </c>
      <c r="AG405" s="21"/>
      <c r="AH405" s="37" t="s">
        <v>33</v>
      </c>
      <c r="AK405" s="27"/>
      <c r="AL405" s="27"/>
      <c r="AM405" s="27"/>
      <c r="AN405" s="27"/>
      <c r="AO405" s="27"/>
      <c r="AP405" s="27"/>
      <c r="AQ405" s="27"/>
      <c r="AR405" s="27"/>
      <c r="AS405" s="27"/>
      <c r="AT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X405" s="27"/>
      <c r="BY405" s="27"/>
      <c r="BZ405" s="27"/>
      <c r="CA405" s="27"/>
      <c r="CB405" s="27"/>
      <c r="CC405" s="27"/>
      <c r="CD405" s="27"/>
      <c r="CE405" s="27"/>
      <c r="CF405" s="27"/>
      <c r="CG405" s="27"/>
      <c r="CH405" s="23"/>
      <c r="CJ405" s="27"/>
      <c r="CT405" s="38"/>
      <c r="CU405" s="38"/>
      <c r="CV405" s="38"/>
      <c r="CW405" s="38"/>
      <c r="CX405" s="38"/>
      <c r="CY405" s="38"/>
      <c r="CZ405" s="38"/>
      <c r="DA405" s="38"/>
      <c r="DB405" s="38"/>
      <c r="DC405" s="27"/>
    </row>
    <row r="406" spans="1:107" s="25" customFormat="1" x14ac:dyDescent="0.2">
      <c r="A406" s="29" t="s">
        <v>108</v>
      </c>
      <c r="B406" s="34" t="s">
        <v>1362</v>
      </c>
      <c r="C406" s="34">
        <f t="shared" si="35"/>
        <v>9990014</v>
      </c>
      <c r="D406" s="34" t="s">
        <v>985</v>
      </c>
      <c r="E406" s="21" t="s">
        <v>1363</v>
      </c>
      <c r="F406" s="21"/>
      <c r="G406" s="21"/>
      <c r="H406" s="21"/>
      <c r="I406" s="21" t="s">
        <v>157</v>
      </c>
      <c r="J406" s="21"/>
      <c r="K406" s="21"/>
      <c r="L406" s="21"/>
      <c r="M406" s="21"/>
      <c r="N406" s="21" t="s">
        <v>158</v>
      </c>
      <c r="O406" s="21" t="s">
        <v>980</v>
      </c>
      <c r="P406" s="21"/>
      <c r="Q406" s="21" t="s">
        <v>2041</v>
      </c>
      <c r="R406" s="21"/>
      <c r="S406" s="21"/>
      <c r="T406" s="21"/>
      <c r="U406" s="118"/>
      <c r="V406" s="21" t="s">
        <v>1818</v>
      </c>
      <c r="W406" s="21" t="s">
        <v>1</v>
      </c>
      <c r="X406" s="21"/>
      <c r="Z406" s="21"/>
      <c r="AA406" s="21"/>
      <c r="AB406" s="35"/>
      <c r="AC406" s="35"/>
      <c r="AD406" s="35"/>
      <c r="AE406" s="36"/>
      <c r="AF406" s="24" t="s">
        <v>2041</v>
      </c>
      <c r="AG406" s="35"/>
      <c r="AH406" s="37" t="s">
        <v>33</v>
      </c>
      <c r="AK406" s="27"/>
      <c r="AL406" s="27"/>
      <c r="AM406" s="27"/>
      <c r="AN406" s="27"/>
      <c r="AO406" s="27"/>
      <c r="AP406" s="27"/>
      <c r="AQ406" s="27"/>
      <c r="AR406" s="27"/>
      <c r="AS406" s="27"/>
      <c r="AT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X406" s="27"/>
      <c r="BY406" s="27"/>
      <c r="BZ406" s="27"/>
      <c r="CA406" s="27"/>
      <c r="CB406" s="27"/>
      <c r="CC406" s="27"/>
      <c r="CD406" s="27"/>
      <c r="CE406" s="27"/>
      <c r="CF406" s="27"/>
      <c r="CG406" s="27"/>
      <c r="CH406" s="23"/>
      <c r="CJ406" s="27"/>
      <c r="CT406" s="38"/>
      <c r="CU406" s="38"/>
      <c r="CV406" s="38"/>
      <c r="CW406" s="38"/>
      <c r="CX406" s="38"/>
      <c r="CY406" s="38"/>
      <c r="CZ406" s="38"/>
      <c r="DA406" s="38"/>
      <c r="DB406" s="38"/>
      <c r="DC406" s="27"/>
    </row>
    <row r="407" spans="1:107" s="25" customFormat="1" x14ac:dyDescent="0.2">
      <c r="A407" s="29" t="s">
        <v>108</v>
      </c>
      <c r="B407" s="34" t="s">
        <v>12</v>
      </c>
      <c r="C407" s="34">
        <f t="shared" si="35"/>
        <v>9990015</v>
      </c>
      <c r="D407" s="34" t="s">
        <v>985</v>
      </c>
      <c r="E407" s="21" t="s">
        <v>1364</v>
      </c>
      <c r="F407" s="21"/>
      <c r="G407" s="21"/>
      <c r="H407" s="21"/>
      <c r="I407" s="21" t="s">
        <v>157</v>
      </c>
      <c r="J407" s="21"/>
      <c r="K407" s="21"/>
      <c r="L407" s="21"/>
      <c r="M407" s="21"/>
      <c r="N407" s="21" t="s">
        <v>158</v>
      </c>
      <c r="O407" s="21" t="s">
        <v>980</v>
      </c>
      <c r="P407" s="21"/>
      <c r="Q407" s="21" t="s">
        <v>2041</v>
      </c>
      <c r="R407" s="21"/>
      <c r="S407" s="21"/>
      <c r="T407" s="21"/>
      <c r="U407" s="118"/>
      <c r="V407" s="21" t="s">
        <v>1818</v>
      </c>
      <c r="W407" s="21" t="s">
        <v>1</v>
      </c>
      <c r="X407" s="21"/>
      <c r="Z407" s="21"/>
      <c r="AA407" s="21"/>
      <c r="AB407" s="35"/>
      <c r="AC407" s="35"/>
      <c r="AD407" s="35"/>
      <c r="AE407" s="36"/>
      <c r="AF407" s="24" t="s">
        <v>2041</v>
      </c>
      <c r="AG407" s="35"/>
      <c r="AH407" s="37" t="s">
        <v>33</v>
      </c>
      <c r="AK407" s="27"/>
      <c r="AL407" s="27"/>
      <c r="AM407" s="27"/>
      <c r="AN407" s="27"/>
      <c r="AO407" s="27"/>
      <c r="AP407" s="27"/>
      <c r="AQ407" s="27"/>
      <c r="AR407" s="27"/>
      <c r="AS407" s="27"/>
      <c r="AT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X407" s="27"/>
      <c r="BY407" s="27"/>
      <c r="BZ407" s="27"/>
      <c r="CA407" s="27"/>
      <c r="CB407" s="27"/>
      <c r="CC407" s="27"/>
      <c r="CD407" s="27"/>
      <c r="CE407" s="27"/>
      <c r="CF407" s="27"/>
      <c r="CG407" s="27"/>
      <c r="CH407" s="23"/>
      <c r="CJ407" s="27"/>
      <c r="CT407" s="38"/>
      <c r="CU407" s="38"/>
      <c r="CV407" s="38"/>
      <c r="CW407" s="38"/>
      <c r="CX407" s="38"/>
      <c r="CY407" s="38"/>
      <c r="CZ407" s="38"/>
      <c r="DA407" s="38"/>
      <c r="DB407" s="38"/>
      <c r="DC407" s="27"/>
    </row>
    <row r="408" spans="1:107" s="25" customFormat="1" x14ac:dyDescent="0.2">
      <c r="A408" s="29" t="s">
        <v>108</v>
      </c>
      <c r="B408" s="34" t="s">
        <v>13</v>
      </c>
      <c r="C408" s="34">
        <f t="shared" si="35"/>
        <v>9990016</v>
      </c>
      <c r="D408" s="34" t="s">
        <v>985</v>
      </c>
      <c r="E408" s="21" t="s">
        <v>1365</v>
      </c>
      <c r="F408" s="21"/>
      <c r="G408" s="21"/>
      <c r="H408" s="21"/>
      <c r="I408" s="21" t="s">
        <v>157</v>
      </c>
      <c r="J408" s="21"/>
      <c r="K408" s="21"/>
      <c r="L408" s="21"/>
      <c r="M408" s="21"/>
      <c r="N408" s="21" t="s">
        <v>158</v>
      </c>
      <c r="O408" s="21" t="s">
        <v>980</v>
      </c>
      <c r="P408" s="21"/>
      <c r="Q408" s="21" t="s">
        <v>2041</v>
      </c>
      <c r="R408" s="21"/>
      <c r="S408" s="21"/>
      <c r="T408" s="21"/>
      <c r="U408" s="118"/>
      <c r="V408" s="21" t="s">
        <v>1818</v>
      </c>
      <c r="W408" s="21" t="s">
        <v>1</v>
      </c>
      <c r="X408" s="21"/>
      <c r="Z408" s="21"/>
      <c r="AA408" s="21"/>
      <c r="AB408" s="35"/>
      <c r="AC408" s="35"/>
      <c r="AD408" s="35"/>
      <c r="AE408" s="36"/>
      <c r="AF408" s="24" t="s">
        <v>2041</v>
      </c>
      <c r="AG408" s="35"/>
      <c r="AH408" s="37" t="s">
        <v>33</v>
      </c>
      <c r="AK408" s="27"/>
      <c r="AL408" s="27"/>
      <c r="AM408" s="27"/>
      <c r="AN408" s="27"/>
      <c r="AO408" s="27"/>
      <c r="AP408" s="27"/>
      <c r="AQ408" s="27"/>
      <c r="AR408" s="27"/>
      <c r="AS408" s="27"/>
      <c r="AT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X408" s="27"/>
      <c r="BY408" s="27"/>
      <c r="BZ408" s="27"/>
      <c r="CA408" s="27"/>
      <c r="CB408" s="27"/>
      <c r="CC408" s="27"/>
      <c r="CD408" s="27"/>
      <c r="CE408" s="27"/>
      <c r="CF408" s="27"/>
      <c r="CG408" s="27"/>
      <c r="CH408" s="23"/>
      <c r="CJ408" s="27"/>
      <c r="CT408" s="38"/>
      <c r="CU408" s="38"/>
      <c r="CV408" s="38"/>
      <c r="CW408" s="38"/>
      <c r="CX408" s="38"/>
      <c r="CY408" s="38"/>
      <c r="CZ408" s="38"/>
      <c r="DA408" s="38"/>
      <c r="DB408" s="38"/>
      <c r="DC408" s="27"/>
    </row>
    <row r="409" spans="1:107" s="25" customFormat="1" x14ac:dyDescent="0.2">
      <c r="A409" s="29" t="s">
        <v>108</v>
      </c>
      <c r="B409" s="34" t="s">
        <v>14</v>
      </c>
      <c r="C409" s="34">
        <f t="shared" si="35"/>
        <v>9990017</v>
      </c>
      <c r="D409" s="34" t="s">
        <v>985</v>
      </c>
      <c r="E409" s="21" t="s">
        <v>1363</v>
      </c>
      <c r="F409" s="21"/>
      <c r="G409" s="21"/>
      <c r="H409" s="21"/>
      <c r="I409" s="21" t="s">
        <v>157</v>
      </c>
      <c r="J409" s="21"/>
      <c r="K409" s="21"/>
      <c r="L409" s="21"/>
      <c r="M409" s="21"/>
      <c r="N409" s="21" t="s">
        <v>158</v>
      </c>
      <c r="O409" s="21" t="s">
        <v>3783</v>
      </c>
      <c r="P409" s="21"/>
      <c r="Q409" s="21" t="s">
        <v>2041</v>
      </c>
      <c r="R409" s="21"/>
      <c r="S409" s="21"/>
      <c r="T409" s="21"/>
      <c r="U409" s="118"/>
      <c r="V409" s="21" t="s">
        <v>1818</v>
      </c>
      <c r="W409" s="21" t="s">
        <v>1</v>
      </c>
      <c r="X409" s="21"/>
      <c r="Z409" s="21"/>
      <c r="AA409" s="21"/>
      <c r="AB409" s="35"/>
      <c r="AC409" s="35"/>
      <c r="AD409" s="35"/>
      <c r="AE409" s="36"/>
      <c r="AF409" s="24" t="s">
        <v>2041</v>
      </c>
      <c r="AG409" s="35"/>
      <c r="AH409" s="37" t="s">
        <v>33</v>
      </c>
      <c r="AK409" s="27"/>
      <c r="AL409" s="27"/>
      <c r="AM409" s="27"/>
      <c r="AN409" s="27"/>
      <c r="AO409" s="27"/>
      <c r="AP409" s="27"/>
      <c r="AQ409" s="27"/>
      <c r="AR409" s="27"/>
      <c r="AS409" s="27"/>
      <c r="AT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X409" s="27"/>
      <c r="BY409" s="27"/>
      <c r="BZ409" s="27"/>
      <c r="CA409" s="27"/>
      <c r="CB409" s="27"/>
      <c r="CC409" s="27"/>
      <c r="CD409" s="27"/>
      <c r="CE409" s="27"/>
      <c r="CF409" s="27"/>
      <c r="CG409" s="27"/>
      <c r="CH409" s="23"/>
      <c r="CJ409" s="27"/>
      <c r="CT409" s="38"/>
      <c r="CU409" s="38"/>
      <c r="CV409" s="38"/>
      <c r="CW409" s="38"/>
      <c r="CX409" s="38"/>
      <c r="CY409" s="38"/>
      <c r="CZ409" s="38"/>
      <c r="DA409" s="38"/>
      <c r="DB409" s="38"/>
      <c r="DC409" s="27"/>
    </row>
    <row r="410" spans="1:107" s="25" customFormat="1" x14ac:dyDescent="0.2">
      <c r="A410" s="29" t="s">
        <v>108</v>
      </c>
      <c r="B410" s="34" t="s">
        <v>15</v>
      </c>
      <c r="C410" s="34">
        <f t="shared" si="35"/>
        <v>9990018</v>
      </c>
      <c r="D410" s="34" t="s">
        <v>985</v>
      </c>
      <c r="E410" s="21" t="s">
        <v>1364</v>
      </c>
      <c r="F410" s="21"/>
      <c r="G410" s="21"/>
      <c r="H410" s="21"/>
      <c r="I410" s="21" t="s">
        <v>157</v>
      </c>
      <c r="J410" s="21"/>
      <c r="K410" s="21"/>
      <c r="L410" s="21"/>
      <c r="M410" s="21"/>
      <c r="N410" s="21" t="s">
        <v>158</v>
      </c>
      <c r="O410" s="21" t="s">
        <v>162</v>
      </c>
      <c r="P410" s="21"/>
      <c r="Q410" s="21" t="s">
        <v>2041</v>
      </c>
      <c r="R410" s="21"/>
      <c r="S410" s="21"/>
      <c r="T410" s="21"/>
      <c r="U410" s="118"/>
      <c r="V410" s="21" t="s">
        <v>1818</v>
      </c>
      <c r="W410" s="21" t="s">
        <v>1</v>
      </c>
      <c r="X410" s="21"/>
      <c r="Z410" s="21"/>
      <c r="AA410" s="21"/>
      <c r="AB410" s="35"/>
      <c r="AC410" s="35"/>
      <c r="AD410" s="35"/>
      <c r="AE410" s="36"/>
      <c r="AF410" s="24" t="s">
        <v>2041</v>
      </c>
      <c r="AG410" s="35"/>
      <c r="AH410" s="37" t="s">
        <v>33</v>
      </c>
      <c r="AK410" s="27"/>
      <c r="AL410" s="27"/>
      <c r="AM410" s="27"/>
      <c r="AN410" s="27"/>
      <c r="AO410" s="27"/>
      <c r="AP410" s="27"/>
      <c r="AQ410" s="27"/>
      <c r="AR410" s="27"/>
      <c r="AS410" s="27"/>
      <c r="AT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X410" s="27"/>
      <c r="BY410" s="27"/>
      <c r="BZ410" s="27"/>
      <c r="CA410" s="27"/>
      <c r="CB410" s="27"/>
      <c r="CC410" s="27"/>
      <c r="CD410" s="27"/>
      <c r="CE410" s="27"/>
      <c r="CF410" s="27"/>
      <c r="CG410" s="27"/>
      <c r="CH410" s="23"/>
      <c r="CJ410" s="27"/>
      <c r="CT410" s="38"/>
      <c r="CU410" s="38"/>
      <c r="CV410" s="38"/>
      <c r="CW410" s="38"/>
      <c r="CX410" s="38"/>
      <c r="CY410" s="38"/>
      <c r="CZ410" s="38"/>
      <c r="DA410" s="38"/>
      <c r="DB410" s="38"/>
      <c r="DC410" s="27"/>
    </row>
    <row r="411" spans="1:107" s="25" customFormat="1" x14ac:dyDescent="0.2">
      <c r="A411" s="29" t="s">
        <v>108</v>
      </c>
      <c r="B411" s="34" t="s">
        <v>16</v>
      </c>
      <c r="C411" s="34">
        <f t="shared" si="35"/>
        <v>9990019</v>
      </c>
      <c r="D411" s="34" t="s">
        <v>985</v>
      </c>
      <c r="E411" s="21" t="s">
        <v>1365</v>
      </c>
      <c r="F411" s="21"/>
      <c r="G411" s="21"/>
      <c r="H411" s="21"/>
      <c r="I411" s="21" t="s">
        <v>157</v>
      </c>
      <c r="J411" s="21"/>
      <c r="K411" s="21"/>
      <c r="L411" s="21"/>
      <c r="M411" s="21"/>
      <c r="N411" s="21" t="s">
        <v>158</v>
      </c>
      <c r="O411" s="21" t="s">
        <v>980</v>
      </c>
      <c r="P411" s="21"/>
      <c r="Q411" s="21" t="s">
        <v>2041</v>
      </c>
      <c r="R411" s="21"/>
      <c r="S411" s="21"/>
      <c r="T411" s="21"/>
      <c r="U411" s="118"/>
      <c r="V411" s="21" t="s">
        <v>1818</v>
      </c>
      <c r="W411" s="21" t="s">
        <v>1</v>
      </c>
      <c r="X411" s="21"/>
      <c r="Z411" s="21"/>
      <c r="AA411" s="21"/>
      <c r="AB411" s="35"/>
      <c r="AC411" s="35"/>
      <c r="AD411" s="35"/>
      <c r="AE411" s="36"/>
      <c r="AF411" s="24" t="s">
        <v>2041</v>
      </c>
      <c r="AG411" s="35"/>
      <c r="AH411" s="37" t="s">
        <v>33</v>
      </c>
      <c r="AK411" s="27"/>
      <c r="AL411" s="27"/>
      <c r="AM411" s="27"/>
      <c r="AN411" s="27"/>
      <c r="AO411" s="27"/>
      <c r="AP411" s="27"/>
      <c r="AQ411" s="27"/>
      <c r="AR411" s="27"/>
      <c r="AS411" s="27"/>
      <c r="AT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X411" s="27"/>
      <c r="BY411" s="27"/>
      <c r="BZ411" s="27"/>
      <c r="CA411" s="27"/>
      <c r="CB411" s="27"/>
      <c r="CC411" s="27"/>
      <c r="CD411" s="27"/>
      <c r="CE411" s="27"/>
      <c r="CF411" s="27"/>
      <c r="CG411" s="27"/>
      <c r="CH411" s="23"/>
      <c r="CJ411" s="27"/>
      <c r="CT411" s="38"/>
      <c r="CU411" s="38"/>
      <c r="CV411" s="38"/>
      <c r="CW411" s="38"/>
      <c r="CX411" s="38"/>
      <c r="CY411" s="38"/>
      <c r="CZ411" s="38"/>
      <c r="DA411" s="38"/>
      <c r="DB411" s="38"/>
      <c r="DC411" s="27"/>
    </row>
    <row r="412" spans="1:107" s="25" customFormat="1" x14ac:dyDescent="0.2">
      <c r="A412" s="29" t="s">
        <v>108</v>
      </c>
      <c r="B412" s="34" t="s">
        <v>17</v>
      </c>
      <c r="C412" s="34">
        <f t="shared" si="35"/>
        <v>9990020</v>
      </c>
      <c r="D412" s="34" t="s">
        <v>985</v>
      </c>
      <c r="E412" s="21" t="s">
        <v>1363</v>
      </c>
      <c r="F412" s="21"/>
      <c r="G412" s="21"/>
      <c r="H412" s="21"/>
      <c r="I412" s="21" t="s">
        <v>157</v>
      </c>
      <c r="J412" s="21"/>
      <c r="K412" s="21"/>
      <c r="L412" s="21"/>
      <c r="M412" s="21"/>
      <c r="N412" s="21" t="s">
        <v>158</v>
      </c>
      <c r="O412" s="21" t="s">
        <v>980</v>
      </c>
      <c r="P412" s="21"/>
      <c r="Q412" s="21" t="s">
        <v>2041</v>
      </c>
      <c r="R412" s="21"/>
      <c r="S412" s="21"/>
      <c r="T412" s="21"/>
      <c r="U412" s="118"/>
      <c r="V412" s="21" t="s">
        <v>1818</v>
      </c>
      <c r="W412" s="21" t="s">
        <v>3956</v>
      </c>
      <c r="Z412" s="21"/>
      <c r="AA412" s="21"/>
      <c r="AB412" s="35"/>
      <c r="AC412" s="35"/>
      <c r="AD412" s="35"/>
      <c r="AE412" s="36"/>
      <c r="AF412" s="24" t="s">
        <v>2041</v>
      </c>
      <c r="AG412" s="35"/>
      <c r="AH412" s="37" t="s">
        <v>33</v>
      </c>
      <c r="AK412" s="27"/>
      <c r="AL412" s="27"/>
      <c r="AM412" s="27"/>
      <c r="AN412" s="27"/>
      <c r="AO412" s="27"/>
      <c r="AP412" s="27"/>
      <c r="AQ412" s="27"/>
      <c r="AR412" s="27"/>
      <c r="AS412" s="27"/>
      <c r="AT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X412" s="27"/>
      <c r="BY412" s="27"/>
      <c r="BZ412" s="27"/>
      <c r="CA412" s="27"/>
      <c r="CB412" s="27"/>
      <c r="CC412" s="27"/>
      <c r="CD412" s="27"/>
      <c r="CE412" s="27"/>
      <c r="CF412" s="27"/>
      <c r="CG412" s="27"/>
      <c r="CH412" s="23"/>
      <c r="CJ412" s="27"/>
      <c r="CT412" s="38"/>
      <c r="CU412" s="38"/>
      <c r="CV412" s="38"/>
      <c r="CW412" s="38"/>
      <c r="CX412" s="38"/>
      <c r="CY412" s="38"/>
      <c r="CZ412" s="38"/>
      <c r="DA412" s="38"/>
      <c r="DB412" s="38"/>
      <c r="DC412" s="27"/>
    </row>
    <row r="413" spans="1:107" s="25" customFormat="1" x14ac:dyDescent="0.2">
      <c r="A413" s="29" t="s">
        <v>108</v>
      </c>
      <c r="B413" s="34" t="s">
        <v>18</v>
      </c>
      <c r="C413" s="34">
        <f t="shared" si="35"/>
        <v>9990021</v>
      </c>
      <c r="D413" s="34" t="s">
        <v>985</v>
      </c>
      <c r="E413" s="20" t="s">
        <v>4720</v>
      </c>
      <c r="F413" s="21"/>
      <c r="G413" s="21"/>
      <c r="H413" s="21"/>
      <c r="I413" s="21" t="s">
        <v>4725</v>
      </c>
      <c r="J413" s="21"/>
      <c r="K413" s="21"/>
      <c r="L413" s="21"/>
      <c r="M413" s="21"/>
      <c r="N413" s="21" t="s">
        <v>158</v>
      </c>
      <c r="O413" s="21" t="s">
        <v>980</v>
      </c>
      <c r="P413" s="21"/>
      <c r="Q413" s="21" t="s">
        <v>2041</v>
      </c>
      <c r="R413" s="21"/>
      <c r="S413" s="21"/>
      <c r="T413" s="21"/>
      <c r="U413" s="118"/>
      <c r="V413" s="21" t="s">
        <v>1818</v>
      </c>
      <c r="W413" s="21" t="s">
        <v>1</v>
      </c>
      <c r="X413" s="21"/>
      <c r="Z413" s="21"/>
      <c r="AA413" s="21"/>
      <c r="AB413" s="35"/>
      <c r="AC413" s="35"/>
      <c r="AD413" s="35"/>
      <c r="AE413" s="36"/>
      <c r="AF413" s="24" t="s">
        <v>2041</v>
      </c>
      <c r="AG413" s="35"/>
      <c r="AH413" s="37" t="s">
        <v>33</v>
      </c>
      <c r="AK413" s="27"/>
      <c r="AL413" s="27"/>
      <c r="AM413" s="27"/>
      <c r="AN413" s="27"/>
      <c r="AO413" s="27"/>
      <c r="AP413" s="27"/>
      <c r="AQ413" s="27"/>
      <c r="AR413" s="27"/>
      <c r="AS413" s="27"/>
      <c r="AT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X413" s="27"/>
      <c r="BY413" s="27"/>
      <c r="BZ413" s="27"/>
      <c r="CA413" s="27"/>
      <c r="CB413" s="27"/>
      <c r="CC413" s="27"/>
      <c r="CD413" s="27"/>
      <c r="CE413" s="27"/>
      <c r="CF413" s="27"/>
      <c r="CG413" s="27"/>
      <c r="CH413" s="23"/>
      <c r="CJ413" s="27"/>
      <c r="CT413" s="38"/>
      <c r="CU413" s="38"/>
      <c r="CV413" s="38"/>
      <c r="CW413" s="38"/>
      <c r="CX413" s="38"/>
      <c r="CY413" s="38"/>
      <c r="CZ413" s="38"/>
      <c r="DA413" s="38"/>
      <c r="DB413" s="38"/>
      <c r="DC413" s="27"/>
    </row>
    <row r="414" spans="1:107" s="25" customFormat="1" x14ac:dyDescent="0.2">
      <c r="A414" s="29" t="s">
        <v>108</v>
      </c>
      <c r="B414" s="34" t="s">
        <v>19</v>
      </c>
      <c r="C414" s="34">
        <f t="shared" si="35"/>
        <v>9990022</v>
      </c>
      <c r="D414" s="34" t="s">
        <v>985</v>
      </c>
      <c r="E414" s="20" t="s">
        <v>4727</v>
      </c>
      <c r="F414" s="21"/>
      <c r="G414" s="21"/>
      <c r="H414" s="21"/>
      <c r="I414" s="21" t="s">
        <v>4725</v>
      </c>
      <c r="J414" s="21"/>
      <c r="K414" s="21"/>
      <c r="L414" s="21"/>
      <c r="M414" s="21"/>
      <c r="N414" s="21" t="s">
        <v>158</v>
      </c>
      <c r="O414" s="21" t="s">
        <v>980</v>
      </c>
      <c r="P414" s="21"/>
      <c r="Q414" s="21" t="s">
        <v>2041</v>
      </c>
      <c r="R414" s="21"/>
      <c r="S414" s="21"/>
      <c r="T414" s="21"/>
      <c r="U414" s="118"/>
      <c r="V414" s="21" t="s">
        <v>1818</v>
      </c>
      <c r="W414" s="21" t="s">
        <v>1</v>
      </c>
      <c r="X414" s="21"/>
      <c r="Z414" s="21"/>
      <c r="AA414" s="21"/>
      <c r="AB414" s="35"/>
      <c r="AC414" s="35"/>
      <c r="AD414" s="35"/>
      <c r="AE414" s="36"/>
      <c r="AF414" s="24" t="s">
        <v>2041</v>
      </c>
      <c r="AG414" s="35"/>
      <c r="AH414" s="37" t="s">
        <v>33</v>
      </c>
      <c r="AK414" s="27"/>
      <c r="AL414" s="27"/>
      <c r="AM414" s="27"/>
      <c r="AN414" s="27"/>
      <c r="AO414" s="27"/>
      <c r="AP414" s="27"/>
      <c r="AQ414" s="27"/>
      <c r="AR414" s="27"/>
      <c r="AS414" s="27"/>
      <c r="AT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X414" s="27"/>
      <c r="BY414" s="27"/>
      <c r="BZ414" s="27"/>
      <c r="CA414" s="27"/>
      <c r="CB414" s="27"/>
      <c r="CC414" s="27"/>
      <c r="CD414" s="27"/>
      <c r="CE414" s="27"/>
      <c r="CF414" s="27"/>
      <c r="CG414" s="27"/>
      <c r="CH414" s="23"/>
      <c r="CJ414" s="27"/>
      <c r="CT414" s="38"/>
      <c r="CU414" s="38"/>
      <c r="CV414" s="38"/>
      <c r="CW414" s="38"/>
      <c r="CX414" s="38"/>
      <c r="CY414" s="38"/>
      <c r="CZ414" s="38"/>
      <c r="DA414" s="38"/>
      <c r="DB414" s="38"/>
      <c r="DC414" s="27"/>
    </row>
    <row r="415" spans="1:107" s="25" customFormat="1" x14ac:dyDescent="0.2">
      <c r="A415" s="29" t="s">
        <v>108</v>
      </c>
      <c r="B415" s="34" t="s">
        <v>20</v>
      </c>
      <c r="C415" s="34">
        <f t="shared" si="35"/>
        <v>9990023</v>
      </c>
      <c r="D415" s="34" t="s">
        <v>985</v>
      </c>
      <c r="E415" s="21" t="s">
        <v>1363</v>
      </c>
      <c r="F415" s="21"/>
      <c r="G415" s="21"/>
      <c r="H415" s="21"/>
      <c r="I415" s="21" t="s">
        <v>157</v>
      </c>
      <c r="J415" s="21"/>
      <c r="K415" s="21"/>
      <c r="L415" s="21"/>
      <c r="M415" s="21"/>
      <c r="N415" s="21" t="s">
        <v>158</v>
      </c>
      <c r="O415" s="21" t="s">
        <v>980</v>
      </c>
      <c r="P415" s="21"/>
      <c r="Q415" s="21" t="s">
        <v>2041</v>
      </c>
      <c r="R415" s="21"/>
      <c r="S415" s="21"/>
      <c r="T415" s="21"/>
      <c r="U415" s="118"/>
      <c r="V415" s="21" t="s">
        <v>1818</v>
      </c>
      <c r="W415" s="21" t="s">
        <v>1</v>
      </c>
      <c r="X415" s="21" t="s">
        <v>3956</v>
      </c>
      <c r="Y415" s="25" t="s">
        <v>3955</v>
      </c>
      <c r="Z415" s="21"/>
      <c r="AA415" s="21"/>
      <c r="AB415" s="35"/>
      <c r="AC415" s="35"/>
      <c r="AD415" s="35"/>
      <c r="AE415" s="36"/>
      <c r="AF415" s="24" t="s">
        <v>2041</v>
      </c>
      <c r="AG415" s="35"/>
      <c r="AH415" s="37" t="s">
        <v>33</v>
      </c>
      <c r="AK415" s="27"/>
      <c r="AL415" s="27"/>
      <c r="AM415" s="27"/>
      <c r="AN415" s="27"/>
      <c r="AO415" s="27"/>
      <c r="AP415" s="27"/>
      <c r="AQ415" s="27"/>
      <c r="AR415" s="27"/>
      <c r="AS415" s="27"/>
      <c r="AT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X415" s="27"/>
      <c r="BY415" s="27"/>
      <c r="BZ415" s="27"/>
      <c r="CA415" s="27"/>
      <c r="CB415" s="27"/>
      <c r="CC415" s="27"/>
      <c r="CD415" s="27"/>
      <c r="CE415" s="27"/>
      <c r="CF415" s="27"/>
      <c r="CG415" s="27"/>
      <c r="CH415" s="23"/>
      <c r="CJ415" s="27"/>
      <c r="CT415" s="38"/>
      <c r="CU415" s="38"/>
      <c r="CV415" s="38"/>
      <c r="CW415" s="38"/>
      <c r="CX415" s="38"/>
      <c r="CY415" s="38"/>
      <c r="CZ415" s="38"/>
      <c r="DA415" s="38"/>
      <c r="DB415" s="38"/>
      <c r="DC415" s="27"/>
    </row>
    <row r="416" spans="1:107" s="25" customFormat="1" x14ac:dyDescent="0.2">
      <c r="A416" s="29" t="s">
        <v>108</v>
      </c>
      <c r="B416" s="34" t="s">
        <v>21</v>
      </c>
      <c r="C416" s="34">
        <f t="shared" si="35"/>
        <v>9990024</v>
      </c>
      <c r="D416" s="34" t="s">
        <v>985</v>
      </c>
      <c r="E416" s="21" t="s">
        <v>1364</v>
      </c>
      <c r="F416" s="21"/>
      <c r="G416" s="21"/>
      <c r="H416" s="21"/>
      <c r="I416" s="21" t="s">
        <v>157</v>
      </c>
      <c r="J416" s="21"/>
      <c r="K416" s="21"/>
      <c r="L416" s="21"/>
      <c r="M416" s="21"/>
      <c r="N416" s="21" t="s">
        <v>158</v>
      </c>
      <c r="O416" s="21" t="s">
        <v>980</v>
      </c>
      <c r="P416" s="21"/>
      <c r="Q416" s="21" t="s">
        <v>2041</v>
      </c>
      <c r="R416" s="21"/>
      <c r="S416" s="21"/>
      <c r="T416" s="21"/>
      <c r="U416" s="118"/>
      <c r="V416" s="21" t="s">
        <v>1818</v>
      </c>
      <c r="W416" s="21" t="s">
        <v>1</v>
      </c>
      <c r="X416" s="21"/>
      <c r="Z416" s="21"/>
      <c r="AA416" s="21"/>
      <c r="AB416" s="35"/>
      <c r="AC416" s="35"/>
      <c r="AD416" s="35"/>
      <c r="AE416" s="36"/>
      <c r="AF416" s="24" t="s">
        <v>2041</v>
      </c>
      <c r="AG416" s="35"/>
      <c r="AH416" s="37" t="s">
        <v>33</v>
      </c>
      <c r="AK416" s="27"/>
      <c r="AL416" s="27"/>
      <c r="AM416" s="27"/>
      <c r="AN416" s="27"/>
      <c r="AO416" s="27"/>
      <c r="AP416" s="27"/>
      <c r="AQ416" s="27"/>
      <c r="AR416" s="27"/>
      <c r="AS416" s="27"/>
      <c r="AT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X416" s="27"/>
      <c r="BY416" s="27"/>
      <c r="BZ416" s="27"/>
      <c r="CA416" s="27"/>
      <c r="CB416" s="27"/>
      <c r="CC416" s="27"/>
      <c r="CD416" s="27"/>
      <c r="CE416" s="27"/>
      <c r="CF416" s="27"/>
      <c r="CG416" s="27"/>
      <c r="CH416" s="23"/>
      <c r="CJ416" s="27"/>
      <c r="CT416" s="38"/>
      <c r="CU416" s="38"/>
      <c r="CV416" s="38"/>
      <c r="CW416" s="38"/>
      <c r="CX416" s="38"/>
      <c r="CY416" s="38"/>
      <c r="CZ416" s="38"/>
      <c r="DA416" s="38"/>
      <c r="DB416" s="38"/>
      <c r="DC416" s="27"/>
    </row>
    <row r="417" spans="1:107" s="25" customFormat="1" x14ac:dyDescent="0.2">
      <c r="A417" s="29" t="s">
        <v>108</v>
      </c>
      <c r="B417" s="34" t="s">
        <v>487</v>
      </c>
      <c r="C417" s="34">
        <f t="shared" si="35"/>
        <v>9990025</v>
      </c>
      <c r="D417" s="34" t="s">
        <v>985</v>
      </c>
      <c r="E417" s="21" t="s">
        <v>1365</v>
      </c>
      <c r="F417" s="21"/>
      <c r="G417" s="21"/>
      <c r="H417" s="21"/>
      <c r="I417" s="21" t="s">
        <v>157</v>
      </c>
      <c r="J417" s="21"/>
      <c r="K417" s="21"/>
      <c r="L417" s="21"/>
      <c r="M417" s="21"/>
      <c r="N417" s="21" t="s">
        <v>158</v>
      </c>
      <c r="O417" s="21" t="s">
        <v>980</v>
      </c>
      <c r="P417" s="21"/>
      <c r="Q417" s="21" t="s">
        <v>2041</v>
      </c>
      <c r="R417" s="21"/>
      <c r="S417" s="21"/>
      <c r="T417" s="21"/>
      <c r="U417" s="118"/>
      <c r="V417" s="21" t="s">
        <v>1818</v>
      </c>
      <c r="W417" s="21" t="s">
        <v>1</v>
      </c>
      <c r="X417" s="21"/>
      <c r="Z417" s="21"/>
      <c r="AA417" s="21"/>
      <c r="AB417" s="35"/>
      <c r="AC417" s="35"/>
      <c r="AD417" s="35"/>
      <c r="AE417" s="36"/>
      <c r="AF417" s="24" t="s">
        <v>2041</v>
      </c>
      <c r="AG417" s="35"/>
      <c r="AH417" s="37" t="s">
        <v>33</v>
      </c>
      <c r="AK417" s="27"/>
      <c r="AL417" s="27"/>
      <c r="AM417" s="27"/>
      <c r="AN417" s="27"/>
      <c r="AO417" s="27"/>
      <c r="AP417" s="27"/>
      <c r="AQ417" s="27"/>
      <c r="AR417" s="27"/>
      <c r="AS417" s="27"/>
      <c r="AT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X417" s="27"/>
      <c r="BY417" s="27"/>
      <c r="BZ417" s="27"/>
      <c r="CA417" s="27"/>
      <c r="CB417" s="27"/>
      <c r="CC417" s="27"/>
      <c r="CD417" s="27"/>
      <c r="CE417" s="27"/>
      <c r="CF417" s="27"/>
      <c r="CG417" s="27"/>
      <c r="CH417" s="23"/>
      <c r="CJ417" s="27"/>
      <c r="CT417" s="38"/>
      <c r="CU417" s="38"/>
      <c r="CV417" s="38"/>
      <c r="CW417" s="38"/>
      <c r="CX417" s="38"/>
      <c r="CY417" s="38"/>
      <c r="CZ417" s="38"/>
      <c r="DA417" s="38"/>
      <c r="DB417" s="38"/>
      <c r="DC417" s="27"/>
    </row>
    <row r="418" spans="1:107" s="25" customFormat="1" x14ac:dyDescent="0.2">
      <c r="A418" s="29" t="s">
        <v>108</v>
      </c>
      <c r="B418" s="34" t="s">
        <v>358</v>
      </c>
      <c r="C418" s="34">
        <f t="shared" si="35"/>
        <v>9990026</v>
      </c>
      <c r="D418" s="34" t="s">
        <v>985</v>
      </c>
      <c r="E418" s="21" t="s">
        <v>1363</v>
      </c>
      <c r="F418" s="21"/>
      <c r="G418" s="21"/>
      <c r="H418" s="21"/>
      <c r="I418" s="21" t="s">
        <v>157</v>
      </c>
      <c r="J418" s="21"/>
      <c r="K418" s="21"/>
      <c r="L418" s="21"/>
      <c r="M418" s="21"/>
      <c r="N418" s="21" t="s">
        <v>158</v>
      </c>
      <c r="O418" s="21" t="s">
        <v>980</v>
      </c>
      <c r="P418" s="21"/>
      <c r="Q418" s="21" t="s">
        <v>2041</v>
      </c>
      <c r="R418" s="21"/>
      <c r="S418" s="21"/>
      <c r="T418" s="21"/>
      <c r="U418" s="118"/>
      <c r="V418" s="21" t="s">
        <v>1818</v>
      </c>
      <c r="W418" s="21" t="s">
        <v>1</v>
      </c>
      <c r="X418" s="21"/>
      <c r="Z418" s="21"/>
      <c r="AA418" s="21"/>
      <c r="AB418" s="35"/>
      <c r="AC418" s="35"/>
      <c r="AD418" s="35"/>
      <c r="AE418" s="36"/>
      <c r="AF418" s="24" t="s">
        <v>2041</v>
      </c>
      <c r="AG418" s="35"/>
      <c r="AH418" s="37" t="s">
        <v>33</v>
      </c>
      <c r="AK418" s="27"/>
      <c r="AL418" s="27"/>
      <c r="AM418" s="27"/>
      <c r="AN418" s="27"/>
      <c r="AO418" s="27"/>
      <c r="AP418" s="27"/>
      <c r="AQ418" s="27"/>
      <c r="AR418" s="27"/>
      <c r="AS418" s="27"/>
      <c r="AT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X418" s="27"/>
      <c r="BY418" s="27"/>
      <c r="BZ418" s="27"/>
      <c r="CA418" s="27"/>
      <c r="CB418" s="27"/>
      <c r="CC418" s="27"/>
      <c r="CD418" s="27"/>
      <c r="CE418" s="27"/>
      <c r="CF418" s="27"/>
      <c r="CG418" s="27"/>
      <c r="CH418" s="23"/>
      <c r="CJ418" s="27"/>
      <c r="CT418" s="38"/>
      <c r="CU418" s="38"/>
      <c r="CV418" s="38"/>
      <c r="CW418" s="38"/>
      <c r="CX418" s="38"/>
      <c r="CY418" s="38"/>
      <c r="CZ418" s="38"/>
      <c r="DA418" s="38"/>
      <c r="DB418" s="38"/>
      <c r="DC418" s="27"/>
    </row>
    <row r="419" spans="1:107" s="25" customFormat="1" x14ac:dyDescent="0.2">
      <c r="A419" s="29" t="s">
        <v>108</v>
      </c>
      <c r="B419" s="34" t="s">
        <v>488</v>
      </c>
      <c r="C419" s="34">
        <f t="shared" si="35"/>
        <v>9990027</v>
      </c>
      <c r="D419" s="34" t="s">
        <v>985</v>
      </c>
      <c r="E419" s="21" t="s">
        <v>1364</v>
      </c>
      <c r="F419" s="21"/>
      <c r="G419" s="21"/>
      <c r="H419" s="21"/>
      <c r="I419" s="21" t="s">
        <v>157</v>
      </c>
      <c r="J419" s="21"/>
      <c r="K419" s="21"/>
      <c r="L419" s="21"/>
      <c r="M419" s="21"/>
      <c r="N419" s="21" t="s">
        <v>158</v>
      </c>
      <c r="O419" s="21" t="s">
        <v>980</v>
      </c>
      <c r="P419" s="21"/>
      <c r="Q419" s="21" t="s">
        <v>2041</v>
      </c>
      <c r="R419" s="21"/>
      <c r="S419" s="21"/>
      <c r="T419" s="21"/>
      <c r="U419" s="118"/>
      <c r="V419" s="21" t="s">
        <v>1818</v>
      </c>
      <c r="W419" s="21" t="s">
        <v>1</v>
      </c>
      <c r="X419" s="21"/>
      <c r="Z419" s="21"/>
      <c r="AA419" s="21"/>
      <c r="AB419" s="35"/>
      <c r="AC419" s="35"/>
      <c r="AD419" s="35"/>
      <c r="AE419" s="36"/>
      <c r="AF419" s="24" t="s">
        <v>2041</v>
      </c>
      <c r="AG419" s="35"/>
      <c r="AH419" s="37" t="s">
        <v>33</v>
      </c>
      <c r="AK419" s="27"/>
      <c r="AL419" s="27"/>
      <c r="AM419" s="27"/>
      <c r="AN419" s="27"/>
      <c r="AO419" s="27"/>
      <c r="AP419" s="27"/>
      <c r="AQ419" s="27"/>
      <c r="AR419" s="27"/>
      <c r="AS419" s="27"/>
      <c r="AT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X419" s="27"/>
      <c r="BY419" s="27"/>
      <c r="BZ419" s="27"/>
      <c r="CA419" s="27"/>
      <c r="CB419" s="27"/>
      <c r="CC419" s="27"/>
      <c r="CD419" s="27"/>
      <c r="CE419" s="27"/>
      <c r="CF419" s="27"/>
      <c r="CG419" s="27"/>
      <c r="CH419" s="23"/>
      <c r="CJ419" s="27"/>
      <c r="CT419" s="38"/>
      <c r="CU419" s="38"/>
      <c r="CV419" s="38"/>
      <c r="CW419" s="38"/>
      <c r="CX419" s="38"/>
      <c r="CY419" s="38"/>
      <c r="CZ419" s="38"/>
      <c r="DA419" s="38"/>
      <c r="DB419" s="38"/>
      <c r="DC419" s="27"/>
    </row>
    <row r="420" spans="1:107" s="25" customFormat="1" x14ac:dyDescent="0.2">
      <c r="A420" s="29" t="s">
        <v>108</v>
      </c>
      <c r="B420" s="34" t="s">
        <v>359</v>
      </c>
      <c r="C420" s="34">
        <f t="shared" si="35"/>
        <v>9990028</v>
      </c>
      <c r="D420" s="34" t="s">
        <v>985</v>
      </c>
      <c r="E420" s="21" t="s">
        <v>1365</v>
      </c>
      <c r="F420" s="21"/>
      <c r="G420" s="21"/>
      <c r="H420" s="21"/>
      <c r="I420" s="21" t="s">
        <v>157</v>
      </c>
      <c r="J420" s="21"/>
      <c r="K420" s="21"/>
      <c r="L420" s="21"/>
      <c r="M420" s="21"/>
      <c r="N420" s="21" t="s">
        <v>158</v>
      </c>
      <c r="O420" s="21" t="s">
        <v>980</v>
      </c>
      <c r="P420" s="21"/>
      <c r="Q420" s="21" t="s">
        <v>2041</v>
      </c>
      <c r="R420" s="21"/>
      <c r="S420" s="21"/>
      <c r="T420" s="21"/>
      <c r="U420" s="118"/>
      <c r="V420" s="21" t="s">
        <v>1818</v>
      </c>
      <c r="W420" s="21" t="s">
        <v>1</v>
      </c>
      <c r="X420" s="21"/>
      <c r="Z420" s="21"/>
      <c r="AA420" s="21"/>
      <c r="AB420" s="35"/>
      <c r="AC420" s="35"/>
      <c r="AD420" s="35"/>
      <c r="AE420" s="36"/>
      <c r="AF420" s="24" t="s">
        <v>2041</v>
      </c>
      <c r="AG420" s="35"/>
      <c r="AH420" s="37" t="s">
        <v>33</v>
      </c>
      <c r="AK420" s="27"/>
      <c r="AL420" s="27"/>
      <c r="AM420" s="27"/>
      <c r="AN420" s="27"/>
      <c r="AO420" s="27"/>
      <c r="AP420" s="27"/>
      <c r="AQ420" s="27"/>
      <c r="AR420" s="27"/>
      <c r="AS420" s="27"/>
      <c r="AT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X420" s="27"/>
      <c r="BY420" s="27"/>
      <c r="BZ420" s="27"/>
      <c r="CA420" s="27"/>
      <c r="CB420" s="27"/>
      <c r="CC420" s="27"/>
      <c r="CD420" s="27"/>
      <c r="CE420" s="27"/>
      <c r="CF420" s="27"/>
      <c r="CG420" s="27"/>
      <c r="CH420" s="23"/>
      <c r="CJ420" s="27"/>
      <c r="CT420" s="38"/>
      <c r="CU420" s="38"/>
      <c r="CV420" s="38"/>
      <c r="CW420" s="38"/>
      <c r="CX420" s="38"/>
      <c r="CY420" s="38"/>
      <c r="CZ420" s="38"/>
      <c r="DA420" s="38"/>
      <c r="DB420" s="38"/>
      <c r="DC420" s="27"/>
    </row>
    <row r="421" spans="1:107" s="25" customFormat="1" x14ac:dyDescent="0.2">
      <c r="A421" s="29" t="s">
        <v>108</v>
      </c>
      <c r="B421" s="34" t="s">
        <v>489</v>
      </c>
      <c r="C421" s="34">
        <f t="shared" si="35"/>
        <v>9990029</v>
      </c>
      <c r="D421" s="34" t="s">
        <v>985</v>
      </c>
      <c r="E421" s="21" t="s">
        <v>1363</v>
      </c>
      <c r="F421" s="21"/>
      <c r="G421" s="21"/>
      <c r="H421" s="21"/>
      <c r="I421" s="21" t="s">
        <v>157</v>
      </c>
      <c r="J421" s="21"/>
      <c r="K421" s="21"/>
      <c r="L421" s="21"/>
      <c r="M421" s="21"/>
      <c r="N421" s="21" t="s">
        <v>158</v>
      </c>
      <c r="O421" s="21" t="s">
        <v>980</v>
      </c>
      <c r="P421" s="21"/>
      <c r="Q421" s="21" t="s">
        <v>2041</v>
      </c>
      <c r="R421" s="21"/>
      <c r="S421" s="21"/>
      <c r="T421" s="21"/>
      <c r="U421" s="118"/>
      <c r="V421" s="21" t="s">
        <v>1818</v>
      </c>
      <c r="W421" s="21" t="s">
        <v>1</v>
      </c>
      <c r="X421" s="21"/>
      <c r="Z421" s="21"/>
      <c r="AA421" s="21"/>
      <c r="AB421" s="35"/>
      <c r="AC421" s="35"/>
      <c r="AD421" s="35"/>
      <c r="AE421" s="36"/>
      <c r="AF421" s="24" t="s">
        <v>2041</v>
      </c>
      <c r="AG421" s="35"/>
      <c r="AH421" s="37" t="s">
        <v>33</v>
      </c>
      <c r="AK421" s="27"/>
      <c r="AL421" s="27"/>
      <c r="AM421" s="27"/>
      <c r="AN421" s="27"/>
      <c r="AO421" s="27"/>
      <c r="AP421" s="27"/>
      <c r="AQ421" s="27"/>
      <c r="AR421" s="27"/>
      <c r="AS421" s="27"/>
      <c r="AT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X421" s="27"/>
      <c r="BY421" s="27"/>
      <c r="BZ421" s="27"/>
      <c r="CA421" s="27"/>
      <c r="CB421" s="27"/>
      <c r="CC421" s="27"/>
      <c r="CD421" s="27"/>
      <c r="CE421" s="27"/>
      <c r="CF421" s="27"/>
      <c r="CG421" s="27"/>
      <c r="CH421" s="23"/>
      <c r="CJ421" s="27"/>
      <c r="CT421" s="38"/>
      <c r="CU421" s="38"/>
      <c r="CV421" s="38"/>
      <c r="CW421" s="38"/>
      <c r="CX421" s="38"/>
      <c r="CY421" s="38"/>
      <c r="CZ421" s="38"/>
      <c r="DA421" s="38"/>
      <c r="DB421" s="38"/>
      <c r="DC421" s="27"/>
    </row>
    <row r="422" spans="1:107" s="25" customFormat="1" x14ac:dyDescent="0.2">
      <c r="A422" s="29" t="s">
        <v>108</v>
      </c>
      <c r="B422" s="34" t="s">
        <v>342</v>
      </c>
      <c r="C422" s="34">
        <f t="shared" si="35"/>
        <v>9990030</v>
      </c>
      <c r="D422" s="34" t="s">
        <v>985</v>
      </c>
      <c r="E422" s="21" t="s">
        <v>1364</v>
      </c>
      <c r="F422" s="21"/>
      <c r="G422" s="21"/>
      <c r="H422" s="21"/>
      <c r="I422" s="21" t="s">
        <v>157</v>
      </c>
      <c r="J422" s="21"/>
      <c r="K422" s="21"/>
      <c r="L422" s="21"/>
      <c r="M422" s="21"/>
      <c r="N422" s="21" t="s">
        <v>158</v>
      </c>
      <c r="O422" s="21" t="s">
        <v>980</v>
      </c>
      <c r="P422" s="21"/>
      <c r="Q422" s="21" t="s">
        <v>2041</v>
      </c>
      <c r="R422" s="21"/>
      <c r="S422" s="21"/>
      <c r="T422" s="21"/>
      <c r="U422" s="118"/>
      <c r="V422" s="21" t="s">
        <v>1818</v>
      </c>
      <c r="W422" s="21" t="s">
        <v>1</v>
      </c>
      <c r="X422" s="21"/>
      <c r="Z422" s="21"/>
      <c r="AA422" s="21"/>
      <c r="AB422" s="35"/>
      <c r="AC422" s="35"/>
      <c r="AD422" s="35"/>
      <c r="AE422" s="36"/>
      <c r="AF422" s="24" t="s">
        <v>2041</v>
      </c>
      <c r="AG422" s="35"/>
      <c r="AH422" s="37" t="s">
        <v>33</v>
      </c>
      <c r="AK422" s="27"/>
      <c r="AL422" s="27"/>
      <c r="AM422" s="27"/>
      <c r="AN422" s="27"/>
      <c r="AO422" s="27"/>
      <c r="AP422" s="27"/>
      <c r="AQ422" s="27"/>
      <c r="AR422" s="27"/>
      <c r="AS422" s="27"/>
      <c r="AT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X422" s="27"/>
      <c r="BY422" s="27"/>
      <c r="BZ422" s="27"/>
      <c r="CA422" s="27"/>
      <c r="CB422" s="27"/>
      <c r="CC422" s="27"/>
      <c r="CD422" s="27"/>
      <c r="CE422" s="27"/>
      <c r="CF422" s="27"/>
      <c r="CG422" s="27"/>
      <c r="CH422" s="23"/>
      <c r="CJ422" s="27"/>
      <c r="CT422" s="38"/>
      <c r="CU422" s="38"/>
      <c r="CV422" s="38"/>
      <c r="CW422" s="38"/>
      <c r="CX422" s="38"/>
      <c r="CY422" s="38"/>
      <c r="CZ422" s="38"/>
      <c r="DA422" s="38"/>
      <c r="DB422" s="38"/>
      <c r="DC422" s="27"/>
    </row>
    <row r="423" spans="1:107" s="25" customFormat="1" x14ac:dyDescent="0.2">
      <c r="A423" s="29" t="s">
        <v>108</v>
      </c>
      <c r="B423" s="34" t="s">
        <v>490</v>
      </c>
      <c r="C423" s="34">
        <f t="shared" si="35"/>
        <v>9990031</v>
      </c>
      <c r="D423" s="34" t="s">
        <v>985</v>
      </c>
      <c r="E423" s="21" t="s">
        <v>1365</v>
      </c>
      <c r="F423" s="21"/>
      <c r="G423" s="21"/>
      <c r="H423" s="21"/>
      <c r="I423" s="21" t="s">
        <v>157</v>
      </c>
      <c r="J423" s="21"/>
      <c r="K423" s="21"/>
      <c r="L423" s="21"/>
      <c r="M423" s="21"/>
      <c r="N423" s="21" t="s">
        <v>158</v>
      </c>
      <c r="O423" s="21" t="s">
        <v>980</v>
      </c>
      <c r="P423" s="21"/>
      <c r="Q423" s="21" t="s">
        <v>2041</v>
      </c>
      <c r="R423" s="21"/>
      <c r="S423" s="21"/>
      <c r="T423" s="21"/>
      <c r="U423" s="118"/>
      <c r="V423" s="21" t="s">
        <v>1818</v>
      </c>
      <c r="W423" s="21" t="s">
        <v>1</v>
      </c>
      <c r="X423" s="21"/>
      <c r="Z423" s="21"/>
      <c r="AA423" s="21"/>
      <c r="AB423" s="35"/>
      <c r="AC423" s="35"/>
      <c r="AD423" s="35"/>
      <c r="AE423" s="36"/>
      <c r="AF423" s="24" t="s">
        <v>2041</v>
      </c>
      <c r="AG423" s="35"/>
      <c r="AH423" s="37" t="s">
        <v>33</v>
      </c>
      <c r="AK423" s="27"/>
      <c r="AL423" s="27"/>
      <c r="AM423" s="27"/>
      <c r="AN423" s="27"/>
      <c r="AO423" s="27"/>
      <c r="AP423" s="27"/>
      <c r="AQ423" s="27"/>
      <c r="AR423" s="27"/>
      <c r="AS423" s="27"/>
      <c r="AT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X423" s="27"/>
      <c r="BY423" s="27"/>
      <c r="BZ423" s="27"/>
      <c r="CA423" s="27"/>
      <c r="CB423" s="27"/>
      <c r="CC423" s="27"/>
      <c r="CD423" s="27"/>
      <c r="CE423" s="27"/>
      <c r="CF423" s="27"/>
      <c r="CG423" s="27"/>
      <c r="CH423" s="23"/>
      <c r="CJ423" s="27"/>
      <c r="CT423" s="38"/>
      <c r="CU423" s="38"/>
      <c r="CV423" s="38"/>
      <c r="CW423" s="38"/>
      <c r="CX423" s="38"/>
      <c r="CY423" s="38"/>
      <c r="CZ423" s="38"/>
      <c r="DA423" s="38"/>
      <c r="DB423" s="38"/>
      <c r="DC423" s="27"/>
    </row>
    <row r="424" spans="1:107" s="25" customFormat="1" x14ac:dyDescent="0.2">
      <c r="A424" s="29" t="s">
        <v>108</v>
      </c>
      <c r="B424" s="34" t="s">
        <v>360</v>
      </c>
      <c r="C424" s="34">
        <f t="shared" si="35"/>
        <v>9990032</v>
      </c>
      <c r="D424" s="34" t="s">
        <v>985</v>
      </c>
      <c r="E424" s="21" t="s">
        <v>1363</v>
      </c>
      <c r="F424" s="21"/>
      <c r="G424" s="21"/>
      <c r="H424" s="21"/>
      <c r="I424" s="21" t="s">
        <v>157</v>
      </c>
      <c r="J424" s="21"/>
      <c r="K424" s="21"/>
      <c r="L424" s="21"/>
      <c r="M424" s="21"/>
      <c r="N424" s="21" t="s">
        <v>158</v>
      </c>
      <c r="O424" s="21" t="s">
        <v>980</v>
      </c>
      <c r="P424" s="21"/>
      <c r="Q424" s="21" t="s">
        <v>2041</v>
      </c>
      <c r="R424" s="21"/>
      <c r="S424" s="21"/>
      <c r="T424" s="21"/>
      <c r="U424" s="118"/>
      <c r="V424" s="21" t="s">
        <v>1818</v>
      </c>
      <c r="W424" s="21" t="s">
        <v>1</v>
      </c>
      <c r="X424" s="21"/>
      <c r="Z424" s="21"/>
      <c r="AA424" s="21"/>
      <c r="AB424" s="35"/>
      <c r="AC424" s="35"/>
      <c r="AD424" s="35"/>
      <c r="AE424" s="36"/>
      <c r="AF424" s="24" t="s">
        <v>2041</v>
      </c>
      <c r="AG424" s="35"/>
      <c r="AH424" s="37" t="s">
        <v>33</v>
      </c>
      <c r="AK424" s="27"/>
      <c r="AL424" s="27"/>
      <c r="AM424" s="27"/>
      <c r="AN424" s="27"/>
      <c r="AO424" s="27"/>
      <c r="AP424" s="27"/>
      <c r="AQ424" s="27"/>
      <c r="AR424" s="27"/>
      <c r="AS424" s="27"/>
      <c r="AT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X424" s="27"/>
      <c r="BY424" s="27"/>
      <c r="BZ424" s="27"/>
      <c r="CA424" s="27"/>
      <c r="CB424" s="27"/>
      <c r="CC424" s="27"/>
      <c r="CD424" s="27"/>
      <c r="CE424" s="27"/>
      <c r="CF424" s="27"/>
      <c r="CG424" s="27"/>
      <c r="CH424" s="23"/>
      <c r="CJ424" s="27"/>
      <c r="CT424" s="38"/>
      <c r="CU424" s="38"/>
      <c r="CV424" s="38"/>
      <c r="CW424" s="38"/>
      <c r="CX424" s="38"/>
      <c r="CY424" s="38"/>
      <c r="CZ424" s="38"/>
      <c r="DA424" s="38"/>
      <c r="DB424" s="38"/>
      <c r="DC424" s="27"/>
    </row>
    <row r="425" spans="1:107" s="25" customFormat="1" x14ac:dyDescent="0.2">
      <c r="A425" s="29" t="s">
        <v>108</v>
      </c>
      <c r="B425" s="34" t="s">
        <v>491</v>
      </c>
      <c r="C425" s="34">
        <f t="shared" si="35"/>
        <v>9990033</v>
      </c>
      <c r="D425" s="34" t="s">
        <v>985</v>
      </c>
      <c r="E425" s="21" t="s">
        <v>1364</v>
      </c>
      <c r="F425" s="21"/>
      <c r="G425" s="21"/>
      <c r="H425" s="21"/>
      <c r="I425" s="21" t="s">
        <v>157</v>
      </c>
      <c r="J425" s="21"/>
      <c r="K425" s="21"/>
      <c r="L425" s="21"/>
      <c r="M425" s="21"/>
      <c r="N425" s="21" t="s">
        <v>158</v>
      </c>
      <c r="O425" s="21" t="s">
        <v>980</v>
      </c>
      <c r="P425" s="21"/>
      <c r="Q425" s="21" t="s">
        <v>2041</v>
      </c>
      <c r="R425" s="21"/>
      <c r="S425" s="21"/>
      <c r="T425" s="21"/>
      <c r="U425" s="118"/>
      <c r="V425" s="21" t="s">
        <v>1818</v>
      </c>
      <c r="W425" s="21" t="s">
        <v>1</v>
      </c>
      <c r="X425" s="21"/>
      <c r="Z425" s="21"/>
      <c r="AA425" s="21"/>
      <c r="AB425" s="35"/>
      <c r="AC425" s="35"/>
      <c r="AD425" s="35"/>
      <c r="AE425" s="36"/>
      <c r="AF425" s="24" t="s">
        <v>2041</v>
      </c>
      <c r="AG425" s="35"/>
      <c r="AH425" s="37" t="s">
        <v>33</v>
      </c>
      <c r="AK425" s="27"/>
      <c r="AL425" s="27"/>
      <c r="AM425" s="27"/>
      <c r="AN425" s="27"/>
      <c r="AO425" s="27"/>
      <c r="AP425" s="27"/>
      <c r="AQ425" s="27"/>
      <c r="AR425" s="27"/>
      <c r="AS425" s="27"/>
      <c r="AT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X425" s="27"/>
      <c r="BY425" s="27"/>
      <c r="BZ425" s="27"/>
      <c r="CA425" s="27"/>
      <c r="CB425" s="27"/>
      <c r="CC425" s="27"/>
      <c r="CD425" s="27"/>
      <c r="CE425" s="27"/>
      <c r="CF425" s="27"/>
      <c r="CG425" s="27"/>
      <c r="CH425" s="23"/>
      <c r="CJ425" s="27"/>
      <c r="CT425" s="38"/>
      <c r="CU425" s="38"/>
      <c r="CV425" s="38"/>
      <c r="CW425" s="38"/>
      <c r="CX425" s="38"/>
      <c r="CY425" s="38"/>
      <c r="CZ425" s="38"/>
      <c r="DA425" s="38"/>
      <c r="DB425" s="38"/>
      <c r="DC425" s="27"/>
    </row>
    <row r="426" spans="1:107" s="25" customFormat="1" x14ac:dyDescent="0.2">
      <c r="A426" s="29" t="s">
        <v>108</v>
      </c>
      <c r="B426" s="34" t="s">
        <v>361</v>
      </c>
      <c r="C426" s="34">
        <f t="shared" ref="C426:C508" si="60">A426*10000+B426</f>
        <v>9990034</v>
      </c>
      <c r="D426" s="34" t="s">
        <v>985</v>
      </c>
      <c r="E426" s="21" t="s">
        <v>1365</v>
      </c>
      <c r="F426" s="21"/>
      <c r="G426" s="21"/>
      <c r="H426" s="21"/>
      <c r="I426" s="21" t="s">
        <v>157</v>
      </c>
      <c r="J426" s="21"/>
      <c r="K426" s="21"/>
      <c r="L426" s="21"/>
      <c r="M426" s="21"/>
      <c r="N426" s="21" t="s">
        <v>158</v>
      </c>
      <c r="O426" s="21" t="s">
        <v>980</v>
      </c>
      <c r="P426" s="21"/>
      <c r="Q426" s="21" t="s">
        <v>2041</v>
      </c>
      <c r="R426" s="21"/>
      <c r="S426" s="21"/>
      <c r="T426" s="21"/>
      <c r="U426" s="118"/>
      <c r="V426" s="21" t="s">
        <v>1818</v>
      </c>
      <c r="W426" s="21" t="s">
        <v>1</v>
      </c>
      <c r="X426" s="21"/>
      <c r="Z426" s="21"/>
      <c r="AA426" s="21"/>
      <c r="AB426" s="35"/>
      <c r="AC426" s="35"/>
      <c r="AD426" s="35"/>
      <c r="AE426" s="36"/>
      <c r="AF426" s="24" t="s">
        <v>2041</v>
      </c>
      <c r="AG426" s="35"/>
      <c r="AH426" s="37" t="s">
        <v>33</v>
      </c>
      <c r="AK426" s="27"/>
      <c r="AL426" s="27"/>
      <c r="AM426" s="27"/>
      <c r="AN426" s="27"/>
      <c r="AO426" s="27"/>
      <c r="AP426" s="27"/>
      <c r="AQ426" s="27"/>
      <c r="AR426" s="27"/>
      <c r="AS426" s="27"/>
      <c r="AT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X426" s="27"/>
      <c r="BY426" s="27"/>
      <c r="BZ426" s="27"/>
      <c r="CA426" s="27"/>
      <c r="CB426" s="27"/>
      <c r="CC426" s="27"/>
      <c r="CD426" s="27"/>
      <c r="CE426" s="27"/>
      <c r="CF426" s="27"/>
      <c r="CG426" s="27"/>
      <c r="CH426" s="23"/>
      <c r="CJ426" s="27"/>
      <c r="CT426" s="38"/>
      <c r="CU426" s="38"/>
      <c r="CV426" s="38"/>
      <c r="CW426" s="38"/>
      <c r="CX426" s="38"/>
      <c r="CY426" s="38"/>
      <c r="CZ426" s="38"/>
      <c r="DA426" s="38"/>
      <c r="DB426" s="38"/>
      <c r="DC426" s="27"/>
    </row>
    <row r="427" spans="1:107" s="25" customFormat="1" x14ac:dyDescent="0.2">
      <c r="A427" s="29" t="s">
        <v>108</v>
      </c>
      <c r="B427" s="34" t="s">
        <v>492</v>
      </c>
      <c r="C427" s="34">
        <f t="shared" si="60"/>
        <v>9990035</v>
      </c>
      <c r="D427" s="34" t="s">
        <v>985</v>
      </c>
      <c r="E427" s="21" t="s">
        <v>1363</v>
      </c>
      <c r="F427" s="21"/>
      <c r="G427" s="21"/>
      <c r="H427" s="21"/>
      <c r="I427" s="21" t="s">
        <v>157</v>
      </c>
      <c r="J427" s="21"/>
      <c r="K427" s="21"/>
      <c r="L427" s="21"/>
      <c r="M427" s="21"/>
      <c r="N427" s="21" t="s">
        <v>158</v>
      </c>
      <c r="O427" s="21" t="s">
        <v>980</v>
      </c>
      <c r="P427" s="21"/>
      <c r="Q427" s="21" t="s">
        <v>2041</v>
      </c>
      <c r="R427" s="21"/>
      <c r="S427" s="21"/>
      <c r="T427" s="21"/>
      <c r="U427" s="118"/>
      <c r="V427" s="21" t="s">
        <v>1818</v>
      </c>
      <c r="W427" s="21" t="s">
        <v>1</v>
      </c>
      <c r="X427" s="21"/>
      <c r="Z427" s="21"/>
      <c r="AA427" s="21"/>
      <c r="AB427" s="35"/>
      <c r="AC427" s="35"/>
      <c r="AD427" s="35"/>
      <c r="AE427" s="36"/>
      <c r="AF427" s="24" t="s">
        <v>2041</v>
      </c>
      <c r="AG427" s="35"/>
      <c r="AH427" s="37" t="s">
        <v>33</v>
      </c>
      <c r="AK427" s="27"/>
      <c r="AL427" s="27"/>
      <c r="AM427" s="27"/>
      <c r="AN427" s="27"/>
      <c r="AO427" s="27"/>
      <c r="AP427" s="27"/>
      <c r="AQ427" s="27"/>
      <c r="AR427" s="27"/>
      <c r="AS427" s="27"/>
      <c r="AT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X427" s="27"/>
      <c r="BY427" s="27"/>
      <c r="BZ427" s="27"/>
      <c r="CA427" s="27"/>
      <c r="CB427" s="27"/>
      <c r="CC427" s="27"/>
      <c r="CD427" s="27"/>
      <c r="CE427" s="27"/>
      <c r="CF427" s="27"/>
      <c r="CG427" s="27"/>
      <c r="CH427" s="23"/>
      <c r="CJ427" s="27"/>
      <c r="CT427" s="38"/>
      <c r="CU427" s="38"/>
      <c r="CV427" s="38"/>
      <c r="CW427" s="38"/>
      <c r="CX427" s="38"/>
      <c r="CY427" s="38"/>
      <c r="CZ427" s="38"/>
      <c r="DA427" s="38"/>
      <c r="DB427" s="38"/>
      <c r="DC427" s="27"/>
    </row>
    <row r="428" spans="1:107" s="25" customFormat="1" x14ac:dyDescent="0.2">
      <c r="A428" s="29" t="s">
        <v>108</v>
      </c>
      <c r="B428" s="34" t="s">
        <v>362</v>
      </c>
      <c r="C428" s="34">
        <f t="shared" si="60"/>
        <v>9990036</v>
      </c>
      <c r="D428" s="34" t="s">
        <v>985</v>
      </c>
      <c r="E428" s="21" t="s">
        <v>1364</v>
      </c>
      <c r="F428" s="21"/>
      <c r="G428" s="21"/>
      <c r="H428" s="21"/>
      <c r="I428" s="21" t="s">
        <v>157</v>
      </c>
      <c r="J428" s="21"/>
      <c r="K428" s="21"/>
      <c r="L428" s="21"/>
      <c r="M428" s="21"/>
      <c r="N428" s="21" t="s">
        <v>158</v>
      </c>
      <c r="O428" s="21" t="s">
        <v>980</v>
      </c>
      <c r="P428" s="21"/>
      <c r="Q428" s="21" t="s">
        <v>2041</v>
      </c>
      <c r="R428" s="21"/>
      <c r="S428" s="21"/>
      <c r="T428" s="21"/>
      <c r="U428" s="118"/>
      <c r="V428" s="21" t="s">
        <v>1818</v>
      </c>
      <c r="W428" s="21" t="s">
        <v>1</v>
      </c>
      <c r="X428" s="21"/>
      <c r="Z428" s="21"/>
      <c r="AA428" s="21"/>
      <c r="AB428" s="35"/>
      <c r="AC428" s="35"/>
      <c r="AD428" s="35"/>
      <c r="AE428" s="36"/>
      <c r="AF428" s="24" t="s">
        <v>2041</v>
      </c>
      <c r="AG428" s="35"/>
      <c r="AH428" s="37" t="s">
        <v>33</v>
      </c>
      <c r="AK428" s="27"/>
      <c r="AL428" s="27"/>
      <c r="AM428" s="27"/>
      <c r="AN428" s="27"/>
      <c r="AO428" s="27"/>
      <c r="AP428" s="27"/>
      <c r="AQ428" s="27"/>
      <c r="AR428" s="27"/>
      <c r="AS428" s="27"/>
      <c r="AT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X428" s="27"/>
      <c r="BY428" s="27"/>
      <c r="BZ428" s="27"/>
      <c r="CA428" s="27"/>
      <c r="CB428" s="27"/>
      <c r="CC428" s="27"/>
      <c r="CD428" s="27"/>
      <c r="CE428" s="27"/>
      <c r="CF428" s="27"/>
      <c r="CG428" s="27"/>
      <c r="CH428" s="23"/>
      <c r="CJ428" s="27"/>
      <c r="CT428" s="38"/>
      <c r="CU428" s="38"/>
      <c r="CV428" s="38"/>
      <c r="CW428" s="38"/>
      <c r="CX428" s="38"/>
      <c r="CY428" s="38"/>
      <c r="CZ428" s="38"/>
      <c r="DA428" s="38"/>
      <c r="DB428" s="38"/>
      <c r="DC428" s="27"/>
    </row>
    <row r="429" spans="1:107" s="25" customFormat="1" x14ac:dyDescent="0.2">
      <c r="A429" s="29" t="s">
        <v>108</v>
      </c>
      <c r="B429" s="34" t="s">
        <v>493</v>
      </c>
      <c r="C429" s="34">
        <f t="shared" si="60"/>
        <v>9990037</v>
      </c>
      <c r="D429" s="34" t="s">
        <v>985</v>
      </c>
      <c r="E429" s="21" t="s">
        <v>1365</v>
      </c>
      <c r="F429" s="21"/>
      <c r="G429" s="21"/>
      <c r="H429" s="21"/>
      <c r="I429" s="21" t="s">
        <v>157</v>
      </c>
      <c r="J429" s="21"/>
      <c r="K429" s="21"/>
      <c r="L429" s="21"/>
      <c r="M429" s="21"/>
      <c r="N429" s="21" t="s">
        <v>158</v>
      </c>
      <c r="O429" s="21" t="s">
        <v>980</v>
      </c>
      <c r="P429" s="21"/>
      <c r="Q429" s="21" t="s">
        <v>2041</v>
      </c>
      <c r="R429" s="21"/>
      <c r="S429" s="21"/>
      <c r="T429" s="21"/>
      <c r="U429" s="118"/>
      <c r="V429" s="21" t="s">
        <v>1818</v>
      </c>
      <c r="W429" s="21" t="s">
        <v>1</v>
      </c>
      <c r="X429" s="21"/>
      <c r="Z429" s="21"/>
      <c r="AA429" s="21"/>
      <c r="AB429" s="35"/>
      <c r="AC429" s="35"/>
      <c r="AD429" s="35"/>
      <c r="AE429" s="36"/>
      <c r="AF429" s="24" t="s">
        <v>2041</v>
      </c>
      <c r="AG429" s="35"/>
      <c r="AH429" s="37" t="s">
        <v>33</v>
      </c>
      <c r="AK429" s="27"/>
      <c r="AL429" s="27"/>
      <c r="AM429" s="27"/>
      <c r="AN429" s="27"/>
      <c r="AO429" s="27"/>
      <c r="AP429" s="27"/>
      <c r="AQ429" s="27"/>
      <c r="AR429" s="27"/>
      <c r="AS429" s="27"/>
      <c r="AT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X429" s="27"/>
      <c r="BY429" s="27"/>
      <c r="BZ429" s="27"/>
      <c r="CA429" s="27"/>
      <c r="CB429" s="27"/>
      <c r="CC429" s="27"/>
      <c r="CD429" s="27"/>
      <c r="CE429" s="27"/>
      <c r="CF429" s="27"/>
      <c r="CG429" s="27"/>
      <c r="CH429" s="23"/>
      <c r="CJ429" s="27"/>
      <c r="CT429" s="38"/>
      <c r="CU429" s="38"/>
      <c r="CV429" s="38"/>
      <c r="CW429" s="38"/>
      <c r="CX429" s="38"/>
      <c r="CY429" s="38"/>
      <c r="CZ429" s="38"/>
      <c r="DA429" s="38"/>
      <c r="DB429" s="38"/>
      <c r="DC429" s="27"/>
    </row>
    <row r="430" spans="1:107" s="25" customFormat="1" x14ac:dyDescent="0.2">
      <c r="A430" s="29" t="s">
        <v>108</v>
      </c>
      <c r="B430" s="34" t="s">
        <v>363</v>
      </c>
      <c r="C430" s="34">
        <f t="shared" si="60"/>
        <v>9990038</v>
      </c>
      <c r="D430" s="34" t="s">
        <v>985</v>
      </c>
      <c r="E430" s="21" t="s">
        <v>1363</v>
      </c>
      <c r="F430" s="21"/>
      <c r="G430" s="21"/>
      <c r="H430" s="21"/>
      <c r="I430" s="21" t="s">
        <v>157</v>
      </c>
      <c r="J430" s="21"/>
      <c r="K430" s="21"/>
      <c r="L430" s="21"/>
      <c r="M430" s="21"/>
      <c r="N430" s="21" t="s">
        <v>158</v>
      </c>
      <c r="O430" s="21" t="s">
        <v>980</v>
      </c>
      <c r="P430" s="21"/>
      <c r="Q430" s="21" t="s">
        <v>2041</v>
      </c>
      <c r="R430" s="21"/>
      <c r="S430" s="21"/>
      <c r="T430" s="21"/>
      <c r="U430" s="118"/>
      <c r="V430" s="21" t="s">
        <v>1818</v>
      </c>
      <c r="W430" s="21" t="s">
        <v>1</v>
      </c>
      <c r="X430" s="21"/>
      <c r="Z430" s="21"/>
      <c r="AA430" s="21"/>
      <c r="AB430" s="35"/>
      <c r="AC430" s="35"/>
      <c r="AD430" s="35"/>
      <c r="AE430" s="36"/>
      <c r="AF430" s="24" t="s">
        <v>2041</v>
      </c>
      <c r="AG430" s="35"/>
      <c r="AH430" s="37" t="s">
        <v>33</v>
      </c>
      <c r="AK430" s="27"/>
      <c r="AL430" s="27"/>
      <c r="AM430" s="27"/>
      <c r="AN430" s="27"/>
      <c r="AO430" s="27"/>
      <c r="AP430" s="27"/>
      <c r="AQ430" s="27"/>
      <c r="AR430" s="27"/>
      <c r="AS430" s="27"/>
      <c r="AT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X430" s="27"/>
      <c r="BY430" s="27"/>
      <c r="BZ430" s="27"/>
      <c r="CA430" s="27"/>
      <c r="CB430" s="27"/>
      <c r="CC430" s="27"/>
      <c r="CD430" s="27"/>
      <c r="CE430" s="27"/>
      <c r="CF430" s="27"/>
      <c r="CG430" s="27"/>
      <c r="CH430" s="23"/>
      <c r="CJ430" s="27"/>
      <c r="CT430" s="38"/>
      <c r="CU430" s="38"/>
      <c r="CV430" s="38"/>
      <c r="CW430" s="38"/>
      <c r="CX430" s="38"/>
      <c r="CY430" s="38"/>
      <c r="CZ430" s="38"/>
      <c r="DA430" s="38"/>
      <c r="DB430" s="38"/>
      <c r="DC430" s="27"/>
    </row>
    <row r="431" spans="1:107" s="25" customFormat="1" x14ac:dyDescent="0.2">
      <c r="A431" s="29" t="s">
        <v>108</v>
      </c>
      <c r="B431" s="34" t="s">
        <v>494</v>
      </c>
      <c r="C431" s="34">
        <f t="shared" si="60"/>
        <v>9990039</v>
      </c>
      <c r="D431" s="34" t="s">
        <v>985</v>
      </c>
      <c r="E431" s="21" t="s">
        <v>1364</v>
      </c>
      <c r="F431" s="21"/>
      <c r="G431" s="21"/>
      <c r="H431" s="21"/>
      <c r="I431" s="21" t="s">
        <v>157</v>
      </c>
      <c r="J431" s="21"/>
      <c r="K431" s="21"/>
      <c r="L431" s="21"/>
      <c r="M431" s="21"/>
      <c r="N431" s="21" t="s">
        <v>158</v>
      </c>
      <c r="O431" s="21" t="s">
        <v>980</v>
      </c>
      <c r="P431" s="21"/>
      <c r="Q431" s="21" t="s">
        <v>2041</v>
      </c>
      <c r="R431" s="21"/>
      <c r="S431" s="21"/>
      <c r="T431" s="21"/>
      <c r="U431" s="118"/>
      <c r="V431" s="21" t="s">
        <v>1818</v>
      </c>
      <c r="W431" s="21" t="s">
        <v>1</v>
      </c>
      <c r="X431" s="21"/>
      <c r="Z431" s="21"/>
      <c r="AA431" s="21"/>
      <c r="AB431" s="35"/>
      <c r="AC431" s="35"/>
      <c r="AD431" s="35"/>
      <c r="AE431" s="36"/>
      <c r="AF431" s="24" t="s">
        <v>2041</v>
      </c>
      <c r="AG431" s="35"/>
      <c r="AH431" s="37" t="s">
        <v>33</v>
      </c>
      <c r="AK431" s="27"/>
      <c r="AL431" s="27"/>
      <c r="AM431" s="27"/>
      <c r="AN431" s="27"/>
      <c r="AO431" s="27"/>
      <c r="AP431" s="27"/>
      <c r="AQ431" s="27"/>
      <c r="AR431" s="27"/>
      <c r="AS431" s="27"/>
      <c r="AT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X431" s="27"/>
      <c r="BY431" s="27"/>
      <c r="BZ431" s="27"/>
      <c r="CA431" s="27"/>
      <c r="CB431" s="27"/>
      <c r="CC431" s="27"/>
      <c r="CD431" s="27"/>
      <c r="CE431" s="27"/>
      <c r="CF431" s="27"/>
      <c r="CG431" s="27"/>
      <c r="CH431" s="23"/>
      <c r="CJ431" s="27"/>
      <c r="CT431" s="38"/>
      <c r="CU431" s="38"/>
      <c r="CV431" s="38"/>
      <c r="CW431" s="38"/>
      <c r="CX431" s="38"/>
      <c r="CY431" s="38"/>
      <c r="CZ431" s="38"/>
      <c r="DA431" s="38"/>
      <c r="DB431" s="38"/>
      <c r="DC431" s="27"/>
    </row>
    <row r="432" spans="1:107" s="25" customFormat="1" x14ac:dyDescent="0.2">
      <c r="A432" s="29" t="s">
        <v>108</v>
      </c>
      <c r="B432" s="34" t="s">
        <v>348</v>
      </c>
      <c r="C432" s="34">
        <f t="shared" si="60"/>
        <v>9990040</v>
      </c>
      <c r="D432" s="34" t="s">
        <v>985</v>
      </c>
      <c r="E432" s="21" t="s">
        <v>1365</v>
      </c>
      <c r="F432" s="21"/>
      <c r="G432" s="21"/>
      <c r="H432" s="21"/>
      <c r="I432" s="21" t="s">
        <v>157</v>
      </c>
      <c r="J432" s="21"/>
      <c r="K432" s="21"/>
      <c r="L432" s="21"/>
      <c r="M432" s="21"/>
      <c r="N432" s="21" t="s">
        <v>158</v>
      </c>
      <c r="O432" s="21" t="s">
        <v>980</v>
      </c>
      <c r="P432" s="21"/>
      <c r="Q432" s="21" t="s">
        <v>2041</v>
      </c>
      <c r="R432" s="21"/>
      <c r="S432" s="21"/>
      <c r="T432" s="21"/>
      <c r="U432" s="118"/>
      <c r="V432" s="21" t="s">
        <v>1818</v>
      </c>
      <c r="W432" s="21" t="s">
        <v>1</v>
      </c>
      <c r="X432" s="21"/>
      <c r="Z432" s="21"/>
      <c r="AA432" s="21"/>
      <c r="AB432" s="35"/>
      <c r="AC432" s="35"/>
      <c r="AD432" s="35"/>
      <c r="AE432" s="36"/>
      <c r="AF432" s="24" t="s">
        <v>2041</v>
      </c>
      <c r="AG432" s="35"/>
      <c r="AH432" s="37" t="s">
        <v>33</v>
      </c>
      <c r="AK432" s="27"/>
      <c r="AL432" s="27"/>
      <c r="AM432" s="27"/>
      <c r="AN432" s="27"/>
      <c r="AO432" s="27"/>
      <c r="AP432" s="27"/>
      <c r="AQ432" s="27"/>
      <c r="AR432" s="27"/>
      <c r="AS432" s="27"/>
      <c r="AT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X432" s="27"/>
      <c r="BY432" s="27"/>
      <c r="BZ432" s="27"/>
      <c r="CA432" s="27"/>
      <c r="CB432" s="27"/>
      <c r="CC432" s="27"/>
      <c r="CD432" s="27"/>
      <c r="CE432" s="27"/>
      <c r="CF432" s="27"/>
      <c r="CG432" s="27"/>
      <c r="CH432" s="23"/>
      <c r="CJ432" s="27"/>
      <c r="CT432" s="38"/>
      <c r="CU432" s="38"/>
      <c r="CV432" s="38"/>
      <c r="CW432" s="38"/>
      <c r="CX432" s="38"/>
      <c r="CY432" s="38"/>
      <c r="CZ432" s="38"/>
      <c r="DA432" s="38"/>
      <c r="DB432" s="38"/>
      <c r="DC432" s="27"/>
    </row>
    <row r="433" spans="1:107" s="25" customFormat="1" x14ac:dyDescent="0.2">
      <c r="A433" s="29" t="s">
        <v>108</v>
      </c>
      <c r="B433" s="34" t="s">
        <v>495</v>
      </c>
      <c r="C433" s="34">
        <f t="shared" si="60"/>
        <v>9990041</v>
      </c>
      <c r="D433" s="34" t="s">
        <v>985</v>
      </c>
      <c r="E433" s="21" t="s">
        <v>1363</v>
      </c>
      <c r="F433" s="21"/>
      <c r="G433" s="21"/>
      <c r="H433" s="21"/>
      <c r="I433" s="21" t="s">
        <v>157</v>
      </c>
      <c r="J433" s="21"/>
      <c r="K433" s="21"/>
      <c r="L433" s="21"/>
      <c r="M433" s="21"/>
      <c r="N433" s="21" t="s">
        <v>158</v>
      </c>
      <c r="O433" s="21" t="s">
        <v>980</v>
      </c>
      <c r="P433" s="21"/>
      <c r="Q433" s="21" t="s">
        <v>2041</v>
      </c>
      <c r="R433" s="21"/>
      <c r="S433" s="21"/>
      <c r="T433" s="21"/>
      <c r="U433" s="118"/>
      <c r="V433" s="21" t="s">
        <v>1818</v>
      </c>
      <c r="W433" s="21" t="s">
        <v>1</v>
      </c>
      <c r="X433" s="21"/>
      <c r="Z433" s="21"/>
      <c r="AA433" s="21"/>
      <c r="AB433" s="35"/>
      <c r="AC433" s="35"/>
      <c r="AD433" s="35"/>
      <c r="AE433" s="36"/>
      <c r="AF433" s="24" t="s">
        <v>2041</v>
      </c>
      <c r="AG433" s="35"/>
      <c r="AH433" s="37" t="s">
        <v>33</v>
      </c>
      <c r="AK433" s="27"/>
      <c r="AL433" s="27"/>
      <c r="AM433" s="27"/>
      <c r="AN433" s="27"/>
      <c r="AO433" s="27"/>
      <c r="AP433" s="27"/>
      <c r="AQ433" s="27"/>
      <c r="AR433" s="27"/>
      <c r="AS433" s="27"/>
      <c r="AT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X433" s="27"/>
      <c r="BY433" s="27"/>
      <c r="BZ433" s="27"/>
      <c r="CA433" s="27"/>
      <c r="CB433" s="27"/>
      <c r="CC433" s="27"/>
      <c r="CD433" s="27"/>
      <c r="CE433" s="27"/>
      <c r="CF433" s="27"/>
      <c r="CG433" s="27"/>
      <c r="CH433" s="23"/>
      <c r="CJ433" s="27"/>
      <c r="CT433" s="38"/>
      <c r="CU433" s="38"/>
      <c r="CV433" s="38"/>
      <c r="CW433" s="38"/>
      <c r="CX433" s="38"/>
      <c r="CY433" s="38"/>
      <c r="CZ433" s="38"/>
      <c r="DA433" s="38"/>
      <c r="DB433" s="38"/>
      <c r="DC433" s="27"/>
    </row>
    <row r="434" spans="1:107" s="25" customFormat="1" x14ac:dyDescent="0.2">
      <c r="A434" s="29" t="s">
        <v>108</v>
      </c>
      <c r="B434" s="34" t="s">
        <v>364</v>
      </c>
      <c r="C434" s="34">
        <f t="shared" si="60"/>
        <v>9990042</v>
      </c>
      <c r="D434" s="34" t="s">
        <v>985</v>
      </c>
      <c r="E434" s="21" t="s">
        <v>1364</v>
      </c>
      <c r="F434" s="21"/>
      <c r="G434" s="21"/>
      <c r="H434" s="21"/>
      <c r="I434" s="21" t="s">
        <v>157</v>
      </c>
      <c r="J434" s="21"/>
      <c r="K434" s="21"/>
      <c r="L434" s="21"/>
      <c r="M434" s="21"/>
      <c r="N434" s="21" t="s">
        <v>158</v>
      </c>
      <c r="O434" s="21" t="s">
        <v>980</v>
      </c>
      <c r="P434" s="21"/>
      <c r="Q434" s="21" t="s">
        <v>2041</v>
      </c>
      <c r="R434" s="21"/>
      <c r="S434" s="21"/>
      <c r="T434" s="21"/>
      <c r="U434" s="118"/>
      <c r="V434" s="21" t="s">
        <v>1818</v>
      </c>
      <c r="W434" s="21" t="s">
        <v>1</v>
      </c>
      <c r="X434" s="21"/>
      <c r="Z434" s="21"/>
      <c r="AA434" s="21"/>
      <c r="AB434" s="35"/>
      <c r="AC434" s="35"/>
      <c r="AD434" s="35"/>
      <c r="AE434" s="36"/>
      <c r="AF434" s="24" t="s">
        <v>2041</v>
      </c>
      <c r="AG434" s="35"/>
      <c r="AH434" s="37" t="s">
        <v>33</v>
      </c>
      <c r="AK434" s="27"/>
      <c r="AL434" s="27"/>
      <c r="AM434" s="27"/>
      <c r="AN434" s="27"/>
      <c r="AO434" s="27"/>
      <c r="AP434" s="27"/>
      <c r="AQ434" s="27"/>
      <c r="AR434" s="27"/>
      <c r="AS434" s="27"/>
      <c r="AT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X434" s="27"/>
      <c r="BY434" s="27"/>
      <c r="BZ434" s="27"/>
      <c r="CA434" s="27"/>
      <c r="CB434" s="27"/>
      <c r="CC434" s="27"/>
      <c r="CD434" s="27"/>
      <c r="CE434" s="27"/>
      <c r="CF434" s="27"/>
      <c r="CG434" s="27"/>
      <c r="CH434" s="23"/>
      <c r="CJ434" s="27"/>
      <c r="CT434" s="38"/>
      <c r="CU434" s="38"/>
      <c r="CV434" s="38"/>
      <c r="CW434" s="38"/>
      <c r="CX434" s="38"/>
      <c r="CY434" s="38"/>
      <c r="CZ434" s="38"/>
      <c r="DA434" s="38"/>
      <c r="DB434" s="38"/>
      <c r="DC434" s="27"/>
    </row>
    <row r="435" spans="1:107" s="25" customFormat="1" x14ac:dyDescent="0.2">
      <c r="A435" s="29" t="s">
        <v>108</v>
      </c>
      <c r="B435" s="34" t="s">
        <v>496</v>
      </c>
      <c r="C435" s="34">
        <f t="shared" si="60"/>
        <v>9990043</v>
      </c>
      <c r="D435" s="34" t="s">
        <v>985</v>
      </c>
      <c r="E435" s="21" t="s">
        <v>1365</v>
      </c>
      <c r="F435" s="21"/>
      <c r="G435" s="21"/>
      <c r="H435" s="21"/>
      <c r="I435" s="21" t="s">
        <v>157</v>
      </c>
      <c r="J435" s="21"/>
      <c r="K435" s="21"/>
      <c r="L435" s="21"/>
      <c r="M435" s="21"/>
      <c r="N435" s="21" t="s">
        <v>158</v>
      </c>
      <c r="O435" s="21" t="s">
        <v>980</v>
      </c>
      <c r="P435" s="21"/>
      <c r="Q435" s="21" t="s">
        <v>2041</v>
      </c>
      <c r="R435" s="21"/>
      <c r="S435" s="21"/>
      <c r="T435" s="21"/>
      <c r="U435" s="118"/>
      <c r="V435" s="21" t="s">
        <v>1818</v>
      </c>
      <c r="W435" s="21" t="s">
        <v>1</v>
      </c>
      <c r="X435" s="21"/>
      <c r="Z435" s="21"/>
      <c r="AA435" s="21"/>
      <c r="AB435" s="35"/>
      <c r="AC435" s="35"/>
      <c r="AD435" s="35"/>
      <c r="AE435" s="36"/>
      <c r="AF435" s="24" t="s">
        <v>2041</v>
      </c>
      <c r="AG435" s="35"/>
      <c r="AH435" s="37" t="s">
        <v>33</v>
      </c>
      <c r="AK435" s="27"/>
      <c r="AL435" s="27"/>
      <c r="AM435" s="27"/>
      <c r="AN435" s="27"/>
      <c r="AO435" s="27"/>
      <c r="AP435" s="27"/>
      <c r="AQ435" s="27"/>
      <c r="AR435" s="27"/>
      <c r="AS435" s="27"/>
      <c r="AT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X435" s="27"/>
      <c r="BY435" s="27"/>
      <c r="BZ435" s="27"/>
      <c r="CA435" s="27"/>
      <c r="CB435" s="27"/>
      <c r="CC435" s="27"/>
      <c r="CD435" s="27"/>
      <c r="CE435" s="27"/>
      <c r="CF435" s="27"/>
      <c r="CG435" s="27"/>
      <c r="CH435" s="23"/>
      <c r="CJ435" s="27"/>
      <c r="CT435" s="38"/>
      <c r="CU435" s="38"/>
      <c r="CV435" s="38"/>
      <c r="CW435" s="38"/>
      <c r="CX435" s="38"/>
      <c r="CY435" s="38"/>
      <c r="CZ435" s="38"/>
      <c r="DA435" s="38"/>
      <c r="DB435" s="38"/>
      <c r="DC435" s="27"/>
    </row>
    <row r="436" spans="1:107" s="25" customFormat="1" x14ac:dyDescent="0.2">
      <c r="A436" s="29" t="s">
        <v>108</v>
      </c>
      <c r="B436" s="34" t="s">
        <v>365</v>
      </c>
      <c r="C436" s="34">
        <f t="shared" si="60"/>
        <v>9990044</v>
      </c>
      <c r="D436" s="34" t="s">
        <v>985</v>
      </c>
      <c r="E436" s="21" t="s">
        <v>1363</v>
      </c>
      <c r="F436" s="21"/>
      <c r="G436" s="21"/>
      <c r="H436" s="21"/>
      <c r="I436" s="21" t="s">
        <v>157</v>
      </c>
      <c r="J436" s="21"/>
      <c r="K436" s="21"/>
      <c r="L436" s="21"/>
      <c r="M436" s="21"/>
      <c r="N436" s="21" t="s">
        <v>158</v>
      </c>
      <c r="O436" s="21" t="s">
        <v>980</v>
      </c>
      <c r="P436" s="21"/>
      <c r="Q436" s="21" t="s">
        <v>2041</v>
      </c>
      <c r="R436" s="21"/>
      <c r="S436" s="21"/>
      <c r="T436" s="21"/>
      <c r="U436" s="118"/>
      <c r="V436" s="21" t="s">
        <v>1818</v>
      </c>
      <c r="W436" s="21" t="s">
        <v>1</v>
      </c>
      <c r="X436" s="21"/>
      <c r="Z436" s="21"/>
      <c r="AA436" s="21"/>
      <c r="AB436" s="35"/>
      <c r="AC436" s="35"/>
      <c r="AD436" s="35"/>
      <c r="AE436" s="36"/>
      <c r="AF436" s="24" t="s">
        <v>2041</v>
      </c>
      <c r="AG436" s="35"/>
      <c r="AH436" s="37" t="s">
        <v>33</v>
      </c>
      <c r="AK436" s="27"/>
      <c r="AL436" s="27"/>
      <c r="AM436" s="27"/>
      <c r="AN436" s="27"/>
      <c r="AO436" s="27"/>
      <c r="AP436" s="27"/>
      <c r="AQ436" s="27"/>
      <c r="AR436" s="27"/>
      <c r="AS436" s="27"/>
      <c r="AT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X436" s="27"/>
      <c r="BY436" s="27"/>
      <c r="BZ436" s="27"/>
      <c r="CA436" s="27"/>
      <c r="CB436" s="27"/>
      <c r="CC436" s="27"/>
      <c r="CD436" s="27"/>
      <c r="CE436" s="27"/>
      <c r="CF436" s="27"/>
      <c r="CG436" s="27"/>
      <c r="CH436" s="23"/>
      <c r="CJ436" s="27"/>
      <c r="CT436" s="38"/>
      <c r="CU436" s="38"/>
      <c r="CV436" s="38"/>
      <c r="CW436" s="38"/>
      <c r="CX436" s="38"/>
      <c r="CY436" s="38"/>
      <c r="CZ436" s="38"/>
      <c r="DA436" s="38"/>
      <c r="DB436" s="38"/>
      <c r="DC436" s="27"/>
    </row>
    <row r="437" spans="1:107" s="25" customFormat="1" x14ac:dyDescent="0.2">
      <c r="A437" s="29" t="s">
        <v>108</v>
      </c>
      <c r="B437" s="34" t="s">
        <v>497</v>
      </c>
      <c r="C437" s="34">
        <f t="shared" si="60"/>
        <v>9990045</v>
      </c>
      <c r="D437" s="34" t="s">
        <v>985</v>
      </c>
      <c r="E437" s="21" t="s">
        <v>1364</v>
      </c>
      <c r="F437" s="21"/>
      <c r="G437" s="21"/>
      <c r="H437" s="21"/>
      <c r="I437" s="21" t="s">
        <v>157</v>
      </c>
      <c r="J437" s="21"/>
      <c r="K437" s="21"/>
      <c r="L437" s="21"/>
      <c r="M437" s="21"/>
      <c r="N437" s="21" t="s">
        <v>158</v>
      </c>
      <c r="O437" s="21" t="s">
        <v>980</v>
      </c>
      <c r="P437" s="21"/>
      <c r="Q437" s="21" t="s">
        <v>2041</v>
      </c>
      <c r="R437" s="21"/>
      <c r="S437" s="21"/>
      <c r="T437" s="21"/>
      <c r="U437" s="118"/>
      <c r="V437" s="21" t="s">
        <v>1818</v>
      </c>
      <c r="W437" s="21" t="s">
        <v>1</v>
      </c>
      <c r="X437" s="21"/>
      <c r="Z437" s="21"/>
      <c r="AA437" s="21"/>
      <c r="AB437" s="35"/>
      <c r="AC437" s="35"/>
      <c r="AD437" s="35"/>
      <c r="AE437" s="36"/>
      <c r="AF437" s="24" t="s">
        <v>2041</v>
      </c>
      <c r="AG437" s="35"/>
      <c r="AH437" s="37" t="s">
        <v>33</v>
      </c>
      <c r="AK437" s="27"/>
      <c r="AL437" s="27"/>
      <c r="AM437" s="27"/>
      <c r="AN437" s="27"/>
      <c r="AO437" s="27"/>
      <c r="AP437" s="27"/>
      <c r="AQ437" s="27"/>
      <c r="AR437" s="27"/>
      <c r="AS437" s="27"/>
      <c r="AT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X437" s="27"/>
      <c r="BY437" s="27"/>
      <c r="BZ437" s="27"/>
      <c r="CA437" s="27"/>
      <c r="CB437" s="27"/>
      <c r="CC437" s="27"/>
      <c r="CD437" s="27"/>
      <c r="CE437" s="27"/>
      <c r="CF437" s="27"/>
      <c r="CG437" s="27"/>
      <c r="CH437" s="23"/>
      <c r="CJ437" s="27"/>
      <c r="CT437" s="38"/>
      <c r="CU437" s="38"/>
      <c r="CV437" s="38"/>
      <c r="CW437" s="38"/>
      <c r="CX437" s="38"/>
      <c r="CY437" s="38"/>
      <c r="CZ437" s="38"/>
      <c r="DA437" s="38"/>
      <c r="DB437" s="38"/>
      <c r="DC437" s="27"/>
    </row>
    <row r="438" spans="1:107" s="25" customFormat="1" x14ac:dyDescent="0.2">
      <c r="A438" s="29" t="s">
        <v>108</v>
      </c>
      <c r="B438" s="34" t="s">
        <v>366</v>
      </c>
      <c r="C438" s="34">
        <f t="shared" si="60"/>
        <v>9990046</v>
      </c>
      <c r="D438" s="34" t="s">
        <v>985</v>
      </c>
      <c r="E438" s="21" t="s">
        <v>1365</v>
      </c>
      <c r="F438" s="21"/>
      <c r="G438" s="21"/>
      <c r="H438" s="21"/>
      <c r="I438" s="21" t="s">
        <v>157</v>
      </c>
      <c r="J438" s="21"/>
      <c r="K438" s="21"/>
      <c r="L438" s="21"/>
      <c r="M438" s="21"/>
      <c r="N438" s="21" t="s">
        <v>158</v>
      </c>
      <c r="O438" s="21" t="s">
        <v>980</v>
      </c>
      <c r="P438" s="21"/>
      <c r="Q438" s="21" t="s">
        <v>2041</v>
      </c>
      <c r="R438" s="21"/>
      <c r="S438" s="21"/>
      <c r="T438" s="21"/>
      <c r="U438" s="118"/>
      <c r="V438" s="21" t="s">
        <v>1818</v>
      </c>
      <c r="W438" s="21" t="s">
        <v>1</v>
      </c>
      <c r="X438" s="21"/>
      <c r="Z438" s="21"/>
      <c r="AA438" s="21"/>
      <c r="AB438" s="35"/>
      <c r="AC438" s="35"/>
      <c r="AD438" s="35"/>
      <c r="AE438" s="36"/>
      <c r="AF438" s="24" t="s">
        <v>2041</v>
      </c>
      <c r="AG438" s="35"/>
      <c r="AH438" s="37" t="s">
        <v>33</v>
      </c>
      <c r="AK438" s="27"/>
      <c r="AL438" s="27"/>
      <c r="AM438" s="27"/>
      <c r="AN438" s="27"/>
      <c r="AO438" s="27"/>
      <c r="AP438" s="27"/>
      <c r="AQ438" s="27"/>
      <c r="AR438" s="27"/>
      <c r="AS438" s="27"/>
      <c r="AT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X438" s="27"/>
      <c r="BY438" s="27"/>
      <c r="BZ438" s="27"/>
      <c r="CA438" s="27"/>
      <c r="CB438" s="27"/>
      <c r="CC438" s="27"/>
      <c r="CD438" s="27"/>
      <c r="CE438" s="27"/>
      <c r="CF438" s="27"/>
      <c r="CG438" s="27"/>
      <c r="CH438" s="23"/>
      <c r="CJ438" s="27"/>
      <c r="CT438" s="38"/>
      <c r="CU438" s="38"/>
      <c r="CV438" s="38"/>
      <c r="CW438" s="38"/>
      <c r="CX438" s="38"/>
      <c r="CY438" s="38"/>
      <c r="CZ438" s="38"/>
      <c r="DA438" s="38"/>
      <c r="DB438" s="38"/>
      <c r="DC438" s="27"/>
    </row>
    <row r="439" spans="1:107" s="25" customFormat="1" x14ac:dyDescent="0.2">
      <c r="A439" s="29" t="s">
        <v>108</v>
      </c>
      <c r="B439" s="34" t="s">
        <v>498</v>
      </c>
      <c r="C439" s="34">
        <f t="shared" si="60"/>
        <v>9990047</v>
      </c>
      <c r="D439" s="34" t="s">
        <v>985</v>
      </c>
      <c r="E439" s="21" t="s">
        <v>1363</v>
      </c>
      <c r="F439" s="21"/>
      <c r="G439" s="21"/>
      <c r="H439" s="21"/>
      <c r="I439" s="21" t="s">
        <v>157</v>
      </c>
      <c r="J439" s="21"/>
      <c r="K439" s="21"/>
      <c r="L439" s="21"/>
      <c r="M439" s="21"/>
      <c r="N439" s="21" t="s">
        <v>158</v>
      </c>
      <c r="O439" s="21" t="s">
        <v>980</v>
      </c>
      <c r="P439" s="21"/>
      <c r="Q439" s="21" t="s">
        <v>2041</v>
      </c>
      <c r="R439" s="21"/>
      <c r="S439" s="21"/>
      <c r="T439" s="21"/>
      <c r="U439" s="118"/>
      <c r="V439" s="21" t="s">
        <v>1818</v>
      </c>
      <c r="W439" s="21" t="s">
        <v>1</v>
      </c>
      <c r="X439" s="21"/>
      <c r="Z439" s="21"/>
      <c r="AA439" s="21"/>
      <c r="AB439" s="35"/>
      <c r="AC439" s="35"/>
      <c r="AD439" s="35"/>
      <c r="AE439" s="36"/>
      <c r="AF439" s="24" t="s">
        <v>2041</v>
      </c>
      <c r="AG439" s="35"/>
      <c r="AH439" s="37" t="s">
        <v>33</v>
      </c>
      <c r="AK439" s="27"/>
      <c r="AL439" s="27"/>
      <c r="AM439" s="27"/>
      <c r="AN439" s="27"/>
      <c r="AO439" s="27"/>
      <c r="AP439" s="27"/>
      <c r="AQ439" s="27"/>
      <c r="AR439" s="27"/>
      <c r="AS439" s="27"/>
      <c r="AT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X439" s="27"/>
      <c r="BY439" s="27"/>
      <c r="BZ439" s="27"/>
      <c r="CA439" s="27"/>
      <c r="CB439" s="27"/>
      <c r="CC439" s="27"/>
      <c r="CD439" s="27"/>
      <c r="CE439" s="27"/>
      <c r="CF439" s="27"/>
      <c r="CG439" s="27"/>
      <c r="CH439" s="23"/>
      <c r="CJ439" s="27"/>
      <c r="CT439" s="38"/>
      <c r="CU439" s="38"/>
      <c r="CV439" s="38"/>
      <c r="CW439" s="38"/>
      <c r="CX439" s="38"/>
      <c r="CY439" s="38"/>
      <c r="CZ439" s="38"/>
      <c r="DA439" s="38"/>
      <c r="DB439" s="38"/>
      <c r="DC439" s="27"/>
    </row>
    <row r="440" spans="1:107" s="14" customFormat="1" ht="17.25" x14ac:dyDescent="0.3">
      <c r="A440" s="8"/>
      <c r="B440" s="8"/>
      <c r="C440" s="8">
        <f t="shared" si="60"/>
        <v>0</v>
      </c>
      <c r="D440" s="8"/>
      <c r="E440" s="9" t="s">
        <v>121</v>
      </c>
      <c r="F440" s="9"/>
      <c r="G440" s="9"/>
      <c r="H440" s="9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1"/>
      <c r="Z440" s="10"/>
      <c r="AA440" s="10"/>
      <c r="AB440" s="10"/>
      <c r="AC440" s="10"/>
      <c r="AD440" s="10"/>
      <c r="AE440" s="12"/>
      <c r="AF440" s="12"/>
      <c r="AG440" s="10"/>
      <c r="AH440" s="13"/>
      <c r="AI440" s="13"/>
      <c r="AJ440" s="13"/>
      <c r="AK440" s="15"/>
      <c r="AL440" s="15"/>
      <c r="AM440" s="15"/>
      <c r="AN440" s="15"/>
      <c r="AO440" s="15"/>
      <c r="AP440" s="15"/>
      <c r="AQ440" s="15"/>
      <c r="AR440" s="15"/>
      <c r="AS440" s="15"/>
      <c r="AT440" s="15"/>
      <c r="AU440" s="13"/>
      <c r="AV440" s="13"/>
      <c r="AW440" s="13"/>
      <c r="AX440" s="31"/>
      <c r="AY440" s="31"/>
      <c r="AZ440" s="15"/>
      <c r="BA440" s="15"/>
      <c r="BB440" s="15"/>
      <c r="BC440" s="15"/>
      <c r="BD440" s="15"/>
      <c r="BE440" s="15"/>
      <c r="BF440" s="15"/>
      <c r="BG440" s="15"/>
      <c r="BH440" s="13"/>
      <c r="BI440" s="13"/>
      <c r="BJ440" s="13"/>
      <c r="BK440" s="31"/>
      <c r="BL440" s="31"/>
      <c r="BM440" s="15"/>
      <c r="BN440" s="15"/>
      <c r="BO440" s="15"/>
      <c r="BP440" s="15"/>
      <c r="BQ440" s="15"/>
      <c r="BR440" s="15"/>
      <c r="BS440" s="15"/>
      <c r="BT440" s="15"/>
      <c r="BU440" s="13"/>
      <c r="BV440" s="13"/>
      <c r="BW440" s="13"/>
      <c r="BX440" s="31"/>
      <c r="BY440" s="31"/>
      <c r="BZ440" s="15"/>
      <c r="CA440" s="15"/>
      <c r="CB440" s="15"/>
      <c r="CC440" s="15"/>
      <c r="CD440" s="15"/>
      <c r="CE440" s="15"/>
      <c r="CF440" s="15"/>
      <c r="CG440" s="15"/>
      <c r="CH440" s="10"/>
      <c r="CI440" s="8"/>
      <c r="CJ440" s="16"/>
      <c r="CK440" s="8"/>
      <c r="CT440" s="17"/>
      <c r="CU440" s="17"/>
      <c r="CV440" s="17"/>
      <c r="CW440" s="17"/>
      <c r="CX440" s="17"/>
      <c r="CY440" s="17"/>
      <c r="CZ440" s="17"/>
      <c r="DA440" s="17"/>
      <c r="DB440" s="17"/>
      <c r="DC440" s="15"/>
    </row>
    <row r="441" spans="1:107" x14ac:dyDescent="0.2">
      <c r="A441" s="29" t="s">
        <v>29</v>
      </c>
      <c r="B441" s="29" t="s">
        <v>0</v>
      </c>
      <c r="C441" s="29">
        <f t="shared" si="60"/>
        <v>10000001</v>
      </c>
      <c r="D441" s="29" t="s">
        <v>1002</v>
      </c>
      <c r="E441" s="21" t="s">
        <v>912</v>
      </c>
      <c r="F441" s="21"/>
      <c r="G441" s="21"/>
      <c r="H441" s="21"/>
      <c r="I441" s="21" t="s">
        <v>205</v>
      </c>
      <c r="J441" s="21"/>
      <c r="K441" s="21"/>
      <c r="L441" s="21"/>
      <c r="M441" s="21"/>
      <c r="N441" s="21" t="s">
        <v>162</v>
      </c>
      <c r="O441" s="21" t="s">
        <v>162</v>
      </c>
      <c r="P441" s="21"/>
      <c r="Q441" s="21" t="s">
        <v>2041</v>
      </c>
      <c r="R441" s="21"/>
      <c r="S441" s="21"/>
      <c r="T441" s="21" t="s">
        <v>3325</v>
      </c>
      <c r="U441" s="117" t="s">
        <v>3327</v>
      </c>
      <c r="V441" s="21"/>
      <c r="W441" s="21" t="s">
        <v>1</v>
      </c>
      <c r="X441" s="21"/>
      <c r="Z441" s="21"/>
      <c r="AA441" s="21"/>
      <c r="AB441" s="22"/>
      <c r="AC441" s="22"/>
      <c r="AD441" s="22"/>
      <c r="AE441" s="24"/>
      <c r="AF441" s="24" t="s">
        <v>2044</v>
      </c>
      <c r="AG441" s="22"/>
      <c r="AK441" s="40"/>
      <c r="AL441" s="40"/>
      <c r="AX441" s="27"/>
      <c r="AY441" s="27"/>
      <c r="BK441" s="27"/>
      <c r="BL441" s="27"/>
      <c r="BX441" s="27"/>
      <c r="BY441" s="27"/>
    </row>
    <row r="442" spans="1:107" x14ac:dyDescent="0.2">
      <c r="A442" s="29" t="s">
        <v>29</v>
      </c>
      <c r="B442" s="29" t="s">
        <v>913</v>
      </c>
      <c r="C442" s="29">
        <f t="shared" si="60"/>
        <v>10000002</v>
      </c>
      <c r="D442" s="29" t="s">
        <v>1003</v>
      </c>
      <c r="E442" s="21" t="s">
        <v>915</v>
      </c>
      <c r="F442" s="21"/>
      <c r="G442" s="21"/>
      <c r="H442" s="21"/>
      <c r="I442" s="21" t="s">
        <v>205</v>
      </c>
      <c r="J442" s="21"/>
      <c r="K442" s="21"/>
      <c r="L442" s="21" t="s">
        <v>205</v>
      </c>
      <c r="M442" s="21"/>
      <c r="N442" s="21" t="s">
        <v>914</v>
      </c>
      <c r="O442" s="21" t="s">
        <v>976</v>
      </c>
      <c r="P442" s="21"/>
      <c r="Q442" s="21" t="s">
        <v>2041</v>
      </c>
      <c r="R442" s="21"/>
      <c r="S442" s="21"/>
      <c r="T442" s="21" t="s">
        <v>3325</v>
      </c>
      <c r="U442" s="117" t="s">
        <v>3328</v>
      </c>
      <c r="V442" s="21"/>
      <c r="W442" s="21" t="s">
        <v>1</v>
      </c>
      <c r="X442" s="21"/>
      <c r="Z442" s="21"/>
      <c r="AA442" s="21"/>
      <c r="AB442" s="22"/>
      <c r="AC442" s="22"/>
      <c r="AD442" s="22"/>
      <c r="AE442" s="24"/>
      <c r="AF442" s="24" t="s">
        <v>2044</v>
      </c>
      <c r="AG442" s="22"/>
      <c r="AK442" s="40"/>
      <c r="AL442" s="40"/>
      <c r="AX442" s="27"/>
      <c r="AY442" s="27"/>
      <c r="BK442" s="27"/>
      <c r="BL442" s="27"/>
      <c r="BX442" s="27"/>
      <c r="BY442" s="27"/>
    </row>
    <row r="443" spans="1:107" x14ac:dyDescent="0.2">
      <c r="A443" s="29" t="s">
        <v>29</v>
      </c>
      <c r="B443" s="29" t="s">
        <v>122</v>
      </c>
      <c r="C443" s="29">
        <f t="shared" si="60"/>
        <v>10000003</v>
      </c>
      <c r="D443" s="29" t="s">
        <v>2053</v>
      </c>
      <c r="E443" s="21" t="s">
        <v>2052</v>
      </c>
      <c r="F443" s="21"/>
      <c r="G443" s="21"/>
      <c r="H443" s="21"/>
      <c r="I443" s="21" t="s">
        <v>2059</v>
      </c>
      <c r="J443" s="21"/>
      <c r="K443" s="21"/>
      <c r="L443" s="21"/>
      <c r="M443" s="21"/>
      <c r="N443" s="21" t="s">
        <v>2060</v>
      </c>
      <c r="O443" s="21" t="s">
        <v>2051</v>
      </c>
      <c r="P443" s="21"/>
      <c r="Q443" s="21" t="s">
        <v>2041</v>
      </c>
      <c r="R443" s="21"/>
      <c r="S443" s="21"/>
      <c r="T443" s="21" t="s">
        <v>3326</v>
      </c>
      <c r="U443" s="118" t="s">
        <v>3329</v>
      </c>
      <c r="V443" s="21"/>
      <c r="W443" s="21" t="s">
        <v>1</v>
      </c>
      <c r="X443" s="21"/>
      <c r="Z443" s="21"/>
      <c r="AA443" s="21"/>
      <c r="AB443" s="22"/>
      <c r="AC443" s="22"/>
      <c r="AD443" s="22"/>
      <c r="AE443" s="24"/>
      <c r="AF443" s="24" t="s">
        <v>2044</v>
      </c>
      <c r="AG443" s="22"/>
      <c r="AK443" s="40"/>
      <c r="AL443" s="40"/>
      <c r="AX443" s="27"/>
      <c r="AY443" s="27"/>
      <c r="BK443" s="27"/>
      <c r="BL443" s="27"/>
      <c r="BX443" s="27"/>
      <c r="BY443" s="27"/>
    </row>
    <row r="444" spans="1:107" x14ac:dyDescent="0.2">
      <c r="A444" s="29" t="s">
        <v>4438</v>
      </c>
      <c r="B444" s="29" t="s">
        <v>4439</v>
      </c>
      <c r="C444" s="29">
        <f t="shared" si="60"/>
        <v>10000004</v>
      </c>
      <c r="D444" s="29" t="s">
        <v>4440</v>
      </c>
      <c r="E444" s="21" t="s">
        <v>4441</v>
      </c>
      <c r="F444" s="21"/>
      <c r="G444" s="21"/>
      <c r="H444" s="21"/>
      <c r="I444" s="21" t="s">
        <v>205</v>
      </c>
      <c r="J444" s="21"/>
      <c r="K444" s="21"/>
      <c r="L444" s="21"/>
      <c r="M444" s="21"/>
      <c r="N444" s="21" t="s">
        <v>4489</v>
      </c>
      <c r="O444" s="21" t="s">
        <v>4489</v>
      </c>
      <c r="P444" s="21"/>
      <c r="Q444" s="21" t="s">
        <v>2041</v>
      </c>
      <c r="R444" s="21"/>
      <c r="S444" s="21"/>
      <c r="T444" s="21" t="s">
        <v>4442</v>
      </c>
      <c r="U444" s="118" t="s">
        <v>4440</v>
      </c>
      <c r="V444" s="21"/>
      <c r="W444" s="21" t="s">
        <v>4439</v>
      </c>
      <c r="X444" s="21"/>
      <c r="Z444" s="21"/>
      <c r="AA444" s="21"/>
      <c r="AB444" s="22"/>
      <c r="AC444" s="22"/>
      <c r="AD444" s="22"/>
      <c r="AE444" s="24"/>
      <c r="AF444" s="24" t="s">
        <v>2044</v>
      </c>
      <c r="AG444" s="22"/>
      <c r="AK444" s="40"/>
      <c r="AL444" s="40"/>
      <c r="AX444" s="27"/>
      <c r="AY444" s="27"/>
      <c r="BK444" s="27"/>
      <c r="BL444" s="27"/>
      <c r="BX444" s="27"/>
      <c r="BY444" s="27"/>
    </row>
    <row r="445" spans="1:107" x14ac:dyDescent="0.2">
      <c r="A445" s="29" t="s">
        <v>33</v>
      </c>
      <c r="B445" s="29" t="s">
        <v>0</v>
      </c>
      <c r="C445" s="29">
        <f t="shared" si="60"/>
        <v>10010001</v>
      </c>
      <c r="D445" s="29" t="s">
        <v>276</v>
      </c>
      <c r="E445" s="21" t="s">
        <v>1123</v>
      </c>
      <c r="F445" s="21"/>
      <c r="G445" s="21"/>
      <c r="H445" s="21"/>
      <c r="I445" s="21" t="s">
        <v>207</v>
      </c>
      <c r="J445" s="21"/>
      <c r="K445" s="21"/>
      <c r="L445" s="21"/>
      <c r="M445" s="21"/>
      <c r="N445" s="21" t="s">
        <v>159</v>
      </c>
      <c r="O445" s="20" t="s">
        <v>165</v>
      </c>
      <c r="Q445" s="20" t="s">
        <v>2041</v>
      </c>
      <c r="U445" s="117"/>
      <c r="W445" s="21" t="s">
        <v>1</v>
      </c>
      <c r="X445" s="21"/>
      <c r="AB445" s="22" t="s">
        <v>133</v>
      </c>
      <c r="AC445" s="22"/>
      <c r="AD445" s="22"/>
      <c r="AE445" s="24"/>
      <c r="AF445" s="24" t="s">
        <v>2041</v>
      </c>
      <c r="AG445" s="22"/>
      <c r="AK445" s="40"/>
      <c r="AL445" s="40"/>
      <c r="AX445" s="27"/>
      <c r="AY445" s="27"/>
      <c r="BK445" s="27"/>
      <c r="BL445" s="27"/>
      <c r="BX445" s="27"/>
      <c r="BY445" s="27"/>
    </row>
    <row r="446" spans="1:107" x14ac:dyDescent="0.2">
      <c r="A446" s="29" t="s">
        <v>33</v>
      </c>
      <c r="B446" s="29" t="s">
        <v>22</v>
      </c>
      <c r="C446" s="29">
        <f t="shared" si="60"/>
        <v>10010002</v>
      </c>
      <c r="D446" s="29" t="s">
        <v>277</v>
      </c>
      <c r="E446" s="21" t="s">
        <v>1113</v>
      </c>
      <c r="F446" s="21"/>
      <c r="G446" s="21"/>
      <c r="H446" s="21"/>
      <c r="I446" s="22" t="s">
        <v>32</v>
      </c>
      <c r="J446" s="22"/>
      <c r="K446" s="22"/>
      <c r="L446" s="22"/>
      <c r="M446" s="22"/>
      <c r="N446" s="21" t="s">
        <v>159</v>
      </c>
      <c r="O446" s="20" t="s">
        <v>165</v>
      </c>
      <c r="Q446" s="20" t="s">
        <v>2041</v>
      </c>
      <c r="U446" s="117"/>
      <c r="W446" s="21" t="s">
        <v>1</v>
      </c>
      <c r="X446" s="21"/>
      <c r="AB446" s="22" t="s">
        <v>133</v>
      </c>
      <c r="AC446" s="22"/>
      <c r="AD446" s="22"/>
      <c r="AE446" s="24"/>
      <c r="AF446" s="24" t="s">
        <v>2041</v>
      </c>
      <c r="AG446" s="22"/>
      <c r="AK446" s="40"/>
      <c r="AL446" s="40"/>
      <c r="AX446" s="27"/>
      <c r="AY446" s="27"/>
      <c r="BK446" s="27"/>
      <c r="BL446" s="27"/>
      <c r="BX446" s="27"/>
      <c r="BY446" s="27"/>
    </row>
    <row r="447" spans="1:107" x14ac:dyDescent="0.2">
      <c r="A447" s="29" t="s">
        <v>33</v>
      </c>
      <c r="B447" s="29" t="s">
        <v>122</v>
      </c>
      <c r="C447" s="29">
        <f t="shared" si="60"/>
        <v>10010003</v>
      </c>
      <c r="D447" s="29" t="s">
        <v>278</v>
      </c>
      <c r="E447" s="21" t="s">
        <v>455</v>
      </c>
      <c r="F447" s="21"/>
      <c r="G447" s="21"/>
      <c r="H447" s="21"/>
      <c r="I447" s="22" t="s">
        <v>134</v>
      </c>
      <c r="J447" s="22"/>
      <c r="K447" s="22"/>
      <c r="L447" s="22"/>
      <c r="M447" s="22"/>
      <c r="N447" s="21" t="s">
        <v>159</v>
      </c>
      <c r="O447" s="20" t="s">
        <v>165</v>
      </c>
      <c r="Q447" s="20" t="s">
        <v>2041</v>
      </c>
      <c r="U447" s="117"/>
      <c r="W447" s="21" t="s">
        <v>1</v>
      </c>
      <c r="X447" s="21"/>
      <c r="AB447" s="22" t="s">
        <v>133</v>
      </c>
      <c r="AC447" s="22"/>
      <c r="AD447" s="22"/>
      <c r="AE447" s="24"/>
      <c r="AF447" s="24" t="s">
        <v>2041</v>
      </c>
      <c r="AG447" s="22"/>
      <c r="AK447" s="40"/>
      <c r="AL447" s="40"/>
      <c r="AX447" s="27"/>
      <c r="AY447" s="27"/>
      <c r="BK447" s="27"/>
      <c r="BL447" s="27"/>
      <c r="BX447" s="27"/>
      <c r="BY447" s="27"/>
    </row>
    <row r="448" spans="1:107" x14ac:dyDescent="0.2">
      <c r="A448" s="29" t="s">
        <v>33</v>
      </c>
      <c r="B448" s="29" t="s">
        <v>23</v>
      </c>
      <c r="C448" s="29">
        <f t="shared" si="60"/>
        <v>10010004</v>
      </c>
      <c r="D448" s="29" t="s">
        <v>279</v>
      </c>
      <c r="E448" s="21" t="s">
        <v>651</v>
      </c>
      <c r="F448" s="21"/>
      <c r="G448" s="21"/>
      <c r="H448" s="21"/>
      <c r="I448" s="22" t="s">
        <v>32</v>
      </c>
      <c r="J448" s="22"/>
      <c r="K448" s="22"/>
      <c r="L448" s="22"/>
      <c r="M448" s="22"/>
      <c r="N448" s="21" t="s">
        <v>159</v>
      </c>
      <c r="O448" s="20" t="s">
        <v>165</v>
      </c>
      <c r="Q448" s="20" t="s">
        <v>2041</v>
      </c>
      <c r="U448" s="117"/>
      <c r="W448" s="21" t="s">
        <v>1</v>
      </c>
      <c r="X448" s="21"/>
      <c r="AB448" s="22" t="s">
        <v>133</v>
      </c>
      <c r="AC448" s="22"/>
      <c r="AD448" s="22"/>
      <c r="AE448" s="24"/>
      <c r="AF448" s="24" t="s">
        <v>2041</v>
      </c>
      <c r="AG448" s="22"/>
      <c r="AK448" s="40"/>
      <c r="AL448" s="40"/>
      <c r="AX448" s="27"/>
      <c r="AY448" s="27"/>
      <c r="BK448" s="27"/>
      <c r="BL448" s="27"/>
      <c r="BX448" s="27"/>
      <c r="BY448" s="27"/>
    </row>
    <row r="449" spans="1:107" x14ac:dyDescent="0.2">
      <c r="A449" s="29" t="s">
        <v>33</v>
      </c>
      <c r="B449" s="29" t="s">
        <v>123</v>
      </c>
      <c r="C449" s="29">
        <f t="shared" si="60"/>
        <v>10010005</v>
      </c>
      <c r="D449" s="29" t="s">
        <v>280</v>
      </c>
      <c r="E449" s="21" t="s">
        <v>652</v>
      </c>
      <c r="F449" s="21"/>
      <c r="G449" s="21"/>
      <c r="H449" s="21"/>
      <c r="I449" s="22" t="s">
        <v>135</v>
      </c>
      <c r="J449" s="22"/>
      <c r="K449" s="22"/>
      <c r="L449" s="22"/>
      <c r="M449" s="22"/>
      <c r="N449" s="21" t="s">
        <v>159</v>
      </c>
      <c r="O449" s="20" t="s">
        <v>165</v>
      </c>
      <c r="Q449" s="20" t="s">
        <v>2041</v>
      </c>
      <c r="U449" s="117"/>
      <c r="W449" s="21" t="s">
        <v>1</v>
      </c>
      <c r="X449" s="21"/>
      <c r="AB449" s="22" t="s">
        <v>133</v>
      </c>
      <c r="AC449" s="22"/>
      <c r="AD449" s="22"/>
      <c r="AE449" s="24"/>
      <c r="AF449" s="24" t="s">
        <v>2041</v>
      </c>
      <c r="AG449" s="22"/>
      <c r="AK449" s="40"/>
      <c r="AL449" s="40"/>
      <c r="AX449" s="27"/>
      <c r="AY449" s="27"/>
      <c r="BK449" s="27"/>
      <c r="BL449" s="27"/>
      <c r="BX449" s="27"/>
      <c r="BY449" s="27"/>
    </row>
    <row r="450" spans="1:107" x14ac:dyDescent="0.2">
      <c r="A450" s="29" t="s">
        <v>33</v>
      </c>
      <c r="B450" s="29" t="s">
        <v>120</v>
      </c>
      <c r="C450" s="29">
        <f t="shared" si="60"/>
        <v>10010006</v>
      </c>
      <c r="D450" s="29" t="s">
        <v>281</v>
      </c>
      <c r="E450" s="20" t="s">
        <v>109</v>
      </c>
      <c r="I450" s="22" t="s">
        <v>35</v>
      </c>
      <c r="J450" s="22"/>
      <c r="K450" s="22"/>
      <c r="L450" s="22"/>
      <c r="M450" s="22"/>
      <c r="N450" s="21" t="s">
        <v>159</v>
      </c>
      <c r="O450" s="20" t="s">
        <v>165</v>
      </c>
      <c r="Q450" s="20" t="s">
        <v>2041</v>
      </c>
      <c r="U450" s="117"/>
      <c r="W450" s="21" t="s">
        <v>1</v>
      </c>
      <c r="X450" s="21"/>
      <c r="AB450" s="22" t="s">
        <v>133</v>
      </c>
      <c r="AC450" s="22"/>
      <c r="AD450" s="22"/>
      <c r="AE450" s="24"/>
      <c r="AF450" s="24" t="s">
        <v>2041</v>
      </c>
      <c r="AG450" s="22"/>
      <c r="AK450" s="40"/>
      <c r="AL450" s="40"/>
      <c r="AX450" s="27"/>
      <c r="AY450" s="27"/>
      <c r="BK450" s="27"/>
      <c r="BL450" s="27"/>
      <c r="BX450" s="27"/>
      <c r="BY450" s="27"/>
    </row>
    <row r="451" spans="1:107" x14ac:dyDescent="0.2">
      <c r="A451" s="29" t="s">
        <v>106</v>
      </c>
      <c r="B451" s="29" t="s">
        <v>0</v>
      </c>
      <c r="C451" s="29">
        <f t="shared" si="60"/>
        <v>10020001</v>
      </c>
      <c r="D451" s="29" t="s">
        <v>282</v>
      </c>
      <c r="E451" s="20" t="s">
        <v>109</v>
      </c>
      <c r="I451" s="22" t="s">
        <v>206</v>
      </c>
      <c r="J451" s="21"/>
      <c r="K451" s="21"/>
      <c r="L451" s="21"/>
      <c r="M451" s="21"/>
      <c r="N451" s="21" t="s">
        <v>159</v>
      </c>
      <c r="O451" s="20" t="s">
        <v>166</v>
      </c>
      <c r="Q451" s="20" t="s">
        <v>2041</v>
      </c>
      <c r="W451" s="21" t="s">
        <v>1</v>
      </c>
      <c r="X451" s="21"/>
      <c r="AB451" s="22" t="s">
        <v>167</v>
      </c>
      <c r="AC451" s="22"/>
      <c r="AD451" s="22"/>
      <c r="AE451" s="24"/>
      <c r="AF451" s="24" t="s">
        <v>2041</v>
      </c>
      <c r="AG451" s="22"/>
      <c r="AK451" s="40"/>
      <c r="AL451" s="40"/>
      <c r="AX451" s="27"/>
      <c r="AY451" s="27"/>
      <c r="BK451" s="27"/>
      <c r="BL451" s="27"/>
      <c r="BX451" s="27"/>
      <c r="BY451" s="27"/>
    </row>
    <row r="452" spans="1:107" s="14" customFormat="1" ht="17.25" x14ac:dyDescent="0.3">
      <c r="A452" s="8"/>
      <c r="B452" s="8"/>
      <c r="C452" s="8">
        <f t="shared" si="60"/>
        <v>0</v>
      </c>
      <c r="D452" s="8"/>
      <c r="E452" s="9" t="s">
        <v>3999</v>
      </c>
      <c r="F452" s="9"/>
      <c r="G452" s="9"/>
      <c r="H452" s="9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1"/>
      <c r="Z452" s="10"/>
      <c r="AA452" s="10"/>
      <c r="AB452" s="10"/>
      <c r="AC452" s="10"/>
      <c r="AD452" s="10"/>
      <c r="AE452" s="12"/>
      <c r="AF452" s="12"/>
      <c r="AG452" s="10"/>
      <c r="AH452" s="13"/>
      <c r="AI452" s="13"/>
      <c r="AJ452" s="13"/>
      <c r="AK452" s="15"/>
      <c r="AL452" s="15"/>
      <c r="AM452" s="15"/>
      <c r="AN452" s="15"/>
      <c r="AO452" s="15"/>
      <c r="AP452" s="15"/>
      <c r="AQ452" s="15"/>
      <c r="AR452" s="15"/>
      <c r="AS452" s="15"/>
      <c r="AT452" s="15"/>
      <c r="AU452" s="13"/>
      <c r="AV452" s="13"/>
      <c r="AW452" s="13"/>
      <c r="AX452" s="31"/>
      <c r="AY452" s="31"/>
      <c r="AZ452" s="15"/>
      <c r="BA452" s="15"/>
      <c r="BB452" s="15"/>
      <c r="BC452" s="15"/>
      <c r="BD452" s="15"/>
      <c r="BE452" s="15"/>
      <c r="BF452" s="15"/>
      <c r="BG452" s="15"/>
      <c r="BH452" s="13"/>
      <c r="BI452" s="13"/>
      <c r="BJ452" s="13"/>
      <c r="BK452" s="31"/>
      <c r="BL452" s="31"/>
      <c r="BM452" s="15"/>
      <c r="BN452" s="15"/>
      <c r="BO452" s="15"/>
      <c r="BP452" s="15"/>
      <c r="BQ452" s="15"/>
      <c r="BR452" s="15"/>
      <c r="BS452" s="15"/>
      <c r="BT452" s="15"/>
      <c r="BU452" s="13"/>
      <c r="BV452" s="13"/>
      <c r="BW452" s="13"/>
      <c r="BX452" s="31"/>
      <c r="BY452" s="31"/>
      <c r="BZ452" s="15"/>
      <c r="CA452" s="15"/>
      <c r="CB452" s="15"/>
      <c r="CC452" s="15"/>
      <c r="CD452" s="15"/>
      <c r="CE452" s="15"/>
      <c r="CF452" s="15"/>
      <c r="CG452" s="15"/>
      <c r="CH452" s="10"/>
      <c r="CI452" s="8"/>
      <c r="CJ452" s="16"/>
      <c r="CK452" s="8"/>
      <c r="CT452" s="17"/>
      <c r="CU452" s="17"/>
      <c r="CV452" s="17"/>
      <c r="CW452" s="17"/>
      <c r="CX452" s="17"/>
      <c r="CY452" s="17"/>
      <c r="CZ452" s="17"/>
      <c r="DA452" s="17"/>
      <c r="DB452" s="17"/>
      <c r="DC452" s="15"/>
    </row>
    <row r="453" spans="1:107" s="25" customFormat="1" ht="13.5" x14ac:dyDescent="0.2">
      <c r="A453" s="29" t="s">
        <v>1492</v>
      </c>
      <c r="B453" s="34" t="s">
        <v>0</v>
      </c>
      <c r="C453" s="34">
        <f t="shared" si="60"/>
        <v>1000001</v>
      </c>
      <c r="D453" s="34" t="s">
        <v>4531</v>
      </c>
      <c r="E453" s="188" t="s">
        <v>3583</v>
      </c>
      <c r="F453" s="20"/>
      <c r="G453" s="20"/>
      <c r="H453" s="20"/>
      <c r="I453" s="186" t="s">
        <v>641</v>
      </c>
      <c r="J453" s="21" t="s">
        <v>550</v>
      </c>
      <c r="K453" s="21"/>
      <c r="L453" s="21"/>
      <c r="M453" s="21"/>
      <c r="N453" s="21" t="s">
        <v>1129</v>
      </c>
      <c r="O453" s="21" t="s">
        <v>158</v>
      </c>
      <c r="P453" s="21"/>
      <c r="Q453" s="21" t="s">
        <v>2041</v>
      </c>
      <c r="R453" s="21"/>
      <c r="S453" s="21"/>
      <c r="T453" s="21"/>
      <c r="U453" s="118"/>
      <c r="V453" s="21" t="s">
        <v>1819</v>
      </c>
      <c r="W453" s="21" t="s">
        <v>23</v>
      </c>
      <c r="X453" s="21"/>
      <c r="Z453" s="21"/>
      <c r="AA453" s="21"/>
      <c r="AB453" s="35"/>
      <c r="AC453" s="35"/>
      <c r="AD453" s="35"/>
      <c r="AE453" s="36"/>
      <c r="AF453" s="24" t="s">
        <v>2041</v>
      </c>
      <c r="AG453" s="35"/>
      <c r="AH453" s="37"/>
      <c r="AK453" s="27"/>
      <c r="AL453" s="27"/>
      <c r="AM453" s="27"/>
      <c r="AN453" s="27"/>
      <c r="AO453" s="27"/>
      <c r="AP453" s="27"/>
      <c r="AQ453" s="27"/>
      <c r="AR453" s="27"/>
      <c r="AS453" s="27"/>
      <c r="AT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X453" s="27"/>
      <c r="BY453" s="27"/>
      <c r="BZ453" s="27"/>
      <c r="CA453" s="27"/>
      <c r="CB453" s="27"/>
      <c r="CC453" s="27"/>
      <c r="CD453" s="27"/>
      <c r="CE453" s="27"/>
      <c r="CF453" s="27"/>
      <c r="CG453" s="27"/>
      <c r="CH453" s="23"/>
      <c r="CJ453" s="27"/>
      <c r="CP453" s="74" t="s">
        <v>932</v>
      </c>
      <c r="CT453" s="38"/>
      <c r="CU453" s="38"/>
      <c r="CV453" s="38"/>
      <c r="CW453" s="38"/>
      <c r="CX453" s="38"/>
      <c r="CY453" s="38"/>
      <c r="CZ453" s="38"/>
      <c r="DA453" s="38"/>
      <c r="DB453" s="38"/>
      <c r="DC453" s="27"/>
    </row>
    <row r="454" spans="1:107" s="25" customFormat="1" ht="13.5" x14ac:dyDescent="0.2">
      <c r="A454" s="29" t="s">
        <v>1492</v>
      </c>
      <c r="B454" s="34" t="s">
        <v>26</v>
      </c>
      <c r="C454" s="34">
        <f t="shared" si="60"/>
        <v>1000002</v>
      </c>
      <c r="D454" s="34" t="s">
        <v>4531</v>
      </c>
      <c r="E454" s="188" t="s">
        <v>3922</v>
      </c>
      <c r="F454" s="21"/>
      <c r="G454" s="21"/>
      <c r="H454" s="21"/>
      <c r="I454" s="186" t="s">
        <v>4346</v>
      </c>
      <c r="J454" s="21" t="s">
        <v>550</v>
      </c>
      <c r="K454" s="21"/>
      <c r="L454" s="21"/>
      <c r="M454" s="21"/>
      <c r="N454" s="21" t="s">
        <v>158</v>
      </c>
      <c r="O454" s="21" t="s">
        <v>158</v>
      </c>
      <c r="P454" s="21"/>
      <c r="Q454" s="21" t="s">
        <v>2041</v>
      </c>
      <c r="R454" s="21"/>
      <c r="S454" s="21"/>
      <c r="T454" s="21"/>
      <c r="U454" s="118"/>
      <c r="V454" s="21" t="s">
        <v>1818</v>
      </c>
      <c r="W454" s="21" t="s">
        <v>1</v>
      </c>
      <c r="X454" s="21"/>
      <c r="Z454" s="21"/>
      <c r="AA454" s="21"/>
      <c r="AB454" s="35"/>
      <c r="AC454" s="35"/>
      <c r="AD454" s="35"/>
      <c r="AE454" s="36"/>
      <c r="AF454" s="24" t="s">
        <v>2041</v>
      </c>
      <c r="AG454" s="35"/>
      <c r="AH454" s="37"/>
      <c r="AK454" s="27"/>
      <c r="AL454" s="27"/>
      <c r="AM454" s="27"/>
      <c r="AN454" s="27"/>
      <c r="AO454" s="27"/>
      <c r="AP454" s="27"/>
      <c r="AQ454" s="27"/>
      <c r="AR454" s="27"/>
      <c r="AS454" s="27"/>
      <c r="AT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X454" s="27"/>
      <c r="BY454" s="27"/>
      <c r="BZ454" s="27"/>
      <c r="CA454" s="27"/>
      <c r="CB454" s="27"/>
      <c r="CC454" s="27"/>
      <c r="CD454" s="27"/>
      <c r="CE454" s="27"/>
      <c r="CF454" s="27"/>
      <c r="CG454" s="27"/>
      <c r="CH454" s="23"/>
      <c r="CJ454" s="27"/>
      <c r="CP454" s="74" t="s">
        <v>932</v>
      </c>
      <c r="CT454" s="38"/>
      <c r="CU454" s="38"/>
      <c r="CV454" s="38"/>
      <c r="CW454" s="38"/>
      <c r="CX454" s="38"/>
      <c r="CY454" s="38"/>
      <c r="CZ454" s="38"/>
      <c r="DA454" s="38"/>
      <c r="DB454" s="38"/>
      <c r="DC454" s="27"/>
    </row>
    <row r="455" spans="1:107" s="25" customFormat="1" ht="13.5" x14ac:dyDescent="0.2">
      <c r="A455" s="29" t="s">
        <v>1492</v>
      </c>
      <c r="B455" s="34" t="s">
        <v>27</v>
      </c>
      <c r="C455" s="34">
        <f t="shared" si="60"/>
        <v>1000003</v>
      </c>
      <c r="D455" s="34" t="s">
        <v>4531</v>
      </c>
      <c r="E455" s="188" t="s">
        <v>3922</v>
      </c>
      <c r="F455" s="21"/>
      <c r="G455" s="21"/>
      <c r="H455" s="21"/>
      <c r="I455" s="186" t="s">
        <v>4346</v>
      </c>
      <c r="J455" s="21" t="s">
        <v>550</v>
      </c>
      <c r="K455" s="21"/>
      <c r="L455" s="21"/>
      <c r="M455" s="21"/>
      <c r="N455" s="21" t="s">
        <v>158</v>
      </c>
      <c r="O455" s="21" t="s">
        <v>158</v>
      </c>
      <c r="P455" s="21"/>
      <c r="Q455" s="21" t="s">
        <v>2041</v>
      </c>
      <c r="R455" s="21"/>
      <c r="S455" s="21"/>
      <c r="T455" s="21"/>
      <c r="U455" s="118"/>
      <c r="V455" s="21" t="s">
        <v>1818</v>
      </c>
      <c r="W455" s="21" t="s">
        <v>1</v>
      </c>
      <c r="X455" s="21"/>
      <c r="Z455" s="21"/>
      <c r="AA455" s="21"/>
      <c r="AB455" s="35"/>
      <c r="AC455" s="35"/>
      <c r="AD455" s="35"/>
      <c r="AE455" s="36"/>
      <c r="AF455" s="24" t="s">
        <v>2041</v>
      </c>
      <c r="AG455" s="35"/>
      <c r="AH455" s="37"/>
      <c r="AK455" s="27"/>
      <c r="AL455" s="27"/>
      <c r="AM455" s="27"/>
      <c r="AN455" s="27"/>
      <c r="AO455" s="27"/>
      <c r="AP455" s="27"/>
      <c r="AQ455" s="27"/>
      <c r="AR455" s="27"/>
      <c r="AS455" s="27"/>
      <c r="AT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X455" s="27"/>
      <c r="BY455" s="27"/>
      <c r="BZ455" s="27"/>
      <c r="CA455" s="27"/>
      <c r="CB455" s="27"/>
      <c r="CC455" s="27"/>
      <c r="CD455" s="27"/>
      <c r="CE455" s="27"/>
      <c r="CF455" s="27"/>
      <c r="CG455" s="27"/>
      <c r="CH455" s="23"/>
      <c r="CJ455" s="27"/>
      <c r="CP455" s="74" t="s">
        <v>932</v>
      </c>
      <c r="CT455" s="38"/>
      <c r="CU455" s="38"/>
      <c r="CV455" s="38"/>
      <c r="CW455" s="38"/>
      <c r="CX455" s="38"/>
      <c r="CY455" s="38"/>
      <c r="CZ455" s="38"/>
      <c r="DA455" s="38"/>
      <c r="DB455" s="38"/>
      <c r="DC455" s="27"/>
    </row>
    <row r="456" spans="1:107" s="25" customFormat="1" ht="13.5" x14ac:dyDescent="0.2">
      <c r="A456" s="29" t="s">
        <v>1492</v>
      </c>
      <c r="B456" s="34" t="s">
        <v>1</v>
      </c>
      <c r="C456" s="34">
        <f t="shared" si="60"/>
        <v>1000004</v>
      </c>
      <c r="D456" s="34" t="s">
        <v>4531</v>
      </c>
      <c r="E456" s="188" t="s">
        <v>3922</v>
      </c>
      <c r="F456" s="21"/>
      <c r="G456" s="21"/>
      <c r="H456" s="21"/>
      <c r="I456" s="186" t="s">
        <v>4346</v>
      </c>
      <c r="J456" s="21" t="s">
        <v>550</v>
      </c>
      <c r="K456" s="21"/>
      <c r="L456" s="21"/>
      <c r="M456" s="21"/>
      <c r="N456" s="21" t="s">
        <v>158</v>
      </c>
      <c r="O456" s="21" t="s">
        <v>158</v>
      </c>
      <c r="P456" s="21"/>
      <c r="Q456" s="21" t="s">
        <v>2041</v>
      </c>
      <c r="R456" s="21"/>
      <c r="S456" s="21"/>
      <c r="T456" s="21"/>
      <c r="U456" s="118"/>
      <c r="V456" s="21" t="s">
        <v>1818</v>
      </c>
      <c r="W456" s="21" t="s">
        <v>1</v>
      </c>
      <c r="X456" s="21"/>
      <c r="Z456" s="21"/>
      <c r="AA456" s="21"/>
      <c r="AB456" s="21"/>
      <c r="AC456" s="21"/>
      <c r="AD456" s="21"/>
      <c r="AE456" s="39"/>
      <c r="AF456" s="24" t="s">
        <v>2041</v>
      </c>
      <c r="AG456" s="21"/>
      <c r="AH456" s="37"/>
      <c r="AK456" s="27"/>
      <c r="AL456" s="27"/>
      <c r="AM456" s="27"/>
      <c r="AN456" s="27"/>
      <c r="AO456" s="27"/>
      <c r="AP456" s="27"/>
      <c r="AQ456" s="27"/>
      <c r="AR456" s="27"/>
      <c r="AS456" s="27"/>
      <c r="AT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X456" s="27"/>
      <c r="BY456" s="27"/>
      <c r="BZ456" s="27"/>
      <c r="CA456" s="27"/>
      <c r="CB456" s="27"/>
      <c r="CC456" s="27"/>
      <c r="CD456" s="27"/>
      <c r="CE456" s="27"/>
      <c r="CF456" s="27"/>
      <c r="CG456" s="27"/>
      <c r="CH456" s="23"/>
      <c r="CJ456" s="27"/>
      <c r="CP456" s="74" t="s">
        <v>932</v>
      </c>
      <c r="CT456" s="38"/>
      <c r="CU456" s="38"/>
      <c r="CV456" s="38"/>
      <c r="CW456" s="38"/>
      <c r="CX456" s="38"/>
      <c r="CY456" s="38"/>
      <c r="CZ456" s="38"/>
      <c r="DA456" s="38"/>
      <c r="DB456" s="38"/>
      <c r="DC456" s="27"/>
    </row>
    <row r="457" spans="1:107" s="25" customFormat="1" ht="13.5" x14ac:dyDescent="0.2">
      <c r="A457" s="29" t="s">
        <v>1492</v>
      </c>
      <c r="B457" s="34" t="s">
        <v>2</v>
      </c>
      <c r="C457" s="34">
        <f t="shared" si="60"/>
        <v>1000005</v>
      </c>
      <c r="D457" s="34" t="s">
        <v>4531</v>
      </c>
      <c r="E457" s="188" t="s">
        <v>3935</v>
      </c>
      <c r="F457" s="21"/>
      <c r="G457" s="21"/>
      <c r="H457" s="21"/>
      <c r="I457" s="187" t="s">
        <v>3895</v>
      </c>
      <c r="J457" s="21" t="s">
        <v>550</v>
      </c>
      <c r="K457" s="21"/>
      <c r="L457" s="21"/>
      <c r="M457" s="21"/>
      <c r="N457" s="21" t="s">
        <v>158</v>
      </c>
      <c r="O457" s="21" t="s">
        <v>158</v>
      </c>
      <c r="P457" s="21"/>
      <c r="Q457" s="21" t="s">
        <v>2041</v>
      </c>
      <c r="R457" s="21"/>
      <c r="S457" s="21"/>
      <c r="T457" s="21"/>
      <c r="U457" s="118"/>
      <c r="V457" s="21" t="s">
        <v>1818</v>
      </c>
      <c r="W457" s="21" t="s">
        <v>1</v>
      </c>
      <c r="X457" s="21"/>
      <c r="Z457" s="21"/>
      <c r="AA457" s="21"/>
      <c r="AB457" s="21"/>
      <c r="AC457" s="21"/>
      <c r="AD457" s="21"/>
      <c r="AE457" s="39"/>
      <c r="AF457" s="24" t="s">
        <v>2041</v>
      </c>
      <c r="AG457" s="21"/>
      <c r="AH457" s="37"/>
      <c r="AK457" s="27"/>
      <c r="AL457" s="27"/>
      <c r="AM457" s="27"/>
      <c r="AN457" s="27"/>
      <c r="AO457" s="27"/>
      <c r="AP457" s="27"/>
      <c r="AQ457" s="27"/>
      <c r="AR457" s="27"/>
      <c r="AS457" s="27"/>
      <c r="AT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X457" s="27"/>
      <c r="BY457" s="27"/>
      <c r="BZ457" s="27"/>
      <c r="CA457" s="27"/>
      <c r="CB457" s="27"/>
      <c r="CC457" s="27"/>
      <c r="CD457" s="27"/>
      <c r="CE457" s="27"/>
      <c r="CF457" s="27"/>
      <c r="CG457" s="27"/>
      <c r="CH457" s="23"/>
      <c r="CJ457" s="27"/>
      <c r="CP457" s="74" t="s">
        <v>932</v>
      </c>
      <c r="CT457" s="38"/>
      <c r="CU457" s="38"/>
      <c r="CV457" s="38"/>
      <c r="CW457" s="38"/>
      <c r="CX457" s="38"/>
      <c r="CY457" s="38"/>
      <c r="CZ457" s="38"/>
      <c r="DA457" s="38"/>
      <c r="DB457" s="38"/>
      <c r="DC457" s="27"/>
    </row>
    <row r="458" spans="1:107" s="25" customFormat="1" ht="13.5" x14ac:dyDescent="0.2">
      <c r="A458" s="29" t="s">
        <v>1492</v>
      </c>
      <c r="B458" s="34" t="s">
        <v>3</v>
      </c>
      <c r="C458" s="34">
        <f t="shared" si="60"/>
        <v>1000006</v>
      </c>
      <c r="D458" s="34" t="s">
        <v>4531</v>
      </c>
      <c r="E458" s="188" t="s">
        <v>3935</v>
      </c>
      <c r="F458" s="21"/>
      <c r="G458" s="21"/>
      <c r="H458" s="21"/>
      <c r="I458" s="187" t="s">
        <v>3895</v>
      </c>
      <c r="J458" s="21" t="s">
        <v>550</v>
      </c>
      <c r="K458" s="21"/>
      <c r="L458" s="21"/>
      <c r="M458" s="21"/>
      <c r="N458" s="21" t="s">
        <v>158</v>
      </c>
      <c r="O458" s="21" t="s">
        <v>158</v>
      </c>
      <c r="P458" s="21"/>
      <c r="Q458" s="21" t="s">
        <v>2041</v>
      </c>
      <c r="R458" s="21"/>
      <c r="S458" s="21"/>
      <c r="T458" s="21"/>
      <c r="U458" s="118"/>
      <c r="V458" s="21" t="s">
        <v>1818</v>
      </c>
      <c r="W458" s="21" t="s">
        <v>1</v>
      </c>
      <c r="X458" s="21"/>
      <c r="Z458" s="21"/>
      <c r="AA458" s="21"/>
      <c r="AB458" s="21"/>
      <c r="AC458" s="21"/>
      <c r="AD458" s="21"/>
      <c r="AE458" s="39"/>
      <c r="AF458" s="24" t="s">
        <v>2041</v>
      </c>
      <c r="AG458" s="21"/>
      <c r="AH458" s="37"/>
      <c r="AK458" s="27"/>
      <c r="AL458" s="27"/>
      <c r="AM458" s="27"/>
      <c r="AN458" s="27"/>
      <c r="AO458" s="27"/>
      <c r="AP458" s="27"/>
      <c r="AQ458" s="27"/>
      <c r="AR458" s="27"/>
      <c r="AS458" s="27"/>
      <c r="AT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X458" s="27"/>
      <c r="BY458" s="27"/>
      <c r="BZ458" s="27"/>
      <c r="CA458" s="27"/>
      <c r="CB458" s="27"/>
      <c r="CC458" s="27"/>
      <c r="CD458" s="27"/>
      <c r="CE458" s="27"/>
      <c r="CF458" s="27"/>
      <c r="CG458" s="27"/>
      <c r="CH458" s="23"/>
      <c r="CJ458" s="27"/>
      <c r="CP458" s="74" t="s">
        <v>932</v>
      </c>
      <c r="CT458" s="38"/>
      <c r="CU458" s="38"/>
      <c r="CV458" s="38"/>
      <c r="CW458" s="38"/>
      <c r="CX458" s="38"/>
      <c r="CY458" s="38"/>
      <c r="CZ458" s="38"/>
      <c r="DA458" s="38"/>
      <c r="DB458" s="38"/>
      <c r="DC458" s="27"/>
    </row>
    <row r="459" spans="1:107" s="25" customFormat="1" ht="13.5" x14ac:dyDescent="0.2">
      <c r="A459" s="29" t="s">
        <v>1492</v>
      </c>
      <c r="B459" s="34" t="s">
        <v>4</v>
      </c>
      <c r="C459" s="34">
        <f t="shared" si="60"/>
        <v>1000007</v>
      </c>
      <c r="D459" s="34" t="s">
        <v>4531</v>
      </c>
      <c r="E459" s="188" t="s">
        <v>3935</v>
      </c>
      <c r="F459" s="21"/>
      <c r="G459" s="21"/>
      <c r="H459" s="21"/>
      <c r="I459" s="187" t="s">
        <v>3895</v>
      </c>
      <c r="J459" s="21" t="s">
        <v>550</v>
      </c>
      <c r="K459" s="21"/>
      <c r="L459" s="21"/>
      <c r="M459" s="21"/>
      <c r="N459" s="21" t="s">
        <v>158</v>
      </c>
      <c r="O459" s="21" t="s">
        <v>158</v>
      </c>
      <c r="P459" s="21"/>
      <c r="Q459" s="21" t="s">
        <v>2041</v>
      </c>
      <c r="R459" s="21"/>
      <c r="S459" s="21"/>
      <c r="T459" s="21"/>
      <c r="U459" s="118"/>
      <c r="V459" s="21" t="s">
        <v>1818</v>
      </c>
      <c r="W459" s="21" t="s">
        <v>1</v>
      </c>
      <c r="X459" s="21"/>
      <c r="Z459" s="21"/>
      <c r="AA459" s="21"/>
      <c r="AB459" s="21"/>
      <c r="AC459" s="21"/>
      <c r="AD459" s="21"/>
      <c r="AE459" s="39"/>
      <c r="AF459" s="24" t="s">
        <v>2041</v>
      </c>
      <c r="AG459" s="21"/>
      <c r="AH459" s="37"/>
      <c r="AK459" s="27"/>
      <c r="AL459" s="27"/>
      <c r="AM459" s="27"/>
      <c r="AN459" s="27"/>
      <c r="AO459" s="27"/>
      <c r="AP459" s="27"/>
      <c r="AQ459" s="27"/>
      <c r="AR459" s="27"/>
      <c r="AS459" s="27"/>
      <c r="AT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X459" s="27"/>
      <c r="BY459" s="27"/>
      <c r="BZ459" s="27"/>
      <c r="CA459" s="27"/>
      <c r="CB459" s="27"/>
      <c r="CC459" s="27"/>
      <c r="CD459" s="27"/>
      <c r="CE459" s="27"/>
      <c r="CF459" s="27"/>
      <c r="CG459" s="27"/>
      <c r="CH459" s="23"/>
      <c r="CJ459" s="27"/>
      <c r="CP459" s="74" t="s">
        <v>932</v>
      </c>
      <c r="CT459" s="38"/>
      <c r="CU459" s="38"/>
      <c r="CV459" s="38"/>
      <c r="CW459" s="38"/>
      <c r="CX459" s="38"/>
      <c r="CY459" s="38"/>
      <c r="CZ459" s="38"/>
      <c r="DA459" s="38"/>
      <c r="DB459" s="38"/>
      <c r="DC459" s="27"/>
    </row>
    <row r="460" spans="1:107" s="25" customFormat="1" ht="13.5" x14ac:dyDescent="0.2">
      <c r="A460" s="29" t="s">
        <v>1492</v>
      </c>
      <c r="B460" s="34" t="s">
        <v>5</v>
      </c>
      <c r="C460" s="34">
        <f t="shared" si="60"/>
        <v>1000008</v>
      </c>
      <c r="D460" s="34" t="s">
        <v>4531</v>
      </c>
      <c r="E460" s="188" t="s">
        <v>3935</v>
      </c>
      <c r="F460" s="21"/>
      <c r="G460" s="21"/>
      <c r="H460" s="21"/>
      <c r="I460" s="187" t="s">
        <v>3895</v>
      </c>
      <c r="J460" s="21" t="s">
        <v>550</v>
      </c>
      <c r="K460" s="21"/>
      <c r="L460" s="21"/>
      <c r="M460" s="21"/>
      <c r="N460" s="21" t="s">
        <v>158</v>
      </c>
      <c r="O460" s="21" t="s">
        <v>158</v>
      </c>
      <c r="P460" s="21"/>
      <c r="Q460" s="21" t="s">
        <v>2041</v>
      </c>
      <c r="R460" s="21"/>
      <c r="S460" s="21"/>
      <c r="T460" s="21"/>
      <c r="U460" s="118"/>
      <c r="V460" s="21" t="s">
        <v>1818</v>
      </c>
      <c r="W460" s="21" t="s">
        <v>1</v>
      </c>
      <c r="X460" s="21"/>
      <c r="Z460" s="21"/>
      <c r="AA460" s="21"/>
      <c r="AB460" s="21"/>
      <c r="AC460" s="21"/>
      <c r="AD460" s="21"/>
      <c r="AE460" s="39"/>
      <c r="AF460" s="24" t="s">
        <v>2041</v>
      </c>
      <c r="AG460" s="21"/>
      <c r="AH460" s="37"/>
      <c r="AK460" s="27"/>
      <c r="AL460" s="27"/>
      <c r="AM460" s="27"/>
      <c r="AN460" s="27"/>
      <c r="AO460" s="27"/>
      <c r="AP460" s="27"/>
      <c r="AQ460" s="27"/>
      <c r="AR460" s="27"/>
      <c r="AS460" s="27"/>
      <c r="AT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X460" s="27"/>
      <c r="BY460" s="27"/>
      <c r="BZ460" s="27"/>
      <c r="CA460" s="27"/>
      <c r="CB460" s="27"/>
      <c r="CC460" s="27"/>
      <c r="CD460" s="27"/>
      <c r="CE460" s="27"/>
      <c r="CF460" s="27"/>
      <c r="CG460" s="27"/>
      <c r="CH460" s="23"/>
      <c r="CJ460" s="27"/>
      <c r="CP460" s="74" t="s">
        <v>932</v>
      </c>
      <c r="CT460" s="38"/>
      <c r="CU460" s="38"/>
      <c r="CV460" s="38"/>
      <c r="CW460" s="38"/>
      <c r="CX460" s="38"/>
      <c r="CY460" s="38"/>
      <c r="CZ460" s="38"/>
      <c r="DA460" s="38"/>
      <c r="DB460" s="38"/>
      <c r="DC460" s="27"/>
    </row>
    <row r="461" spans="1:107" s="25" customFormat="1" ht="13.5" x14ac:dyDescent="0.2">
      <c r="A461" s="29" t="s">
        <v>1492</v>
      </c>
      <c r="B461" s="34" t="s">
        <v>6</v>
      </c>
      <c r="C461" s="34">
        <f t="shared" si="60"/>
        <v>1000009</v>
      </c>
      <c r="D461" s="34" t="s">
        <v>4531</v>
      </c>
      <c r="E461" s="188" t="s">
        <v>3935</v>
      </c>
      <c r="F461" s="21"/>
      <c r="G461" s="21"/>
      <c r="H461" s="21"/>
      <c r="I461" s="187" t="s">
        <v>3895</v>
      </c>
      <c r="J461" s="21" t="s">
        <v>550</v>
      </c>
      <c r="K461" s="21"/>
      <c r="L461" s="21"/>
      <c r="M461" s="21"/>
      <c r="N461" s="21" t="s">
        <v>158</v>
      </c>
      <c r="O461" s="21" t="s">
        <v>158</v>
      </c>
      <c r="P461" s="21"/>
      <c r="Q461" s="21" t="s">
        <v>2041</v>
      </c>
      <c r="R461" s="21"/>
      <c r="S461" s="21"/>
      <c r="T461" s="21"/>
      <c r="U461" s="118"/>
      <c r="V461" s="21" t="s">
        <v>1818</v>
      </c>
      <c r="W461" s="21" t="s">
        <v>1</v>
      </c>
      <c r="X461" s="21"/>
      <c r="Z461" s="21"/>
      <c r="AA461" s="21"/>
      <c r="AB461" s="21"/>
      <c r="AC461" s="21"/>
      <c r="AD461" s="21"/>
      <c r="AE461" s="39"/>
      <c r="AF461" s="24" t="s">
        <v>2041</v>
      </c>
      <c r="AG461" s="21"/>
      <c r="AH461" s="37"/>
      <c r="AK461" s="27"/>
      <c r="AL461" s="27"/>
      <c r="AM461" s="27"/>
      <c r="AN461" s="27"/>
      <c r="AO461" s="27"/>
      <c r="AP461" s="27"/>
      <c r="AQ461" s="27"/>
      <c r="AR461" s="27"/>
      <c r="AS461" s="27"/>
      <c r="AT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X461" s="27"/>
      <c r="BY461" s="27"/>
      <c r="BZ461" s="27"/>
      <c r="CA461" s="27"/>
      <c r="CB461" s="27"/>
      <c r="CC461" s="27"/>
      <c r="CD461" s="27"/>
      <c r="CE461" s="27"/>
      <c r="CF461" s="27"/>
      <c r="CG461" s="27"/>
      <c r="CH461" s="23"/>
      <c r="CJ461" s="27"/>
      <c r="CP461" s="74" t="s">
        <v>932</v>
      </c>
      <c r="CT461" s="38"/>
      <c r="CU461" s="38"/>
      <c r="CV461" s="38"/>
      <c r="CW461" s="38"/>
      <c r="CX461" s="38"/>
      <c r="CY461" s="38"/>
      <c r="CZ461" s="38"/>
      <c r="DA461" s="38"/>
      <c r="DB461" s="38"/>
      <c r="DC461" s="27"/>
    </row>
    <row r="462" spans="1:107" s="25" customFormat="1" ht="13.5" x14ac:dyDescent="0.2">
      <c r="A462" s="29" t="s">
        <v>1492</v>
      </c>
      <c r="B462" s="34" t="s">
        <v>7</v>
      </c>
      <c r="C462" s="34">
        <f t="shared" si="60"/>
        <v>1000010</v>
      </c>
      <c r="D462" s="34" t="s">
        <v>4531</v>
      </c>
      <c r="E462" s="188" t="s">
        <v>3935</v>
      </c>
      <c r="F462" s="21"/>
      <c r="G462" s="21"/>
      <c r="H462" s="21"/>
      <c r="I462" s="187" t="s">
        <v>3895</v>
      </c>
      <c r="J462" s="21" t="s">
        <v>550</v>
      </c>
      <c r="K462" s="21"/>
      <c r="L462" s="21"/>
      <c r="M462" s="21"/>
      <c r="N462" s="21" t="s">
        <v>158</v>
      </c>
      <c r="O462" s="21" t="s">
        <v>158</v>
      </c>
      <c r="P462" s="21"/>
      <c r="Q462" s="21" t="s">
        <v>2041</v>
      </c>
      <c r="R462" s="21"/>
      <c r="S462" s="21"/>
      <c r="T462" s="21"/>
      <c r="U462" s="118"/>
      <c r="V462" s="21" t="s">
        <v>1818</v>
      </c>
      <c r="W462" s="21" t="s">
        <v>1</v>
      </c>
      <c r="X462" s="21"/>
      <c r="Z462" s="21"/>
      <c r="AA462" s="21"/>
      <c r="AB462" s="21"/>
      <c r="AC462" s="21"/>
      <c r="AD462" s="21"/>
      <c r="AE462" s="39"/>
      <c r="AF462" s="24" t="s">
        <v>2041</v>
      </c>
      <c r="AG462" s="21"/>
      <c r="AH462" s="37"/>
      <c r="AK462" s="27"/>
      <c r="AL462" s="27"/>
      <c r="AM462" s="27"/>
      <c r="AN462" s="27"/>
      <c r="AO462" s="27"/>
      <c r="AP462" s="27"/>
      <c r="AQ462" s="27"/>
      <c r="AR462" s="27"/>
      <c r="AS462" s="27"/>
      <c r="AT462" s="27"/>
      <c r="AX462" s="27"/>
      <c r="AY462" s="27"/>
      <c r="AZ462" s="27"/>
      <c r="BA462" s="27"/>
      <c r="BB462" s="27"/>
      <c r="BC462" s="27"/>
      <c r="BD462" s="27"/>
      <c r="BE462" s="27"/>
      <c r="BF462" s="27"/>
      <c r="BG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X462" s="27"/>
      <c r="BY462" s="27"/>
      <c r="BZ462" s="27"/>
      <c r="CA462" s="27"/>
      <c r="CB462" s="27"/>
      <c r="CC462" s="27"/>
      <c r="CD462" s="27"/>
      <c r="CE462" s="27"/>
      <c r="CF462" s="27"/>
      <c r="CG462" s="27"/>
      <c r="CH462" s="23"/>
      <c r="CJ462" s="27"/>
      <c r="CP462" s="74" t="s">
        <v>932</v>
      </c>
      <c r="CT462" s="38"/>
      <c r="CU462" s="38"/>
      <c r="CV462" s="38"/>
      <c r="CW462" s="38"/>
      <c r="CX462" s="38"/>
      <c r="CY462" s="38"/>
      <c r="CZ462" s="38"/>
      <c r="DA462" s="38"/>
      <c r="DB462" s="38"/>
      <c r="DC462" s="27"/>
    </row>
    <row r="463" spans="1:107" s="25" customFormat="1" x14ac:dyDescent="0.2">
      <c r="A463" s="29" t="s">
        <v>1492</v>
      </c>
      <c r="B463" s="34" t="s">
        <v>1807</v>
      </c>
      <c r="C463" s="34">
        <f t="shared" si="60"/>
        <v>1000099</v>
      </c>
      <c r="D463" s="34" t="s">
        <v>4532</v>
      </c>
      <c r="E463" s="165" t="s">
        <v>4347</v>
      </c>
      <c r="F463" s="21"/>
      <c r="G463" s="21"/>
      <c r="H463" s="21"/>
      <c r="I463" s="21" t="s">
        <v>157</v>
      </c>
      <c r="J463" s="21" t="s">
        <v>550</v>
      </c>
      <c r="K463" s="21"/>
      <c r="L463" s="21"/>
      <c r="M463" s="21"/>
      <c r="N463" s="21" t="s">
        <v>158</v>
      </c>
      <c r="O463" s="21" t="s">
        <v>158</v>
      </c>
      <c r="P463" s="21"/>
      <c r="Q463" s="21" t="s">
        <v>2041</v>
      </c>
      <c r="R463" s="21"/>
      <c r="S463" s="21"/>
      <c r="T463" s="21"/>
      <c r="U463" s="118"/>
      <c r="V463" s="21" t="s">
        <v>1818</v>
      </c>
      <c r="W463" s="21" t="s">
        <v>1</v>
      </c>
      <c r="X463" s="21"/>
      <c r="Z463" s="21"/>
      <c r="AA463" s="21"/>
      <c r="AB463" s="21"/>
      <c r="AC463" s="21"/>
      <c r="AD463" s="21"/>
      <c r="AE463" s="39"/>
      <c r="AF463" s="24" t="s">
        <v>2041</v>
      </c>
      <c r="AG463" s="21"/>
      <c r="AH463" s="37"/>
      <c r="AK463" s="27"/>
      <c r="AL463" s="27"/>
      <c r="AM463" s="27"/>
      <c r="AN463" s="27"/>
      <c r="AO463" s="27"/>
      <c r="AP463" s="27"/>
      <c r="AQ463" s="27"/>
      <c r="AR463" s="27"/>
      <c r="AS463" s="27"/>
      <c r="AT463" s="27"/>
      <c r="AX463" s="27"/>
      <c r="AY463" s="27"/>
      <c r="AZ463" s="27"/>
      <c r="BA463" s="27"/>
      <c r="BB463" s="27"/>
      <c r="BC463" s="27"/>
      <c r="BD463" s="27"/>
      <c r="BE463" s="27"/>
      <c r="BF463" s="27"/>
      <c r="BG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X463" s="27"/>
      <c r="BY463" s="27"/>
      <c r="BZ463" s="27"/>
      <c r="CA463" s="27"/>
      <c r="CB463" s="27"/>
      <c r="CC463" s="27"/>
      <c r="CD463" s="27"/>
      <c r="CE463" s="27"/>
      <c r="CF463" s="27"/>
      <c r="CG463" s="27"/>
      <c r="CH463" s="23"/>
      <c r="CJ463" s="27"/>
      <c r="CP463" s="74" t="s">
        <v>932</v>
      </c>
      <c r="CT463" s="38"/>
      <c r="CU463" s="38"/>
      <c r="CV463" s="38"/>
      <c r="CW463" s="38"/>
      <c r="CX463" s="38"/>
      <c r="CY463" s="38"/>
      <c r="CZ463" s="38"/>
      <c r="DA463" s="38"/>
      <c r="DB463" s="38"/>
      <c r="DC463" s="27"/>
    </row>
    <row r="464" spans="1:107" s="25" customFormat="1" x14ac:dyDescent="0.2">
      <c r="A464" s="29" t="s">
        <v>1492</v>
      </c>
      <c r="B464" s="34" t="s">
        <v>4348</v>
      </c>
      <c r="C464" s="34">
        <f t="shared" si="60"/>
        <v>1000111</v>
      </c>
      <c r="D464" s="34" t="s">
        <v>4349</v>
      </c>
      <c r="E464" s="20" t="s">
        <v>4720</v>
      </c>
      <c r="F464" s="21"/>
      <c r="G464" s="21"/>
      <c r="H464" s="21"/>
      <c r="I464" s="21" t="s">
        <v>157</v>
      </c>
      <c r="J464" s="21" t="s">
        <v>550</v>
      </c>
      <c r="K464" s="21"/>
      <c r="L464" s="21"/>
      <c r="M464" s="21"/>
      <c r="N464" s="21" t="s">
        <v>158</v>
      </c>
      <c r="O464" s="21" t="s">
        <v>158</v>
      </c>
      <c r="P464" s="21"/>
      <c r="Q464" s="21" t="s">
        <v>2041</v>
      </c>
      <c r="R464" s="21"/>
      <c r="S464" s="21"/>
      <c r="T464" s="21"/>
      <c r="U464" s="118"/>
      <c r="V464" s="21" t="s">
        <v>1818</v>
      </c>
      <c r="W464" s="21" t="s">
        <v>1</v>
      </c>
      <c r="X464" s="21"/>
      <c r="Z464" s="21"/>
      <c r="AA464" s="21"/>
      <c r="AB464" s="21"/>
      <c r="AC464" s="21"/>
      <c r="AD464" s="21"/>
      <c r="AE464" s="39"/>
      <c r="AF464" s="24" t="s">
        <v>2041</v>
      </c>
      <c r="AG464" s="21"/>
      <c r="AH464" s="37"/>
      <c r="AK464" s="27"/>
      <c r="AL464" s="27"/>
      <c r="AM464" s="27"/>
      <c r="AN464" s="27"/>
      <c r="AO464" s="27"/>
      <c r="AP464" s="27"/>
      <c r="AQ464" s="27"/>
      <c r="AR464" s="27"/>
      <c r="AS464" s="27"/>
      <c r="AT464" s="27"/>
      <c r="AX464" s="27"/>
      <c r="AY464" s="27"/>
      <c r="AZ464" s="27"/>
      <c r="BA464" s="27"/>
      <c r="BB464" s="27"/>
      <c r="BC464" s="27"/>
      <c r="BD464" s="27"/>
      <c r="BE464" s="27"/>
      <c r="BF464" s="27"/>
      <c r="BG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X464" s="27"/>
      <c r="BY464" s="27"/>
      <c r="BZ464" s="27"/>
      <c r="CA464" s="27"/>
      <c r="CB464" s="27"/>
      <c r="CC464" s="27"/>
      <c r="CD464" s="27"/>
      <c r="CE464" s="27"/>
      <c r="CF464" s="27"/>
      <c r="CG464" s="27"/>
      <c r="CH464" s="23"/>
      <c r="CJ464" s="27"/>
      <c r="CP464" s="74" t="s">
        <v>932</v>
      </c>
      <c r="CT464" s="38"/>
      <c r="CU464" s="38"/>
      <c r="CV464" s="38"/>
      <c r="CW464" s="38"/>
      <c r="CX464" s="38"/>
      <c r="CY464" s="38"/>
      <c r="CZ464" s="38"/>
      <c r="DA464" s="38"/>
      <c r="DB464" s="38"/>
      <c r="DC464" s="27"/>
    </row>
    <row r="465" spans="1:109" s="25" customFormat="1" x14ac:dyDescent="0.2">
      <c r="A465" s="29" t="s">
        <v>1492</v>
      </c>
      <c r="B465" s="34" t="s">
        <v>4351</v>
      </c>
      <c r="C465" s="34">
        <f t="shared" si="60"/>
        <v>1000112</v>
      </c>
      <c r="D465" s="34" t="s">
        <v>4349</v>
      </c>
      <c r="E465" s="165" t="s">
        <v>3518</v>
      </c>
      <c r="F465" s="21"/>
      <c r="G465" s="21"/>
      <c r="H465" s="21"/>
      <c r="I465" s="21" t="s">
        <v>4352</v>
      </c>
      <c r="J465" s="21" t="s">
        <v>550</v>
      </c>
      <c r="K465" s="21"/>
      <c r="L465" s="21"/>
      <c r="M465" s="21"/>
      <c r="N465" s="21" t="s">
        <v>158</v>
      </c>
      <c r="O465" s="21" t="s">
        <v>158</v>
      </c>
      <c r="P465" s="21"/>
      <c r="Q465" s="21" t="s">
        <v>2041</v>
      </c>
      <c r="R465" s="21"/>
      <c r="S465" s="21"/>
      <c r="T465" s="21"/>
      <c r="U465" s="118"/>
      <c r="V465" s="21" t="s">
        <v>1818</v>
      </c>
      <c r="W465" s="21" t="s">
        <v>1</v>
      </c>
      <c r="X465" s="21"/>
      <c r="Z465" s="21"/>
      <c r="AA465" s="21"/>
      <c r="AB465" s="21"/>
      <c r="AC465" s="21"/>
      <c r="AD465" s="21"/>
      <c r="AE465" s="39"/>
      <c r="AF465" s="24" t="s">
        <v>2041</v>
      </c>
      <c r="AG465" s="21"/>
      <c r="AH465" s="37"/>
      <c r="AK465" s="27"/>
      <c r="AL465" s="27"/>
      <c r="AM465" s="27"/>
      <c r="AN465" s="27"/>
      <c r="AO465" s="27"/>
      <c r="AP465" s="27"/>
      <c r="AQ465" s="27"/>
      <c r="AR465" s="27"/>
      <c r="AS465" s="27"/>
      <c r="AT465" s="27"/>
      <c r="AX465" s="27"/>
      <c r="AY465" s="27"/>
      <c r="AZ465" s="27"/>
      <c r="BA465" s="27"/>
      <c r="BB465" s="27"/>
      <c r="BC465" s="27"/>
      <c r="BD465" s="27"/>
      <c r="BE465" s="27"/>
      <c r="BF465" s="27"/>
      <c r="BG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X465" s="27"/>
      <c r="BY465" s="27"/>
      <c r="BZ465" s="27"/>
      <c r="CA465" s="27"/>
      <c r="CB465" s="27"/>
      <c r="CC465" s="27"/>
      <c r="CD465" s="27"/>
      <c r="CE465" s="27"/>
      <c r="CF465" s="27"/>
      <c r="CG465" s="27"/>
      <c r="CH465" s="23"/>
      <c r="CJ465" s="27"/>
      <c r="CP465" s="74" t="s">
        <v>932</v>
      </c>
      <c r="CT465" s="38"/>
      <c r="CU465" s="38"/>
      <c r="CV465" s="38"/>
      <c r="CW465" s="38"/>
      <c r="CX465" s="38"/>
      <c r="CY465" s="38"/>
      <c r="CZ465" s="38"/>
      <c r="DA465" s="38"/>
      <c r="DB465" s="38"/>
      <c r="DC465" s="27"/>
    </row>
    <row r="466" spans="1:109" s="25" customFormat="1" x14ac:dyDescent="0.2">
      <c r="A466" s="29" t="s">
        <v>1492</v>
      </c>
      <c r="B466" s="34" t="s">
        <v>4353</v>
      </c>
      <c r="C466" s="34">
        <f t="shared" si="60"/>
        <v>1000113</v>
      </c>
      <c r="D466" s="34" t="s">
        <v>4349</v>
      </c>
      <c r="E466" s="165" t="s">
        <v>1304</v>
      </c>
      <c r="F466" s="21"/>
      <c r="G466" s="21"/>
      <c r="H466" s="21"/>
      <c r="I466" s="21" t="s">
        <v>4354</v>
      </c>
      <c r="J466" s="21" t="s">
        <v>550</v>
      </c>
      <c r="K466" s="21"/>
      <c r="L466" s="21"/>
      <c r="M466" s="21"/>
      <c r="N466" s="21" t="s">
        <v>158</v>
      </c>
      <c r="O466" s="21" t="s">
        <v>158</v>
      </c>
      <c r="P466" s="21"/>
      <c r="Q466" s="21" t="s">
        <v>2041</v>
      </c>
      <c r="R466" s="21"/>
      <c r="S466" s="21"/>
      <c r="T466" s="21"/>
      <c r="U466" s="118"/>
      <c r="V466" s="21" t="s">
        <v>1818</v>
      </c>
      <c r="W466" s="21" t="s">
        <v>1</v>
      </c>
      <c r="X466" s="21"/>
      <c r="Z466" s="21"/>
      <c r="AA466" s="21"/>
      <c r="AB466" s="21"/>
      <c r="AC466" s="21"/>
      <c r="AD466" s="21"/>
      <c r="AE466" s="39"/>
      <c r="AF466" s="24" t="s">
        <v>2041</v>
      </c>
      <c r="AG466" s="21"/>
      <c r="AH466" s="37"/>
      <c r="AK466" s="27"/>
      <c r="AL466" s="27"/>
      <c r="AM466" s="27"/>
      <c r="AN466" s="27"/>
      <c r="AO466" s="27"/>
      <c r="AP466" s="27"/>
      <c r="AQ466" s="27"/>
      <c r="AR466" s="27"/>
      <c r="AS466" s="27"/>
      <c r="AT466" s="27"/>
      <c r="AX466" s="27"/>
      <c r="AY466" s="27"/>
      <c r="AZ466" s="27"/>
      <c r="BA466" s="27"/>
      <c r="BB466" s="27"/>
      <c r="BC466" s="27"/>
      <c r="BD466" s="27"/>
      <c r="BE466" s="27"/>
      <c r="BF466" s="27"/>
      <c r="BG466" s="27"/>
      <c r="BK466" s="27"/>
      <c r="BL466" s="27"/>
      <c r="BM466" s="27"/>
      <c r="BN466" s="27"/>
      <c r="BO466" s="27"/>
      <c r="BP466" s="27"/>
      <c r="BQ466" s="27"/>
      <c r="BR466" s="27"/>
      <c r="BS466" s="27"/>
      <c r="BT466" s="27"/>
      <c r="BX466" s="27"/>
      <c r="BY466" s="27"/>
      <c r="BZ466" s="27"/>
      <c r="CA466" s="27"/>
      <c r="CB466" s="27"/>
      <c r="CC466" s="27"/>
      <c r="CD466" s="27"/>
      <c r="CE466" s="27"/>
      <c r="CF466" s="27"/>
      <c r="CG466" s="27"/>
      <c r="CH466" s="23"/>
      <c r="CJ466" s="27"/>
      <c r="CP466" s="74" t="s">
        <v>932</v>
      </c>
      <c r="CT466" s="38"/>
      <c r="CU466" s="38"/>
      <c r="CV466" s="38"/>
      <c r="CW466" s="38"/>
      <c r="CX466" s="38"/>
      <c r="CY466" s="38"/>
      <c r="CZ466" s="38"/>
      <c r="DA466" s="38"/>
      <c r="DB466" s="38"/>
      <c r="DC466" s="27"/>
    </row>
    <row r="467" spans="1:109" s="25" customFormat="1" x14ac:dyDescent="0.2">
      <c r="A467" s="29" t="s">
        <v>1492</v>
      </c>
      <c r="B467" s="34" t="s">
        <v>4355</v>
      </c>
      <c r="C467" s="34">
        <f t="shared" si="60"/>
        <v>1000114</v>
      </c>
      <c r="D467" s="34" t="s">
        <v>4349</v>
      </c>
      <c r="E467" s="165" t="s">
        <v>3518</v>
      </c>
      <c r="F467" s="21"/>
      <c r="G467" s="21"/>
      <c r="H467" s="21"/>
      <c r="I467" s="21" t="s">
        <v>4356</v>
      </c>
      <c r="J467" s="21" t="s">
        <v>550</v>
      </c>
      <c r="K467" s="21"/>
      <c r="L467" s="21"/>
      <c r="M467" s="21"/>
      <c r="N467" s="21" t="s">
        <v>158</v>
      </c>
      <c r="O467" s="21" t="s">
        <v>158</v>
      </c>
      <c r="P467" s="21"/>
      <c r="Q467" s="21" t="s">
        <v>2041</v>
      </c>
      <c r="R467" s="21"/>
      <c r="S467" s="21"/>
      <c r="T467" s="21"/>
      <c r="U467" s="118"/>
      <c r="V467" s="21" t="s">
        <v>1818</v>
      </c>
      <c r="W467" s="21" t="s">
        <v>1</v>
      </c>
      <c r="X467" s="21"/>
      <c r="Z467" s="21"/>
      <c r="AA467" s="21"/>
      <c r="AB467" s="21"/>
      <c r="AC467" s="21"/>
      <c r="AD467" s="21"/>
      <c r="AE467" s="39"/>
      <c r="AF467" s="24" t="s">
        <v>2041</v>
      </c>
      <c r="AG467" s="21"/>
      <c r="AH467" s="37"/>
      <c r="AK467" s="27"/>
      <c r="AL467" s="27"/>
      <c r="AM467" s="27"/>
      <c r="AN467" s="27"/>
      <c r="AO467" s="27"/>
      <c r="AP467" s="27"/>
      <c r="AQ467" s="27"/>
      <c r="AR467" s="27"/>
      <c r="AS467" s="27"/>
      <c r="AT467" s="27"/>
      <c r="AX467" s="27"/>
      <c r="AY467" s="27"/>
      <c r="AZ467" s="27"/>
      <c r="BA467" s="27"/>
      <c r="BB467" s="27"/>
      <c r="BC467" s="27"/>
      <c r="BD467" s="27"/>
      <c r="BE467" s="27"/>
      <c r="BF467" s="27"/>
      <c r="BG467" s="27"/>
      <c r="BK467" s="27"/>
      <c r="BL467" s="27"/>
      <c r="BM467" s="27"/>
      <c r="BN467" s="27"/>
      <c r="BO467" s="27"/>
      <c r="BP467" s="27"/>
      <c r="BQ467" s="27"/>
      <c r="BR467" s="27"/>
      <c r="BS467" s="27"/>
      <c r="BT467" s="27"/>
      <c r="BX467" s="27"/>
      <c r="BY467" s="27"/>
      <c r="BZ467" s="27"/>
      <c r="CA467" s="27"/>
      <c r="CB467" s="27"/>
      <c r="CC467" s="27"/>
      <c r="CD467" s="27"/>
      <c r="CE467" s="27"/>
      <c r="CF467" s="27"/>
      <c r="CG467" s="27"/>
      <c r="CH467" s="23"/>
      <c r="CJ467" s="27"/>
      <c r="CP467" s="74" t="s">
        <v>932</v>
      </c>
      <c r="CT467" s="38"/>
      <c r="CU467" s="38"/>
      <c r="CV467" s="38"/>
      <c r="CW467" s="38"/>
      <c r="CX467" s="38"/>
      <c r="CY467" s="38"/>
      <c r="CZ467" s="38"/>
      <c r="DA467" s="38"/>
      <c r="DB467" s="38"/>
      <c r="DC467" s="27"/>
    </row>
    <row r="468" spans="1:109" s="25" customFormat="1" x14ac:dyDescent="0.2">
      <c r="A468" s="29" t="s">
        <v>1492</v>
      </c>
      <c r="B468" s="34" t="s">
        <v>4357</v>
      </c>
      <c r="C468" s="34">
        <f t="shared" si="60"/>
        <v>1000115</v>
      </c>
      <c r="D468" s="34" t="s">
        <v>4349</v>
      </c>
      <c r="E468" s="165" t="s">
        <v>3518</v>
      </c>
      <c r="F468" s="21"/>
      <c r="G468" s="21"/>
      <c r="H468" s="21"/>
      <c r="I468" s="21" t="s">
        <v>157</v>
      </c>
      <c r="J468" s="21" t="s">
        <v>550</v>
      </c>
      <c r="K468" s="21"/>
      <c r="L468" s="21"/>
      <c r="M468" s="21"/>
      <c r="N468" s="21" t="s">
        <v>158</v>
      </c>
      <c r="O468" s="21" t="s">
        <v>158</v>
      </c>
      <c r="P468" s="21"/>
      <c r="Q468" s="21" t="s">
        <v>2041</v>
      </c>
      <c r="R468" s="21"/>
      <c r="S468" s="21"/>
      <c r="T468" s="21"/>
      <c r="U468" s="118"/>
      <c r="V468" s="21" t="s">
        <v>1818</v>
      </c>
      <c r="W468" s="21" t="s">
        <v>1</v>
      </c>
      <c r="X468" s="21"/>
      <c r="Z468" s="21"/>
      <c r="AA468" s="21"/>
      <c r="AB468" s="21"/>
      <c r="AC468" s="21"/>
      <c r="AD468" s="21"/>
      <c r="AE468" s="39"/>
      <c r="AF468" s="24" t="s">
        <v>2041</v>
      </c>
      <c r="AG468" s="21"/>
      <c r="AH468" s="37"/>
      <c r="AK468" s="27"/>
      <c r="AL468" s="27"/>
      <c r="AM468" s="27"/>
      <c r="AN468" s="27"/>
      <c r="AO468" s="27"/>
      <c r="AP468" s="27"/>
      <c r="AQ468" s="27"/>
      <c r="AR468" s="27"/>
      <c r="AS468" s="27"/>
      <c r="AT468" s="27"/>
      <c r="AX468" s="27"/>
      <c r="AY468" s="27"/>
      <c r="AZ468" s="27"/>
      <c r="BA468" s="27"/>
      <c r="BB468" s="27"/>
      <c r="BC468" s="27"/>
      <c r="BD468" s="27"/>
      <c r="BE468" s="27"/>
      <c r="BF468" s="27"/>
      <c r="BG468" s="27"/>
      <c r="BK468" s="27"/>
      <c r="BL468" s="27"/>
      <c r="BM468" s="27"/>
      <c r="BN468" s="27"/>
      <c r="BO468" s="27"/>
      <c r="BP468" s="27"/>
      <c r="BQ468" s="27"/>
      <c r="BR468" s="27"/>
      <c r="BS468" s="27"/>
      <c r="BT468" s="27"/>
      <c r="BX468" s="27"/>
      <c r="BY468" s="27"/>
      <c r="BZ468" s="27"/>
      <c r="CA468" s="27"/>
      <c r="CB468" s="27"/>
      <c r="CC468" s="27"/>
      <c r="CD468" s="27"/>
      <c r="CE468" s="27"/>
      <c r="CF468" s="27"/>
      <c r="CG468" s="27"/>
      <c r="CH468" s="23"/>
      <c r="CJ468" s="27"/>
      <c r="CP468" s="74" t="s">
        <v>932</v>
      </c>
      <c r="CT468" s="38"/>
      <c r="CU468" s="38"/>
      <c r="CV468" s="38"/>
      <c r="CW468" s="38"/>
      <c r="CX468" s="38"/>
      <c r="CY468" s="38"/>
      <c r="CZ468" s="38"/>
      <c r="DA468" s="38"/>
      <c r="DB468" s="38"/>
      <c r="DC468" s="27"/>
    </row>
    <row r="469" spans="1:109" s="25" customFormat="1" x14ac:dyDescent="0.2">
      <c r="A469" s="29" t="s">
        <v>1492</v>
      </c>
      <c r="B469" s="34" t="s">
        <v>4358</v>
      </c>
      <c r="C469" s="34">
        <f t="shared" si="60"/>
        <v>1000199</v>
      </c>
      <c r="D469" s="34" t="s">
        <v>4359</v>
      </c>
      <c r="E469" s="21" t="s">
        <v>1125</v>
      </c>
      <c r="F469" s="21"/>
      <c r="G469" s="21"/>
      <c r="H469" s="21"/>
      <c r="I469" s="21" t="s">
        <v>157</v>
      </c>
      <c r="J469" s="21" t="s">
        <v>550</v>
      </c>
      <c r="K469" s="21"/>
      <c r="L469" s="21"/>
      <c r="M469" s="21"/>
      <c r="N469" s="21" t="s">
        <v>158</v>
      </c>
      <c r="O469" s="21" t="s">
        <v>158</v>
      </c>
      <c r="P469" s="21"/>
      <c r="Q469" s="21" t="s">
        <v>2041</v>
      </c>
      <c r="R469" s="21"/>
      <c r="S469" s="21"/>
      <c r="T469" s="21"/>
      <c r="U469" s="118"/>
      <c r="V469" s="21" t="s">
        <v>1818</v>
      </c>
      <c r="W469" s="21" t="s">
        <v>1</v>
      </c>
      <c r="X469" s="21"/>
      <c r="Z469" s="21"/>
      <c r="AA469" s="21"/>
      <c r="AB469" s="21"/>
      <c r="AC469" s="21"/>
      <c r="AD469" s="21"/>
      <c r="AE469" s="39"/>
      <c r="AF469" s="24" t="s">
        <v>2041</v>
      </c>
      <c r="AG469" s="21"/>
      <c r="AH469" s="37"/>
      <c r="AK469" s="27"/>
      <c r="AL469" s="27"/>
      <c r="AM469" s="27"/>
      <c r="AN469" s="27"/>
      <c r="AO469" s="27"/>
      <c r="AP469" s="27"/>
      <c r="AQ469" s="27"/>
      <c r="AR469" s="27"/>
      <c r="AS469" s="27"/>
      <c r="AT469" s="27"/>
      <c r="AX469" s="27"/>
      <c r="AY469" s="27"/>
      <c r="AZ469" s="27"/>
      <c r="BA469" s="27"/>
      <c r="BB469" s="27"/>
      <c r="BC469" s="27"/>
      <c r="BD469" s="27"/>
      <c r="BE469" s="27"/>
      <c r="BF469" s="27"/>
      <c r="BG469" s="27"/>
      <c r="BK469" s="27"/>
      <c r="BL469" s="27"/>
      <c r="BM469" s="27"/>
      <c r="BN469" s="27"/>
      <c r="BO469" s="27"/>
      <c r="BP469" s="27"/>
      <c r="BQ469" s="27"/>
      <c r="BR469" s="27"/>
      <c r="BS469" s="27"/>
      <c r="BT469" s="27"/>
      <c r="BX469" s="27"/>
      <c r="BY469" s="27"/>
      <c r="BZ469" s="27"/>
      <c r="CA469" s="27"/>
      <c r="CB469" s="27"/>
      <c r="CC469" s="27"/>
      <c r="CD469" s="27"/>
      <c r="CE469" s="27"/>
      <c r="CF469" s="27"/>
      <c r="CG469" s="27"/>
      <c r="CH469" s="23"/>
      <c r="CJ469" s="27"/>
      <c r="CP469" s="74" t="s">
        <v>932</v>
      </c>
      <c r="CT469" s="38"/>
      <c r="CU469" s="38"/>
      <c r="CV469" s="38"/>
      <c r="CW469" s="38"/>
      <c r="CX469" s="38"/>
      <c r="CY469" s="38"/>
      <c r="CZ469" s="38"/>
      <c r="DA469" s="38"/>
      <c r="DB469" s="38"/>
      <c r="DC469" s="27"/>
    </row>
    <row r="470" spans="1:109" s="14" customFormat="1" ht="17.25" x14ac:dyDescent="0.3">
      <c r="A470" s="8"/>
      <c r="B470" s="8"/>
      <c r="C470" s="8">
        <f t="shared" si="60"/>
        <v>0</v>
      </c>
      <c r="D470" s="8"/>
      <c r="E470" s="9" t="s">
        <v>34</v>
      </c>
      <c r="F470" s="9"/>
      <c r="G470" s="9"/>
      <c r="H470" s="9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1"/>
      <c r="Z470" s="10"/>
      <c r="AA470" s="10"/>
      <c r="AB470" s="10"/>
      <c r="AC470" s="10"/>
      <c r="AD470" s="10"/>
      <c r="AE470" s="12"/>
      <c r="AF470" s="12"/>
      <c r="AG470" s="10"/>
      <c r="AH470" s="13"/>
      <c r="AI470" s="13"/>
      <c r="AJ470" s="13"/>
      <c r="AK470" s="15"/>
      <c r="AL470" s="15"/>
      <c r="AM470" s="15"/>
      <c r="AN470" s="15"/>
      <c r="AO470" s="15"/>
      <c r="AP470" s="15"/>
      <c r="AQ470" s="15"/>
      <c r="AR470" s="15"/>
      <c r="AS470" s="15"/>
      <c r="AT470" s="15"/>
      <c r="AU470" s="13"/>
      <c r="AV470" s="13"/>
      <c r="AW470" s="13"/>
      <c r="AX470" s="31"/>
      <c r="AY470" s="31"/>
      <c r="AZ470" s="15"/>
      <c r="BA470" s="15"/>
      <c r="BB470" s="15"/>
      <c r="BC470" s="15"/>
      <c r="BD470" s="15"/>
      <c r="BE470" s="15"/>
      <c r="BF470" s="15"/>
      <c r="BG470" s="15"/>
      <c r="BH470" s="13"/>
      <c r="BI470" s="13"/>
      <c r="BJ470" s="13"/>
      <c r="BK470" s="31"/>
      <c r="BL470" s="31"/>
      <c r="BM470" s="15"/>
      <c r="BN470" s="15"/>
      <c r="BO470" s="15"/>
      <c r="BP470" s="15"/>
      <c r="BQ470" s="15"/>
      <c r="BR470" s="15"/>
      <c r="BS470" s="15"/>
      <c r="BT470" s="15"/>
      <c r="BU470" s="13"/>
      <c r="BV470" s="13"/>
      <c r="BW470" s="13"/>
      <c r="BX470" s="31"/>
      <c r="BY470" s="31"/>
      <c r="BZ470" s="15"/>
      <c r="CA470" s="15"/>
      <c r="CB470" s="15"/>
      <c r="CC470" s="15"/>
      <c r="CD470" s="15"/>
      <c r="CE470" s="15"/>
      <c r="CF470" s="15"/>
      <c r="CG470" s="15"/>
      <c r="CH470" s="10"/>
      <c r="CI470" s="8"/>
      <c r="CJ470" s="16"/>
      <c r="CK470" s="8"/>
      <c r="CT470" s="17"/>
      <c r="CU470" s="17"/>
      <c r="CV470" s="17"/>
      <c r="CW470" s="17"/>
      <c r="CX470" s="17"/>
      <c r="CY470" s="17"/>
      <c r="CZ470" s="17"/>
      <c r="DA470" s="17"/>
      <c r="DB470" s="17"/>
      <c r="DC470" s="15"/>
    </row>
    <row r="471" spans="1:109" ht="11.25" customHeight="1" x14ac:dyDescent="0.2">
      <c r="A471" s="18">
        <v>10001</v>
      </c>
      <c r="B471" s="19">
        <v>1</v>
      </c>
      <c r="C471" s="19">
        <f t="shared" si="60"/>
        <v>100010001</v>
      </c>
      <c r="D471" s="23" t="s">
        <v>1004</v>
      </c>
      <c r="E471" s="20" t="s">
        <v>109</v>
      </c>
      <c r="I471" s="22" t="s">
        <v>206</v>
      </c>
      <c r="J471" s="22"/>
      <c r="K471" s="22"/>
      <c r="L471" s="22"/>
      <c r="M471" s="22"/>
      <c r="N471" s="22" t="s">
        <v>163</v>
      </c>
      <c r="O471" s="41" t="s">
        <v>663</v>
      </c>
      <c r="P471" s="41"/>
      <c r="Q471" s="41" t="s">
        <v>2041</v>
      </c>
      <c r="R471" s="41"/>
      <c r="S471" s="41"/>
      <c r="T471" s="41" t="s">
        <v>2307</v>
      </c>
      <c r="U471" s="120" t="s">
        <v>2308</v>
      </c>
      <c r="V471" s="41" t="s">
        <v>1821</v>
      </c>
      <c r="W471" s="41" t="s">
        <v>1</v>
      </c>
      <c r="X471" s="41"/>
      <c r="Z471" s="41"/>
      <c r="AA471" s="41"/>
      <c r="AB471" s="42" t="s">
        <v>133</v>
      </c>
      <c r="AC471" s="42" t="s">
        <v>456</v>
      </c>
      <c r="AD471" s="42"/>
      <c r="AE471" s="43"/>
      <c r="AF471" s="43"/>
      <c r="AG471" s="42"/>
      <c r="AH471" s="25" t="s">
        <v>36</v>
      </c>
      <c r="AI471" s="25" t="s">
        <v>349</v>
      </c>
      <c r="AK471" s="40" t="s">
        <v>136</v>
      </c>
      <c r="AL471" s="40"/>
      <c r="AX471" s="27"/>
      <c r="AY471" s="27"/>
      <c r="BK471" s="27"/>
      <c r="BL471" s="27"/>
      <c r="BX471" s="27"/>
      <c r="BY471" s="27"/>
      <c r="CH471" s="29"/>
      <c r="DE471" s="23" t="s">
        <v>3347</v>
      </c>
    </row>
    <row r="472" spans="1:109" x14ac:dyDescent="0.2">
      <c r="A472" s="18">
        <v>10001</v>
      </c>
      <c r="B472" s="19">
        <v>2</v>
      </c>
      <c r="C472" s="19">
        <f t="shared" si="60"/>
        <v>100010002</v>
      </c>
      <c r="D472" s="23" t="s">
        <v>1005</v>
      </c>
      <c r="E472" s="20" t="s">
        <v>109</v>
      </c>
      <c r="I472" s="22" t="s">
        <v>206</v>
      </c>
      <c r="J472" s="22"/>
      <c r="K472" s="22"/>
      <c r="L472" s="22"/>
      <c r="M472" s="22"/>
      <c r="N472" s="22" t="s">
        <v>163</v>
      </c>
      <c r="O472" s="22" t="s">
        <v>163</v>
      </c>
      <c r="P472" s="22"/>
      <c r="Q472" s="22" t="s">
        <v>2041</v>
      </c>
      <c r="R472" s="22"/>
      <c r="S472" s="22"/>
      <c r="T472" s="22" t="s">
        <v>2307</v>
      </c>
      <c r="U472" s="116" t="s">
        <v>2309</v>
      </c>
      <c r="V472" s="22" t="s">
        <v>109</v>
      </c>
      <c r="W472" s="22" t="s">
        <v>1</v>
      </c>
      <c r="X472" s="22"/>
      <c r="Z472" s="22"/>
      <c r="AA472" s="22"/>
      <c r="AB472" s="22"/>
      <c r="AC472" s="22" t="s">
        <v>456</v>
      </c>
      <c r="AD472" s="22"/>
      <c r="AE472" s="24"/>
      <c r="AF472" s="24" t="s">
        <v>2043</v>
      </c>
      <c r="AG472" s="22"/>
      <c r="AH472" s="25" t="s">
        <v>37</v>
      </c>
      <c r="AI472" s="25" t="s">
        <v>350</v>
      </c>
      <c r="AK472" s="40" t="s">
        <v>139</v>
      </c>
      <c r="AL472" s="40"/>
      <c r="AX472" s="27"/>
      <c r="AY472" s="27"/>
      <c r="BK472" s="27"/>
      <c r="BL472" s="27"/>
      <c r="BX472" s="27"/>
      <c r="BY472" s="27"/>
      <c r="CH472" s="29"/>
    </row>
    <row r="473" spans="1:109" x14ac:dyDescent="0.2">
      <c r="A473" s="18">
        <v>10001</v>
      </c>
      <c r="B473" s="19">
        <v>3</v>
      </c>
      <c r="C473" s="19">
        <f t="shared" si="60"/>
        <v>100010003</v>
      </c>
      <c r="D473" s="23" t="s">
        <v>1006</v>
      </c>
      <c r="E473" s="20" t="s">
        <v>109</v>
      </c>
      <c r="I473" s="22" t="s">
        <v>206</v>
      </c>
      <c r="J473" s="22"/>
      <c r="K473" s="22"/>
      <c r="L473" s="22"/>
      <c r="M473" s="22"/>
      <c r="N473" s="22" t="s">
        <v>163</v>
      </c>
      <c r="O473" s="22" t="s">
        <v>163</v>
      </c>
      <c r="P473" s="22"/>
      <c r="Q473" s="22" t="s">
        <v>2041</v>
      </c>
      <c r="R473" s="22"/>
      <c r="S473" s="22"/>
      <c r="T473" s="22" t="s">
        <v>2307</v>
      </c>
      <c r="U473" s="116" t="s">
        <v>2310</v>
      </c>
      <c r="V473" s="22" t="s">
        <v>109</v>
      </c>
      <c r="W473" s="22" t="s">
        <v>1</v>
      </c>
      <c r="X473" s="22"/>
      <c r="Z473" s="22"/>
      <c r="AA473" s="22"/>
      <c r="AB473" s="22"/>
      <c r="AC473" s="22" t="s">
        <v>456</v>
      </c>
      <c r="AD473" s="22"/>
      <c r="AE473" s="24"/>
      <c r="AF473" s="24" t="s">
        <v>2043</v>
      </c>
      <c r="AG473" s="22"/>
      <c r="AH473" s="25" t="s">
        <v>38</v>
      </c>
      <c r="AI473" s="25" t="s">
        <v>347</v>
      </c>
      <c r="AK473" s="40" t="s">
        <v>373</v>
      </c>
      <c r="AL473" s="40"/>
      <c r="AX473" s="27"/>
      <c r="AY473" s="27"/>
      <c r="BK473" s="27"/>
      <c r="BL473" s="27"/>
      <c r="BX473" s="27"/>
      <c r="BY473" s="27"/>
      <c r="CH473" s="29"/>
    </row>
    <row r="474" spans="1:109" x14ac:dyDescent="0.2">
      <c r="A474" s="18">
        <v>10001</v>
      </c>
      <c r="B474" s="19">
        <v>4</v>
      </c>
      <c r="C474" s="19">
        <f t="shared" si="60"/>
        <v>100010004</v>
      </c>
      <c r="D474" s="23" t="s">
        <v>1007</v>
      </c>
      <c r="E474" s="20" t="s">
        <v>109</v>
      </c>
      <c r="I474" s="22" t="s">
        <v>206</v>
      </c>
      <c r="J474" s="22"/>
      <c r="K474" s="22"/>
      <c r="L474" s="22"/>
      <c r="M474" s="22"/>
      <c r="N474" s="22" t="s">
        <v>163</v>
      </c>
      <c r="O474" s="22" t="s">
        <v>163</v>
      </c>
      <c r="P474" s="22"/>
      <c r="Q474" s="22" t="s">
        <v>2041</v>
      </c>
      <c r="R474" s="22"/>
      <c r="S474" s="22"/>
      <c r="T474" s="22" t="s">
        <v>2307</v>
      </c>
      <c r="U474" s="116" t="s">
        <v>2311</v>
      </c>
      <c r="V474" s="22" t="s">
        <v>109</v>
      </c>
      <c r="W474" s="22" t="s">
        <v>1</v>
      </c>
      <c r="X474" s="22"/>
      <c r="Z474" s="22"/>
      <c r="AA474" s="22"/>
      <c r="AB474" s="22"/>
      <c r="AC474" s="22" t="s">
        <v>456</v>
      </c>
      <c r="AD474" s="22"/>
      <c r="AE474" s="24"/>
      <c r="AF474" s="24" t="s">
        <v>2043</v>
      </c>
      <c r="AG474" s="22"/>
      <c r="AH474" s="25" t="s">
        <v>39</v>
      </c>
      <c r="AI474" s="25" t="s">
        <v>345</v>
      </c>
      <c r="AK474" s="40" t="s">
        <v>374</v>
      </c>
      <c r="AL474" s="40"/>
      <c r="AX474" s="27"/>
      <c r="AY474" s="27"/>
      <c r="BK474" s="27"/>
      <c r="BL474" s="27"/>
      <c r="BX474" s="27"/>
      <c r="BY474" s="27"/>
      <c r="CH474" s="29"/>
    </row>
    <row r="475" spans="1:109" x14ac:dyDescent="0.2">
      <c r="A475" s="18">
        <v>10001</v>
      </c>
      <c r="B475" s="19">
        <v>5</v>
      </c>
      <c r="C475" s="19">
        <f t="shared" si="60"/>
        <v>100010005</v>
      </c>
      <c r="D475" s="23" t="s">
        <v>1008</v>
      </c>
      <c r="E475" s="20" t="s">
        <v>109</v>
      </c>
      <c r="I475" s="22" t="s">
        <v>206</v>
      </c>
      <c r="J475" s="22"/>
      <c r="K475" s="22"/>
      <c r="L475" s="22"/>
      <c r="M475" s="22"/>
      <c r="N475" s="22" t="s">
        <v>163</v>
      </c>
      <c r="O475" s="22" t="s">
        <v>163</v>
      </c>
      <c r="P475" s="22"/>
      <c r="Q475" s="22" t="s">
        <v>2041</v>
      </c>
      <c r="R475" s="22"/>
      <c r="S475" s="22"/>
      <c r="T475" s="22" t="s">
        <v>2307</v>
      </c>
      <c r="U475" s="116" t="s">
        <v>2312</v>
      </c>
      <c r="V475" s="22" t="s">
        <v>109</v>
      </c>
      <c r="W475" s="22" t="s">
        <v>1</v>
      </c>
      <c r="X475" s="22"/>
      <c r="Z475" s="22"/>
      <c r="AA475" s="22"/>
      <c r="AB475" s="22"/>
      <c r="AC475" s="22" t="s">
        <v>456</v>
      </c>
      <c r="AD475" s="22"/>
      <c r="AE475" s="24"/>
      <c r="AF475" s="24" t="s">
        <v>2043</v>
      </c>
      <c r="AG475" s="22"/>
      <c r="AH475" s="25" t="s">
        <v>40</v>
      </c>
      <c r="AI475" s="25" t="s">
        <v>346</v>
      </c>
      <c r="AK475" s="40" t="s">
        <v>375</v>
      </c>
      <c r="AL475" s="40"/>
      <c r="AX475" s="27"/>
      <c r="AY475" s="27"/>
      <c r="BK475" s="27"/>
      <c r="BL475" s="27"/>
      <c r="BX475" s="27"/>
      <c r="BY475" s="27"/>
      <c r="CH475" s="29"/>
    </row>
    <row r="476" spans="1:109" x14ac:dyDescent="0.2">
      <c r="A476" s="18">
        <v>10002</v>
      </c>
      <c r="B476" s="19">
        <v>1</v>
      </c>
      <c r="C476" s="19">
        <f t="shared" si="60"/>
        <v>100020001</v>
      </c>
      <c r="D476" s="23" t="s">
        <v>1009</v>
      </c>
      <c r="E476" s="20" t="s">
        <v>109</v>
      </c>
      <c r="I476" s="22" t="s">
        <v>206</v>
      </c>
      <c r="J476" s="22"/>
      <c r="K476" s="22"/>
      <c r="L476" s="22"/>
      <c r="M476" s="22"/>
      <c r="N476" s="22" t="s">
        <v>163</v>
      </c>
      <c r="O476" s="22" t="s">
        <v>163</v>
      </c>
      <c r="P476" s="22"/>
      <c r="Q476" s="22" t="s">
        <v>2041</v>
      </c>
      <c r="R476" s="22"/>
      <c r="S476" s="22"/>
      <c r="T476" s="22" t="s">
        <v>2307</v>
      </c>
      <c r="U476" s="116" t="s">
        <v>2313</v>
      </c>
      <c r="V476" s="22" t="s">
        <v>109</v>
      </c>
      <c r="W476" s="22" t="s">
        <v>1</v>
      </c>
      <c r="X476" s="22"/>
      <c r="Z476" s="22"/>
      <c r="AA476" s="22"/>
      <c r="AB476" s="22"/>
      <c r="AC476" s="22" t="s">
        <v>457</v>
      </c>
      <c r="AD476" s="22"/>
      <c r="AE476" s="24"/>
      <c r="AF476" s="24" t="s">
        <v>2043</v>
      </c>
      <c r="AG476" s="22"/>
      <c r="AH476" s="25" t="s">
        <v>41</v>
      </c>
      <c r="AI476" s="25" t="s">
        <v>349</v>
      </c>
      <c r="AK476" s="40" t="s">
        <v>136</v>
      </c>
      <c r="AL476" s="40"/>
      <c r="AX476" s="27"/>
      <c r="AY476" s="27"/>
      <c r="BK476" s="27"/>
      <c r="BL476" s="27"/>
      <c r="BX476" s="27"/>
      <c r="BY476" s="27"/>
      <c r="CH476" s="29"/>
    </row>
    <row r="477" spans="1:109" x14ac:dyDescent="0.2">
      <c r="A477" s="18">
        <v>10002</v>
      </c>
      <c r="B477" s="19">
        <v>2</v>
      </c>
      <c r="C477" s="19">
        <f t="shared" si="60"/>
        <v>100020002</v>
      </c>
      <c r="D477" s="23" t="s">
        <v>1010</v>
      </c>
      <c r="E477" s="20" t="s">
        <v>109</v>
      </c>
      <c r="I477" s="22" t="s">
        <v>206</v>
      </c>
      <c r="J477" s="22"/>
      <c r="K477" s="22"/>
      <c r="L477" s="22"/>
      <c r="M477" s="22"/>
      <c r="N477" s="22" t="s">
        <v>163</v>
      </c>
      <c r="O477" s="22" t="s">
        <v>163</v>
      </c>
      <c r="P477" s="22"/>
      <c r="Q477" s="22" t="s">
        <v>2041</v>
      </c>
      <c r="R477" s="22"/>
      <c r="S477" s="22"/>
      <c r="T477" s="22" t="s">
        <v>2307</v>
      </c>
      <c r="U477" s="116" t="s">
        <v>2314</v>
      </c>
      <c r="V477" s="22" t="s">
        <v>109</v>
      </c>
      <c r="W477" s="22" t="s">
        <v>1</v>
      </c>
      <c r="X477" s="22"/>
      <c r="Z477" s="22"/>
      <c r="AA477" s="22"/>
      <c r="AB477" s="22"/>
      <c r="AC477" s="22" t="s">
        <v>457</v>
      </c>
      <c r="AD477" s="22"/>
      <c r="AE477" s="24"/>
      <c r="AF477" s="24" t="s">
        <v>2043</v>
      </c>
      <c r="AG477" s="22"/>
      <c r="AH477" s="25" t="s">
        <v>42</v>
      </c>
      <c r="AI477" s="25" t="s">
        <v>350</v>
      </c>
      <c r="AK477" s="40" t="s">
        <v>139</v>
      </c>
      <c r="AL477" s="40"/>
      <c r="AX477" s="27"/>
      <c r="AY477" s="27"/>
      <c r="BK477" s="27"/>
      <c r="BL477" s="27"/>
      <c r="BX477" s="27"/>
      <c r="BY477" s="27"/>
      <c r="CH477" s="29"/>
    </row>
    <row r="478" spans="1:109" x14ac:dyDescent="0.2">
      <c r="A478" s="18">
        <v>10002</v>
      </c>
      <c r="B478" s="19">
        <v>3</v>
      </c>
      <c r="C478" s="19">
        <f t="shared" si="60"/>
        <v>100020003</v>
      </c>
      <c r="D478" s="23" t="s">
        <v>1011</v>
      </c>
      <c r="E478" s="20" t="s">
        <v>109</v>
      </c>
      <c r="I478" s="22" t="s">
        <v>206</v>
      </c>
      <c r="J478" s="22"/>
      <c r="K478" s="22"/>
      <c r="L478" s="22"/>
      <c r="M478" s="22"/>
      <c r="N478" s="22" t="s">
        <v>163</v>
      </c>
      <c r="O478" s="22" t="s">
        <v>163</v>
      </c>
      <c r="P478" s="22"/>
      <c r="Q478" s="22" t="s">
        <v>2041</v>
      </c>
      <c r="R478" s="22"/>
      <c r="S478" s="22"/>
      <c r="T478" s="22" t="s">
        <v>2307</v>
      </c>
      <c r="U478" s="116" t="s">
        <v>2315</v>
      </c>
      <c r="V478" s="22" t="s">
        <v>109</v>
      </c>
      <c r="W478" s="22" t="s">
        <v>1</v>
      </c>
      <c r="X478" s="22"/>
      <c r="Z478" s="22"/>
      <c r="AA478" s="22"/>
      <c r="AB478" s="22"/>
      <c r="AC478" s="22" t="s">
        <v>457</v>
      </c>
      <c r="AD478" s="22"/>
      <c r="AE478" s="24"/>
      <c r="AF478" s="24" t="s">
        <v>2043</v>
      </c>
      <c r="AG478" s="22"/>
      <c r="AH478" s="25" t="s">
        <v>43</v>
      </c>
      <c r="AI478" s="25" t="s">
        <v>347</v>
      </c>
      <c r="AK478" s="40" t="s">
        <v>373</v>
      </c>
      <c r="AL478" s="40"/>
      <c r="AX478" s="27"/>
      <c r="AY478" s="27"/>
      <c r="BK478" s="27"/>
      <c r="BL478" s="27"/>
      <c r="BX478" s="27"/>
      <c r="BY478" s="27"/>
      <c r="CH478" s="29"/>
    </row>
    <row r="479" spans="1:109" x14ac:dyDescent="0.2">
      <c r="A479" s="18">
        <v>10002</v>
      </c>
      <c r="B479" s="19">
        <v>4</v>
      </c>
      <c r="C479" s="19">
        <f t="shared" si="60"/>
        <v>100020004</v>
      </c>
      <c r="D479" s="23" t="s">
        <v>1012</v>
      </c>
      <c r="E479" s="20" t="s">
        <v>109</v>
      </c>
      <c r="I479" s="22" t="s">
        <v>206</v>
      </c>
      <c r="J479" s="22"/>
      <c r="K479" s="22"/>
      <c r="L479" s="22"/>
      <c r="M479" s="22"/>
      <c r="N479" s="22" t="s">
        <v>163</v>
      </c>
      <c r="O479" s="22" t="s">
        <v>163</v>
      </c>
      <c r="P479" s="22"/>
      <c r="Q479" s="22" t="s">
        <v>2041</v>
      </c>
      <c r="R479" s="22"/>
      <c r="S479" s="22"/>
      <c r="T479" s="22" t="s">
        <v>2307</v>
      </c>
      <c r="U479" s="116" t="s">
        <v>2316</v>
      </c>
      <c r="V479" s="22" t="s">
        <v>109</v>
      </c>
      <c r="W479" s="22" t="s">
        <v>1</v>
      </c>
      <c r="X479" s="22"/>
      <c r="Z479" s="22"/>
      <c r="AA479" s="22"/>
      <c r="AB479" s="22"/>
      <c r="AC479" s="22" t="s">
        <v>457</v>
      </c>
      <c r="AD479" s="22"/>
      <c r="AE479" s="24"/>
      <c r="AF479" s="24" t="s">
        <v>2043</v>
      </c>
      <c r="AG479" s="22"/>
      <c r="AH479" s="25" t="s">
        <v>44</v>
      </c>
      <c r="AI479" s="25" t="s">
        <v>345</v>
      </c>
      <c r="AK479" s="40" t="s">
        <v>374</v>
      </c>
      <c r="AL479" s="40"/>
      <c r="AX479" s="27"/>
      <c r="AY479" s="27"/>
      <c r="BK479" s="27"/>
      <c r="BL479" s="27"/>
      <c r="BX479" s="27"/>
      <c r="BY479" s="27"/>
      <c r="CH479" s="29"/>
    </row>
    <row r="480" spans="1:109" x14ac:dyDescent="0.2">
      <c r="A480" s="18">
        <v>10002</v>
      </c>
      <c r="B480" s="19">
        <v>5</v>
      </c>
      <c r="C480" s="19">
        <f t="shared" si="60"/>
        <v>100020005</v>
      </c>
      <c r="D480" s="23" t="s">
        <v>1013</v>
      </c>
      <c r="E480" s="20" t="s">
        <v>109</v>
      </c>
      <c r="I480" s="22" t="s">
        <v>206</v>
      </c>
      <c r="J480" s="22"/>
      <c r="K480" s="22"/>
      <c r="L480" s="22"/>
      <c r="M480" s="22"/>
      <c r="N480" s="22" t="s">
        <v>163</v>
      </c>
      <c r="O480" s="22" t="s">
        <v>163</v>
      </c>
      <c r="P480" s="22"/>
      <c r="Q480" s="22" t="s">
        <v>2041</v>
      </c>
      <c r="R480" s="22"/>
      <c r="S480" s="22"/>
      <c r="T480" s="22" t="s">
        <v>2307</v>
      </c>
      <c r="U480" s="116" t="s">
        <v>2317</v>
      </c>
      <c r="V480" s="22" t="s">
        <v>109</v>
      </c>
      <c r="W480" s="22" t="s">
        <v>1</v>
      </c>
      <c r="X480" s="22"/>
      <c r="Z480" s="22"/>
      <c r="AA480" s="22"/>
      <c r="AB480" s="22"/>
      <c r="AC480" s="22" t="s">
        <v>457</v>
      </c>
      <c r="AD480" s="22"/>
      <c r="AE480" s="24"/>
      <c r="AF480" s="24" t="s">
        <v>2043</v>
      </c>
      <c r="AG480" s="22"/>
      <c r="AH480" s="25" t="s">
        <v>45</v>
      </c>
      <c r="AI480" s="25" t="s">
        <v>346</v>
      </c>
      <c r="AK480" s="40" t="s">
        <v>375</v>
      </c>
      <c r="AL480" s="40"/>
      <c r="AX480" s="27"/>
      <c r="AY480" s="27"/>
      <c r="BK480" s="27"/>
      <c r="BL480" s="27"/>
      <c r="BX480" s="27"/>
      <c r="BY480" s="27"/>
      <c r="CH480" s="29"/>
    </row>
    <row r="481" spans="1:86" x14ac:dyDescent="0.2">
      <c r="A481" s="18">
        <v>10003</v>
      </c>
      <c r="B481" s="19">
        <v>1</v>
      </c>
      <c r="C481" s="19">
        <f t="shared" si="60"/>
        <v>100030001</v>
      </c>
      <c r="D481" s="23" t="s">
        <v>1014</v>
      </c>
      <c r="E481" s="20" t="s">
        <v>109</v>
      </c>
      <c r="I481" s="22" t="s">
        <v>206</v>
      </c>
      <c r="J481" s="22"/>
      <c r="K481" s="22"/>
      <c r="L481" s="22"/>
      <c r="M481" s="22"/>
      <c r="N481" s="22" t="s">
        <v>163</v>
      </c>
      <c r="O481" s="22" t="s">
        <v>163</v>
      </c>
      <c r="P481" s="22"/>
      <c r="Q481" s="22" t="s">
        <v>2041</v>
      </c>
      <c r="R481" s="22"/>
      <c r="S481" s="22"/>
      <c r="T481" s="22" t="s">
        <v>2307</v>
      </c>
      <c r="U481" s="116" t="s">
        <v>2318</v>
      </c>
      <c r="V481" s="22" t="s">
        <v>109</v>
      </c>
      <c r="W481" s="22" t="s">
        <v>1</v>
      </c>
      <c r="X481" s="22"/>
      <c r="Z481" s="22"/>
      <c r="AA481" s="22"/>
      <c r="AB481" s="22"/>
      <c r="AC481" s="22" t="s">
        <v>458</v>
      </c>
      <c r="AD481" s="22"/>
      <c r="AE481" s="24"/>
      <c r="AF481" s="24" t="s">
        <v>2043</v>
      </c>
      <c r="AG481" s="22"/>
      <c r="AH481" s="25" t="s">
        <v>46</v>
      </c>
      <c r="AI481" s="25" t="s">
        <v>349</v>
      </c>
      <c r="AK481" s="40" t="s">
        <v>136</v>
      </c>
      <c r="AL481" s="40"/>
      <c r="AX481" s="27"/>
      <c r="AY481" s="27"/>
      <c r="BK481" s="27"/>
      <c r="BL481" s="27"/>
      <c r="BX481" s="27"/>
      <c r="BY481" s="27"/>
      <c r="CH481" s="29"/>
    </row>
    <row r="482" spans="1:86" x14ac:dyDescent="0.2">
      <c r="A482" s="18">
        <v>10003</v>
      </c>
      <c r="B482" s="19">
        <v>2</v>
      </c>
      <c r="C482" s="19">
        <f t="shared" si="60"/>
        <v>100030002</v>
      </c>
      <c r="D482" s="23" t="s">
        <v>1015</v>
      </c>
      <c r="E482" s="20" t="s">
        <v>109</v>
      </c>
      <c r="I482" s="22" t="s">
        <v>206</v>
      </c>
      <c r="J482" s="22"/>
      <c r="K482" s="22"/>
      <c r="L482" s="22"/>
      <c r="M482" s="22"/>
      <c r="N482" s="22" t="s">
        <v>163</v>
      </c>
      <c r="O482" s="22" t="s">
        <v>163</v>
      </c>
      <c r="P482" s="22"/>
      <c r="Q482" s="22" t="s">
        <v>2041</v>
      </c>
      <c r="R482" s="22"/>
      <c r="S482" s="22"/>
      <c r="T482" s="22" t="s">
        <v>2307</v>
      </c>
      <c r="U482" s="116" t="s">
        <v>2319</v>
      </c>
      <c r="V482" s="22" t="s">
        <v>109</v>
      </c>
      <c r="W482" s="22" t="s">
        <v>1</v>
      </c>
      <c r="X482" s="22"/>
      <c r="Z482" s="22"/>
      <c r="AA482" s="22"/>
      <c r="AB482" s="22"/>
      <c r="AC482" s="22" t="s">
        <v>458</v>
      </c>
      <c r="AD482" s="22"/>
      <c r="AE482" s="24"/>
      <c r="AF482" s="24" t="s">
        <v>2043</v>
      </c>
      <c r="AG482" s="22"/>
      <c r="AH482" s="25" t="s">
        <v>47</v>
      </c>
      <c r="AI482" s="25" t="s">
        <v>350</v>
      </c>
      <c r="AK482" s="40" t="s">
        <v>139</v>
      </c>
      <c r="AL482" s="40"/>
      <c r="AX482" s="27"/>
      <c r="AY482" s="27"/>
      <c r="BK482" s="27"/>
      <c r="BL482" s="27"/>
      <c r="BX482" s="27"/>
      <c r="BY482" s="27"/>
      <c r="CH482" s="29"/>
    </row>
    <row r="483" spans="1:86" x14ac:dyDescent="0.2">
      <c r="A483" s="18">
        <v>10003</v>
      </c>
      <c r="B483" s="19">
        <v>3</v>
      </c>
      <c r="C483" s="19">
        <f t="shared" si="60"/>
        <v>100030003</v>
      </c>
      <c r="D483" s="23" t="s">
        <v>1016</v>
      </c>
      <c r="E483" s="20" t="s">
        <v>109</v>
      </c>
      <c r="I483" s="22" t="s">
        <v>206</v>
      </c>
      <c r="J483" s="22"/>
      <c r="K483" s="22"/>
      <c r="L483" s="22"/>
      <c r="M483" s="22"/>
      <c r="N483" s="22" t="s">
        <v>163</v>
      </c>
      <c r="O483" s="22" t="s">
        <v>163</v>
      </c>
      <c r="P483" s="22"/>
      <c r="Q483" s="22" t="s">
        <v>2041</v>
      </c>
      <c r="R483" s="22"/>
      <c r="S483" s="22"/>
      <c r="T483" s="22" t="s">
        <v>2307</v>
      </c>
      <c r="U483" s="116" t="s">
        <v>2320</v>
      </c>
      <c r="V483" s="22" t="s">
        <v>109</v>
      </c>
      <c r="W483" s="22" t="s">
        <v>1</v>
      </c>
      <c r="X483" s="22"/>
      <c r="Z483" s="22"/>
      <c r="AA483" s="22"/>
      <c r="AB483" s="22"/>
      <c r="AC483" s="22" t="s">
        <v>458</v>
      </c>
      <c r="AD483" s="22"/>
      <c r="AE483" s="24"/>
      <c r="AF483" s="24" t="s">
        <v>2043</v>
      </c>
      <c r="AG483" s="22"/>
      <c r="AH483" s="25" t="s">
        <v>48</v>
      </c>
      <c r="AI483" s="25" t="s">
        <v>347</v>
      </c>
      <c r="AK483" s="40" t="s">
        <v>373</v>
      </c>
      <c r="AL483" s="40"/>
      <c r="AX483" s="27"/>
      <c r="AY483" s="27"/>
      <c r="BK483" s="27"/>
      <c r="BL483" s="27"/>
      <c r="BX483" s="27"/>
      <c r="BY483" s="27"/>
      <c r="CH483" s="29"/>
    </row>
    <row r="484" spans="1:86" x14ac:dyDescent="0.2">
      <c r="A484" s="18">
        <v>10003</v>
      </c>
      <c r="B484" s="19">
        <v>4</v>
      </c>
      <c r="C484" s="19">
        <f t="shared" si="60"/>
        <v>100030004</v>
      </c>
      <c r="D484" s="23" t="s">
        <v>1017</v>
      </c>
      <c r="E484" s="20" t="s">
        <v>109</v>
      </c>
      <c r="I484" s="22" t="s">
        <v>206</v>
      </c>
      <c r="J484" s="22"/>
      <c r="K484" s="22"/>
      <c r="L484" s="22"/>
      <c r="M484" s="22"/>
      <c r="N484" s="22" t="s">
        <v>163</v>
      </c>
      <c r="O484" s="22" t="s">
        <v>163</v>
      </c>
      <c r="P484" s="22"/>
      <c r="Q484" s="22" t="s">
        <v>2041</v>
      </c>
      <c r="R484" s="22"/>
      <c r="S484" s="22"/>
      <c r="T484" s="22" t="s">
        <v>2307</v>
      </c>
      <c r="U484" s="116" t="s">
        <v>2321</v>
      </c>
      <c r="V484" s="22" t="s">
        <v>109</v>
      </c>
      <c r="W484" s="22" t="s">
        <v>1</v>
      </c>
      <c r="X484" s="22"/>
      <c r="Z484" s="22"/>
      <c r="AA484" s="22"/>
      <c r="AB484" s="22"/>
      <c r="AC484" s="22" t="s">
        <v>458</v>
      </c>
      <c r="AD484" s="22"/>
      <c r="AE484" s="24"/>
      <c r="AF484" s="24" t="s">
        <v>2043</v>
      </c>
      <c r="AG484" s="22"/>
      <c r="AH484" s="25" t="s">
        <v>49</v>
      </c>
      <c r="AI484" s="25" t="s">
        <v>345</v>
      </c>
      <c r="AK484" s="40" t="s">
        <v>374</v>
      </c>
      <c r="AL484" s="40"/>
      <c r="AX484" s="27"/>
      <c r="AY484" s="27"/>
      <c r="BK484" s="27"/>
      <c r="BL484" s="27"/>
      <c r="BX484" s="27"/>
      <c r="BY484" s="27"/>
      <c r="CH484" s="29"/>
    </row>
    <row r="485" spans="1:86" x14ac:dyDescent="0.2">
      <c r="A485" s="18">
        <v>10003</v>
      </c>
      <c r="B485" s="19">
        <v>5</v>
      </c>
      <c r="C485" s="19">
        <f t="shared" si="60"/>
        <v>100030005</v>
      </c>
      <c r="D485" s="23" t="s">
        <v>1018</v>
      </c>
      <c r="E485" s="20" t="s">
        <v>109</v>
      </c>
      <c r="I485" s="22" t="s">
        <v>206</v>
      </c>
      <c r="J485" s="22"/>
      <c r="K485" s="22"/>
      <c r="L485" s="22"/>
      <c r="M485" s="22"/>
      <c r="N485" s="22" t="s">
        <v>163</v>
      </c>
      <c r="O485" s="22" t="s">
        <v>163</v>
      </c>
      <c r="P485" s="22"/>
      <c r="Q485" s="22" t="s">
        <v>2041</v>
      </c>
      <c r="R485" s="22"/>
      <c r="S485" s="22"/>
      <c r="T485" s="22" t="s">
        <v>2307</v>
      </c>
      <c r="U485" s="116" t="s">
        <v>2322</v>
      </c>
      <c r="V485" s="22" t="s">
        <v>109</v>
      </c>
      <c r="W485" s="22" t="s">
        <v>1</v>
      </c>
      <c r="X485" s="22"/>
      <c r="Z485" s="22"/>
      <c r="AA485" s="22"/>
      <c r="AB485" s="22"/>
      <c r="AC485" s="22" t="s">
        <v>458</v>
      </c>
      <c r="AD485" s="22"/>
      <c r="AE485" s="24"/>
      <c r="AF485" s="24" t="s">
        <v>2043</v>
      </c>
      <c r="AG485" s="22"/>
      <c r="AH485" s="25" t="s">
        <v>50</v>
      </c>
      <c r="AI485" s="25" t="s">
        <v>346</v>
      </c>
      <c r="AK485" s="40" t="s">
        <v>375</v>
      </c>
      <c r="AL485" s="40"/>
      <c r="AX485" s="27"/>
      <c r="AY485" s="27"/>
      <c r="BK485" s="27"/>
      <c r="BL485" s="27"/>
      <c r="BX485" s="27"/>
      <c r="BY485" s="27"/>
      <c r="CH485" s="29"/>
    </row>
    <row r="486" spans="1:86" x14ac:dyDescent="0.2">
      <c r="A486" s="18">
        <v>10004</v>
      </c>
      <c r="B486" s="19">
        <v>1</v>
      </c>
      <c r="C486" s="19">
        <f t="shared" si="60"/>
        <v>100040001</v>
      </c>
      <c r="D486" s="23" t="s">
        <v>1019</v>
      </c>
      <c r="E486" s="20" t="s">
        <v>109</v>
      </c>
      <c r="I486" s="22" t="s">
        <v>206</v>
      </c>
      <c r="J486" s="22"/>
      <c r="K486" s="22"/>
      <c r="L486" s="22"/>
      <c r="M486" s="22"/>
      <c r="N486" s="22" t="s">
        <v>163</v>
      </c>
      <c r="O486" s="22" t="s">
        <v>163</v>
      </c>
      <c r="P486" s="22"/>
      <c r="Q486" s="22" t="s">
        <v>2041</v>
      </c>
      <c r="R486" s="22"/>
      <c r="S486" s="22"/>
      <c r="T486" s="22" t="s">
        <v>2307</v>
      </c>
      <c r="U486" s="116" t="s">
        <v>2323</v>
      </c>
      <c r="V486" s="22" t="s">
        <v>109</v>
      </c>
      <c r="W486" s="22" t="s">
        <v>1</v>
      </c>
      <c r="X486" s="22"/>
      <c r="Z486" s="22"/>
      <c r="AA486" s="22"/>
      <c r="AB486" s="22"/>
      <c r="AC486" s="22" t="s">
        <v>459</v>
      </c>
      <c r="AD486" s="22"/>
      <c r="AE486" s="24"/>
      <c r="AF486" s="24" t="s">
        <v>2043</v>
      </c>
      <c r="AG486" s="22"/>
      <c r="AH486" s="25" t="s">
        <v>51</v>
      </c>
      <c r="AI486" s="25" t="s">
        <v>349</v>
      </c>
      <c r="AK486" s="40" t="s">
        <v>136</v>
      </c>
      <c r="AL486" s="40"/>
      <c r="AX486" s="27"/>
      <c r="AY486" s="27"/>
      <c r="BK486" s="27"/>
      <c r="BL486" s="27"/>
      <c r="BX486" s="27"/>
      <c r="BY486" s="27"/>
      <c r="CH486" s="29"/>
    </row>
    <row r="487" spans="1:86" x14ac:dyDescent="0.2">
      <c r="A487" s="18">
        <v>10004</v>
      </c>
      <c r="B487" s="19">
        <v>2</v>
      </c>
      <c r="C487" s="19">
        <f t="shared" si="60"/>
        <v>100040002</v>
      </c>
      <c r="D487" s="23" t="s">
        <v>1020</v>
      </c>
      <c r="E487" s="20" t="s">
        <v>109</v>
      </c>
      <c r="I487" s="22" t="s">
        <v>206</v>
      </c>
      <c r="J487" s="22"/>
      <c r="K487" s="22"/>
      <c r="L487" s="22"/>
      <c r="M487" s="22"/>
      <c r="N487" s="22" t="s">
        <v>163</v>
      </c>
      <c r="O487" s="22" t="s">
        <v>163</v>
      </c>
      <c r="P487" s="22"/>
      <c r="Q487" s="22" t="s">
        <v>2041</v>
      </c>
      <c r="R487" s="22"/>
      <c r="S487" s="22"/>
      <c r="T487" s="22" t="s">
        <v>2307</v>
      </c>
      <c r="U487" s="116" t="s">
        <v>2324</v>
      </c>
      <c r="V487" s="22" t="s">
        <v>109</v>
      </c>
      <c r="W487" s="22" t="s">
        <v>1</v>
      </c>
      <c r="X487" s="22"/>
      <c r="Z487" s="22"/>
      <c r="AA487" s="22"/>
      <c r="AB487" s="22"/>
      <c r="AC487" s="22" t="s">
        <v>459</v>
      </c>
      <c r="AD487" s="22"/>
      <c r="AE487" s="24"/>
      <c r="AF487" s="24" t="s">
        <v>2043</v>
      </c>
      <c r="AG487" s="22"/>
      <c r="AH487" s="25" t="s">
        <v>52</v>
      </c>
      <c r="AI487" s="25" t="s">
        <v>350</v>
      </c>
      <c r="AK487" s="40" t="s">
        <v>139</v>
      </c>
      <c r="AL487" s="40"/>
      <c r="AX487" s="27"/>
      <c r="AY487" s="27"/>
      <c r="BK487" s="27"/>
      <c r="BL487" s="27"/>
      <c r="BX487" s="27"/>
      <c r="BY487" s="27"/>
      <c r="CH487" s="29"/>
    </row>
    <row r="488" spans="1:86" x14ac:dyDescent="0.2">
      <c r="A488" s="18">
        <v>10004</v>
      </c>
      <c r="B488" s="19">
        <v>3</v>
      </c>
      <c r="C488" s="19">
        <f t="shared" si="60"/>
        <v>100040003</v>
      </c>
      <c r="D488" s="23" t="s">
        <v>1021</v>
      </c>
      <c r="E488" s="20" t="s">
        <v>109</v>
      </c>
      <c r="I488" s="22" t="s">
        <v>206</v>
      </c>
      <c r="J488" s="22"/>
      <c r="K488" s="22"/>
      <c r="L488" s="22"/>
      <c r="M488" s="22"/>
      <c r="N488" s="22" t="s">
        <v>163</v>
      </c>
      <c r="O488" s="22" t="s">
        <v>163</v>
      </c>
      <c r="P488" s="22"/>
      <c r="Q488" s="22" t="s">
        <v>2041</v>
      </c>
      <c r="R488" s="22"/>
      <c r="S488" s="22"/>
      <c r="T488" s="22" t="s">
        <v>2307</v>
      </c>
      <c r="U488" s="116" t="s">
        <v>2325</v>
      </c>
      <c r="V488" s="22" t="s">
        <v>109</v>
      </c>
      <c r="W488" s="22" t="s">
        <v>1</v>
      </c>
      <c r="X488" s="22"/>
      <c r="Z488" s="22"/>
      <c r="AA488" s="22"/>
      <c r="AB488" s="22"/>
      <c r="AC488" s="22" t="s">
        <v>459</v>
      </c>
      <c r="AD488" s="22"/>
      <c r="AE488" s="24"/>
      <c r="AF488" s="24" t="s">
        <v>2043</v>
      </c>
      <c r="AG488" s="22"/>
      <c r="AH488" s="25" t="s">
        <v>53</v>
      </c>
      <c r="AI488" s="25" t="s">
        <v>347</v>
      </c>
      <c r="AK488" s="40" t="s">
        <v>373</v>
      </c>
      <c r="AL488" s="40"/>
      <c r="AX488" s="27"/>
      <c r="AY488" s="27"/>
      <c r="BK488" s="27"/>
      <c r="BL488" s="27"/>
      <c r="BX488" s="27"/>
      <c r="BY488" s="27"/>
      <c r="CH488" s="29"/>
    </row>
    <row r="489" spans="1:86" x14ac:dyDescent="0.2">
      <c r="A489" s="18">
        <v>10004</v>
      </c>
      <c r="B489" s="19">
        <v>4</v>
      </c>
      <c r="C489" s="19">
        <f t="shared" si="60"/>
        <v>100040004</v>
      </c>
      <c r="D489" s="23" t="s">
        <v>1022</v>
      </c>
      <c r="E489" s="20" t="s">
        <v>109</v>
      </c>
      <c r="I489" s="22" t="s">
        <v>206</v>
      </c>
      <c r="J489" s="22"/>
      <c r="K489" s="22"/>
      <c r="L489" s="22"/>
      <c r="M489" s="22"/>
      <c r="N489" s="22" t="s">
        <v>163</v>
      </c>
      <c r="O489" s="22" t="s">
        <v>163</v>
      </c>
      <c r="P489" s="22"/>
      <c r="Q489" s="22" t="s">
        <v>2041</v>
      </c>
      <c r="R489" s="22"/>
      <c r="S489" s="22"/>
      <c r="T489" s="22" t="s">
        <v>2307</v>
      </c>
      <c r="U489" s="116" t="s">
        <v>2326</v>
      </c>
      <c r="V489" s="22" t="s">
        <v>109</v>
      </c>
      <c r="W489" s="22" t="s">
        <v>1</v>
      </c>
      <c r="X489" s="22"/>
      <c r="Z489" s="22"/>
      <c r="AA489" s="22"/>
      <c r="AB489" s="22"/>
      <c r="AC489" s="22" t="s">
        <v>459</v>
      </c>
      <c r="AD489" s="22"/>
      <c r="AE489" s="24"/>
      <c r="AF489" s="24" t="s">
        <v>2043</v>
      </c>
      <c r="AG489" s="22"/>
      <c r="AH489" s="25" t="s">
        <v>54</v>
      </c>
      <c r="AI489" s="25" t="s">
        <v>345</v>
      </c>
      <c r="AK489" s="40" t="s">
        <v>374</v>
      </c>
      <c r="AL489" s="40"/>
      <c r="AX489" s="27"/>
      <c r="AY489" s="27"/>
      <c r="BK489" s="27"/>
      <c r="BL489" s="27"/>
      <c r="BX489" s="27"/>
      <c r="BY489" s="27"/>
      <c r="CH489" s="29"/>
    </row>
    <row r="490" spans="1:86" x14ac:dyDescent="0.2">
      <c r="A490" s="18">
        <v>10004</v>
      </c>
      <c r="B490" s="19">
        <v>5</v>
      </c>
      <c r="C490" s="19">
        <f t="shared" si="60"/>
        <v>100040005</v>
      </c>
      <c r="D490" s="23" t="s">
        <v>1023</v>
      </c>
      <c r="E490" s="20" t="s">
        <v>109</v>
      </c>
      <c r="I490" s="22" t="s">
        <v>206</v>
      </c>
      <c r="J490" s="22"/>
      <c r="K490" s="22"/>
      <c r="L490" s="22"/>
      <c r="M490" s="22"/>
      <c r="N490" s="22" t="s">
        <v>163</v>
      </c>
      <c r="O490" s="22" t="s">
        <v>163</v>
      </c>
      <c r="P490" s="22"/>
      <c r="Q490" s="22" t="s">
        <v>2041</v>
      </c>
      <c r="R490" s="22"/>
      <c r="S490" s="22"/>
      <c r="T490" s="22" t="s">
        <v>2307</v>
      </c>
      <c r="U490" s="116" t="s">
        <v>2327</v>
      </c>
      <c r="V490" s="22" t="s">
        <v>109</v>
      </c>
      <c r="W490" s="22" t="s">
        <v>1</v>
      </c>
      <c r="X490" s="22"/>
      <c r="Z490" s="22"/>
      <c r="AA490" s="22"/>
      <c r="AB490" s="22"/>
      <c r="AC490" s="22" t="s">
        <v>459</v>
      </c>
      <c r="AD490" s="22"/>
      <c r="AE490" s="24"/>
      <c r="AF490" s="24" t="s">
        <v>2043</v>
      </c>
      <c r="AG490" s="22"/>
      <c r="AH490" s="25" t="s">
        <v>55</v>
      </c>
      <c r="AI490" s="25" t="s">
        <v>346</v>
      </c>
      <c r="AK490" s="40" t="s">
        <v>375</v>
      </c>
      <c r="AL490" s="40"/>
      <c r="AX490" s="27"/>
      <c r="AY490" s="27"/>
      <c r="BK490" s="27"/>
      <c r="BL490" s="27"/>
      <c r="BX490" s="27"/>
      <c r="BY490" s="27"/>
      <c r="CH490" s="29"/>
    </row>
    <row r="491" spans="1:86" x14ac:dyDescent="0.2">
      <c r="A491" s="18">
        <v>10005</v>
      </c>
      <c r="B491" s="19">
        <v>1</v>
      </c>
      <c r="C491" s="19">
        <f t="shared" si="60"/>
        <v>100050001</v>
      </c>
      <c r="D491" s="23" t="s">
        <v>1024</v>
      </c>
      <c r="E491" s="20" t="s">
        <v>109</v>
      </c>
      <c r="I491" s="22" t="s">
        <v>206</v>
      </c>
      <c r="J491" s="22"/>
      <c r="K491" s="22"/>
      <c r="L491" s="22"/>
      <c r="M491" s="22"/>
      <c r="N491" s="22" t="s">
        <v>163</v>
      </c>
      <c r="O491" s="22" t="s">
        <v>163</v>
      </c>
      <c r="P491" s="22"/>
      <c r="Q491" s="22" t="s">
        <v>2041</v>
      </c>
      <c r="R491" s="22"/>
      <c r="S491" s="22"/>
      <c r="T491" s="22" t="s">
        <v>2307</v>
      </c>
      <c r="U491" s="116" t="s">
        <v>2328</v>
      </c>
      <c r="V491" s="22" t="s">
        <v>109</v>
      </c>
      <c r="W491" s="22" t="s">
        <v>1</v>
      </c>
      <c r="X491" s="22"/>
      <c r="Z491" s="22"/>
      <c r="AA491" s="22"/>
      <c r="AB491" s="22"/>
      <c r="AC491" s="22" t="s">
        <v>460</v>
      </c>
      <c r="AD491" s="22"/>
      <c r="AE491" s="24"/>
      <c r="AF491" s="24" t="s">
        <v>2043</v>
      </c>
      <c r="AG491" s="22"/>
      <c r="AI491" s="25" t="s">
        <v>349</v>
      </c>
      <c r="AK491" s="40" t="s">
        <v>136</v>
      </c>
      <c r="AL491" s="40"/>
      <c r="AX491" s="27"/>
      <c r="AY491" s="27"/>
      <c r="BK491" s="27"/>
      <c r="BL491" s="27"/>
      <c r="BX491" s="27"/>
      <c r="BY491" s="27"/>
      <c r="CH491" s="29"/>
    </row>
    <row r="492" spans="1:86" x14ac:dyDescent="0.2">
      <c r="A492" s="18">
        <v>10005</v>
      </c>
      <c r="B492" s="19">
        <v>2</v>
      </c>
      <c r="C492" s="19">
        <f t="shared" si="60"/>
        <v>100050002</v>
      </c>
      <c r="D492" s="23" t="s">
        <v>1025</v>
      </c>
      <c r="E492" s="20" t="s">
        <v>109</v>
      </c>
      <c r="I492" s="22" t="s">
        <v>206</v>
      </c>
      <c r="J492" s="22"/>
      <c r="K492" s="22"/>
      <c r="L492" s="22"/>
      <c r="M492" s="22"/>
      <c r="N492" s="22" t="s">
        <v>163</v>
      </c>
      <c r="O492" s="22" t="s">
        <v>163</v>
      </c>
      <c r="P492" s="22"/>
      <c r="Q492" s="22" t="s">
        <v>2041</v>
      </c>
      <c r="R492" s="22"/>
      <c r="S492" s="22"/>
      <c r="T492" s="22" t="s">
        <v>2307</v>
      </c>
      <c r="U492" s="116" t="s">
        <v>2329</v>
      </c>
      <c r="V492" s="22" t="s">
        <v>109</v>
      </c>
      <c r="W492" s="22" t="s">
        <v>1</v>
      </c>
      <c r="X492" s="22"/>
      <c r="Z492" s="22"/>
      <c r="AA492" s="22"/>
      <c r="AB492" s="22"/>
      <c r="AC492" s="22" t="s">
        <v>460</v>
      </c>
      <c r="AD492" s="22"/>
      <c r="AE492" s="24"/>
      <c r="AF492" s="24" t="s">
        <v>2043</v>
      </c>
      <c r="AG492" s="22"/>
      <c r="AH492" s="25" t="s">
        <v>56</v>
      </c>
      <c r="AI492" s="25" t="s">
        <v>350</v>
      </c>
      <c r="AK492" s="40" t="s">
        <v>139</v>
      </c>
      <c r="AL492" s="40"/>
      <c r="AX492" s="27"/>
      <c r="AY492" s="27"/>
      <c r="BK492" s="27"/>
      <c r="BL492" s="27"/>
      <c r="BX492" s="27"/>
      <c r="BY492" s="27"/>
      <c r="CH492" s="29"/>
    </row>
    <row r="493" spans="1:86" x14ac:dyDescent="0.2">
      <c r="A493" s="18">
        <v>10005</v>
      </c>
      <c r="B493" s="19">
        <v>3</v>
      </c>
      <c r="C493" s="19">
        <f t="shared" si="60"/>
        <v>100050003</v>
      </c>
      <c r="D493" s="23" t="s">
        <v>1026</v>
      </c>
      <c r="E493" s="20" t="s">
        <v>109</v>
      </c>
      <c r="I493" s="22" t="s">
        <v>206</v>
      </c>
      <c r="J493" s="22"/>
      <c r="K493" s="22"/>
      <c r="L493" s="22"/>
      <c r="M493" s="22"/>
      <c r="N493" s="22" t="s">
        <v>163</v>
      </c>
      <c r="O493" s="22" t="s">
        <v>163</v>
      </c>
      <c r="P493" s="22"/>
      <c r="Q493" s="22" t="s">
        <v>2041</v>
      </c>
      <c r="R493" s="22"/>
      <c r="S493" s="22"/>
      <c r="T493" s="22" t="s">
        <v>2307</v>
      </c>
      <c r="U493" s="116" t="s">
        <v>2330</v>
      </c>
      <c r="V493" s="22" t="s">
        <v>109</v>
      </c>
      <c r="W493" s="22" t="s">
        <v>1</v>
      </c>
      <c r="X493" s="22"/>
      <c r="Z493" s="22"/>
      <c r="AA493" s="22"/>
      <c r="AB493" s="22"/>
      <c r="AC493" s="22" t="s">
        <v>460</v>
      </c>
      <c r="AD493" s="22"/>
      <c r="AE493" s="24"/>
      <c r="AF493" s="24" t="s">
        <v>2043</v>
      </c>
      <c r="AG493" s="22"/>
      <c r="AH493" s="25" t="s">
        <v>57</v>
      </c>
      <c r="AI493" s="25" t="s">
        <v>347</v>
      </c>
      <c r="AK493" s="40" t="s">
        <v>373</v>
      </c>
      <c r="AL493" s="40"/>
      <c r="AX493" s="27"/>
      <c r="AY493" s="27"/>
      <c r="BK493" s="27"/>
      <c r="BL493" s="27"/>
      <c r="BX493" s="27"/>
      <c r="BY493" s="27"/>
      <c r="CH493" s="29"/>
    </row>
    <row r="494" spans="1:86" x14ac:dyDescent="0.2">
      <c r="A494" s="18">
        <v>10005</v>
      </c>
      <c r="B494" s="19">
        <v>4</v>
      </c>
      <c r="C494" s="19">
        <f t="shared" si="60"/>
        <v>100050004</v>
      </c>
      <c r="D494" s="23" t="s">
        <v>1027</v>
      </c>
      <c r="E494" s="20" t="s">
        <v>109</v>
      </c>
      <c r="I494" s="22" t="s">
        <v>206</v>
      </c>
      <c r="J494" s="22"/>
      <c r="K494" s="22"/>
      <c r="L494" s="22"/>
      <c r="M494" s="22"/>
      <c r="N494" s="22" t="s">
        <v>163</v>
      </c>
      <c r="O494" s="22" t="s">
        <v>163</v>
      </c>
      <c r="P494" s="22"/>
      <c r="Q494" s="22" t="s">
        <v>2041</v>
      </c>
      <c r="R494" s="22"/>
      <c r="S494" s="22"/>
      <c r="T494" s="22" t="s">
        <v>2307</v>
      </c>
      <c r="U494" s="116" t="s">
        <v>2331</v>
      </c>
      <c r="V494" s="22" t="s">
        <v>109</v>
      </c>
      <c r="W494" s="22" t="s">
        <v>1</v>
      </c>
      <c r="X494" s="22"/>
      <c r="Z494" s="22"/>
      <c r="AA494" s="22"/>
      <c r="AB494" s="22"/>
      <c r="AC494" s="22" t="s">
        <v>460</v>
      </c>
      <c r="AD494" s="22"/>
      <c r="AE494" s="24"/>
      <c r="AF494" s="24" t="s">
        <v>2043</v>
      </c>
      <c r="AG494" s="22"/>
      <c r="AH494" s="25" t="s">
        <v>58</v>
      </c>
      <c r="AI494" s="25" t="s">
        <v>345</v>
      </c>
      <c r="AK494" s="40" t="s">
        <v>374</v>
      </c>
      <c r="AL494" s="40"/>
      <c r="AX494" s="27"/>
      <c r="AY494" s="27"/>
      <c r="BK494" s="27"/>
      <c r="BL494" s="27"/>
      <c r="BX494" s="27"/>
      <c r="BY494" s="27"/>
      <c r="CH494" s="29"/>
    </row>
    <row r="495" spans="1:86" x14ac:dyDescent="0.2">
      <c r="A495" s="18">
        <v>10005</v>
      </c>
      <c r="B495" s="19">
        <v>5</v>
      </c>
      <c r="C495" s="19">
        <f t="shared" si="60"/>
        <v>100050005</v>
      </c>
      <c r="D495" s="23" t="s">
        <v>1028</v>
      </c>
      <c r="E495" s="20" t="s">
        <v>109</v>
      </c>
      <c r="I495" s="22" t="s">
        <v>206</v>
      </c>
      <c r="J495" s="22"/>
      <c r="K495" s="22"/>
      <c r="L495" s="22"/>
      <c r="M495" s="22"/>
      <c r="N495" s="22" t="s">
        <v>163</v>
      </c>
      <c r="O495" s="22" t="s">
        <v>163</v>
      </c>
      <c r="P495" s="22"/>
      <c r="Q495" s="22" t="s">
        <v>2041</v>
      </c>
      <c r="R495" s="22"/>
      <c r="S495" s="22"/>
      <c r="T495" s="22" t="s">
        <v>2307</v>
      </c>
      <c r="U495" s="116" t="s">
        <v>2332</v>
      </c>
      <c r="V495" s="22" t="s">
        <v>109</v>
      </c>
      <c r="W495" s="22" t="s">
        <v>1</v>
      </c>
      <c r="X495" s="22"/>
      <c r="Z495" s="22"/>
      <c r="AA495" s="22"/>
      <c r="AB495" s="22"/>
      <c r="AC495" s="22" t="s">
        <v>460</v>
      </c>
      <c r="AD495" s="22"/>
      <c r="AE495" s="24"/>
      <c r="AF495" s="24" t="s">
        <v>2043</v>
      </c>
      <c r="AG495" s="22"/>
      <c r="AH495" s="25" t="s">
        <v>59</v>
      </c>
      <c r="AI495" s="25" t="s">
        <v>346</v>
      </c>
      <c r="AK495" s="40" t="s">
        <v>375</v>
      </c>
      <c r="AL495" s="40"/>
      <c r="AX495" s="27"/>
      <c r="AY495" s="27"/>
      <c r="BK495" s="27"/>
      <c r="BL495" s="27"/>
      <c r="BX495" s="27"/>
      <c r="BY495" s="27"/>
      <c r="CH495" s="29"/>
    </row>
    <row r="496" spans="1:86" x14ac:dyDescent="0.2">
      <c r="A496" s="18">
        <v>10006</v>
      </c>
      <c r="B496" s="19">
        <v>1</v>
      </c>
      <c r="C496" s="19">
        <f t="shared" si="60"/>
        <v>100060001</v>
      </c>
      <c r="D496" s="23" t="s">
        <v>1029</v>
      </c>
      <c r="E496" s="20" t="s">
        <v>109</v>
      </c>
      <c r="I496" s="22" t="s">
        <v>206</v>
      </c>
      <c r="J496" s="22"/>
      <c r="K496" s="22"/>
      <c r="L496" s="22"/>
      <c r="M496" s="22"/>
      <c r="N496" s="22" t="s">
        <v>163</v>
      </c>
      <c r="O496" s="22" t="s">
        <v>163</v>
      </c>
      <c r="P496" s="22"/>
      <c r="Q496" s="22" t="s">
        <v>2041</v>
      </c>
      <c r="R496" s="22"/>
      <c r="S496" s="22"/>
      <c r="T496" s="22" t="s">
        <v>2307</v>
      </c>
      <c r="U496" s="116" t="s">
        <v>2333</v>
      </c>
      <c r="V496" s="22" t="s">
        <v>109</v>
      </c>
      <c r="W496" s="22" t="s">
        <v>1</v>
      </c>
      <c r="X496" s="22"/>
      <c r="Z496" s="22"/>
      <c r="AA496" s="22"/>
      <c r="AB496" s="22"/>
      <c r="AC496" s="22" t="s">
        <v>461</v>
      </c>
      <c r="AD496" s="22"/>
      <c r="AE496" s="24"/>
      <c r="AF496" s="24" t="s">
        <v>2043</v>
      </c>
      <c r="AG496" s="22"/>
      <c r="AI496" s="25" t="s">
        <v>349</v>
      </c>
      <c r="AK496" s="40" t="s">
        <v>136</v>
      </c>
      <c r="AL496" s="40"/>
      <c r="AX496" s="27"/>
      <c r="AY496" s="27"/>
      <c r="BK496" s="27"/>
      <c r="BL496" s="27"/>
      <c r="BX496" s="27"/>
      <c r="BY496" s="27"/>
      <c r="CH496" s="29"/>
    </row>
    <row r="497" spans="1:86" x14ac:dyDescent="0.2">
      <c r="A497" s="18">
        <v>10006</v>
      </c>
      <c r="B497" s="19">
        <v>2</v>
      </c>
      <c r="C497" s="19">
        <f t="shared" si="60"/>
        <v>100060002</v>
      </c>
      <c r="D497" s="23" t="s">
        <v>1030</v>
      </c>
      <c r="E497" s="20" t="s">
        <v>109</v>
      </c>
      <c r="I497" s="22" t="s">
        <v>206</v>
      </c>
      <c r="J497" s="22"/>
      <c r="K497" s="22"/>
      <c r="L497" s="22"/>
      <c r="M497" s="22"/>
      <c r="N497" s="22" t="s">
        <v>163</v>
      </c>
      <c r="O497" s="22" t="s">
        <v>163</v>
      </c>
      <c r="P497" s="22"/>
      <c r="Q497" s="22" t="s">
        <v>2041</v>
      </c>
      <c r="R497" s="22"/>
      <c r="S497" s="22"/>
      <c r="T497" s="22" t="s">
        <v>2307</v>
      </c>
      <c r="U497" s="116" t="s">
        <v>2334</v>
      </c>
      <c r="V497" s="22" t="s">
        <v>109</v>
      </c>
      <c r="W497" s="22" t="s">
        <v>1</v>
      </c>
      <c r="X497" s="22"/>
      <c r="Z497" s="22"/>
      <c r="AA497" s="22"/>
      <c r="AB497" s="22"/>
      <c r="AC497" s="22" t="s">
        <v>461</v>
      </c>
      <c r="AD497" s="22"/>
      <c r="AE497" s="24"/>
      <c r="AF497" s="24" t="s">
        <v>2043</v>
      </c>
      <c r="AG497" s="22"/>
      <c r="AI497" s="25" t="s">
        <v>350</v>
      </c>
      <c r="AK497" s="40" t="s">
        <v>139</v>
      </c>
      <c r="AL497" s="40"/>
      <c r="AX497" s="27"/>
      <c r="AY497" s="27"/>
      <c r="BK497" s="27"/>
      <c r="BL497" s="27"/>
      <c r="BX497" s="27"/>
      <c r="BY497" s="27"/>
      <c r="CH497" s="29"/>
    </row>
    <row r="498" spans="1:86" x14ac:dyDescent="0.2">
      <c r="A498" s="18">
        <v>10006</v>
      </c>
      <c r="B498" s="19">
        <v>3</v>
      </c>
      <c r="C498" s="19">
        <f t="shared" si="60"/>
        <v>100060003</v>
      </c>
      <c r="D498" s="23" t="s">
        <v>1031</v>
      </c>
      <c r="E498" s="20" t="s">
        <v>109</v>
      </c>
      <c r="I498" s="22" t="s">
        <v>206</v>
      </c>
      <c r="J498" s="22"/>
      <c r="K498" s="22"/>
      <c r="L498" s="22"/>
      <c r="M498" s="22"/>
      <c r="N498" s="22" t="s">
        <v>163</v>
      </c>
      <c r="O498" s="22" t="s">
        <v>163</v>
      </c>
      <c r="P498" s="22"/>
      <c r="Q498" s="22" t="s">
        <v>2041</v>
      </c>
      <c r="R498" s="22"/>
      <c r="S498" s="22"/>
      <c r="T498" s="22" t="s">
        <v>2307</v>
      </c>
      <c r="U498" s="116" t="s">
        <v>2335</v>
      </c>
      <c r="V498" s="22" t="s">
        <v>109</v>
      </c>
      <c r="W498" s="22" t="s">
        <v>1</v>
      </c>
      <c r="X498" s="22"/>
      <c r="Z498" s="22"/>
      <c r="AA498" s="22"/>
      <c r="AB498" s="22"/>
      <c r="AC498" s="22" t="s">
        <v>461</v>
      </c>
      <c r="AD498" s="22"/>
      <c r="AE498" s="24"/>
      <c r="AF498" s="24" t="s">
        <v>2043</v>
      </c>
      <c r="AG498" s="22"/>
      <c r="AH498" s="25">
        <v>100063</v>
      </c>
      <c r="AI498" s="25" t="s">
        <v>347</v>
      </c>
      <c r="AK498" s="40" t="s">
        <v>373</v>
      </c>
      <c r="AL498" s="40"/>
      <c r="AX498" s="27"/>
      <c r="AY498" s="27"/>
      <c r="BK498" s="27"/>
      <c r="BL498" s="27"/>
      <c r="BX498" s="27"/>
      <c r="BY498" s="27"/>
      <c r="CH498" s="29"/>
    </row>
    <row r="499" spans="1:86" x14ac:dyDescent="0.2">
      <c r="A499" s="18">
        <v>10006</v>
      </c>
      <c r="B499" s="19">
        <v>4</v>
      </c>
      <c r="C499" s="19">
        <f t="shared" si="60"/>
        <v>100060004</v>
      </c>
      <c r="D499" s="23" t="s">
        <v>1032</v>
      </c>
      <c r="E499" s="20" t="s">
        <v>109</v>
      </c>
      <c r="I499" s="22" t="s">
        <v>206</v>
      </c>
      <c r="J499" s="22"/>
      <c r="K499" s="22"/>
      <c r="L499" s="22"/>
      <c r="M499" s="22"/>
      <c r="N499" s="22" t="s">
        <v>163</v>
      </c>
      <c r="O499" s="22" t="s">
        <v>163</v>
      </c>
      <c r="P499" s="22"/>
      <c r="Q499" s="22" t="s">
        <v>2041</v>
      </c>
      <c r="R499" s="22"/>
      <c r="S499" s="22"/>
      <c r="T499" s="22" t="s">
        <v>2307</v>
      </c>
      <c r="U499" s="116" t="s">
        <v>2336</v>
      </c>
      <c r="V499" s="22" t="s">
        <v>109</v>
      </c>
      <c r="W499" s="22" t="s">
        <v>1</v>
      </c>
      <c r="X499" s="22"/>
      <c r="Z499" s="22"/>
      <c r="AA499" s="22"/>
      <c r="AB499" s="22"/>
      <c r="AC499" s="22" t="s">
        <v>461</v>
      </c>
      <c r="AD499" s="22"/>
      <c r="AE499" s="24"/>
      <c r="AF499" s="24" t="s">
        <v>2043</v>
      </c>
      <c r="AG499" s="22"/>
      <c r="AH499" s="25">
        <v>100064</v>
      </c>
      <c r="AI499" s="25" t="s">
        <v>345</v>
      </c>
      <c r="AK499" s="40" t="s">
        <v>374</v>
      </c>
      <c r="AL499" s="40"/>
      <c r="AX499" s="27"/>
      <c r="AY499" s="27"/>
      <c r="BK499" s="27"/>
      <c r="BL499" s="27"/>
      <c r="BX499" s="27"/>
      <c r="BY499" s="27"/>
      <c r="CH499" s="29"/>
    </row>
    <row r="500" spans="1:86" x14ac:dyDescent="0.2">
      <c r="A500" s="18">
        <v>10006</v>
      </c>
      <c r="B500" s="19">
        <v>5</v>
      </c>
      <c r="C500" s="19">
        <f t="shared" si="60"/>
        <v>100060005</v>
      </c>
      <c r="D500" s="23" t="s">
        <v>1033</v>
      </c>
      <c r="E500" s="20" t="s">
        <v>109</v>
      </c>
      <c r="I500" s="22" t="s">
        <v>206</v>
      </c>
      <c r="J500" s="22"/>
      <c r="K500" s="22"/>
      <c r="L500" s="22"/>
      <c r="M500" s="22"/>
      <c r="N500" s="22" t="s">
        <v>163</v>
      </c>
      <c r="O500" s="22" t="s">
        <v>163</v>
      </c>
      <c r="P500" s="22"/>
      <c r="Q500" s="22" t="s">
        <v>2041</v>
      </c>
      <c r="R500" s="22"/>
      <c r="S500" s="22"/>
      <c r="T500" s="22" t="s">
        <v>2307</v>
      </c>
      <c r="U500" s="116" t="s">
        <v>2337</v>
      </c>
      <c r="V500" s="22" t="s">
        <v>109</v>
      </c>
      <c r="W500" s="22" t="s">
        <v>1</v>
      </c>
      <c r="X500" s="22"/>
      <c r="Z500" s="22"/>
      <c r="AA500" s="22"/>
      <c r="AB500" s="22"/>
      <c r="AC500" s="22" t="s">
        <v>461</v>
      </c>
      <c r="AD500" s="22"/>
      <c r="AE500" s="24"/>
      <c r="AF500" s="24" t="s">
        <v>2043</v>
      </c>
      <c r="AG500" s="22"/>
      <c r="AH500" s="25">
        <v>100065</v>
      </c>
      <c r="AI500" s="25" t="s">
        <v>346</v>
      </c>
      <c r="AK500" s="40" t="s">
        <v>375</v>
      </c>
      <c r="AL500" s="40"/>
      <c r="AX500" s="27"/>
      <c r="AY500" s="27"/>
      <c r="BK500" s="27"/>
      <c r="BL500" s="27"/>
      <c r="BX500" s="27"/>
      <c r="BY500" s="27"/>
      <c r="CH500" s="29"/>
    </row>
    <row r="501" spans="1:86" x14ac:dyDescent="0.2">
      <c r="A501" s="18">
        <v>10007</v>
      </c>
      <c r="B501" s="19">
        <v>1</v>
      </c>
      <c r="C501" s="19">
        <f t="shared" si="60"/>
        <v>100070001</v>
      </c>
      <c r="D501" s="23" t="s">
        <v>1034</v>
      </c>
      <c r="E501" s="20" t="s">
        <v>109</v>
      </c>
      <c r="I501" s="22" t="s">
        <v>206</v>
      </c>
      <c r="J501" s="22"/>
      <c r="K501" s="22"/>
      <c r="L501" s="22"/>
      <c r="M501" s="22"/>
      <c r="N501" s="22" t="s">
        <v>163</v>
      </c>
      <c r="O501" s="22" t="s">
        <v>163</v>
      </c>
      <c r="P501" s="22"/>
      <c r="Q501" s="22" t="s">
        <v>2041</v>
      </c>
      <c r="R501" s="22"/>
      <c r="S501" s="22"/>
      <c r="T501" s="22" t="s">
        <v>2307</v>
      </c>
      <c r="U501" s="116" t="s">
        <v>2338</v>
      </c>
      <c r="V501" s="22" t="s">
        <v>109</v>
      </c>
      <c r="W501" s="22" t="s">
        <v>1</v>
      </c>
      <c r="X501" s="22"/>
      <c r="Z501" s="22"/>
      <c r="AA501" s="22"/>
      <c r="AB501" s="22"/>
      <c r="AC501" s="22" t="s">
        <v>462</v>
      </c>
      <c r="AD501" s="22"/>
      <c r="AE501" s="24"/>
      <c r="AF501" s="24" t="s">
        <v>2043</v>
      </c>
      <c r="AG501" s="22"/>
      <c r="AH501" s="25" t="s">
        <v>60</v>
      </c>
      <c r="AI501" s="25" t="s">
        <v>349</v>
      </c>
      <c r="AK501" s="40" t="s">
        <v>136</v>
      </c>
      <c r="AL501" s="40"/>
      <c r="AX501" s="27"/>
      <c r="AY501" s="27"/>
      <c r="BK501" s="27"/>
      <c r="BL501" s="27"/>
      <c r="BX501" s="27"/>
      <c r="BY501" s="27"/>
      <c r="CH501" s="29"/>
    </row>
    <row r="502" spans="1:86" x14ac:dyDescent="0.2">
      <c r="A502" s="18">
        <v>10007</v>
      </c>
      <c r="B502" s="19">
        <v>2</v>
      </c>
      <c r="C502" s="19">
        <f t="shared" si="60"/>
        <v>100070002</v>
      </c>
      <c r="D502" s="23" t="s">
        <v>1035</v>
      </c>
      <c r="E502" s="20" t="s">
        <v>109</v>
      </c>
      <c r="I502" s="22" t="s">
        <v>206</v>
      </c>
      <c r="J502" s="22"/>
      <c r="K502" s="22"/>
      <c r="L502" s="22"/>
      <c r="M502" s="22"/>
      <c r="N502" s="22" t="s">
        <v>163</v>
      </c>
      <c r="O502" s="22" t="s">
        <v>163</v>
      </c>
      <c r="P502" s="22"/>
      <c r="Q502" s="22" t="s">
        <v>2041</v>
      </c>
      <c r="R502" s="22"/>
      <c r="S502" s="22"/>
      <c r="T502" s="22" t="s">
        <v>2307</v>
      </c>
      <c r="U502" s="116" t="s">
        <v>2339</v>
      </c>
      <c r="V502" s="22" t="s">
        <v>109</v>
      </c>
      <c r="W502" s="22" t="s">
        <v>1</v>
      </c>
      <c r="X502" s="22"/>
      <c r="Z502" s="22"/>
      <c r="AA502" s="22"/>
      <c r="AB502" s="22"/>
      <c r="AC502" s="22" t="s">
        <v>462</v>
      </c>
      <c r="AD502" s="22"/>
      <c r="AE502" s="24"/>
      <c r="AF502" s="24" t="s">
        <v>2043</v>
      </c>
      <c r="AG502" s="22"/>
      <c r="AH502" s="25" t="s">
        <v>61</v>
      </c>
      <c r="AI502" s="25" t="s">
        <v>350</v>
      </c>
      <c r="AK502" s="40" t="s">
        <v>139</v>
      </c>
      <c r="AL502" s="40"/>
      <c r="AX502" s="27"/>
      <c r="AY502" s="27"/>
      <c r="BK502" s="27"/>
      <c r="BL502" s="27"/>
      <c r="BX502" s="27"/>
      <c r="BY502" s="27"/>
      <c r="CH502" s="29"/>
    </row>
    <row r="503" spans="1:86" x14ac:dyDescent="0.2">
      <c r="A503" s="18">
        <v>10007</v>
      </c>
      <c r="B503" s="19">
        <v>3</v>
      </c>
      <c r="C503" s="19">
        <f t="shared" si="60"/>
        <v>100070003</v>
      </c>
      <c r="D503" s="23" t="s">
        <v>1036</v>
      </c>
      <c r="E503" s="20" t="s">
        <v>109</v>
      </c>
      <c r="I503" s="22" t="s">
        <v>206</v>
      </c>
      <c r="J503" s="22"/>
      <c r="K503" s="22"/>
      <c r="L503" s="22"/>
      <c r="M503" s="22"/>
      <c r="N503" s="22" t="s">
        <v>163</v>
      </c>
      <c r="O503" s="22" t="s">
        <v>163</v>
      </c>
      <c r="P503" s="22"/>
      <c r="Q503" s="22" t="s">
        <v>2041</v>
      </c>
      <c r="R503" s="22"/>
      <c r="S503" s="22"/>
      <c r="T503" s="22" t="s">
        <v>2307</v>
      </c>
      <c r="U503" s="116" t="s">
        <v>2340</v>
      </c>
      <c r="V503" s="22" t="s">
        <v>109</v>
      </c>
      <c r="W503" s="22" t="s">
        <v>1</v>
      </c>
      <c r="X503" s="22"/>
      <c r="Z503" s="22"/>
      <c r="AA503" s="22"/>
      <c r="AB503" s="22"/>
      <c r="AC503" s="22" t="s">
        <v>462</v>
      </c>
      <c r="AD503" s="22"/>
      <c r="AE503" s="24"/>
      <c r="AF503" s="24" t="s">
        <v>2043</v>
      </c>
      <c r="AG503" s="22"/>
      <c r="AH503" s="25" t="s">
        <v>62</v>
      </c>
      <c r="AI503" s="25" t="s">
        <v>347</v>
      </c>
      <c r="AK503" s="40" t="s">
        <v>373</v>
      </c>
      <c r="AL503" s="40"/>
      <c r="AX503" s="27"/>
      <c r="AY503" s="27"/>
      <c r="BK503" s="27"/>
      <c r="BL503" s="27"/>
      <c r="BX503" s="27"/>
      <c r="BY503" s="27"/>
      <c r="CH503" s="29"/>
    </row>
    <row r="504" spans="1:86" x14ac:dyDescent="0.2">
      <c r="A504" s="18">
        <v>10007</v>
      </c>
      <c r="B504" s="19">
        <v>4</v>
      </c>
      <c r="C504" s="19">
        <f t="shared" si="60"/>
        <v>100070004</v>
      </c>
      <c r="D504" s="23" t="s">
        <v>1037</v>
      </c>
      <c r="E504" s="20" t="s">
        <v>109</v>
      </c>
      <c r="I504" s="22" t="s">
        <v>206</v>
      </c>
      <c r="J504" s="22"/>
      <c r="K504" s="22"/>
      <c r="L504" s="22"/>
      <c r="M504" s="22"/>
      <c r="N504" s="22" t="s">
        <v>163</v>
      </c>
      <c r="O504" s="22" t="s">
        <v>163</v>
      </c>
      <c r="P504" s="22"/>
      <c r="Q504" s="22" t="s">
        <v>2041</v>
      </c>
      <c r="R504" s="22"/>
      <c r="S504" s="22"/>
      <c r="T504" s="22" t="s">
        <v>2307</v>
      </c>
      <c r="U504" s="116" t="s">
        <v>2341</v>
      </c>
      <c r="V504" s="22" t="s">
        <v>109</v>
      </c>
      <c r="W504" s="22" t="s">
        <v>1</v>
      </c>
      <c r="X504" s="22"/>
      <c r="Z504" s="22"/>
      <c r="AA504" s="22"/>
      <c r="AB504" s="22"/>
      <c r="AC504" s="22" t="s">
        <v>462</v>
      </c>
      <c r="AD504" s="22"/>
      <c r="AE504" s="24"/>
      <c r="AF504" s="24" t="s">
        <v>2043</v>
      </c>
      <c r="AG504" s="22"/>
      <c r="AH504" s="25" t="s">
        <v>63</v>
      </c>
      <c r="AI504" s="25" t="s">
        <v>345</v>
      </c>
      <c r="AK504" s="40" t="s">
        <v>374</v>
      </c>
      <c r="AL504" s="40"/>
      <c r="AX504" s="27"/>
      <c r="AY504" s="27"/>
      <c r="BK504" s="27"/>
      <c r="BL504" s="27"/>
      <c r="BX504" s="27"/>
      <c r="BY504" s="27"/>
      <c r="CH504" s="29"/>
    </row>
    <row r="505" spans="1:86" x14ac:dyDescent="0.2">
      <c r="A505" s="18">
        <v>10007</v>
      </c>
      <c r="B505" s="19">
        <v>5</v>
      </c>
      <c r="C505" s="19">
        <f t="shared" si="60"/>
        <v>100070005</v>
      </c>
      <c r="D505" s="23" t="s">
        <v>1038</v>
      </c>
      <c r="E505" s="20" t="s">
        <v>109</v>
      </c>
      <c r="I505" s="22" t="s">
        <v>206</v>
      </c>
      <c r="J505" s="22"/>
      <c r="K505" s="22"/>
      <c r="L505" s="22"/>
      <c r="M505" s="22"/>
      <c r="N505" s="22" t="s">
        <v>163</v>
      </c>
      <c r="O505" s="22" t="s">
        <v>163</v>
      </c>
      <c r="P505" s="22"/>
      <c r="Q505" s="22" t="s">
        <v>2041</v>
      </c>
      <c r="R505" s="22"/>
      <c r="S505" s="22"/>
      <c r="T505" s="22" t="s">
        <v>2307</v>
      </c>
      <c r="U505" s="116" t="s">
        <v>2342</v>
      </c>
      <c r="V505" s="22" t="s">
        <v>109</v>
      </c>
      <c r="W505" s="22" t="s">
        <v>1</v>
      </c>
      <c r="X505" s="22"/>
      <c r="Z505" s="22"/>
      <c r="AA505" s="22"/>
      <c r="AB505" s="22"/>
      <c r="AC505" s="22" t="s">
        <v>462</v>
      </c>
      <c r="AD505" s="22"/>
      <c r="AE505" s="24"/>
      <c r="AF505" s="24" t="s">
        <v>2043</v>
      </c>
      <c r="AG505" s="22"/>
      <c r="AH505" s="25" t="s">
        <v>64</v>
      </c>
      <c r="AI505" s="25" t="s">
        <v>346</v>
      </c>
      <c r="AK505" s="40" t="s">
        <v>375</v>
      </c>
      <c r="AL505" s="40"/>
      <c r="AX505" s="27"/>
      <c r="AY505" s="27"/>
      <c r="BK505" s="27"/>
      <c r="BL505" s="27"/>
      <c r="BX505" s="27"/>
      <c r="BY505" s="27"/>
      <c r="CH505" s="29"/>
    </row>
    <row r="506" spans="1:86" x14ac:dyDescent="0.2">
      <c r="A506" s="18">
        <v>10008</v>
      </c>
      <c r="B506" s="19">
        <v>1</v>
      </c>
      <c r="C506" s="19">
        <f t="shared" si="60"/>
        <v>100080001</v>
      </c>
      <c r="D506" s="23" t="s">
        <v>1039</v>
      </c>
      <c r="E506" s="20" t="s">
        <v>109</v>
      </c>
      <c r="I506" s="22" t="s">
        <v>206</v>
      </c>
      <c r="J506" s="22"/>
      <c r="K506" s="22"/>
      <c r="L506" s="22"/>
      <c r="M506" s="22"/>
      <c r="N506" s="22" t="s">
        <v>163</v>
      </c>
      <c r="O506" s="22" t="s">
        <v>163</v>
      </c>
      <c r="P506" s="22"/>
      <c r="Q506" s="22" t="s">
        <v>2041</v>
      </c>
      <c r="R506" s="22"/>
      <c r="S506" s="22"/>
      <c r="T506" s="22" t="s">
        <v>2307</v>
      </c>
      <c r="U506" s="116" t="s">
        <v>2343</v>
      </c>
      <c r="V506" s="22" t="s">
        <v>109</v>
      </c>
      <c r="W506" s="22" t="s">
        <v>1</v>
      </c>
      <c r="X506" s="22"/>
      <c r="Z506" s="22"/>
      <c r="AA506" s="22"/>
      <c r="AB506" s="22"/>
      <c r="AC506" s="22" t="s">
        <v>463</v>
      </c>
      <c r="AD506" s="22"/>
      <c r="AE506" s="24"/>
      <c r="AF506" s="24" t="s">
        <v>2043</v>
      </c>
      <c r="AG506" s="22"/>
      <c r="AI506" s="25" t="s">
        <v>349</v>
      </c>
      <c r="AK506" s="40" t="s">
        <v>136</v>
      </c>
      <c r="AL506" s="40"/>
      <c r="AX506" s="27"/>
      <c r="AY506" s="27"/>
      <c r="BK506" s="27"/>
      <c r="BL506" s="27"/>
      <c r="BX506" s="27"/>
      <c r="BY506" s="27"/>
      <c r="CH506" s="29"/>
    </row>
    <row r="507" spans="1:86" x14ac:dyDescent="0.2">
      <c r="A507" s="18">
        <v>10008</v>
      </c>
      <c r="B507" s="19">
        <v>2</v>
      </c>
      <c r="C507" s="19">
        <f t="shared" si="60"/>
        <v>100080002</v>
      </c>
      <c r="D507" s="23" t="s">
        <v>1040</v>
      </c>
      <c r="E507" s="20" t="s">
        <v>109</v>
      </c>
      <c r="I507" s="22" t="s">
        <v>206</v>
      </c>
      <c r="J507" s="22"/>
      <c r="K507" s="22"/>
      <c r="L507" s="22"/>
      <c r="M507" s="22"/>
      <c r="N507" s="22" t="s">
        <v>163</v>
      </c>
      <c r="O507" s="22" t="s">
        <v>163</v>
      </c>
      <c r="P507" s="22"/>
      <c r="Q507" s="22" t="s">
        <v>2041</v>
      </c>
      <c r="R507" s="22"/>
      <c r="S507" s="22"/>
      <c r="T507" s="22" t="s">
        <v>2307</v>
      </c>
      <c r="U507" s="116" t="s">
        <v>2344</v>
      </c>
      <c r="V507" s="22" t="s">
        <v>109</v>
      </c>
      <c r="W507" s="22" t="s">
        <v>1</v>
      </c>
      <c r="X507" s="22"/>
      <c r="Z507" s="22"/>
      <c r="AA507" s="22"/>
      <c r="AB507" s="22"/>
      <c r="AC507" s="22" t="s">
        <v>463</v>
      </c>
      <c r="AD507" s="22"/>
      <c r="AE507" s="24"/>
      <c r="AF507" s="24" t="s">
        <v>2043</v>
      </c>
      <c r="AG507" s="22"/>
      <c r="AH507" s="25" t="s">
        <v>65</v>
      </c>
      <c r="AI507" s="25" t="s">
        <v>350</v>
      </c>
      <c r="AK507" s="40" t="s">
        <v>139</v>
      </c>
      <c r="AL507" s="40"/>
      <c r="AX507" s="27"/>
      <c r="AY507" s="27"/>
      <c r="BK507" s="27"/>
      <c r="BL507" s="27"/>
      <c r="BX507" s="27"/>
      <c r="BY507" s="27"/>
      <c r="CH507" s="29"/>
    </row>
    <row r="508" spans="1:86" x14ac:dyDescent="0.2">
      <c r="A508" s="18">
        <v>10008</v>
      </c>
      <c r="B508" s="19">
        <v>3</v>
      </c>
      <c r="C508" s="19">
        <f t="shared" si="60"/>
        <v>100080003</v>
      </c>
      <c r="D508" s="23" t="s">
        <v>1041</v>
      </c>
      <c r="E508" s="20" t="s">
        <v>109</v>
      </c>
      <c r="I508" s="22" t="s">
        <v>206</v>
      </c>
      <c r="J508" s="22"/>
      <c r="K508" s="22"/>
      <c r="L508" s="22"/>
      <c r="M508" s="22"/>
      <c r="N508" s="22" t="s">
        <v>163</v>
      </c>
      <c r="O508" s="22" t="s">
        <v>163</v>
      </c>
      <c r="P508" s="22"/>
      <c r="Q508" s="22" t="s">
        <v>2041</v>
      </c>
      <c r="R508" s="22"/>
      <c r="S508" s="22"/>
      <c r="T508" s="22" t="s">
        <v>2307</v>
      </c>
      <c r="U508" s="116" t="s">
        <v>2345</v>
      </c>
      <c r="V508" s="22" t="s">
        <v>109</v>
      </c>
      <c r="W508" s="22" t="s">
        <v>1</v>
      </c>
      <c r="X508" s="22"/>
      <c r="Z508" s="22"/>
      <c r="AA508" s="22"/>
      <c r="AB508" s="22"/>
      <c r="AC508" s="22" t="s">
        <v>463</v>
      </c>
      <c r="AD508" s="22"/>
      <c r="AE508" s="24"/>
      <c r="AF508" s="24" t="s">
        <v>2043</v>
      </c>
      <c r="AG508" s="22"/>
      <c r="AH508" s="25" t="s">
        <v>66</v>
      </c>
      <c r="AI508" s="25" t="s">
        <v>347</v>
      </c>
      <c r="AK508" s="40" t="s">
        <v>373</v>
      </c>
      <c r="AL508" s="40"/>
      <c r="AX508" s="27"/>
      <c r="AY508" s="27"/>
      <c r="BK508" s="27"/>
      <c r="BL508" s="27"/>
      <c r="BX508" s="27"/>
      <c r="BY508" s="27"/>
      <c r="CH508" s="29"/>
    </row>
    <row r="509" spans="1:86" x14ac:dyDescent="0.2">
      <c r="A509" s="18">
        <v>10008</v>
      </c>
      <c r="B509" s="19">
        <v>4</v>
      </c>
      <c r="C509" s="19">
        <f t="shared" ref="C509:C572" si="61">A509*10000+B509</f>
        <v>100080004</v>
      </c>
      <c r="D509" s="23" t="s">
        <v>1042</v>
      </c>
      <c r="E509" s="20" t="s">
        <v>109</v>
      </c>
      <c r="I509" s="22" t="s">
        <v>206</v>
      </c>
      <c r="J509" s="22"/>
      <c r="K509" s="22"/>
      <c r="L509" s="22"/>
      <c r="M509" s="22"/>
      <c r="N509" s="22" t="s">
        <v>163</v>
      </c>
      <c r="O509" s="22" t="s">
        <v>163</v>
      </c>
      <c r="P509" s="22"/>
      <c r="Q509" s="22" t="s">
        <v>2041</v>
      </c>
      <c r="R509" s="22"/>
      <c r="S509" s="22"/>
      <c r="T509" s="22" t="s">
        <v>2307</v>
      </c>
      <c r="U509" s="116" t="s">
        <v>2346</v>
      </c>
      <c r="V509" s="22" t="s">
        <v>109</v>
      </c>
      <c r="W509" s="22" t="s">
        <v>1</v>
      </c>
      <c r="X509" s="22"/>
      <c r="Z509" s="22"/>
      <c r="AA509" s="22"/>
      <c r="AB509" s="22"/>
      <c r="AC509" s="22" t="s">
        <v>463</v>
      </c>
      <c r="AD509" s="22"/>
      <c r="AE509" s="24"/>
      <c r="AF509" s="24" t="s">
        <v>2043</v>
      </c>
      <c r="AG509" s="22"/>
      <c r="AH509" s="25" t="s">
        <v>67</v>
      </c>
      <c r="AI509" s="25" t="s">
        <v>345</v>
      </c>
      <c r="AK509" s="40" t="s">
        <v>374</v>
      </c>
      <c r="AL509" s="40"/>
      <c r="AX509" s="27"/>
      <c r="AY509" s="27"/>
      <c r="BK509" s="27"/>
      <c r="BL509" s="27"/>
      <c r="BX509" s="27"/>
      <c r="BY509" s="27"/>
      <c r="CH509" s="29"/>
    </row>
    <row r="510" spans="1:86" x14ac:dyDescent="0.2">
      <c r="A510" s="18">
        <v>10008</v>
      </c>
      <c r="B510" s="19">
        <v>5</v>
      </c>
      <c r="C510" s="19">
        <f t="shared" si="61"/>
        <v>100080005</v>
      </c>
      <c r="D510" s="23" t="s">
        <v>1043</v>
      </c>
      <c r="E510" s="20" t="s">
        <v>109</v>
      </c>
      <c r="I510" s="22" t="s">
        <v>206</v>
      </c>
      <c r="J510" s="22"/>
      <c r="K510" s="22"/>
      <c r="L510" s="22"/>
      <c r="M510" s="22"/>
      <c r="N510" s="22" t="s">
        <v>163</v>
      </c>
      <c r="O510" s="22" t="s">
        <v>163</v>
      </c>
      <c r="P510" s="22"/>
      <c r="Q510" s="22" t="s">
        <v>2041</v>
      </c>
      <c r="R510" s="22"/>
      <c r="S510" s="22"/>
      <c r="T510" s="22" t="s">
        <v>2307</v>
      </c>
      <c r="U510" s="116" t="s">
        <v>2347</v>
      </c>
      <c r="V510" s="22" t="s">
        <v>109</v>
      </c>
      <c r="W510" s="22" t="s">
        <v>1</v>
      </c>
      <c r="X510" s="22"/>
      <c r="Z510" s="22"/>
      <c r="AA510" s="22"/>
      <c r="AB510" s="22"/>
      <c r="AC510" s="22" t="s">
        <v>463</v>
      </c>
      <c r="AD510" s="22"/>
      <c r="AE510" s="24"/>
      <c r="AF510" s="24" t="s">
        <v>2043</v>
      </c>
      <c r="AG510" s="22"/>
      <c r="AH510" s="25" t="s">
        <v>68</v>
      </c>
      <c r="AI510" s="25" t="s">
        <v>346</v>
      </c>
      <c r="AK510" s="40" t="s">
        <v>375</v>
      </c>
      <c r="AL510" s="40"/>
      <c r="AX510" s="27"/>
      <c r="AY510" s="27"/>
      <c r="BK510" s="27"/>
      <c r="BL510" s="27"/>
      <c r="BX510" s="27"/>
      <c r="BY510" s="27"/>
      <c r="CH510" s="29"/>
    </row>
    <row r="511" spans="1:86" x14ac:dyDescent="0.2">
      <c r="A511" s="18">
        <v>10009</v>
      </c>
      <c r="B511" s="19">
        <v>1</v>
      </c>
      <c r="C511" s="19">
        <f t="shared" si="61"/>
        <v>100090001</v>
      </c>
      <c r="D511" s="23" t="s">
        <v>1044</v>
      </c>
      <c r="E511" s="20" t="s">
        <v>109</v>
      </c>
      <c r="I511" s="22" t="s">
        <v>206</v>
      </c>
      <c r="J511" s="22"/>
      <c r="K511" s="22"/>
      <c r="L511" s="22"/>
      <c r="M511" s="22"/>
      <c r="N511" s="22" t="s">
        <v>163</v>
      </c>
      <c r="O511" s="22" t="s">
        <v>163</v>
      </c>
      <c r="P511" s="22"/>
      <c r="Q511" s="22" t="s">
        <v>2041</v>
      </c>
      <c r="R511" s="22"/>
      <c r="S511" s="22"/>
      <c r="T511" s="22" t="s">
        <v>2307</v>
      </c>
      <c r="U511" s="116" t="s">
        <v>2348</v>
      </c>
      <c r="V511" s="22" t="s">
        <v>109</v>
      </c>
      <c r="W511" s="22" t="s">
        <v>1</v>
      </c>
      <c r="X511" s="22"/>
      <c r="Z511" s="22"/>
      <c r="AA511" s="22"/>
      <c r="AB511" s="22"/>
      <c r="AC511" s="22" t="s">
        <v>464</v>
      </c>
      <c r="AD511" s="22"/>
      <c r="AE511" s="24"/>
      <c r="AF511" s="24" t="s">
        <v>2043</v>
      </c>
      <c r="AG511" s="22"/>
      <c r="AI511" s="25" t="s">
        <v>349</v>
      </c>
      <c r="AK511" s="40" t="s">
        <v>136</v>
      </c>
      <c r="AL511" s="40"/>
      <c r="AX511" s="27"/>
      <c r="AY511" s="27"/>
      <c r="BK511" s="27"/>
      <c r="BL511" s="27"/>
      <c r="BX511" s="27"/>
      <c r="BY511" s="27"/>
      <c r="CH511" s="29"/>
    </row>
    <row r="512" spans="1:86" x14ac:dyDescent="0.2">
      <c r="A512" s="18">
        <v>10009</v>
      </c>
      <c r="B512" s="19">
        <v>2</v>
      </c>
      <c r="C512" s="19">
        <f t="shared" si="61"/>
        <v>100090002</v>
      </c>
      <c r="D512" s="23" t="s">
        <v>1045</v>
      </c>
      <c r="E512" s="20" t="s">
        <v>109</v>
      </c>
      <c r="I512" s="22" t="s">
        <v>206</v>
      </c>
      <c r="J512" s="22"/>
      <c r="K512" s="22"/>
      <c r="L512" s="22"/>
      <c r="M512" s="22"/>
      <c r="N512" s="22" t="s">
        <v>163</v>
      </c>
      <c r="O512" s="22" t="s">
        <v>163</v>
      </c>
      <c r="P512" s="22"/>
      <c r="Q512" s="22" t="s">
        <v>2041</v>
      </c>
      <c r="R512" s="22"/>
      <c r="S512" s="22"/>
      <c r="T512" s="22" t="s">
        <v>2307</v>
      </c>
      <c r="U512" s="116" t="s">
        <v>2349</v>
      </c>
      <c r="V512" s="22" t="s">
        <v>109</v>
      </c>
      <c r="W512" s="22" t="s">
        <v>1</v>
      </c>
      <c r="X512" s="22"/>
      <c r="Z512" s="22"/>
      <c r="AA512" s="22"/>
      <c r="AB512" s="22"/>
      <c r="AC512" s="22" t="s">
        <v>464</v>
      </c>
      <c r="AD512" s="22"/>
      <c r="AE512" s="24"/>
      <c r="AF512" s="24" t="s">
        <v>2043</v>
      </c>
      <c r="AG512" s="22"/>
      <c r="AH512" s="25" t="s">
        <v>69</v>
      </c>
      <c r="AI512" s="25" t="s">
        <v>350</v>
      </c>
      <c r="AK512" s="40" t="s">
        <v>139</v>
      </c>
      <c r="AL512" s="40"/>
      <c r="AX512" s="27"/>
      <c r="AY512" s="27"/>
      <c r="BK512" s="27"/>
      <c r="BL512" s="27"/>
      <c r="BX512" s="27"/>
      <c r="BY512" s="27"/>
      <c r="CH512" s="29"/>
    </row>
    <row r="513" spans="1:86" x14ac:dyDescent="0.2">
      <c r="A513" s="18">
        <v>10009</v>
      </c>
      <c r="B513" s="19">
        <v>3</v>
      </c>
      <c r="C513" s="19">
        <f t="shared" si="61"/>
        <v>100090003</v>
      </c>
      <c r="D513" s="23" t="s">
        <v>1046</v>
      </c>
      <c r="E513" s="20" t="s">
        <v>109</v>
      </c>
      <c r="I513" s="22" t="s">
        <v>206</v>
      </c>
      <c r="J513" s="22"/>
      <c r="K513" s="22"/>
      <c r="L513" s="22"/>
      <c r="M513" s="22"/>
      <c r="N513" s="22" t="s">
        <v>163</v>
      </c>
      <c r="O513" s="22" t="s">
        <v>163</v>
      </c>
      <c r="P513" s="22"/>
      <c r="Q513" s="22" t="s">
        <v>2041</v>
      </c>
      <c r="R513" s="22"/>
      <c r="S513" s="22"/>
      <c r="T513" s="22" t="s">
        <v>2307</v>
      </c>
      <c r="U513" s="116" t="s">
        <v>2350</v>
      </c>
      <c r="V513" s="22" t="s">
        <v>109</v>
      </c>
      <c r="W513" s="22" t="s">
        <v>1</v>
      </c>
      <c r="X513" s="22"/>
      <c r="Z513" s="22"/>
      <c r="AA513" s="22"/>
      <c r="AB513" s="22"/>
      <c r="AC513" s="22" t="s">
        <v>464</v>
      </c>
      <c r="AD513" s="22"/>
      <c r="AE513" s="24"/>
      <c r="AF513" s="24" t="s">
        <v>2043</v>
      </c>
      <c r="AG513" s="22"/>
      <c r="AH513" s="25" t="s">
        <v>70</v>
      </c>
      <c r="AI513" s="25" t="s">
        <v>347</v>
      </c>
      <c r="AK513" s="40" t="s">
        <v>373</v>
      </c>
      <c r="AL513" s="40"/>
      <c r="AX513" s="27"/>
      <c r="AY513" s="27"/>
      <c r="BK513" s="27"/>
      <c r="BL513" s="27"/>
      <c r="BX513" s="27"/>
      <c r="BY513" s="27"/>
      <c r="CH513" s="29"/>
    </row>
    <row r="514" spans="1:86" x14ac:dyDescent="0.2">
      <c r="A514" s="18">
        <v>10009</v>
      </c>
      <c r="B514" s="19">
        <v>4</v>
      </c>
      <c r="C514" s="19">
        <f t="shared" si="61"/>
        <v>100090004</v>
      </c>
      <c r="D514" s="23" t="s">
        <v>1047</v>
      </c>
      <c r="E514" s="20" t="s">
        <v>109</v>
      </c>
      <c r="I514" s="22" t="s">
        <v>206</v>
      </c>
      <c r="J514" s="22"/>
      <c r="K514" s="22"/>
      <c r="L514" s="22"/>
      <c r="M514" s="22"/>
      <c r="N514" s="22" t="s">
        <v>163</v>
      </c>
      <c r="O514" s="22" t="s">
        <v>163</v>
      </c>
      <c r="P514" s="22"/>
      <c r="Q514" s="22" t="s">
        <v>2041</v>
      </c>
      <c r="R514" s="22"/>
      <c r="S514" s="22"/>
      <c r="T514" s="22" t="s">
        <v>2307</v>
      </c>
      <c r="U514" s="116" t="s">
        <v>2351</v>
      </c>
      <c r="V514" s="22" t="s">
        <v>109</v>
      </c>
      <c r="W514" s="22" t="s">
        <v>1</v>
      </c>
      <c r="X514" s="22"/>
      <c r="Z514" s="22"/>
      <c r="AA514" s="22"/>
      <c r="AB514" s="22"/>
      <c r="AC514" s="22" t="s">
        <v>464</v>
      </c>
      <c r="AD514" s="22"/>
      <c r="AE514" s="24"/>
      <c r="AF514" s="24" t="s">
        <v>2043</v>
      </c>
      <c r="AG514" s="22"/>
      <c r="AH514" s="25" t="s">
        <v>71</v>
      </c>
      <c r="AI514" s="25" t="s">
        <v>345</v>
      </c>
      <c r="AK514" s="40" t="s">
        <v>374</v>
      </c>
      <c r="AL514" s="40"/>
      <c r="AX514" s="27"/>
      <c r="AY514" s="27"/>
      <c r="BK514" s="27"/>
      <c r="BL514" s="27"/>
      <c r="BX514" s="27"/>
      <c r="BY514" s="27"/>
      <c r="CH514" s="29"/>
    </row>
    <row r="515" spans="1:86" x14ac:dyDescent="0.2">
      <c r="A515" s="18">
        <v>10009</v>
      </c>
      <c r="B515" s="19">
        <v>5</v>
      </c>
      <c r="C515" s="19">
        <f t="shared" si="61"/>
        <v>100090005</v>
      </c>
      <c r="D515" s="23" t="s">
        <v>1048</v>
      </c>
      <c r="E515" s="20" t="s">
        <v>109</v>
      </c>
      <c r="I515" s="22" t="s">
        <v>206</v>
      </c>
      <c r="J515" s="22"/>
      <c r="K515" s="22"/>
      <c r="L515" s="22"/>
      <c r="M515" s="22"/>
      <c r="N515" s="22" t="s">
        <v>163</v>
      </c>
      <c r="O515" s="22" t="s">
        <v>163</v>
      </c>
      <c r="P515" s="22"/>
      <c r="Q515" s="22" t="s">
        <v>2041</v>
      </c>
      <c r="R515" s="22"/>
      <c r="S515" s="22"/>
      <c r="T515" s="22" t="s">
        <v>2307</v>
      </c>
      <c r="U515" s="116" t="s">
        <v>2352</v>
      </c>
      <c r="V515" s="22" t="s">
        <v>109</v>
      </c>
      <c r="W515" s="22" t="s">
        <v>1</v>
      </c>
      <c r="X515" s="22"/>
      <c r="Z515" s="22"/>
      <c r="AA515" s="22"/>
      <c r="AB515" s="22"/>
      <c r="AC515" s="22" t="s">
        <v>464</v>
      </c>
      <c r="AD515" s="22"/>
      <c r="AE515" s="24"/>
      <c r="AF515" s="24" t="s">
        <v>2043</v>
      </c>
      <c r="AG515" s="22"/>
      <c r="AH515" s="25" t="s">
        <v>72</v>
      </c>
      <c r="AI515" s="25" t="s">
        <v>346</v>
      </c>
      <c r="AK515" s="40" t="s">
        <v>375</v>
      </c>
      <c r="AL515" s="40"/>
      <c r="AX515" s="27"/>
      <c r="AY515" s="27"/>
      <c r="BK515" s="27"/>
      <c r="BL515" s="27"/>
      <c r="BX515" s="27"/>
      <c r="BY515" s="27"/>
      <c r="CH515" s="29"/>
    </row>
    <row r="516" spans="1:86" x14ac:dyDescent="0.2">
      <c r="A516" s="18">
        <v>10010</v>
      </c>
      <c r="B516" s="19">
        <v>1</v>
      </c>
      <c r="C516" s="19">
        <f t="shared" si="61"/>
        <v>100100001</v>
      </c>
      <c r="D516" s="23" t="s">
        <v>1049</v>
      </c>
      <c r="E516" s="20" t="s">
        <v>109</v>
      </c>
      <c r="I516" s="22" t="s">
        <v>206</v>
      </c>
      <c r="J516" s="22"/>
      <c r="K516" s="22"/>
      <c r="L516" s="22"/>
      <c r="M516" s="22"/>
      <c r="N516" s="22" t="s">
        <v>163</v>
      </c>
      <c r="O516" s="22" t="s">
        <v>163</v>
      </c>
      <c r="P516" s="22"/>
      <c r="Q516" s="22" t="s">
        <v>2041</v>
      </c>
      <c r="R516" s="22"/>
      <c r="S516" s="22"/>
      <c r="T516" s="22" t="s">
        <v>2307</v>
      </c>
      <c r="U516" s="116" t="s">
        <v>2353</v>
      </c>
      <c r="V516" s="22" t="s">
        <v>109</v>
      </c>
      <c r="W516" s="22" t="s">
        <v>1</v>
      </c>
      <c r="X516" s="22"/>
      <c r="Z516" s="22"/>
      <c r="AA516" s="22"/>
      <c r="AB516" s="22"/>
      <c r="AC516" s="22" t="s">
        <v>465</v>
      </c>
      <c r="AD516" s="22"/>
      <c r="AE516" s="24"/>
      <c r="AF516" s="24" t="s">
        <v>2043</v>
      </c>
      <c r="AG516" s="22"/>
      <c r="AH516" s="25" t="s">
        <v>73</v>
      </c>
      <c r="AI516" s="25" t="s">
        <v>349</v>
      </c>
      <c r="AK516" s="40" t="s">
        <v>136</v>
      </c>
      <c r="AL516" s="40"/>
      <c r="AX516" s="27"/>
      <c r="AY516" s="27"/>
      <c r="BK516" s="27"/>
      <c r="BL516" s="27"/>
      <c r="BX516" s="27"/>
      <c r="BY516" s="27"/>
      <c r="CH516" s="29"/>
    </row>
    <row r="517" spans="1:86" x14ac:dyDescent="0.2">
      <c r="A517" s="18">
        <v>10010</v>
      </c>
      <c r="B517" s="19">
        <v>2</v>
      </c>
      <c r="C517" s="19">
        <f t="shared" si="61"/>
        <v>100100002</v>
      </c>
      <c r="D517" s="23" t="s">
        <v>1050</v>
      </c>
      <c r="E517" s="20" t="s">
        <v>109</v>
      </c>
      <c r="I517" s="22" t="s">
        <v>206</v>
      </c>
      <c r="J517" s="22"/>
      <c r="K517" s="22"/>
      <c r="L517" s="22"/>
      <c r="M517" s="22"/>
      <c r="N517" s="22" t="s">
        <v>163</v>
      </c>
      <c r="O517" s="22" t="s">
        <v>163</v>
      </c>
      <c r="P517" s="22"/>
      <c r="Q517" s="22" t="s">
        <v>2041</v>
      </c>
      <c r="R517" s="22"/>
      <c r="S517" s="22"/>
      <c r="T517" s="22" t="s">
        <v>2307</v>
      </c>
      <c r="U517" s="116" t="s">
        <v>2354</v>
      </c>
      <c r="V517" s="22" t="s">
        <v>109</v>
      </c>
      <c r="W517" s="22" t="s">
        <v>1</v>
      </c>
      <c r="X517" s="22"/>
      <c r="Z517" s="22"/>
      <c r="AA517" s="22"/>
      <c r="AB517" s="22"/>
      <c r="AC517" s="22" t="s">
        <v>465</v>
      </c>
      <c r="AD517" s="22"/>
      <c r="AE517" s="24"/>
      <c r="AF517" s="24" t="s">
        <v>2043</v>
      </c>
      <c r="AG517" s="22"/>
      <c r="AH517" s="25" t="s">
        <v>74</v>
      </c>
      <c r="AI517" s="25" t="s">
        <v>350</v>
      </c>
      <c r="AK517" s="40" t="s">
        <v>139</v>
      </c>
      <c r="AL517" s="40"/>
      <c r="AX517" s="27"/>
      <c r="AY517" s="27"/>
      <c r="BK517" s="27"/>
      <c r="BL517" s="27"/>
      <c r="BX517" s="27"/>
      <c r="BY517" s="27"/>
      <c r="CH517" s="29"/>
    </row>
    <row r="518" spans="1:86" x14ac:dyDescent="0.2">
      <c r="A518" s="18">
        <v>10010</v>
      </c>
      <c r="B518" s="19">
        <v>3</v>
      </c>
      <c r="C518" s="19">
        <f t="shared" si="61"/>
        <v>100100003</v>
      </c>
      <c r="D518" s="23" t="s">
        <v>1051</v>
      </c>
      <c r="E518" s="20" t="s">
        <v>109</v>
      </c>
      <c r="I518" s="22" t="s">
        <v>206</v>
      </c>
      <c r="J518" s="22"/>
      <c r="K518" s="22"/>
      <c r="L518" s="22"/>
      <c r="M518" s="22"/>
      <c r="N518" s="22" t="s">
        <v>163</v>
      </c>
      <c r="O518" s="22" t="s">
        <v>163</v>
      </c>
      <c r="P518" s="22"/>
      <c r="Q518" s="22" t="s">
        <v>2041</v>
      </c>
      <c r="R518" s="22"/>
      <c r="S518" s="22"/>
      <c r="T518" s="22" t="s">
        <v>2307</v>
      </c>
      <c r="U518" s="116" t="s">
        <v>2355</v>
      </c>
      <c r="V518" s="22" t="s">
        <v>109</v>
      </c>
      <c r="W518" s="22" t="s">
        <v>1</v>
      </c>
      <c r="X518" s="22"/>
      <c r="Z518" s="22"/>
      <c r="AA518" s="22"/>
      <c r="AB518" s="22"/>
      <c r="AC518" s="22" t="s">
        <v>465</v>
      </c>
      <c r="AD518" s="22"/>
      <c r="AE518" s="24"/>
      <c r="AF518" s="24" t="s">
        <v>2043</v>
      </c>
      <c r="AG518" s="22"/>
      <c r="AH518" s="25" t="s">
        <v>75</v>
      </c>
      <c r="AI518" s="25" t="s">
        <v>347</v>
      </c>
      <c r="AK518" s="40" t="s">
        <v>373</v>
      </c>
      <c r="AL518" s="40"/>
      <c r="AX518" s="27"/>
      <c r="AY518" s="27"/>
      <c r="BK518" s="27"/>
      <c r="BL518" s="27"/>
      <c r="BX518" s="27"/>
      <c r="BY518" s="27"/>
      <c r="CH518" s="29"/>
    </row>
    <row r="519" spans="1:86" x14ac:dyDescent="0.2">
      <c r="A519" s="18">
        <v>10010</v>
      </c>
      <c r="B519" s="19">
        <v>4</v>
      </c>
      <c r="C519" s="19">
        <f t="shared" si="61"/>
        <v>100100004</v>
      </c>
      <c r="D519" s="23" t="s">
        <v>1052</v>
      </c>
      <c r="E519" s="20" t="s">
        <v>109</v>
      </c>
      <c r="I519" s="22" t="s">
        <v>206</v>
      </c>
      <c r="J519" s="22"/>
      <c r="K519" s="22"/>
      <c r="L519" s="22"/>
      <c r="M519" s="22"/>
      <c r="N519" s="22" t="s">
        <v>163</v>
      </c>
      <c r="O519" s="22" t="s">
        <v>163</v>
      </c>
      <c r="P519" s="22"/>
      <c r="Q519" s="22" t="s">
        <v>2041</v>
      </c>
      <c r="R519" s="22"/>
      <c r="S519" s="22"/>
      <c r="T519" s="22" t="s">
        <v>2307</v>
      </c>
      <c r="U519" s="116" t="s">
        <v>2356</v>
      </c>
      <c r="V519" s="22" t="s">
        <v>109</v>
      </c>
      <c r="W519" s="22" t="s">
        <v>1</v>
      </c>
      <c r="X519" s="22"/>
      <c r="Z519" s="22"/>
      <c r="AA519" s="22"/>
      <c r="AB519" s="22"/>
      <c r="AC519" s="22" t="s">
        <v>465</v>
      </c>
      <c r="AD519" s="22"/>
      <c r="AE519" s="24"/>
      <c r="AF519" s="24" t="s">
        <v>2043</v>
      </c>
      <c r="AG519" s="22"/>
      <c r="AH519" s="25" t="s">
        <v>76</v>
      </c>
      <c r="AI519" s="25" t="s">
        <v>345</v>
      </c>
      <c r="AK519" s="40" t="s">
        <v>374</v>
      </c>
      <c r="AL519" s="40"/>
      <c r="AX519" s="27"/>
      <c r="AY519" s="27"/>
      <c r="BK519" s="27"/>
      <c r="BL519" s="27"/>
      <c r="BX519" s="27"/>
      <c r="BY519" s="27"/>
      <c r="CH519" s="29"/>
    </row>
    <row r="520" spans="1:86" x14ac:dyDescent="0.2">
      <c r="A520" s="18">
        <v>10010</v>
      </c>
      <c r="B520" s="19">
        <v>5</v>
      </c>
      <c r="C520" s="19">
        <f t="shared" si="61"/>
        <v>100100005</v>
      </c>
      <c r="D520" s="23" t="s">
        <v>1053</v>
      </c>
      <c r="E520" s="20" t="s">
        <v>109</v>
      </c>
      <c r="I520" s="22" t="s">
        <v>206</v>
      </c>
      <c r="J520" s="22"/>
      <c r="K520" s="22"/>
      <c r="L520" s="22"/>
      <c r="M520" s="22"/>
      <c r="N520" s="22" t="s">
        <v>163</v>
      </c>
      <c r="O520" s="22" t="s">
        <v>163</v>
      </c>
      <c r="P520" s="22"/>
      <c r="Q520" s="22" t="s">
        <v>2041</v>
      </c>
      <c r="R520" s="22"/>
      <c r="S520" s="22"/>
      <c r="T520" s="22" t="s">
        <v>2307</v>
      </c>
      <c r="U520" s="116" t="s">
        <v>2357</v>
      </c>
      <c r="V520" s="22" t="s">
        <v>109</v>
      </c>
      <c r="W520" s="22" t="s">
        <v>1</v>
      </c>
      <c r="X520" s="22"/>
      <c r="Z520" s="22"/>
      <c r="AA520" s="22"/>
      <c r="AB520" s="22"/>
      <c r="AC520" s="22" t="s">
        <v>465</v>
      </c>
      <c r="AD520" s="22"/>
      <c r="AE520" s="24"/>
      <c r="AF520" s="24" t="s">
        <v>2043</v>
      </c>
      <c r="AG520" s="22"/>
      <c r="AH520" s="25" t="s">
        <v>77</v>
      </c>
      <c r="AI520" s="25" t="s">
        <v>346</v>
      </c>
      <c r="AK520" s="40" t="s">
        <v>375</v>
      </c>
      <c r="AL520" s="40"/>
      <c r="AX520" s="27"/>
      <c r="AY520" s="27"/>
      <c r="BK520" s="27"/>
      <c r="BL520" s="27"/>
      <c r="BX520" s="27"/>
      <c r="BY520" s="27"/>
      <c r="CH520" s="29"/>
    </row>
    <row r="521" spans="1:86" x14ac:dyDescent="0.2">
      <c r="A521" s="18">
        <v>10011</v>
      </c>
      <c r="B521" s="19">
        <v>1</v>
      </c>
      <c r="C521" s="19">
        <f t="shared" si="61"/>
        <v>100110001</v>
      </c>
      <c r="D521" s="23" t="s">
        <v>1054</v>
      </c>
      <c r="E521" s="20" t="s">
        <v>109</v>
      </c>
      <c r="I521" s="22" t="s">
        <v>206</v>
      </c>
      <c r="J521" s="22"/>
      <c r="K521" s="22"/>
      <c r="L521" s="22"/>
      <c r="M521" s="22"/>
      <c r="N521" s="22" t="s">
        <v>163</v>
      </c>
      <c r="O521" s="22" t="s">
        <v>163</v>
      </c>
      <c r="P521" s="22"/>
      <c r="Q521" s="22" t="s">
        <v>2041</v>
      </c>
      <c r="R521" s="22"/>
      <c r="S521" s="22"/>
      <c r="T521" s="22" t="s">
        <v>2307</v>
      </c>
      <c r="U521" s="116" t="s">
        <v>2358</v>
      </c>
      <c r="V521" s="22" t="s">
        <v>109</v>
      </c>
      <c r="W521" s="22" t="s">
        <v>1</v>
      </c>
      <c r="X521" s="22"/>
      <c r="Z521" s="22"/>
      <c r="AA521" s="22"/>
      <c r="AB521" s="22"/>
      <c r="AC521" s="22" t="s">
        <v>466</v>
      </c>
      <c r="AD521" s="22"/>
      <c r="AE521" s="24"/>
      <c r="AF521" s="24" t="s">
        <v>2043</v>
      </c>
      <c r="AG521" s="22"/>
      <c r="AI521" s="25" t="s">
        <v>349</v>
      </c>
      <c r="AK521" s="40" t="s">
        <v>136</v>
      </c>
      <c r="AL521" s="40"/>
      <c r="AX521" s="27"/>
      <c r="AY521" s="27"/>
      <c r="BK521" s="27"/>
      <c r="BL521" s="27"/>
      <c r="BX521" s="27"/>
      <c r="BY521" s="27"/>
      <c r="CH521" s="29"/>
    </row>
    <row r="522" spans="1:86" x14ac:dyDescent="0.2">
      <c r="A522" s="18">
        <v>10011</v>
      </c>
      <c r="B522" s="19">
        <v>2</v>
      </c>
      <c r="C522" s="19">
        <f t="shared" si="61"/>
        <v>100110002</v>
      </c>
      <c r="D522" s="23" t="s">
        <v>1055</v>
      </c>
      <c r="E522" s="20" t="s">
        <v>109</v>
      </c>
      <c r="I522" s="22" t="s">
        <v>206</v>
      </c>
      <c r="J522" s="22"/>
      <c r="K522" s="22"/>
      <c r="L522" s="22"/>
      <c r="M522" s="22"/>
      <c r="N522" s="22" t="s">
        <v>163</v>
      </c>
      <c r="O522" s="22" t="s">
        <v>163</v>
      </c>
      <c r="P522" s="22"/>
      <c r="Q522" s="22" t="s">
        <v>2041</v>
      </c>
      <c r="R522" s="22"/>
      <c r="S522" s="22"/>
      <c r="T522" s="22" t="s">
        <v>2307</v>
      </c>
      <c r="U522" s="116" t="s">
        <v>2359</v>
      </c>
      <c r="V522" s="22" t="s">
        <v>109</v>
      </c>
      <c r="W522" s="22" t="s">
        <v>1</v>
      </c>
      <c r="X522" s="22"/>
      <c r="Z522" s="22"/>
      <c r="AA522" s="22"/>
      <c r="AB522" s="22"/>
      <c r="AC522" s="22" t="s">
        <v>467</v>
      </c>
      <c r="AD522" s="22"/>
      <c r="AE522" s="24"/>
      <c r="AF522" s="24" t="s">
        <v>2043</v>
      </c>
      <c r="AG522" s="22"/>
      <c r="AI522" s="25" t="s">
        <v>350</v>
      </c>
      <c r="AK522" s="40" t="s">
        <v>139</v>
      </c>
      <c r="AL522" s="40"/>
      <c r="AX522" s="27"/>
      <c r="AY522" s="27"/>
      <c r="BK522" s="27"/>
      <c r="BL522" s="27"/>
      <c r="BX522" s="27"/>
      <c r="BY522" s="27"/>
      <c r="CH522" s="29"/>
    </row>
    <row r="523" spans="1:86" x14ac:dyDescent="0.2">
      <c r="A523" s="18">
        <v>10011</v>
      </c>
      <c r="B523" s="19">
        <v>3</v>
      </c>
      <c r="C523" s="19">
        <f t="shared" si="61"/>
        <v>100110003</v>
      </c>
      <c r="D523" s="23" t="s">
        <v>1056</v>
      </c>
      <c r="E523" s="20" t="s">
        <v>109</v>
      </c>
      <c r="I523" s="22" t="s">
        <v>206</v>
      </c>
      <c r="J523" s="22"/>
      <c r="K523" s="22"/>
      <c r="L523" s="22"/>
      <c r="M523" s="22"/>
      <c r="N523" s="22" t="s">
        <v>163</v>
      </c>
      <c r="O523" s="22" t="s">
        <v>163</v>
      </c>
      <c r="P523" s="22"/>
      <c r="Q523" s="22" t="s">
        <v>2041</v>
      </c>
      <c r="R523" s="22"/>
      <c r="S523" s="22"/>
      <c r="T523" s="22" t="s">
        <v>2307</v>
      </c>
      <c r="U523" s="116" t="s">
        <v>2360</v>
      </c>
      <c r="V523" s="22" t="s">
        <v>109</v>
      </c>
      <c r="W523" s="22" t="s">
        <v>1</v>
      </c>
      <c r="X523" s="22"/>
      <c r="Z523" s="22"/>
      <c r="AA523" s="22"/>
      <c r="AB523" s="22"/>
      <c r="AC523" s="22" t="s">
        <v>467</v>
      </c>
      <c r="AD523" s="22"/>
      <c r="AE523" s="24"/>
      <c r="AF523" s="24" t="s">
        <v>2043</v>
      </c>
      <c r="AG523" s="22"/>
      <c r="AH523" s="25" t="s">
        <v>78</v>
      </c>
      <c r="AI523" s="25" t="s">
        <v>347</v>
      </c>
      <c r="AK523" s="40" t="s">
        <v>373</v>
      </c>
      <c r="AL523" s="40"/>
      <c r="AX523" s="27"/>
      <c r="AY523" s="27"/>
      <c r="BK523" s="27"/>
      <c r="BL523" s="27"/>
      <c r="BX523" s="27"/>
      <c r="BY523" s="27"/>
      <c r="CH523" s="29"/>
    </row>
    <row r="524" spans="1:86" x14ac:dyDescent="0.2">
      <c r="A524" s="18">
        <v>10011</v>
      </c>
      <c r="B524" s="19">
        <v>4</v>
      </c>
      <c r="C524" s="19">
        <f t="shared" si="61"/>
        <v>100110004</v>
      </c>
      <c r="D524" s="23" t="s">
        <v>1057</v>
      </c>
      <c r="E524" s="20" t="s">
        <v>109</v>
      </c>
      <c r="I524" s="22" t="s">
        <v>206</v>
      </c>
      <c r="J524" s="22"/>
      <c r="K524" s="22"/>
      <c r="L524" s="22"/>
      <c r="M524" s="22"/>
      <c r="N524" s="22" t="s">
        <v>163</v>
      </c>
      <c r="O524" s="22" t="s">
        <v>163</v>
      </c>
      <c r="P524" s="22"/>
      <c r="Q524" s="22" t="s">
        <v>2041</v>
      </c>
      <c r="R524" s="22"/>
      <c r="S524" s="22"/>
      <c r="T524" s="22" t="s">
        <v>2307</v>
      </c>
      <c r="U524" s="116" t="s">
        <v>2361</v>
      </c>
      <c r="V524" s="22" t="s">
        <v>109</v>
      </c>
      <c r="W524" s="22" t="s">
        <v>1</v>
      </c>
      <c r="X524" s="22"/>
      <c r="Z524" s="22"/>
      <c r="AA524" s="22"/>
      <c r="AB524" s="22"/>
      <c r="AC524" s="22" t="s">
        <v>466</v>
      </c>
      <c r="AD524" s="22"/>
      <c r="AE524" s="24"/>
      <c r="AF524" s="24" t="s">
        <v>2043</v>
      </c>
      <c r="AG524" s="22"/>
      <c r="AH524" s="25" t="s">
        <v>79</v>
      </c>
      <c r="AI524" s="25" t="s">
        <v>345</v>
      </c>
      <c r="AK524" s="40" t="s">
        <v>374</v>
      </c>
      <c r="AL524" s="40"/>
      <c r="AX524" s="27"/>
      <c r="AY524" s="27"/>
      <c r="BK524" s="27"/>
      <c r="BL524" s="27"/>
      <c r="BX524" s="27"/>
      <c r="BY524" s="27"/>
      <c r="CH524" s="29"/>
    </row>
    <row r="525" spans="1:86" x14ac:dyDescent="0.2">
      <c r="A525" s="18">
        <v>10011</v>
      </c>
      <c r="B525" s="19">
        <v>5</v>
      </c>
      <c r="C525" s="19">
        <f t="shared" si="61"/>
        <v>100110005</v>
      </c>
      <c r="D525" s="23" t="s">
        <v>1058</v>
      </c>
      <c r="E525" s="20" t="s">
        <v>109</v>
      </c>
      <c r="I525" s="22" t="s">
        <v>206</v>
      </c>
      <c r="J525" s="22"/>
      <c r="K525" s="22"/>
      <c r="L525" s="22"/>
      <c r="M525" s="22"/>
      <c r="N525" s="22" t="s">
        <v>163</v>
      </c>
      <c r="O525" s="22" t="s">
        <v>163</v>
      </c>
      <c r="P525" s="22"/>
      <c r="Q525" s="22" t="s">
        <v>2041</v>
      </c>
      <c r="R525" s="22"/>
      <c r="S525" s="22"/>
      <c r="T525" s="22" t="s">
        <v>2307</v>
      </c>
      <c r="U525" s="116" t="s">
        <v>2362</v>
      </c>
      <c r="V525" s="22" t="s">
        <v>109</v>
      </c>
      <c r="W525" s="22" t="s">
        <v>1</v>
      </c>
      <c r="X525" s="22"/>
      <c r="Z525" s="22"/>
      <c r="AA525" s="22"/>
      <c r="AB525" s="22"/>
      <c r="AC525" s="22" t="s">
        <v>466</v>
      </c>
      <c r="AD525" s="22"/>
      <c r="AE525" s="24"/>
      <c r="AF525" s="24" t="s">
        <v>2043</v>
      </c>
      <c r="AG525" s="22"/>
      <c r="AH525" s="25" t="s">
        <v>80</v>
      </c>
      <c r="AI525" s="25" t="s">
        <v>346</v>
      </c>
      <c r="AK525" s="40" t="s">
        <v>375</v>
      </c>
      <c r="AL525" s="40"/>
      <c r="AX525" s="27"/>
      <c r="AY525" s="27"/>
      <c r="BK525" s="27"/>
      <c r="BL525" s="27"/>
      <c r="BX525" s="27"/>
      <c r="BY525" s="27"/>
      <c r="CH525" s="29"/>
    </row>
    <row r="526" spans="1:86" x14ac:dyDescent="0.2">
      <c r="A526" s="18">
        <v>10012</v>
      </c>
      <c r="B526" s="19">
        <v>1</v>
      </c>
      <c r="C526" s="19">
        <f t="shared" si="61"/>
        <v>100120001</v>
      </c>
      <c r="D526" s="23" t="s">
        <v>1059</v>
      </c>
      <c r="E526" s="20" t="s">
        <v>109</v>
      </c>
      <c r="I526" s="22" t="s">
        <v>206</v>
      </c>
      <c r="J526" s="22"/>
      <c r="K526" s="22"/>
      <c r="L526" s="22"/>
      <c r="M526" s="22"/>
      <c r="N526" s="22" t="s">
        <v>163</v>
      </c>
      <c r="O526" s="22" t="s">
        <v>163</v>
      </c>
      <c r="P526" s="22"/>
      <c r="Q526" s="22" t="s">
        <v>2041</v>
      </c>
      <c r="R526" s="22"/>
      <c r="S526" s="22"/>
      <c r="T526" s="22" t="s">
        <v>2307</v>
      </c>
      <c r="U526" s="116" t="s">
        <v>2363</v>
      </c>
      <c r="V526" s="22" t="s">
        <v>109</v>
      </c>
      <c r="W526" s="22" t="s">
        <v>1</v>
      </c>
      <c r="X526" s="22"/>
      <c r="Z526" s="22"/>
      <c r="AA526" s="22"/>
      <c r="AB526" s="22"/>
      <c r="AC526" s="22" t="s">
        <v>468</v>
      </c>
      <c r="AD526" s="22"/>
      <c r="AE526" s="24"/>
      <c r="AF526" s="24" t="s">
        <v>2043</v>
      </c>
      <c r="AG526" s="22"/>
      <c r="AI526" s="25" t="s">
        <v>349</v>
      </c>
      <c r="AK526" s="40" t="s">
        <v>136</v>
      </c>
      <c r="AL526" s="40"/>
      <c r="AX526" s="27"/>
      <c r="AY526" s="27"/>
      <c r="BK526" s="27"/>
      <c r="BL526" s="27"/>
      <c r="BX526" s="27"/>
      <c r="BY526" s="27"/>
      <c r="CH526" s="29"/>
    </row>
    <row r="527" spans="1:86" x14ac:dyDescent="0.2">
      <c r="A527" s="18">
        <v>10012</v>
      </c>
      <c r="B527" s="19">
        <v>2</v>
      </c>
      <c r="C527" s="19">
        <f t="shared" si="61"/>
        <v>100120002</v>
      </c>
      <c r="D527" s="23" t="s">
        <v>1060</v>
      </c>
      <c r="E527" s="20" t="s">
        <v>109</v>
      </c>
      <c r="I527" s="22" t="s">
        <v>206</v>
      </c>
      <c r="J527" s="22"/>
      <c r="K527" s="22"/>
      <c r="L527" s="22"/>
      <c r="M527" s="22"/>
      <c r="N527" s="22" t="s">
        <v>163</v>
      </c>
      <c r="O527" s="22" t="s">
        <v>163</v>
      </c>
      <c r="P527" s="22"/>
      <c r="Q527" s="22" t="s">
        <v>2041</v>
      </c>
      <c r="R527" s="22"/>
      <c r="S527" s="22"/>
      <c r="T527" s="22" t="s">
        <v>2307</v>
      </c>
      <c r="U527" s="116" t="s">
        <v>2364</v>
      </c>
      <c r="V527" s="22" t="s">
        <v>109</v>
      </c>
      <c r="W527" s="22" t="s">
        <v>1</v>
      </c>
      <c r="X527" s="22"/>
      <c r="Z527" s="22"/>
      <c r="AA527" s="22"/>
      <c r="AB527" s="22"/>
      <c r="AC527" s="22" t="s">
        <v>468</v>
      </c>
      <c r="AD527" s="22"/>
      <c r="AE527" s="24"/>
      <c r="AF527" s="24" t="s">
        <v>2043</v>
      </c>
      <c r="AG527" s="22"/>
      <c r="AH527" s="25" t="s">
        <v>81</v>
      </c>
      <c r="AI527" s="25" t="s">
        <v>350</v>
      </c>
      <c r="AK527" s="40" t="s">
        <v>139</v>
      </c>
      <c r="AL527" s="40"/>
      <c r="AX527" s="27"/>
      <c r="AY527" s="27"/>
      <c r="BK527" s="27"/>
      <c r="BL527" s="27"/>
      <c r="BX527" s="27"/>
      <c r="BY527" s="27"/>
      <c r="CH527" s="29"/>
    </row>
    <row r="528" spans="1:86" x14ac:dyDescent="0.2">
      <c r="A528" s="18">
        <v>10012</v>
      </c>
      <c r="B528" s="19">
        <v>3</v>
      </c>
      <c r="C528" s="19">
        <f t="shared" si="61"/>
        <v>100120003</v>
      </c>
      <c r="D528" s="23" t="s">
        <v>1061</v>
      </c>
      <c r="E528" s="20" t="s">
        <v>109</v>
      </c>
      <c r="I528" s="22" t="s">
        <v>206</v>
      </c>
      <c r="J528" s="22"/>
      <c r="K528" s="22"/>
      <c r="L528" s="22"/>
      <c r="M528" s="22"/>
      <c r="N528" s="22" t="s">
        <v>163</v>
      </c>
      <c r="O528" s="22" t="s">
        <v>163</v>
      </c>
      <c r="P528" s="22"/>
      <c r="Q528" s="22" t="s">
        <v>2041</v>
      </c>
      <c r="R528" s="22"/>
      <c r="S528" s="22"/>
      <c r="T528" s="22" t="s">
        <v>2307</v>
      </c>
      <c r="U528" s="116" t="s">
        <v>2365</v>
      </c>
      <c r="V528" s="22" t="s">
        <v>109</v>
      </c>
      <c r="W528" s="22" t="s">
        <v>1</v>
      </c>
      <c r="X528" s="22"/>
      <c r="Z528" s="22"/>
      <c r="AA528" s="22"/>
      <c r="AB528" s="22"/>
      <c r="AC528" s="22" t="s">
        <v>468</v>
      </c>
      <c r="AD528" s="22"/>
      <c r="AE528" s="24"/>
      <c r="AF528" s="24" t="s">
        <v>2043</v>
      </c>
      <c r="AG528" s="22"/>
      <c r="AH528" s="25" t="s">
        <v>82</v>
      </c>
      <c r="AI528" s="25" t="s">
        <v>347</v>
      </c>
      <c r="AK528" s="40" t="s">
        <v>373</v>
      </c>
      <c r="AL528" s="40"/>
      <c r="AX528" s="27"/>
      <c r="AY528" s="27"/>
      <c r="BK528" s="27"/>
      <c r="BL528" s="27"/>
      <c r="BX528" s="27"/>
      <c r="BY528" s="27"/>
      <c r="CH528" s="29"/>
    </row>
    <row r="529" spans="1:86" x14ac:dyDescent="0.2">
      <c r="A529" s="18">
        <v>10012</v>
      </c>
      <c r="B529" s="19">
        <v>4</v>
      </c>
      <c r="C529" s="19">
        <f t="shared" si="61"/>
        <v>100120004</v>
      </c>
      <c r="D529" s="23" t="s">
        <v>1062</v>
      </c>
      <c r="E529" s="20" t="s">
        <v>109</v>
      </c>
      <c r="I529" s="22" t="s">
        <v>206</v>
      </c>
      <c r="J529" s="22"/>
      <c r="K529" s="22"/>
      <c r="L529" s="22"/>
      <c r="M529" s="22"/>
      <c r="N529" s="22" t="s">
        <v>163</v>
      </c>
      <c r="O529" s="22" t="s">
        <v>163</v>
      </c>
      <c r="P529" s="22"/>
      <c r="Q529" s="22" t="s">
        <v>2041</v>
      </c>
      <c r="R529" s="22"/>
      <c r="S529" s="22"/>
      <c r="T529" s="22" t="s">
        <v>2307</v>
      </c>
      <c r="U529" s="116" t="s">
        <v>2366</v>
      </c>
      <c r="V529" s="22" t="s">
        <v>109</v>
      </c>
      <c r="W529" s="22" t="s">
        <v>1</v>
      </c>
      <c r="X529" s="22"/>
      <c r="Z529" s="22"/>
      <c r="AA529" s="22"/>
      <c r="AB529" s="22"/>
      <c r="AC529" s="22" t="s">
        <v>468</v>
      </c>
      <c r="AD529" s="22"/>
      <c r="AE529" s="24"/>
      <c r="AF529" s="24" t="s">
        <v>2043</v>
      </c>
      <c r="AG529" s="22"/>
      <c r="AH529" s="25" t="s">
        <v>83</v>
      </c>
      <c r="AI529" s="25" t="s">
        <v>345</v>
      </c>
      <c r="AK529" s="40" t="s">
        <v>374</v>
      </c>
      <c r="AL529" s="40"/>
      <c r="AX529" s="27"/>
      <c r="AY529" s="27"/>
      <c r="BK529" s="27"/>
      <c r="BL529" s="27"/>
      <c r="BX529" s="27"/>
      <c r="BY529" s="27"/>
      <c r="CH529" s="29"/>
    </row>
    <row r="530" spans="1:86" x14ac:dyDescent="0.2">
      <c r="A530" s="18">
        <v>10012</v>
      </c>
      <c r="B530" s="19">
        <v>5</v>
      </c>
      <c r="C530" s="19">
        <f t="shared" si="61"/>
        <v>100120005</v>
      </c>
      <c r="D530" s="23" t="s">
        <v>1063</v>
      </c>
      <c r="E530" s="20" t="s">
        <v>109</v>
      </c>
      <c r="I530" s="22" t="s">
        <v>206</v>
      </c>
      <c r="J530" s="22"/>
      <c r="K530" s="22"/>
      <c r="L530" s="22"/>
      <c r="M530" s="22"/>
      <c r="N530" s="22" t="s">
        <v>163</v>
      </c>
      <c r="O530" s="22" t="s">
        <v>163</v>
      </c>
      <c r="P530" s="22"/>
      <c r="Q530" s="22" t="s">
        <v>2041</v>
      </c>
      <c r="R530" s="22"/>
      <c r="S530" s="22"/>
      <c r="T530" s="22" t="s">
        <v>2307</v>
      </c>
      <c r="U530" s="116" t="s">
        <v>2367</v>
      </c>
      <c r="V530" s="22" t="s">
        <v>109</v>
      </c>
      <c r="W530" s="22" t="s">
        <v>1</v>
      </c>
      <c r="X530" s="22"/>
      <c r="Z530" s="22"/>
      <c r="AA530" s="22"/>
      <c r="AB530" s="22"/>
      <c r="AC530" s="22" t="s">
        <v>468</v>
      </c>
      <c r="AD530" s="22"/>
      <c r="AE530" s="24"/>
      <c r="AF530" s="24" t="s">
        <v>2043</v>
      </c>
      <c r="AG530" s="22"/>
      <c r="AH530" s="25" t="s">
        <v>84</v>
      </c>
      <c r="AI530" s="25" t="s">
        <v>346</v>
      </c>
      <c r="AK530" s="40" t="s">
        <v>375</v>
      </c>
      <c r="AL530" s="40"/>
      <c r="AX530" s="27"/>
      <c r="AY530" s="27"/>
      <c r="BK530" s="27"/>
      <c r="BL530" s="27"/>
      <c r="BX530" s="27"/>
      <c r="BY530" s="27"/>
      <c r="CH530" s="29"/>
    </row>
    <row r="531" spans="1:86" x14ac:dyDescent="0.2">
      <c r="A531" s="18">
        <v>10013</v>
      </c>
      <c r="B531" s="19">
        <v>1</v>
      </c>
      <c r="C531" s="19">
        <f t="shared" si="61"/>
        <v>100130001</v>
      </c>
      <c r="D531" s="23" t="s">
        <v>1064</v>
      </c>
      <c r="E531" s="20" t="s">
        <v>109</v>
      </c>
      <c r="I531" s="22" t="s">
        <v>206</v>
      </c>
      <c r="J531" s="22"/>
      <c r="K531" s="22"/>
      <c r="L531" s="22"/>
      <c r="M531" s="22"/>
      <c r="N531" s="22" t="s">
        <v>163</v>
      </c>
      <c r="O531" s="22" t="s">
        <v>163</v>
      </c>
      <c r="P531" s="22"/>
      <c r="Q531" s="22" t="s">
        <v>2041</v>
      </c>
      <c r="R531" s="22"/>
      <c r="S531" s="22"/>
      <c r="T531" s="22" t="s">
        <v>2307</v>
      </c>
      <c r="U531" s="116" t="s">
        <v>2368</v>
      </c>
      <c r="V531" s="22" t="s">
        <v>109</v>
      </c>
      <c r="W531" s="22" t="s">
        <v>1</v>
      </c>
      <c r="X531" s="22"/>
      <c r="Z531" s="22"/>
      <c r="AA531" s="22"/>
      <c r="AB531" s="22"/>
      <c r="AC531" s="22" t="s">
        <v>469</v>
      </c>
      <c r="AD531" s="22"/>
      <c r="AE531" s="24"/>
      <c r="AF531" s="24" t="s">
        <v>2043</v>
      </c>
      <c r="AG531" s="22"/>
      <c r="AI531" s="25" t="s">
        <v>349</v>
      </c>
      <c r="AK531" s="40" t="s">
        <v>136</v>
      </c>
      <c r="AL531" s="40"/>
      <c r="AX531" s="27"/>
      <c r="AY531" s="27"/>
      <c r="BK531" s="27"/>
      <c r="BL531" s="27"/>
      <c r="BX531" s="27"/>
      <c r="BY531" s="27"/>
      <c r="CH531" s="29"/>
    </row>
    <row r="532" spans="1:86" x14ac:dyDescent="0.2">
      <c r="A532" s="18">
        <v>10013</v>
      </c>
      <c r="B532" s="19">
        <v>2</v>
      </c>
      <c r="C532" s="19">
        <f t="shared" si="61"/>
        <v>100130002</v>
      </c>
      <c r="D532" s="23" t="s">
        <v>1065</v>
      </c>
      <c r="E532" s="20" t="s">
        <v>109</v>
      </c>
      <c r="I532" s="22" t="s">
        <v>206</v>
      </c>
      <c r="J532" s="22"/>
      <c r="K532" s="22"/>
      <c r="L532" s="22"/>
      <c r="M532" s="22"/>
      <c r="N532" s="22" t="s">
        <v>163</v>
      </c>
      <c r="O532" s="22" t="s">
        <v>163</v>
      </c>
      <c r="P532" s="22"/>
      <c r="Q532" s="22" t="s">
        <v>2041</v>
      </c>
      <c r="R532" s="22"/>
      <c r="S532" s="22"/>
      <c r="T532" s="22" t="s">
        <v>2307</v>
      </c>
      <c r="U532" s="116" t="s">
        <v>2369</v>
      </c>
      <c r="V532" s="22" t="s">
        <v>109</v>
      </c>
      <c r="W532" s="22" t="s">
        <v>1</v>
      </c>
      <c r="X532" s="22"/>
      <c r="Z532" s="22"/>
      <c r="AA532" s="22"/>
      <c r="AB532" s="22"/>
      <c r="AC532" s="22" t="s">
        <v>469</v>
      </c>
      <c r="AD532" s="22"/>
      <c r="AE532" s="24"/>
      <c r="AF532" s="24" t="s">
        <v>2043</v>
      </c>
      <c r="AG532" s="22"/>
      <c r="AH532" s="25" t="s">
        <v>85</v>
      </c>
      <c r="AI532" s="25" t="s">
        <v>350</v>
      </c>
      <c r="AK532" s="40" t="s">
        <v>139</v>
      </c>
      <c r="AL532" s="40"/>
      <c r="AX532" s="27"/>
      <c r="AY532" s="27"/>
      <c r="BK532" s="27"/>
      <c r="BL532" s="27"/>
      <c r="BX532" s="27"/>
      <c r="BY532" s="27"/>
      <c r="CH532" s="29"/>
    </row>
    <row r="533" spans="1:86" x14ac:dyDescent="0.2">
      <c r="A533" s="18">
        <v>10013</v>
      </c>
      <c r="B533" s="19">
        <v>3</v>
      </c>
      <c r="C533" s="19">
        <f t="shared" si="61"/>
        <v>100130003</v>
      </c>
      <c r="D533" s="23" t="s">
        <v>1066</v>
      </c>
      <c r="E533" s="20" t="s">
        <v>109</v>
      </c>
      <c r="I533" s="22" t="s">
        <v>206</v>
      </c>
      <c r="J533" s="22"/>
      <c r="K533" s="22"/>
      <c r="L533" s="22"/>
      <c r="M533" s="22"/>
      <c r="N533" s="22" t="s">
        <v>163</v>
      </c>
      <c r="O533" s="22" t="s">
        <v>163</v>
      </c>
      <c r="P533" s="22"/>
      <c r="Q533" s="22" t="s">
        <v>2041</v>
      </c>
      <c r="R533" s="22"/>
      <c r="S533" s="22"/>
      <c r="T533" s="22" t="s">
        <v>2307</v>
      </c>
      <c r="U533" s="116" t="s">
        <v>2370</v>
      </c>
      <c r="V533" s="22" t="s">
        <v>109</v>
      </c>
      <c r="W533" s="22" t="s">
        <v>1</v>
      </c>
      <c r="X533" s="22"/>
      <c r="Z533" s="22"/>
      <c r="AA533" s="22"/>
      <c r="AB533" s="22"/>
      <c r="AC533" s="22" t="s">
        <v>469</v>
      </c>
      <c r="AD533" s="22"/>
      <c r="AE533" s="24"/>
      <c r="AF533" s="24" t="s">
        <v>2043</v>
      </c>
      <c r="AG533" s="22"/>
      <c r="AH533" s="25" t="s">
        <v>86</v>
      </c>
      <c r="AI533" s="25" t="s">
        <v>347</v>
      </c>
      <c r="AK533" s="40" t="s">
        <v>373</v>
      </c>
      <c r="AL533" s="40"/>
      <c r="AX533" s="27"/>
      <c r="AY533" s="27"/>
      <c r="BK533" s="27"/>
      <c r="BL533" s="27"/>
      <c r="BX533" s="27"/>
      <c r="BY533" s="27"/>
      <c r="CH533" s="29"/>
    </row>
    <row r="534" spans="1:86" x14ac:dyDescent="0.2">
      <c r="A534" s="18">
        <v>10013</v>
      </c>
      <c r="B534" s="19">
        <v>4</v>
      </c>
      <c r="C534" s="19">
        <f t="shared" si="61"/>
        <v>100130004</v>
      </c>
      <c r="D534" s="23" t="s">
        <v>1067</v>
      </c>
      <c r="E534" s="20" t="s">
        <v>109</v>
      </c>
      <c r="I534" s="22" t="s">
        <v>206</v>
      </c>
      <c r="J534" s="22"/>
      <c r="K534" s="22"/>
      <c r="L534" s="22"/>
      <c r="M534" s="22"/>
      <c r="N534" s="22" t="s">
        <v>163</v>
      </c>
      <c r="O534" s="22" t="s">
        <v>163</v>
      </c>
      <c r="P534" s="22"/>
      <c r="Q534" s="22" t="s">
        <v>2041</v>
      </c>
      <c r="R534" s="22"/>
      <c r="S534" s="22"/>
      <c r="T534" s="22" t="s">
        <v>2307</v>
      </c>
      <c r="U534" s="116" t="s">
        <v>2371</v>
      </c>
      <c r="V534" s="22" t="s">
        <v>109</v>
      </c>
      <c r="W534" s="22" t="s">
        <v>1</v>
      </c>
      <c r="X534" s="22"/>
      <c r="Z534" s="22"/>
      <c r="AA534" s="22"/>
      <c r="AB534" s="22"/>
      <c r="AC534" s="22" t="s">
        <v>469</v>
      </c>
      <c r="AD534" s="22"/>
      <c r="AE534" s="24"/>
      <c r="AF534" s="24" t="s">
        <v>2043</v>
      </c>
      <c r="AG534" s="22"/>
      <c r="AH534" s="25" t="s">
        <v>87</v>
      </c>
      <c r="AI534" s="25" t="s">
        <v>345</v>
      </c>
      <c r="AK534" s="40" t="s">
        <v>374</v>
      </c>
      <c r="AL534" s="40"/>
      <c r="AX534" s="27"/>
      <c r="AY534" s="27"/>
      <c r="BK534" s="27"/>
      <c r="BL534" s="27"/>
      <c r="BX534" s="27"/>
      <c r="BY534" s="27"/>
      <c r="CH534" s="29"/>
    </row>
    <row r="535" spans="1:86" x14ac:dyDescent="0.2">
      <c r="A535" s="18">
        <v>10013</v>
      </c>
      <c r="B535" s="19">
        <v>5</v>
      </c>
      <c r="C535" s="19">
        <f t="shared" si="61"/>
        <v>100130005</v>
      </c>
      <c r="D535" s="23" t="s">
        <v>1068</v>
      </c>
      <c r="E535" s="20" t="s">
        <v>109</v>
      </c>
      <c r="I535" s="22" t="s">
        <v>206</v>
      </c>
      <c r="J535" s="22"/>
      <c r="K535" s="22"/>
      <c r="L535" s="22"/>
      <c r="M535" s="22"/>
      <c r="N535" s="22" t="s">
        <v>163</v>
      </c>
      <c r="O535" s="22" t="s">
        <v>163</v>
      </c>
      <c r="P535" s="22"/>
      <c r="Q535" s="22" t="s">
        <v>2041</v>
      </c>
      <c r="R535" s="22"/>
      <c r="S535" s="22"/>
      <c r="T535" s="22" t="s">
        <v>2307</v>
      </c>
      <c r="U535" s="116" t="s">
        <v>2372</v>
      </c>
      <c r="V535" s="22" t="s">
        <v>109</v>
      </c>
      <c r="W535" s="22" t="s">
        <v>1</v>
      </c>
      <c r="X535" s="22"/>
      <c r="Z535" s="22"/>
      <c r="AA535" s="22"/>
      <c r="AB535" s="22"/>
      <c r="AC535" s="22" t="s">
        <v>469</v>
      </c>
      <c r="AD535" s="22"/>
      <c r="AE535" s="24"/>
      <c r="AF535" s="24" t="s">
        <v>2043</v>
      </c>
      <c r="AG535" s="22"/>
      <c r="AH535" s="25" t="s">
        <v>88</v>
      </c>
      <c r="AI535" s="25" t="s">
        <v>346</v>
      </c>
      <c r="AK535" s="40" t="s">
        <v>375</v>
      </c>
      <c r="AL535" s="40"/>
      <c r="AX535" s="27"/>
      <c r="AY535" s="27"/>
      <c r="BK535" s="27"/>
      <c r="BL535" s="27"/>
      <c r="BX535" s="27"/>
      <c r="BY535" s="27"/>
      <c r="CH535" s="29"/>
    </row>
    <row r="536" spans="1:86" x14ac:dyDescent="0.2">
      <c r="A536" s="18">
        <v>10014</v>
      </c>
      <c r="B536" s="19">
        <v>1</v>
      </c>
      <c r="C536" s="19">
        <f t="shared" si="61"/>
        <v>100140001</v>
      </c>
      <c r="D536" s="23" t="s">
        <v>1069</v>
      </c>
      <c r="E536" s="20" t="s">
        <v>109</v>
      </c>
      <c r="I536" s="22" t="s">
        <v>206</v>
      </c>
      <c r="J536" s="22"/>
      <c r="K536" s="22"/>
      <c r="L536" s="22"/>
      <c r="M536" s="22"/>
      <c r="N536" s="22" t="s">
        <v>163</v>
      </c>
      <c r="O536" s="22" t="s">
        <v>163</v>
      </c>
      <c r="P536" s="22"/>
      <c r="Q536" s="22" t="s">
        <v>2041</v>
      </c>
      <c r="R536" s="22"/>
      <c r="S536" s="22"/>
      <c r="T536" s="22" t="s">
        <v>2307</v>
      </c>
      <c r="U536" s="116" t="s">
        <v>2373</v>
      </c>
      <c r="V536" s="22" t="s">
        <v>109</v>
      </c>
      <c r="W536" s="22" t="s">
        <v>1</v>
      </c>
      <c r="X536" s="22"/>
      <c r="Z536" s="22"/>
      <c r="AA536" s="22"/>
      <c r="AB536" s="22"/>
      <c r="AC536" s="22" t="s">
        <v>470</v>
      </c>
      <c r="AD536" s="22"/>
      <c r="AE536" s="24"/>
      <c r="AF536" s="24" t="s">
        <v>2043</v>
      </c>
      <c r="AG536" s="22"/>
      <c r="AI536" s="25" t="s">
        <v>349</v>
      </c>
      <c r="AK536" s="40" t="s">
        <v>136</v>
      </c>
      <c r="AL536" s="40"/>
      <c r="AX536" s="27"/>
      <c r="AY536" s="27"/>
      <c r="BK536" s="27"/>
      <c r="BL536" s="27"/>
      <c r="BX536" s="27"/>
      <c r="BY536" s="27"/>
      <c r="CH536" s="29"/>
    </row>
    <row r="537" spans="1:86" x14ac:dyDescent="0.2">
      <c r="A537" s="18">
        <v>10014</v>
      </c>
      <c r="B537" s="19">
        <v>2</v>
      </c>
      <c r="C537" s="19">
        <f t="shared" si="61"/>
        <v>100140002</v>
      </c>
      <c r="D537" s="23" t="s">
        <v>1070</v>
      </c>
      <c r="E537" s="20" t="s">
        <v>109</v>
      </c>
      <c r="I537" s="22" t="s">
        <v>206</v>
      </c>
      <c r="J537" s="22"/>
      <c r="K537" s="22"/>
      <c r="L537" s="22"/>
      <c r="M537" s="22"/>
      <c r="N537" s="22" t="s">
        <v>163</v>
      </c>
      <c r="O537" s="22" t="s">
        <v>163</v>
      </c>
      <c r="P537" s="22"/>
      <c r="Q537" s="22" t="s">
        <v>2041</v>
      </c>
      <c r="R537" s="22"/>
      <c r="S537" s="22"/>
      <c r="T537" s="22" t="s">
        <v>2307</v>
      </c>
      <c r="U537" s="116" t="s">
        <v>2374</v>
      </c>
      <c r="V537" s="22" t="s">
        <v>109</v>
      </c>
      <c r="W537" s="22" t="s">
        <v>1</v>
      </c>
      <c r="X537" s="22"/>
      <c r="Z537" s="22"/>
      <c r="AA537" s="22"/>
      <c r="AB537" s="22"/>
      <c r="AC537" s="22" t="s">
        <v>470</v>
      </c>
      <c r="AD537" s="22"/>
      <c r="AE537" s="24"/>
      <c r="AF537" s="24" t="s">
        <v>2043</v>
      </c>
      <c r="AG537" s="22"/>
      <c r="AI537" s="25" t="s">
        <v>350</v>
      </c>
      <c r="AK537" s="40" t="s">
        <v>139</v>
      </c>
      <c r="AL537" s="40"/>
      <c r="AX537" s="27"/>
      <c r="AY537" s="27"/>
      <c r="BK537" s="27"/>
      <c r="BL537" s="27"/>
      <c r="BX537" s="27"/>
      <c r="BY537" s="27"/>
      <c r="CH537" s="29"/>
    </row>
    <row r="538" spans="1:86" x14ac:dyDescent="0.2">
      <c r="A538" s="18">
        <v>10014</v>
      </c>
      <c r="B538" s="19">
        <v>3</v>
      </c>
      <c r="C538" s="19">
        <f t="shared" si="61"/>
        <v>100140003</v>
      </c>
      <c r="D538" s="23" t="s">
        <v>1071</v>
      </c>
      <c r="E538" s="20" t="s">
        <v>109</v>
      </c>
      <c r="I538" s="22" t="s">
        <v>206</v>
      </c>
      <c r="J538" s="22"/>
      <c r="K538" s="22"/>
      <c r="L538" s="22"/>
      <c r="M538" s="22"/>
      <c r="N538" s="22" t="s">
        <v>163</v>
      </c>
      <c r="O538" s="22" t="s">
        <v>163</v>
      </c>
      <c r="P538" s="22"/>
      <c r="Q538" s="22" t="s">
        <v>2041</v>
      </c>
      <c r="R538" s="22"/>
      <c r="S538" s="22"/>
      <c r="T538" s="22" t="s">
        <v>2307</v>
      </c>
      <c r="U538" s="116" t="s">
        <v>2375</v>
      </c>
      <c r="V538" s="22" t="s">
        <v>109</v>
      </c>
      <c r="W538" s="22" t="s">
        <v>1</v>
      </c>
      <c r="X538" s="22"/>
      <c r="Z538" s="22"/>
      <c r="AA538" s="22"/>
      <c r="AB538" s="22"/>
      <c r="AC538" s="22" t="s">
        <v>470</v>
      </c>
      <c r="AD538" s="22"/>
      <c r="AE538" s="24"/>
      <c r="AF538" s="24" t="s">
        <v>2043</v>
      </c>
      <c r="AG538" s="22"/>
      <c r="AH538" s="25" t="s">
        <v>89</v>
      </c>
      <c r="AI538" s="25" t="s">
        <v>347</v>
      </c>
      <c r="AK538" s="40" t="s">
        <v>373</v>
      </c>
      <c r="AL538" s="40"/>
      <c r="AX538" s="27"/>
      <c r="AY538" s="27"/>
      <c r="BK538" s="27"/>
      <c r="BL538" s="27"/>
      <c r="BX538" s="27"/>
      <c r="BY538" s="27"/>
      <c r="CH538" s="29"/>
    </row>
    <row r="539" spans="1:86" x14ac:dyDescent="0.2">
      <c r="A539" s="18">
        <v>10014</v>
      </c>
      <c r="B539" s="19">
        <v>4</v>
      </c>
      <c r="C539" s="19">
        <f t="shared" si="61"/>
        <v>100140004</v>
      </c>
      <c r="D539" s="23" t="s">
        <v>1072</v>
      </c>
      <c r="E539" s="20" t="s">
        <v>109</v>
      </c>
      <c r="I539" s="22" t="s">
        <v>206</v>
      </c>
      <c r="J539" s="22"/>
      <c r="K539" s="22"/>
      <c r="L539" s="22"/>
      <c r="M539" s="22"/>
      <c r="N539" s="22" t="s">
        <v>163</v>
      </c>
      <c r="O539" s="22" t="s">
        <v>163</v>
      </c>
      <c r="P539" s="22"/>
      <c r="Q539" s="22" t="s">
        <v>2041</v>
      </c>
      <c r="R539" s="22"/>
      <c r="S539" s="22"/>
      <c r="T539" s="22" t="s">
        <v>2307</v>
      </c>
      <c r="U539" s="116" t="s">
        <v>2376</v>
      </c>
      <c r="V539" s="22" t="s">
        <v>109</v>
      </c>
      <c r="W539" s="22" t="s">
        <v>1</v>
      </c>
      <c r="X539" s="22"/>
      <c r="Z539" s="22"/>
      <c r="AA539" s="22"/>
      <c r="AB539" s="22"/>
      <c r="AC539" s="22" t="s">
        <v>470</v>
      </c>
      <c r="AD539" s="22"/>
      <c r="AE539" s="24"/>
      <c r="AF539" s="24" t="s">
        <v>2043</v>
      </c>
      <c r="AG539" s="22"/>
      <c r="AH539" s="25" t="s">
        <v>90</v>
      </c>
      <c r="AI539" s="25" t="s">
        <v>345</v>
      </c>
      <c r="AK539" s="40" t="s">
        <v>374</v>
      </c>
      <c r="AL539" s="40"/>
      <c r="AX539" s="27"/>
      <c r="AY539" s="27"/>
      <c r="BK539" s="27"/>
      <c r="BL539" s="27"/>
      <c r="BX539" s="27"/>
      <c r="BY539" s="27"/>
      <c r="CH539" s="29"/>
    </row>
    <row r="540" spans="1:86" x14ac:dyDescent="0.2">
      <c r="A540" s="18">
        <v>10014</v>
      </c>
      <c r="B540" s="19">
        <v>5</v>
      </c>
      <c r="C540" s="19">
        <f t="shared" si="61"/>
        <v>100140005</v>
      </c>
      <c r="D540" s="23" t="s">
        <v>1073</v>
      </c>
      <c r="E540" s="20" t="s">
        <v>109</v>
      </c>
      <c r="I540" s="22" t="s">
        <v>206</v>
      </c>
      <c r="J540" s="22"/>
      <c r="K540" s="22"/>
      <c r="L540" s="22"/>
      <c r="M540" s="22"/>
      <c r="N540" s="22" t="s">
        <v>163</v>
      </c>
      <c r="O540" s="22" t="s">
        <v>163</v>
      </c>
      <c r="P540" s="22"/>
      <c r="Q540" s="22" t="s">
        <v>2041</v>
      </c>
      <c r="R540" s="22"/>
      <c r="S540" s="22"/>
      <c r="T540" s="22" t="s">
        <v>2307</v>
      </c>
      <c r="U540" s="116" t="s">
        <v>2377</v>
      </c>
      <c r="V540" s="22" t="s">
        <v>109</v>
      </c>
      <c r="W540" s="22" t="s">
        <v>1</v>
      </c>
      <c r="X540" s="22"/>
      <c r="Z540" s="22"/>
      <c r="AA540" s="22"/>
      <c r="AB540" s="22"/>
      <c r="AC540" s="22" t="s">
        <v>470</v>
      </c>
      <c r="AD540" s="22"/>
      <c r="AE540" s="24"/>
      <c r="AF540" s="24" t="s">
        <v>2043</v>
      </c>
      <c r="AG540" s="22"/>
      <c r="AH540" s="25" t="s">
        <v>91</v>
      </c>
      <c r="AI540" s="25" t="s">
        <v>346</v>
      </c>
      <c r="AK540" s="40" t="s">
        <v>375</v>
      </c>
      <c r="AL540" s="40"/>
      <c r="AX540" s="27"/>
      <c r="AY540" s="27"/>
      <c r="BK540" s="27"/>
      <c r="BL540" s="27"/>
      <c r="BX540" s="27"/>
      <c r="BY540" s="27"/>
      <c r="CH540" s="29"/>
    </row>
    <row r="541" spans="1:86" x14ac:dyDescent="0.2">
      <c r="A541" s="18">
        <v>10015</v>
      </c>
      <c r="B541" s="19">
        <v>1</v>
      </c>
      <c r="C541" s="19">
        <f t="shared" si="61"/>
        <v>100150001</v>
      </c>
      <c r="D541" s="23" t="s">
        <v>1074</v>
      </c>
      <c r="E541" s="20" t="s">
        <v>109</v>
      </c>
      <c r="I541" s="22" t="s">
        <v>206</v>
      </c>
      <c r="J541" s="22"/>
      <c r="K541" s="22"/>
      <c r="L541" s="22"/>
      <c r="M541" s="22"/>
      <c r="N541" s="22" t="s">
        <v>163</v>
      </c>
      <c r="O541" s="22" t="s">
        <v>163</v>
      </c>
      <c r="P541" s="22"/>
      <c r="Q541" s="22" t="s">
        <v>2041</v>
      </c>
      <c r="R541" s="22"/>
      <c r="S541" s="22"/>
      <c r="T541" s="22" t="s">
        <v>2307</v>
      </c>
      <c r="U541" s="116" t="s">
        <v>2378</v>
      </c>
      <c r="V541" s="22" t="s">
        <v>109</v>
      </c>
      <c r="W541" s="22" t="s">
        <v>1</v>
      </c>
      <c r="X541" s="22"/>
      <c r="Z541" s="22"/>
      <c r="AA541" s="22"/>
      <c r="AB541" s="22"/>
      <c r="AC541" s="22" t="s">
        <v>471</v>
      </c>
      <c r="AD541" s="22"/>
      <c r="AE541" s="24"/>
      <c r="AF541" s="24" t="s">
        <v>2043</v>
      </c>
      <c r="AG541" s="22"/>
      <c r="AH541" s="25" t="s">
        <v>92</v>
      </c>
      <c r="AI541" s="25" t="s">
        <v>349</v>
      </c>
      <c r="AK541" s="40" t="s">
        <v>136</v>
      </c>
      <c r="AL541" s="40"/>
      <c r="AX541" s="27"/>
      <c r="AY541" s="27"/>
      <c r="BK541" s="27"/>
      <c r="BL541" s="27"/>
      <c r="BX541" s="27"/>
      <c r="BY541" s="27"/>
      <c r="CH541" s="29"/>
    </row>
    <row r="542" spans="1:86" x14ac:dyDescent="0.2">
      <c r="A542" s="18">
        <v>10015</v>
      </c>
      <c r="B542" s="19">
        <v>2</v>
      </c>
      <c r="C542" s="19">
        <f t="shared" si="61"/>
        <v>100150002</v>
      </c>
      <c r="D542" s="23" t="s">
        <v>1075</v>
      </c>
      <c r="E542" s="20" t="s">
        <v>109</v>
      </c>
      <c r="I542" s="22" t="s">
        <v>206</v>
      </c>
      <c r="J542" s="22"/>
      <c r="K542" s="22"/>
      <c r="L542" s="22"/>
      <c r="M542" s="22"/>
      <c r="N542" s="22" t="s">
        <v>163</v>
      </c>
      <c r="O542" s="22" t="s">
        <v>163</v>
      </c>
      <c r="P542" s="22"/>
      <c r="Q542" s="22" t="s">
        <v>2041</v>
      </c>
      <c r="R542" s="22"/>
      <c r="S542" s="22"/>
      <c r="T542" s="22" t="s">
        <v>2307</v>
      </c>
      <c r="U542" s="116" t="s">
        <v>2379</v>
      </c>
      <c r="V542" s="22" t="s">
        <v>109</v>
      </c>
      <c r="W542" s="22" t="s">
        <v>1</v>
      </c>
      <c r="X542" s="22"/>
      <c r="Z542" s="22"/>
      <c r="AA542" s="22"/>
      <c r="AB542" s="22"/>
      <c r="AC542" s="22" t="s">
        <v>471</v>
      </c>
      <c r="AD542" s="22"/>
      <c r="AE542" s="24"/>
      <c r="AF542" s="24" t="s">
        <v>2043</v>
      </c>
      <c r="AG542" s="22"/>
      <c r="AH542" s="25" t="s">
        <v>93</v>
      </c>
      <c r="AI542" s="25" t="s">
        <v>350</v>
      </c>
      <c r="AK542" s="40" t="s">
        <v>139</v>
      </c>
      <c r="AL542" s="40"/>
      <c r="AX542" s="27"/>
      <c r="AY542" s="27"/>
      <c r="BK542" s="27"/>
      <c r="BL542" s="27"/>
      <c r="BX542" s="27"/>
      <c r="BY542" s="27"/>
      <c r="CH542" s="29"/>
    </row>
    <row r="543" spans="1:86" x14ac:dyDescent="0.2">
      <c r="A543" s="18">
        <v>10015</v>
      </c>
      <c r="B543" s="19">
        <v>3</v>
      </c>
      <c r="C543" s="19">
        <f t="shared" si="61"/>
        <v>100150003</v>
      </c>
      <c r="D543" s="23" t="s">
        <v>1076</v>
      </c>
      <c r="E543" s="20" t="s">
        <v>109</v>
      </c>
      <c r="I543" s="22" t="s">
        <v>206</v>
      </c>
      <c r="J543" s="22"/>
      <c r="K543" s="22"/>
      <c r="L543" s="22"/>
      <c r="M543" s="22"/>
      <c r="N543" s="22" t="s">
        <v>163</v>
      </c>
      <c r="O543" s="22" t="s">
        <v>163</v>
      </c>
      <c r="P543" s="22"/>
      <c r="Q543" s="22" t="s">
        <v>2041</v>
      </c>
      <c r="R543" s="22"/>
      <c r="S543" s="22"/>
      <c r="T543" s="22" t="s">
        <v>2307</v>
      </c>
      <c r="U543" s="116" t="s">
        <v>2380</v>
      </c>
      <c r="V543" s="22" t="s">
        <v>109</v>
      </c>
      <c r="W543" s="22" t="s">
        <v>1</v>
      </c>
      <c r="X543" s="22"/>
      <c r="Z543" s="22"/>
      <c r="AA543" s="22"/>
      <c r="AB543" s="22"/>
      <c r="AC543" s="22" t="s">
        <v>471</v>
      </c>
      <c r="AD543" s="22"/>
      <c r="AE543" s="24"/>
      <c r="AF543" s="24" t="s">
        <v>2043</v>
      </c>
      <c r="AG543" s="22"/>
      <c r="AH543" s="25" t="s">
        <v>94</v>
      </c>
      <c r="AI543" s="25" t="s">
        <v>347</v>
      </c>
      <c r="AK543" s="40" t="s">
        <v>373</v>
      </c>
      <c r="AL543" s="40"/>
      <c r="AX543" s="27"/>
      <c r="AY543" s="27"/>
      <c r="BK543" s="27"/>
      <c r="BL543" s="27"/>
      <c r="BX543" s="27"/>
      <c r="BY543" s="27"/>
      <c r="CH543" s="29"/>
    </row>
    <row r="544" spans="1:86" x14ac:dyDescent="0.2">
      <c r="A544" s="18">
        <v>10015</v>
      </c>
      <c r="B544" s="19">
        <v>4</v>
      </c>
      <c r="C544" s="19">
        <f t="shared" si="61"/>
        <v>100150004</v>
      </c>
      <c r="D544" s="23" t="s">
        <v>1077</v>
      </c>
      <c r="E544" s="20" t="s">
        <v>109</v>
      </c>
      <c r="I544" s="22" t="s">
        <v>206</v>
      </c>
      <c r="J544" s="22"/>
      <c r="K544" s="22"/>
      <c r="L544" s="22"/>
      <c r="M544" s="22"/>
      <c r="N544" s="22" t="s">
        <v>163</v>
      </c>
      <c r="O544" s="22" t="s">
        <v>163</v>
      </c>
      <c r="P544" s="22"/>
      <c r="Q544" s="22" t="s">
        <v>2041</v>
      </c>
      <c r="R544" s="22"/>
      <c r="S544" s="22"/>
      <c r="T544" s="22" t="s">
        <v>2307</v>
      </c>
      <c r="U544" s="116" t="s">
        <v>2381</v>
      </c>
      <c r="V544" s="22" t="s">
        <v>109</v>
      </c>
      <c r="W544" s="22" t="s">
        <v>1</v>
      </c>
      <c r="X544" s="22"/>
      <c r="Z544" s="22"/>
      <c r="AA544" s="22"/>
      <c r="AB544" s="22"/>
      <c r="AC544" s="22" t="s">
        <v>471</v>
      </c>
      <c r="AD544" s="22"/>
      <c r="AE544" s="24"/>
      <c r="AF544" s="24" t="s">
        <v>2043</v>
      </c>
      <c r="AG544" s="22"/>
      <c r="AH544" s="25" t="s">
        <v>95</v>
      </c>
      <c r="AI544" s="25" t="s">
        <v>345</v>
      </c>
      <c r="AK544" s="40" t="s">
        <v>374</v>
      </c>
      <c r="AL544" s="40"/>
      <c r="AX544" s="27"/>
      <c r="AY544" s="27"/>
      <c r="BK544" s="27"/>
      <c r="BL544" s="27"/>
      <c r="BX544" s="27"/>
      <c r="BY544" s="27"/>
      <c r="CH544" s="29"/>
    </row>
    <row r="545" spans="1:86" x14ac:dyDescent="0.2">
      <c r="A545" s="18">
        <v>10015</v>
      </c>
      <c r="B545" s="19">
        <v>5</v>
      </c>
      <c r="C545" s="19">
        <f t="shared" si="61"/>
        <v>100150005</v>
      </c>
      <c r="D545" s="23" t="s">
        <v>1078</v>
      </c>
      <c r="E545" s="20" t="s">
        <v>109</v>
      </c>
      <c r="I545" s="22" t="s">
        <v>206</v>
      </c>
      <c r="J545" s="22"/>
      <c r="K545" s="22"/>
      <c r="L545" s="22"/>
      <c r="M545" s="22"/>
      <c r="N545" s="22" t="s">
        <v>163</v>
      </c>
      <c r="O545" s="22" t="s">
        <v>163</v>
      </c>
      <c r="P545" s="22"/>
      <c r="Q545" s="22" t="s">
        <v>2041</v>
      </c>
      <c r="R545" s="22"/>
      <c r="S545" s="22"/>
      <c r="T545" s="22" t="s">
        <v>2307</v>
      </c>
      <c r="U545" s="116" t="s">
        <v>2382</v>
      </c>
      <c r="V545" s="22" t="s">
        <v>109</v>
      </c>
      <c r="W545" s="22" t="s">
        <v>1</v>
      </c>
      <c r="X545" s="22"/>
      <c r="Z545" s="22"/>
      <c r="AA545" s="22"/>
      <c r="AB545" s="22"/>
      <c r="AC545" s="22" t="s">
        <v>471</v>
      </c>
      <c r="AD545" s="22"/>
      <c r="AE545" s="24"/>
      <c r="AF545" s="24" t="s">
        <v>2043</v>
      </c>
      <c r="AG545" s="22"/>
      <c r="AH545" s="25" t="s">
        <v>96</v>
      </c>
      <c r="AI545" s="25" t="s">
        <v>346</v>
      </c>
      <c r="AK545" s="40" t="s">
        <v>375</v>
      </c>
      <c r="AL545" s="40"/>
      <c r="AX545" s="27"/>
      <c r="AY545" s="27"/>
      <c r="BK545" s="27"/>
      <c r="BL545" s="27"/>
      <c r="BX545" s="27"/>
      <c r="BY545" s="27"/>
      <c r="CH545" s="29"/>
    </row>
    <row r="546" spans="1:86" x14ac:dyDescent="0.2">
      <c r="A546" s="18">
        <v>10016</v>
      </c>
      <c r="B546" s="19">
        <v>1</v>
      </c>
      <c r="C546" s="19">
        <f t="shared" si="61"/>
        <v>100160001</v>
      </c>
      <c r="D546" s="23" t="s">
        <v>1079</v>
      </c>
      <c r="E546" s="20" t="s">
        <v>109</v>
      </c>
      <c r="I546" s="22" t="s">
        <v>206</v>
      </c>
      <c r="J546" s="22"/>
      <c r="K546" s="22"/>
      <c r="L546" s="22"/>
      <c r="M546" s="22"/>
      <c r="N546" s="22" t="s">
        <v>163</v>
      </c>
      <c r="O546" s="22" t="s">
        <v>163</v>
      </c>
      <c r="P546" s="22"/>
      <c r="Q546" s="22" t="s">
        <v>2041</v>
      </c>
      <c r="R546" s="22"/>
      <c r="S546" s="22"/>
      <c r="T546" s="22" t="s">
        <v>2307</v>
      </c>
      <c r="U546" s="116" t="s">
        <v>2383</v>
      </c>
      <c r="V546" s="22" t="s">
        <v>109</v>
      </c>
      <c r="W546" s="22" t="s">
        <v>1</v>
      </c>
      <c r="X546" s="22"/>
      <c r="Z546" s="22"/>
      <c r="AA546" s="22"/>
      <c r="AB546" s="22"/>
      <c r="AC546" s="22" t="s">
        <v>472</v>
      </c>
      <c r="AD546" s="22"/>
      <c r="AE546" s="24"/>
      <c r="AF546" s="24" t="s">
        <v>2043</v>
      </c>
      <c r="AG546" s="22"/>
      <c r="AI546" s="25" t="s">
        <v>349</v>
      </c>
      <c r="AK546" s="40" t="s">
        <v>136</v>
      </c>
      <c r="AL546" s="40"/>
      <c r="AX546" s="27"/>
      <c r="AY546" s="27"/>
      <c r="BK546" s="27"/>
      <c r="BL546" s="27"/>
      <c r="BX546" s="27"/>
      <c r="BY546" s="27"/>
      <c r="CH546" s="29"/>
    </row>
    <row r="547" spans="1:86" x14ac:dyDescent="0.2">
      <c r="A547" s="18">
        <v>10016</v>
      </c>
      <c r="B547" s="19">
        <v>2</v>
      </c>
      <c r="C547" s="19">
        <f t="shared" si="61"/>
        <v>100160002</v>
      </c>
      <c r="D547" s="23" t="s">
        <v>1080</v>
      </c>
      <c r="E547" s="20" t="s">
        <v>109</v>
      </c>
      <c r="I547" s="22" t="s">
        <v>206</v>
      </c>
      <c r="J547" s="22"/>
      <c r="K547" s="22"/>
      <c r="L547" s="22"/>
      <c r="M547" s="22"/>
      <c r="N547" s="22" t="s">
        <v>163</v>
      </c>
      <c r="O547" s="22" t="s">
        <v>163</v>
      </c>
      <c r="P547" s="22"/>
      <c r="Q547" s="22" t="s">
        <v>2041</v>
      </c>
      <c r="R547" s="22"/>
      <c r="S547" s="22"/>
      <c r="T547" s="22" t="s">
        <v>2307</v>
      </c>
      <c r="U547" s="116" t="s">
        <v>2384</v>
      </c>
      <c r="V547" s="22" t="s">
        <v>109</v>
      </c>
      <c r="W547" s="22" t="s">
        <v>1</v>
      </c>
      <c r="X547" s="22"/>
      <c r="Z547" s="22"/>
      <c r="AA547" s="22"/>
      <c r="AB547" s="22"/>
      <c r="AC547" s="22" t="s">
        <v>472</v>
      </c>
      <c r="AD547" s="22"/>
      <c r="AE547" s="24"/>
      <c r="AF547" s="24" t="s">
        <v>2043</v>
      </c>
      <c r="AG547" s="22"/>
      <c r="AI547" s="25" t="s">
        <v>350</v>
      </c>
      <c r="AK547" s="40" t="s">
        <v>139</v>
      </c>
      <c r="AL547" s="40"/>
      <c r="AX547" s="27"/>
      <c r="AY547" s="27"/>
      <c r="BK547" s="27"/>
      <c r="BL547" s="27"/>
      <c r="BX547" s="27"/>
      <c r="BY547" s="27"/>
      <c r="CH547" s="29"/>
    </row>
    <row r="548" spans="1:86" x14ac:dyDescent="0.2">
      <c r="A548" s="18">
        <v>10016</v>
      </c>
      <c r="B548" s="19">
        <v>3</v>
      </c>
      <c r="C548" s="19">
        <f t="shared" si="61"/>
        <v>100160003</v>
      </c>
      <c r="D548" s="23" t="s">
        <v>1081</v>
      </c>
      <c r="E548" s="20" t="s">
        <v>109</v>
      </c>
      <c r="I548" s="22" t="s">
        <v>206</v>
      </c>
      <c r="J548" s="22"/>
      <c r="K548" s="22"/>
      <c r="L548" s="22"/>
      <c r="M548" s="22"/>
      <c r="N548" s="22" t="s">
        <v>163</v>
      </c>
      <c r="O548" s="22" t="s">
        <v>163</v>
      </c>
      <c r="P548" s="22"/>
      <c r="Q548" s="22" t="s">
        <v>2041</v>
      </c>
      <c r="R548" s="22"/>
      <c r="S548" s="22"/>
      <c r="T548" s="22" t="s">
        <v>2307</v>
      </c>
      <c r="U548" s="116" t="s">
        <v>2385</v>
      </c>
      <c r="V548" s="22" t="s">
        <v>109</v>
      </c>
      <c r="W548" s="22" t="s">
        <v>1</v>
      </c>
      <c r="X548" s="22"/>
      <c r="Z548" s="22"/>
      <c r="AA548" s="22"/>
      <c r="AB548" s="22"/>
      <c r="AC548" s="22" t="s">
        <v>472</v>
      </c>
      <c r="AD548" s="22"/>
      <c r="AE548" s="24"/>
      <c r="AF548" s="24" t="s">
        <v>2043</v>
      </c>
      <c r="AG548" s="22"/>
      <c r="AH548" s="25" t="s">
        <v>183</v>
      </c>
      <c r="AI548" s="25" t="s">
        <v>347</v>
      </c>
      <c r="AK548" s="40" t="s">
        <v>373</v>
      </c>
      <c r="AL548" s="40"/>
      <c r="AX548" s="27"/>
      <c r="AY548" s="27"/>
      <c r="BK548" s="27"/>
      <c r="BL548" s="27"/>
      <c r="BX548" s="27"/>
      <c r="BY548" s="27"/>
      <c r="CH548" s="29"/>
    </row>
    <row r="549" spans="1:86" x14ac:dyDescent="0.2">
      <c r="A549" s="18">
        <v>10016</v>
      </c>
      <c r="B549" s="19">
        <v>4</v>
      </c>
      <c r="C549" s="19">
        <f t="shared" si="61"/>
        <v>100160004</v>
      </c>
      <c r="D549" s="23" t="s">
        <v>1082</v>
      </c>
      <c r="E549" s="20" t="s">
        <v>109</v>
      </c>
      <c r="I549" s="22" t="s">
        <v>206</v>
      </c>
      <c r="J549" s="22"/>
      <c r="K549" s="22"/>
      <c r="L549" s="22"/>
      <c r="M549" s="22"/>
      <c r="N549" s="22" t="s">
        <v>163</v>
      </c>
      <c r="O549" s="22" t="s">
        <v>163</v>
      </c>
      <c r="P549" s="22"/>
      <c r="Q549" s="22" t="s">
        <v>2041</v>
      </c>
      <c r="R549" s="22"/>
      <c r="S549" s="22"/>
      <c r="T549" s="22" t="s">
        <v>2307</v>
      </c>
      <c r="U549" s="116" t="s">
        <v>2386</v>
      </c>
      <c r="V549" s="22" t="s">
        <v>109</v>
      </c>
      <c r="W549" s="22" t="s">
        <v>1</v>
      </c>
      <c r="X549" s="22"/>
      <c r="Z549" s="22"/>
      <c r="AA549" s="22"/>
      <c r="AB549" s="22"/>
      <c r="AC549" s="22" t="s">
        <v>472</v>
      </c>
      <c r="AD549" s="22"/>
      <c r="AE549" s="24"/>
      <c r="AF549" s="24" t="s">
        <v>2043</v>
      </c>
      <c r="AG549" s="22"/>
      <c r="AH549" s="25" t="s">
        <v>184</v>
      </c>
      <c r="AI549" s="25" t="s">
        <v>345</v>
      </c>
      <c r="AK549" s="40" t="s">
        <v>374</v>
      </c>
      <c r="AL549" s="40"/>
      <c r="AX549" s="27"/>
      <c r="AY549" s="27"/>
      <c r="BK549" s="27"/>
      <c r="BL549" s="27"/>
      <c r="BX549" s="27"/>
      <c r="BY549" s="27"/>
      <c r="CH549" s="29"/>
    </row>
    <row r="550" spans="1:86" x14ac:dyDescent="0.2">
      <c r="A550" s="18">
        <v>10016</v>
      </c>
      <c r="B550" s="19">
        <v>5</v>
      </c>
      <c r="C550" s="19">
        <f t="shared" si="61"/>
        <v>100160005</v>
      </c>
      <c r="D550" s="23" t="s">
        <v>1083</v>
      </c>
      <c r="E550" s="20" t="s">
        <v>109</v>
      </c>
      <c r="I550" s="22" t="s">
        <v>206</v>
      </c>
      <c r="J550" s="22"/>
      <c r="K550" s="22"/>
      <c r="L550" s="22"/>
      <c r="M550" s="22"/>
      <c r="N550" s="22" t="s">
        <v>163</v>
      </c>
      <c r="O550" s="22" t="s">
        <v>163</v>
      </c>
      <c r="P550" s="22"/>
      <c r="Q550" s="22" t="s">
        <v>2041</v>
      </c>
      <c r="R550" s="22"/>
      <c r="S550" s="22"/>
      <c r="T550" s="22" t="s">
        <v>2307</v>
      </c>
      <c r="U550" s="116" t="s">
        <v>2387</v>
      </c>
      <c r="V550" s="22" t="s">
        <v>109</v>
      </c>
      <c r="W550" s="22" t="s">
        <v>1</v>
      </c>
      <c r="X550" s="22"/>
      <c r="Z550" s="22"/>
      <c r="AA550" s="22"/>
      <c r="AB550" s="22"/>
      <c r="AC550" s="22" t="s">
        <v>472</v>
      </c>
      <c r="AD550" s="22"/>
      <c r="AE550" s="24"/>
      <c r="AF550" s="24" t="s">
        <v>2043</v>
      </c>
      <c r="AG550" s="22"/>
      <c r="AH550" s="25" t="s">
        <v>185</v>
      </c>
      <c r="AI550" s="25" t="s">
        <v>346</v>
      </c>
      <c r="AK550" s="40" t="s">
        <v>375</v>
      </c>
      <c r="AL550" s="40"/>
      <c r="AX550" s="27"/>
      <c r="AY550" s="27"/>
      <c r="BK550" s="27"/>
      <c r="BL550" s="27"/>
      <c r="BX550" s="27"/>
      <c r="BY550" s="27"/>
      <c r="CH550" s="29"/>
    </row>
    <row r="551" spans="1:86" x14ac:dyDescent="0.2">
      <c r="A551" s="18">
        <v>10017</v>
      </c>
      <c r="B551" s="19">
        <v>1</v>
      </c>
      <c r="C551" s="19">
        <f t="shared" si="61"/>
        <v>100170001</v>
      </c>
      <c r="D551" s="23" t="s">
        <v>1084</v>
      </c>
      <c r="E551" s="20" t="s">
        <v>109</v>
      </c>
      <c r="I551" s="22" t="s">
        <v>206</v>
      </c>
      <c r="J551" s="22"/>
      <c r="K551" s="22"/>
      <c r="L551" s="22"/>
      <c r="M551" s="22"/>
      <c r="N551" s="22" t="s">
        <v>163</v>
      </c>
      <c r="O551" s="22" t="s">
        <v>163</v>
      </c>
      <c r="P551" s="22"/>
      <c r="Q551" s="22" t="s">
        <v>2041</v>
      </c>
      <c r="R551" s="22"/>
      <c r="S551" s="22"/>
      <c r="T551" s="22" t="s">
        <v>2307</v>
      </c>
      <c r="U551" s="116" t="s">
        <v>2388</v>
      </c>
      <c r="V551" s="22" t="s">
        <v>109</v>
      </c>
      <c r="W551" s="22" t="s">
        <v>1</v>
      </c>
      <c r="X551" s="22"/>
      <c r="Z551" s="22"/>
      <c r="AA551" s="22"/>
      <c r="AB551" s="22"/>
      <c r="AC551" s="22" t="s">
        <v>473</v>
      </c>
      <c r="AD551" s="22"/>
      <c r="AE551" s="24"/>
      <c r="AF551" s="24" t="s">
        <v>2043</v>
      </c>
      <c r="AG551" s="22"/>
      <c r="AI551" s="25" t="s">
        <v>349</v>
      </c>
      <c r="AK551" s="40" t="s">
        <v>136</v>
      </c>
      <c r="AL551" s="40"/>
      <c r="AX551" s="27"/>
      <c r="AY551" s="27"/>
      <c r="BK551" s="27"/>
      <c r="BL551" s="27"/>
      <c r="BX551" s="27"/>
      <c r="BY551" s="27"/>
      <c r="CH551" s="29"/>
    </row>
    <row r="552" spans="1:86" x14ac:dyDescent="0.2">
      <c r="A552" s="18">
        <v>10017</v>
      </c>
      <c r="B552" s="19">
        <v>2</v>
      </c>
      <c r="C552" s="19">
        <f t="shared" si="61"/>
        <v>100170002</v>
      </c>
      <c r="D552" s="23" t="s">
        <v>1085</v>
      </c>
      <c r="E552" s="20" t="s">
        <v>109</v>
      </c>
      <c r="I552" s="22" t="s">
        <v>206</v>
      </c>
      <c r="J552" s="22"/>
      <c r="K552" s="22"/>
      <c r="L552" s="22"/>
      <c r="M552" s="22"/>
      <c r="N552" s="22" t="s">
        <v>163</v>
      </c>
      <c r="O552" s="22" t="s">
        <v>163</v>
      </c>
      <c r="P552" s="22"/>
      <c r="Q552" s="22" t="s">
        <v>2041</v>
      </c>
      <c r="R552" s="22"/>
      <c r="S552" s="22"/>
      <c r="T552" s="22" t="s">
        <v>2307</v>
      </c>
      <c r="U552" s="116" t="s">
        <v>2389</v>
      </c>
      <c r="V552" s="22" t="s">
        <v>109</v>
      </c>
      <c r="W552" s="22" t="s">
        <v>1</v>
      </c>
      <c r="X552" s="22"/>
      <c r="Z552" s="22"/>
      <c r="AA552" s="22"/>
      <c r="AB552" s="22"/>
      <c r="AC552" s="22" t="s">
        <v>473</v>
      </c>
      <c r="AD552" s="22"/>
      <c r="AE552" s="24"/>
      <c r="AF552" s="24" t="s">
        <v>2043</v>
      </c>
      <c r="AG552" s="22"/>
      <c r="AH552" s="25" t="s">
        <v>124</v>
      </c>
      <c r="AI552" s="25" t="s">
        <v>350</v>
      </c>
      <c r="AK552" s="40" t="s">
        <v>139</v>
      </c>
      <c r="AL552" s="40"/>
      <c r="AX552" s="27"/>
      <c r="AY552" s="27"/>
      <c r="BK552" s="27"/>
      <c r="BL552" s="27"/>
      <c r="BX552" s="27"/>
      <c r="BY552" s="27"/>
      <c r="CH552" s="29"/>
    </row>
    <row r="553" spans="1:86" x14ac:dyDescent="0.2">
      <c r="A553" s="18">
        <v>10017</v>
      </c>
      <c r="B553" s="19">
        <v>3</v>
      </c>
      <c r="C553" s="19">
        <f t="shared" si="61"/>
        <v>100170003</v>
      </c>
      <c r="D553" s="23" t="s">
        <v>1086</v>
      </c>
      <c r="E553" s="20" t="s">
        <v>109</v>
      </c>
      <c r="I553" s="22" t="s">
        <v>206</v>
      </c>
      <c r="J553" s="22"/>
      <c r="K553" s="22"/>
      <c r="L553" s="22"/>
      <c r="M553" s="22"/>
      <c r="N553" s="22" t="s">
        <v>163</v>
      </c>
      <c r="O553" s="22" t="s">
        <v>163</v>
      </c>
      <c r="P553" s="22"/>
      <c r="Q553" s="22" t="s">
        <v>2041</v>
      </c>
      <c r="R553" s="22"/>
      <c r="S553" s="22"/>
      <c r="T553" s="22" t="s">
        <v>2307</v>
      </c>
      <c r="U553" s="116" t="s">
        <v>2390</v>
      </c>
      <c r="V553" s="22" t="s">
        <v>109</v>
      </c>
      <c r="W553" s="22" t="s">
        <v>1</v>
      </c>
      <c r="X553" s="22"/>
      <c r="Z553" s="22"/>
      <c r="AA553" s="22"/>
      <c r="AB553" s="22"/>
      <c r="AC553" s="22" t="s">
        <v>473</v>
      </c>
      <c r="AD553" s="22"/>
      <c r="AE553" s="24"/>
      <c r="AF553" s="24" t="s">
        <v>2043</v>
      </c>
      <c r="AG553" s="22"/>
      <c r="AH553" s="25" t="s">
        <v>125</v>
      </c>
      <c r="AI553" s="25" t="s">
        <v>347</v>
      </c>
      <c r="AK553" s="40" t="s">
        <v>373</v>
      </c>
      <c r="AL553" s="40"/>
      <c r="AX553" s="27"/>
      <c r="AY553" s="27"/>
      <c r="BK553" s="27"/>
      <c r="BL553" s="27"/>
      <c r="BX553" s="27"/>
      <c r="BY553" s="27"/>
      <c r="CH553" s="29"/>
    </row>
    <row r="554" spans="1:86" x14ac:dyDescent="0.2">
      <c r="A554" s="18">
        <v>10017</v>
      </c>
      <c r="B554" s="19">
        <v>4</v>
      </c>
      <c r="C554" s="19">
        <f t="shared" si="61"/>
        <v>100170004</v>
      </c>
      <c r="D554" s="23" t="s">
        <v>1087</v>
      </c>
      <c r="E554" s="20" t="s">
        <v>109</v>
      </c>
      <c r="I554" s="22" t="s">
        <v>206</v>
      </c>
      <c r="J554" s="22"/>
      <c r="K554" s="22"/>
      <c r="L554" s="22"/>
      <c r="M554" s="22"/>
      <c r="N554" s="22" t="s">
        <v>163</v>
      </c>
      <c r="O554" s="22" t="s">
        <v>163</v>
      </c>
      <c r="P554" s="22"/>
      <c r="Q554" s="22" t="s">
        <v>2041</v>
      </c>
      <c r="R554" s="22"/>
      <c r="S554" s="22"/>
      <c r="T554" s="22" t="s">
        <v>2307</v>
      </c>
      <c r="U554" s="116" t="s">
        <v>2391</v>
      </c>
      <c r="V554" s="22" t="s">
        <v>109</v>
      </c>
      <c r="W554" s="22" t="s">
        <v>1</v>
      </c>
      <c r="X554" s="22"/>
      <c r="Z554" s="22"/>
      <c r="AA554" s="22"/>
      <c r="AB554" s="22"/>
      <c r="AC554" s="22" t="s">
        <v>473</v>
      </c>
      <c r="AD554" s="22"/>
      <c r="AE554" s="24"/>
      <c r="AF554" s="24" t="s">
        <v>2043</v>
      </c>
      <c r="AG554" s="22"/>
      <c r="AH554" s="25" t="s">
        <v>126</v>
      </c>
      <c r="AI554" s="25" t="s">
        <v>345</v>
      </c>
      <c r="AK554" s="40" t="s">
        <v>374</v>
      </c>
      <c r="AL554" s="40"/>
      <c r="AX554" s="27"/>
      <c r="AY554" s="27"/>
      <c r="BK554" s="27"/>
      <c r="BL554" s="27"/>
      <c r="BX554" s="27"/>
      <c r="BY554" s="27"/>
      <c r="CH554" s="29"/>
    </row>
    <row r="555" spans="1:86" x14ac:dyDescent="0.2">
      <c r="A555" s="18">
        <v>10017</v>
      </c>
      <c r="B555" s="19">
        <v>5</v>
      </c>
      <c r="C555" s="19">
        <f t="shared" si="61"/>
        <v>100170005</v>
      </c>
      <c r="D555" s="23" t="s">
        <v>1088</v>
      </c>
      <c r="E555" s="20" t="s">
        <v>109</v>
      </c>
      <c r="I555" s="22" t="s">
        <v>206</v>
      </c>
      <c r="J555" s="22"/>
      <c r="K555" s="22"/>
      <c r="L555" s="22"/>
      <c r="M555" s="22"/>
      <c r="N555" s="22" t="s">
        <v>163</v>
      </c>
      <c r="O555" s="22" t="s">
        <v>163</v>
      </c>
      <c r="P555" s="22"/>
      <c r="Q555" s="22" t="s">
        <v>2041</v>
      </c>
      <c r="R555" s="22"/>
      <c r="S555" s="22"/>
      <c r="T555" s="22" t="s">
        <v>2307</v>
      </c>
      <c r="U555" s="116" t="s">
        <v>2392</v>
      </c>
      <c r="V555" s="22" t="s">
        <v>109</v>
      </c>
      <c r="W555" s="22" t="s">
        <v>1</v>
      </c>
      <c r="X555" s="22"/>
      <c r="Z555" s="22"/>
      <c r="AA555" s="22"/>
      <c r="AB555" s="22"/>
      <c r="AC555" s="22" t="s">
        <v>473</v>
      </c>
      <c r="AD555" s="22"/>
      <c r="AE555" s="24"/>
      <c r="AF555" s="24" t="s">
        <v>2043</v>
      </c>
      <c r="AG555" s="22"/>
      <c r="AH555" s="25" t="s">
        <v>127</v>
      </c>
      <c r="AI555" s="25" t="s">
        <v>346</v>
      </c>
      <c r="AK555" s="40" t="s">
        <v>375</v>
      </c>
      <c r="AL555" s="40"/>
      <c r="AX555" s="27"/>
      <c r="AY555" s="27"/>
      <c r="BK555" s="27"/>
      <c r="BL555" s="27"/>
      <c r="BX555" s="27"/>
      <c r="BY555" s="27"/>
      <c r="CH555" s="29"/>
    </row>
    <row r="556" spans="1:86" x14ac:dyDescent="0.2">
      <c r="A556" s="18">
        <v>10018</v>
      </c>
      <c r="B556" s="19">
        <v>1</v>
      </c>
      <c r="C556" s="19">
        <f t="shared" si="61"/>
        <v>100180001</v>
      </c>
      <c r="D556" s="23" t="s">
        <v>298</v>
      </c>
      <c r="E556" s="20" t="s">
        <v>109</v>
      </c>
      <c r="I556" s="22" t="s">
        <v>206</v>
      </c>
      <c r="J556" s="22"/>
      <c r="K556" s="22"/>
      <c r="L556" s="22"/>
      <c r="M556" s="22"/>
      <c r="N556" s="22" t="s">
        <v>163</v>
      </c>
      <c r="O556" s="22" t="s">
        <v>163</v>
      </c>
      <c r="P556" s="22"/>
      <c r="Q556" s="22" t="s">
        <v>2041</v>
      </c>
      <c r="R556" s="22"/>
      <c r="S556" s="22"/>
      <c r="T556" s="22" t="s">
        <v>2307</v>
      </c>
      <c r="U556" s="116" t="s">
        <v>2393</v>
      </c>
      <c r="V556" s="22" t="s">
        <v>109</v>
      </c>
      <c r="W556" s="22" t="s">
        <v>1</v>
      </c>
      <c r="X556" s="22"/>
      <c r="Z556" s="22"/>
      <c r="AA556" s="22"/>
      <c r="AB556" s="22"/>
      <c r="AC556" s="22" t="s">
        <v>474</v>
      </c>
      <c r="AD556" s="22"/>
      <c r="AE556" s="24"/>
      <c r="AF556" s="24" t="s">
        <v>2043</v>
      </c>
      <c r="AG556" s="22"/>
      <c r="AH556" s="25" t="s">
        <v>110</v>
      </c>
      <c r="AI556" s="25" t="s">
        <v>349</v>
      </c>
      <c r="AK556" s="40" t="s">
        <v>136</v>
      </c>
      <c r="AL556" s="40"/>
      <c r="AX556" s="27"/>
      <c r="AY556" s="27"/>
      <c r="BK556" s="27"/>
      <c r="BL556" s="27"/>
      <c r="BX556" s="27"/>
      <c r="BY556" s="27"/>
      <c r="CH556" s="29"/>
    </row>
    <row r="557" spans="1:86" x14ac:dyDescent="0.2">
      <c r="A557" s="18">
        <v>10018</v>
      </c>
      <c r="B557" s="19">
        <v>2</v>
      </c>
      <c r="C557" s="19">
        <f t="shared" si="61"/>
        <v>100180002</v>
      </c>
      <c r="D557" s="23" t="s">
        <v>298</v>
      </c>
      <c r="E557" s="20" t="s">
        <v>109</v>
      </c>
      <c r="I557" s="22" t="s">
        <v>206</v>
      </c>
      <c r="J557" s="22"/>
      <c r="K557" s="22"/>
      <c r="L557" s="22"/>
      <c r="M557" s="22"/>
      <c r="N557" s="22" t="s">
        <v>163</v>
      </c>
      <c r="O557" s="22" t="s">
        <v>163</v>
      </c>
      <c r="P557" s="22"/>
      <c r="Q557" s="22" t="s">
        <v>2041</v>
      </c>
      <c r="R557" s="22"/>
      <c r="S557" s="22"/>
      <c r="T557" s="22" t="s">
        <v>2307</v>
      </c>
      <c r="U557" s="116" t="s">
        <v>2394</v>
      </c>
      <c r="V557" s="22" t="s">
        <v>109</v>
      </c>
      <c r="W557" s="22" t="s">
        <v>1</v>
      </c>
      <c r="X557" s="22"/>
      <c r="Z557" s="22"/>
      <c r="AA557" s="22"/>
      <c r="AB557" s="22"/>
      <c r="AC557" s="22" t="s">
        <v>474</v>
      </c>
      <c r="AD557" s="22"/>
      <c r="AE557" s="24"/>
      <c r="AF557" s="24" t="s">
        <v>2043</v>
      </c>
      <c r="AG557" s="22"/>
      <c r="AH557" s="25" t="s">
        <v>111</v>
      </c>
      <c r="AI557" s="25" t="s">
        <v>350</v>
      </c>
      <c r="AK557" s="40" t="s">
        <v>139</v>
      </c>
      <c r="AL557" s="40"/>
      <c r="AX557" s="27"/>
      <c r="AY557" s="27"/>
      <c r="BK557" s="27"/>
      <c r="BL557" s="27"/>
      <c r="BX557" s="27"/>
      <c r="BY557" s="27"/>
      <c r="CH557" s="29"/>
    </row>
    <row r="558" spans="1:86" x14ac:dyDescent="0.2">
      <c r="A558" s="18">
        <v>10018</v>
      </c>
      <c r="B558" s="19">
        <v>3</v>
      </c>
      <c r="C558" s="19">
        <f t="shared" si="61"/>
        <v>100180003</v>
      </c>
      <c r="D558" s="23" t="s">
        <v>298</v>
      </c>
      <c r="E558" s="20" t="s">
        <v>109</v>
      </c>
      <c r="I558" s="22" t="s">
        <v>206</v>
      </c>
      <c r="J558" s="22"/>
      <c r="K558" s="22"/>
      <c r="L558" s="22"/>
      <c r="M558" s="22"/>
      <c r="N558" s="22" t="s">
        <v>163</v>
      </c>
      <c r="O558" s="22" t="s">
        <v>163</v>
      </c>
      <c r="P558" s="22"/>
      <c r="Q558" s="22" t="s">
        <v>2041</v>
      </c>
      <c r="R558" s="22"/>
      <c r="S558" s="22"/>
      <c r="T558" s="22" t="s">
        <v>2307</v>
      </c>
      <c r="U558" s="116" t="s">
        <v>2395</v>
      </c>
      <c r="V558" s="22" t="s">
        <v>109</v>
      </c>
      <c r="W558" s="22" t="s">
        <v>1</v>
      </c>
      <c r="X558" s="22"/>
      <c r="Z558" s="22"/>
      <c r="AA558" s="22"/>
      <c r="AB558" s="22"/>
      <c r="AC558" s="22" t="s">
        <v>474</v>
      </c>
      <c r="AD558" s="22"/>
      <c r="AE558" s="24"/>
      <c r="AF558" s="24" t="s">
        <v>2043</v>
      </c>
      <c r="AG558" s="22"/>
      <c r="AH558" s="25" t="s">
        <v>112</v>
      </c>
      <c r="AI558" s="25" t="s">
        <v>347</v>
      </c>
      <c r="AK558" s="40" t="s">
        <v>373</v>
      </c>
      <c r="AL558" s="40"/>
      <c r="AX558" s="27"/>
      <c r="AY558" s="27"/>
      <c r="BK558" s="27"/>
      <c r="BL558" s="27"/>
      <c r="BX558" s="27"/>
      <c r="BY558" s="27"/>
      <c r="CH558" s="29"/>
    </row>
    <row r="559" spans="1:86" x14ac:dyDescent="0.2">
      <c r="A559" s="18">
        <v>10018</v>
      </c>
      <c r="B559" s="19">
        <v>4</v>
      </c>
      <c r="C559" s="19">
        <f t="shared" si="61"/>
        <v>100180004</v>
      </c>
      <c r="D559" s="23" t="s">
        <v>298</v>
      </c>
      <c r="E559" s="20" t="s">
        <v>109</v>
      </c>
      <c r="I559" s="22" t="s">
        <v>206</v>
      </c>
      <c r="J559" s="22"/>
      <c r="K559" s="22"/>
      <c r="L559" s="22"/>
      <c r="M559" s="22"/>
      <c r="N559" s="22" t="s">
        <v>163</v>
      </c>
      <c r="O559" s="22" t="s">
        <v>163</v>
      </c>
      <c r="P559" s="22"/>
      <c r="Q559" s="22" t="s">
        <v>2041</v>
      </c>
      <c r="R559" s="22"/>
      <c r="S559" s="22"/>
      <c r="T559" s="22" t="s">
        <v>2307</v>
      </c>
      <c r="U559" s="116" t="s">
        <v>2396</v>
      </c>
      <c r="V559" s="22" t="s">
        <v>109</v>
      </c>
      <c r="W559" s="22" t="s">
        <v>1</v>
      </c>
      <c r="X559" s="22"/>
      <c r="Z559" s="22"/>
      <c r="AA559" s="22"/>
      <c r="AB559" s="22"/>
      <c r="AC559" s="22" t="s">
        <v>474</v>
      </c>
      <c r="AD559" s="22"/>
      <c r="AE559" s="24"/>
      <c r="AF559" s="24" t="s">
        <v>2043</v>
      </c>
      <c r="AG559" s="22"/>
      <c r="AH559" s="25" t="s">
        <v>113</v>
      </c>
      <c r="AI559" s="25" t="s">
        <v>345</v>
      </c>
      <c r="AK559" s="40" t="s">
        <v>374</v>
      </c>
      <c r="AL559" s="40"/>
      <c r="AX559" s="27"/>
      <c r="AY559" s="27"/>
      <c r="BK559" s="27"/>
      <c r="BL559" s="27"/>
      <c r="BX559" s="27"/>
      <c r="BY559" s="27"/>
      <c r="CH559" s="29"/>
    </row>
    <row r="560" spans="1:86" x14ac:dyDescent="0.2">
      <c r="A560" s="18">
        <v>10018</v>
      </c>
      <c r="B560" s="19">
        <v>5</v>
      </c>
      <c r="C560" s="19">
        <f t="shared" si="61"/>
        <v>100180005</v>
      </c>
      <c r="D560" s="23" t="s">
        <v>298</v>
      </c>
      <c r="E560" s="20" t="s">
        <v>109</v>
      </c>
      <c r="I560" s="22" t="s">
        <v>206</v>
      </c>
      <c r="J560" s="22"/>
      <c r="K560" s="22"/>
      <c r="L560" s="22"/>
      <c r="M560" s="22"/>
      <c r="N560" s="22" t="s">
        <v>163</v>
      </c>
      <c r="O560" s="22" t="s">
        <v>163</v>
      </c>
      <c r="P560" s="22"/>
      <c r="Q560" s="22" t="s">
        <v>2041</v>
      </c>
      <c r="R560" s="22"/>
      <c r="S560" s="22"/>
      <c r="T560" s="22" t="s">
        <v>2307</v>
      </c>
      <c r="U560" s="116" t="s">
        <v>2397</v>
      </c>
      <c r="V560" s="22" t="s">
        <v>109</v>
      </c>
      <c r="W560" s="22" t="s">
        <v>1</v>
      </c>
      <c r="X560" s="22"/>
      <c r="Z560" s="22"/>
      <c r="AA560" s="22"/>
      <c r="AB560" s="22"/>
      <c r="AC560" s="22" t="s">
        <v>474</v>
      </c>
      <c r="AD560" s="22"/>
      <c r="AE560" s="24"/>
      <c r="AF560" s="24" t="s">
        <v>2043</v>
      </c>
      <c r="AG560" s="22"/>
      <c r="AH560" s="25" t="s">
        <v>114</v>
      </c>
      <c r="AI560" s="25" t="s">
        <v>346</v>
      </c>
      <c r="AK560" s="40" t="s">
        <v>375</v>
      </c>
      <c r="AL560" s="40"/>
      <c r="AX560" s="27"/>
      <c r="AY560" s="27"/>
      <c r="BK560" s="27"/>
      <c r="BL560" s="27"/>
      <c r="BX560" s="27"/>
      <c r="BY560" s="27"/>
      <c r="CH560" s="29"/>
    </row>
    <row r="561" spans="1:86" x14ac:dyDescent="0.2">
      <c r="A561" s="18">
        <v>10019</v>
      </c>
      <c r="B561" s="19">
        <v>1</v>
      </c>
      <c r="C561" s="19">
        <f t="shared" si="61"/>
        <v>100190001</v>
      </c>
      <c r="D561" s="23" t="s">
        <v>299</v>
      </c>
      <c r="E561" s="20" t="s">
        <v>109</v>
      </c>
      <c r="I561" s="22" t="s">
        <v>206</v>
      </c>
      <c r="J561" s="22"/>
      <c r="K561" s="22"/>
      <c r="L561" s="22"/>
      <c r="M561" s="22"/>
      <c r="N561" s="22" t="s">
        <v>163</v>
      </c>
      <c r="O561" s="22" t="s">
        <v>163</v>
      </c>
      <c r="P561" s="22"/>
      <c r="Q561" s="22" t="s">
        <v>2041</v>
      </c>
      <c r="R561" s="22"/>
      <c r="S561" s="22"/>
      <c r="T561" s="22" t="s">
        <v>2307</v>
      </c>
      <c r="U561" s="116" t="s">
        <v>2398</v>
      </c>
      <c r="V561" s="22" t="s">
        <v>109</v>
      </c>
      <c r="W561" s="22" t="s">
        <v>1</v>
      </c>
      <c r="X561" s="22"/>
      <c r="Z561" s="22"/>
      <c r="AA561" s="22"/>
      <c r="AB561" s="22"/>
      <c r="AC561" s="22" t="s">
        <v>475</v>
      </c>
      <c r="AD561" s="22"/>
      <c r="AE561" s="24"/>
      <c r="AF561" s="24" t="s">
        <v>2043</v>
      </c>
      <c r="AG561" s="22"/>
      <c r="AI561" s="25" t="s">
        <v>349</v>
      </c>
      <c r="AK561" s="40" t="s">
        <v>136</v>
      </c>
      <c r="AL561" s="40"/>
      <c r="AX561" s="27"/>
      <c r="AY561" s="27"/>
      <c r="BK561" s="27"/>
      <c r="BL561" s="27"/>
      <c r="BX561" s="27"/>
      <c r="BY561" s="27"/>
      <c r="CH561" s="29"/>
    </row>
    <row r="562" spans="1:86" x14ac:dyDescent="0.2">
      <c r="A562" s="18">
        <v>10019</v>
      </c>
      <c r="B562" s="19">
        <v>2</v>
      </c>
      <c r="C562" s="19">
        <f t="shared" si="61"/>
        <v>100190002</v>
      </c>
      <c r="D562" s="23" t="s">
        <v>299</v>
      </c>
      <c r="E562" s="20" t="s">
        <v>109</v>
      </c>
      <c r="I562" s="22" t="s">
        <v>206</v>
      </c>
      <c r="J562" s="22"/>
      <c r="K562" s="22"/>
      <c r="L562" s="22"/>
      <c r="M562" s="22"/>
      <c r="N562" s="22" t="s">
        <v>163</v>
      </c>
      <c r="O562" s="22" t="s">
        <v>163</v>
      </c>
      <c r="P562" s="22"/>
      <c r="Q562" s="22" t="s">
        <v>2041</v>
      </c>
      <c r="R562" s="22"/>
      <c r="S562" s="22"/>
      <c r="T562" s="22" t="s">
        <v>2307</v>
      </c>
      <c r="U562" s="116" t="s">
        <v>2399</v>
      </c>
      <c r="V562" s="22" t="s">
        <v>109</v>
      </c>
      <c r="W562" s="22" t="s">
        <v>1</v>
      </c>
      <c r="X562" s="22"/>
      <c r="Z562" s="22"/>
      <c r="AA562" s="22"/>
      <c r="AB562" s="22"/>
      <c r="AC562" s="22" t="s">
        <v>476</v>
      </c>
      <c r="AD562" s="22"/>
      <c r="AE562" s="24"/>
      <c r="AF562" s="24" t="s">
        <v>2043</v>
      </c>
      <c r="AG562" s="22"/>
      <c r="AI562" s="25" t="s">
        <v>350</v>
      </c>
      <c r="AK562" s="40" t="s">
        <v>139</v>
      </c>
      <c r="AL562" s="40"/>
      <c r="AX562" s="27"/>
      <c r="AY562" s="27"/>
      <c r="BK562" s="27"/>
      <c r="BL562" s="27"/>
      <c r="BX562" s="27"/>
      <c r="BY562" s="27"/>
      <c r="CH562" s="29"/>
    </row>
    <row r="563" spans="1:86" x14ac:dyDescent="0.2">
      <c r="A563" s="18">
        <v>10019</v>
      </c>
      <c r="B563" s="19">
        <v>3</v>
      </c>
      <c r="C563" s="19">
        <f t="shared" si="61"/>
        <v>100190003</v>
      </c>
      <c r="D563" s="23" t="s">
        <v>299</v>
      </c>
      <c r="E563" s="20" t="s">
        <v>109</v>
      </c>
      <c r="I563" s="22" t="s">
        <v>206</v>
      </c>
      <c r="J563" s="22"/>
      <c r="K563" s="22"/>
      <c r="L563" s="22"/>
      <c r="M563" s="22"/>
      <c r="N563" s="22" t="s">
        <v>163</v>
      </c>
      <c r="O563" s="22" t="s">
        <v>163</v>
      </c>
      <c r="P563" s="22"/>
      <c r="Q563" s="22" t="s">
        <v>2041</v>
      </c>
      <c r="R563" s="22"/>
      <c r="S563" s="22"/>
      <c r="T563" s="22" t="s">
        <v>2307</v>
      </c>
      <c r="U563" s="116" t="s">
        <v>2400</v>
      </c>
      <c r="V563" s="22" t="s">
        <v>109</v>
      </c>
      <c r="W563" s="22" t="s">
        <v>1</v>
      </c>
      <c r="X563" s="22"/>
      <c r="Z563" s="22"/>
      <c r="AA563" s="22"/>
      <c r="AB563" s="22"/>
      <c r="AC563" s="22" t="s">
        <v>476</v>
      </c>
      <c r="AD563" s="22"/>
      <c r="AE563" s="24"/>
      <c r="AF563" s="24" t="s">
        <v>2043</v>
      </c>
      <c r="AG563" s="22"/>
      <c r="AH563" s="25" t="s">
        <v>186</v>
      </c>
      <c r="AI563" s="25" t="s">
        <v>347</v>
      </c>
      <c r="AK563" s="40" t="s">
        <v>373</v>
      </c>
      <c r="AL563" s="40"/>
      <c r="AX563" s="27"/>
      <c r="AY563" s="27"/>
      <c r="BK563" s="27"/>
      <c r="BL563" s="27"/>
      <c r="BX563" s="27"/>
      <c r="BY563" s="27"/>
      <c r="CH563" s="29"/>
    </row>
    <row r="564" spans="1:86" x14ac:dyDescent="0.2">
      <c r="A564" s="18">
        <v>10019</v>
      </c>
      <c r="B564" s="19">
        <v>4</v>
      </c>
      <c r="C564" s="19">
        <f t="shared" si="61"/>
        <v>100190004</v>
      </c>
      <c r="D564" s="23" t="s">
        <v>299</v>
      </c>
      <c r="E564" s="20" t="s">
        <v>109</v>
      </c>
      <c r="I564" s="22" t="s">
        <v>206</v>
      </c>
      <c r="J564" s="22"/>
      <c r="K564" s="22"/>
      <c r="L564" s="22"/>
      <c r="M564" s="22"/>
      <c r="N564" s="22" t="s">
        <v>163</v>
      </c>
      <c r="O564" s="22" t="s">
        <v>163</v>
      </c>
      <c r="P564" s="22"/>
      <c r="Q564" s="22" t="s">
        <v>2041</v>
      </c>
      <c r="R564" s="22"/>
      <c r="S564" s="22"/>
      <c r="T564" s="22" t="s">
        <v>2307</v>
      </c>
      <c r="U564" s="116" t="s">
        <v>2401</v>
      </c>
      <c r="V564" s="22" t="s">
        <v>109</v>
      </c>
      <c r="W564" s="22" t="s">
        <v>1</v>
      </c>
      <c r="X564" s="22"/>
      <c r="Z564" s="22"/>
      <c r="AA564" s="22"/>
      <c r="AB564" s="22"/>
      <c r="AC564" s="22" t="s">
        <v>475</v>
      </c>
      <c r="AD564" s="22"/>
      <c r="AE564" s="24"/>
      <c r="AF564" s="24" t="s">
        <v>2043</v>
      </c>
      <c r="AG564" s="22"/>
      <c r="AH564" s="25" t="s">
        <v>187</v>
      </c>
      <c r="AI564" s="25" t="s">
        <v>345</v>
      </c>
      <c r="AK564" s="40" t="s">
        <v>374</v>
      </c>
      <c r="AL564" s="40"/>
      <c r="AX564" s="27"/>
      <c r="AY564" s="27"/>
      <c r="BK564" s="27"/>
      <c r="BL564" s="27"/>
      <c r="BX564" s="27"/>
      <c r="BY564" s="27"/>
      <c r="CH564" s="29"/>
    </row>
    <row r="565" spans="1:86" x14ac:dyDescent="0.2">
      <c r="A565" s="18">
        <v>10019</v>
      </c>
      <c r="B565" s="19">
        <v>5</v>
      </c>
      <c r="C565" s="19">
        <f t="shared" si="61"/>
        <v>100190005</v>
      </c>
      <c r="D565" s="23" t="s">
        <v>299</v>
      </c>
      <c r="E565" s="20" t="s">
        <v>109</v>
      </c>
      <c r="I565" s="22" t="s">
        <v>206</v>
      </c>
      <c r="J565" s="22"/>
      <c r="K565" s="22"/>
      <c r="L565" s="22"/>
      <c r="M565" s="22"/>
      <c r="N565" s="22" t="s">
        <v>163</v>
      </c>
      <c r="O565" s="22" t="s">
        <v>163</v>
      </c>
      <c r="P565" s="22"/>
      <c r="Q565" s="22" t="s">
        <v>2041</v>
      </c>
      <c r="R565" s="22"/>
      <c r="S565" s="22"/>
      <c r="T565" s="22" t="s">
        <v>2307</v>
      </c>
      <c r="U565" s="116" t="s">
        <v>2402</v>
      </c>
      <c r="V565" s="22" t="s">
        <v>109</v>
      </c>
      <c r="W565" s="22" t="s">
        <v>1</v>
      </c>
      <c r="X565" s="22"/>
      <c r="Z565" s="22"/>
      <c r="AA565" s="22"/>
      <c r="AB565" s="22"/>
      <c r="AC565" s="22" t="s">
        <v>475</v>
      </c>
      <c r="AD565" s="22"/>
      <c r="AE565" s="24"/>
      <c r="AF565" s="24" t="s">
        <v>2043</v>
      </c>
      <c r="AG565" s="22"/>
      <c r="AH565" s="25" t="s">
        <v>188</v>
      </c>
      <c r="AI565" s="25" t="s">
        <v>346</v>
      </c>
      <c r="AK565" s="40" t="s">
        <v>375</v>
      </c>
      <c r="AL565" s="40"/>
      <c r="AX565" s="27"/>
      <c r="AY565" s="27"/>
      <c r="BK565" s="27"/>
      <c r="BL565" s="27"/>
      <c r="BX565" s="27"/>
      <c r="BY565" s="27"/>
      <c r="CH565" s="29"/>
    </row>
    <row r="566" spans="1:86" x14ac:dyDescent="0.2">
      <c r="A566" s="18">
        <v>10020</v>
      </c>
      <c r="B566" s="19">
        <v>1</v>
      </c>
      <c r="C566" s="19">
        <f t="shared" si="61"/>
        <v>100200001</v>
      </c>
      <c r="D566" s="23" t="s">
        <v>300</v>
      </c>
      <c r="E566" s="20" t="s">
        <v>109</v>
      </c>
      <c r="I566" s="22" t="s">
        <v>206</v>
      </c>
      <c r="J566" s="22"/>
      <c r="K566" s="22"/>
      <c r="L566" s="22"/>
      <c r="M566" s="22"/>
      <c r="N566" s="22" t="s">
        <v>163</v>
      </c>
      <c r="O566" s="22" t="s">
        <v>163</v>
      </c>
      <c r="P566" s="22"/>
      <c r="Q566" s="22" t="s">
        <v>2041</v>
      </c>
      <c r="R566" s="22"/>
      <c r="S566" s="22"/>
      <c r="T566" s="22" t="s">
        <v>2307</v>
      </c>
      <c r="U566" s="116" t="s">
        <v>2403</v>
      </c>
      <c r="V566" s="22" t="s">
        <v>109</v>
      </c>
      <c r="W566" s="22" t="s">
        <v>1</v>
      </c>
      <c r="X566" s="22"/>
      <c r="Z566" s="22"/>
      <c r="AA566" s="22"/>
      <c r="AB566" s="22"/>
      <c r="AC566" s="22" t="s">
        <v>477</v>
      </c>
      <c r="AD566" s="22"/>
      <c r="AE566" s="24"/>
      <c r="AF566" s="24" t="s">
        <v>2043</v>
      </c>
      <c r="AG566" s="22"/>
      <c r="AI566" s="25" t="s">
        <v>349</v>
      </c>
      <c r="AK566" s="40" t="s">
        <v>136</v>
      </c>
      <c r="AL566" s="40"/>
      <c r="AX566" s="27"/>
      <c r="AY566" s="27"/>
      <c r="BK566" s="27"/>
      <c r="BL566" s="27"/>
      <c r="BX566" s="27"/>
      <c r="BY566" s="27"/>
      <c r="CH566" s="29"/>
    </row>
    <row r="567" spans="1:86" x14ac:dyDescent="0.2">
      <c r="A567" s="18">
        <v>10020</v>
      </c>
      <c r="B567" s="19">
        <v>2</v>
      </c>
      <c r="C567" s="19">
        <f t="shared" si="61"/>
        <v>100200002</v>
      </c>
      <c r="D567" s="23" t="s">
        <v>300</v>
      </c>
      <c r="E567" s="20" t="s">
        <v>109</v>
      </c>
      <c r="I567" s="22" t="s">
        <v>206</v>
      </c>
      <c r="J567" s="22"/>
      <c r="K567" s="22"/>
      <c r="L567" s="22"/>
      <c r="M567" s="22"/>
      <c r="N567" s="22" t="s">
        <v>163</v>
      </c>
      <c r="O567" s="22" t="s">
        <v>163</v>
      </c>
      <c r="P567" s="22"/>
      <c r="Q567" s="22" t="s">
        <v>2041</v>
      </c>
      <c r="R567" s="22"/>
      <c r="S567" s="22"/>
      <c r="T567" s="22" t="s">
        <v>2307</v>
      </c>
      <c r="U567" s="116" t="s">
        <v>2404</v>
      </c>
      <c r="V567" s="22" t="s">
        <v>109</v>
      </c>
      <c r="W567" s="22" t="s">
        <v>1</v>
      </c>
      <c r="X567" s="22"/>
      <c r="Z567" s="22"/>
      <c r="AA567" s="22"/>
      <c r="AB567" s="22"/>
      <c r="AC567" s="22" t="s">
        <v>477</v>
      </c>
      <c r="AD567" s="22"/>
      <c r="AE567" s="24"/>
      <c r="AF567" s="24" t="s">
        <v>2043</v>
      </c>
      <c r="AG567" s="22"/>
      <c r="AH567" s="25" t="s">
        <v>115</v>
      </c>
      <c r="AI567" s="25" t="s">
        <v>350</v>
      </c>
      <c r="AK567" s="40" t="s">
        <v>139</v>
      </c>
      <c r="AL567" s="40"/>
      <c r="AX567" s="27"/>
      <c r="AY567" s="27"/>
      <c r="BK567" s="27"/>
      <c r="BL567" s="27"/>
      <c r="BX567" s="27"/>
      <c r="BY567" s="27"/>
      <c r="CH567" s="29"/>
    </row>
    <row r="568" spans="1:86" x14ac:dyDescent="0.2">
      <c r="A568" s="18">
        <v>10020</v>
      </c>
      <c r="B568" s="19">
        <v>3</v>
      </c>
      <c r="C568" s="19">
        <f t="shared" si="61"/>
        <v>100200003</v>
      </c>
      <c r="D568" s="23" t="s">
        <v>300</v>
      </c>
      <c r="E568" s="20" t="s">
        <v>109</v>
      </c>
      <c r="I568" s="22" t="s">
        <v>206</v>
      </c>
      <c r="J568" s="22"/>
      <c r="K568" s="22"/>
      <c r="L568" s="22"/>
      <c r="M568" s="22"/>
      <c r="N568" s="22" t="s">
        <v>163</v>
      </c>
      <c r="O568" s="22" t="s">
        <v>163</v>
      </c>
      <c r="P568" s="22"/>
      <c r="Q568" s="22" t="s">
        <v>2041</v>
      </c>
      <c r="R568" s="22"/>
      <c r="S568" s="22"/>
      <c r="T568" s="22" t="s">
        <v>2307</v>
      </c>
      <c r="U568" s="116" t="s">
        <v>2405</v>
      </c>
      <c r="V568" s="22" t="s">
        <v>109</v>
      </c>
      <c r="W568" s="22" t="s">
        <v>1</v>
      </c>
      <c r="X568" s="22"/>
      <c r="Z568" s="22"/>
      <c r="AA568" s="22"/>
      <c r="AB568" s="22"/>
      <c r="AC568" s="22" t="s">
        <v>477</v>
      </c>
      <c r="AD568" s="22"/>
      <c r="AE568" s="24"/>
      <c r="AF568" s="24" t="s">
        <v>2043</v>
      </c>
      <c r="AG568" s="22"/>
      <c r="AH568" s="25" t="s">
        <v>116</v>
      </c>
      <c r="AI568" s="25" t="s">
        <v>347</v>
      </c>
      <c r="AK568" s="40" t="s">
        <v>373</v>
      </c>
      <c r="AL568" s="40"/>
      <c r="AX568" s="27"/>
      <c r="AY568" s="27"/>
      <c r="BK568" s="27"/>
      <c r="BL568" s="27"/>
      <c r="BX568" s="27"/>
      <c r="BY568" s="27"/>
      <c r="CH568" s="29"/>
    </row>
    <row r="569" spans="1:86" x14ac:dyDescent="0.2">
      <c r="A569" s="18">
        <v>10020</v>
      </c>
      <c r="B569" s="19">
        <v>4</v>
      </c>
      <c r="C569" s="19">
        <f t="shared" si="61"/>
        <v>100200004</v>
      </c>
      <c r="D569" s="23" t="s">
        <v>300</v>
      </c>
      <c r="E569" s="20" t="s">
        <v>109</v>
      </c>
      <c r="I569" s="22" t="s">
        <v>206</v>
      </c>
      <c r="J569" s="22"/>
      <c r="K569" s="22"/>
      <c r="L569" s="22"/>
      <c r="M569" s="22"/>
      <c r="N569" s="22" t="s">
        <v>163</v>
      </c>
      <c r="O569" s="22" t="s">
        <v>163</v>
      </c>
      <c r="P569" s="22"/>
      <c r="Q569" s="22" t="s">
        <v>2041</v>
      </c>
      <c r="R569" s="22"/>
      <c r="S569" s="22"/>
      <c r="T569" s="22" t="s">
        <v>2307</v>
      </c>
      <c r="U569" s="116" t="s">
        <v>2406</v>
      </c>
      <c r="V569" s="22" t="s">
        <v>109</v>
      </c>
      <c r="W569" s="22" t="s">
        <v>1</v>
      </c>
      <c r="X569" s="22"/>
      <c r="Z569" s="22"/>
      <c r="AA569" s="22"/>
      <c r="AB569" s="22"/>
      <c r="AC569" s="22" t="s">
        <v>477</v>
      </c>
      <c r="AD569" s="22"/>
      <c r="AE569" s="24"/>
      <c r="AF569" s="24" t="s">
        <v>2043</v>
      </c>
      <c r="AG569" s="22"/>
      <c r="AH569" s="25" t="s">
        <v>117</v>
      </c>
      <c r="AI569" s="25" t="s">
        <v>345</v>
      </c>
      <c r="AK569" s="40" t="s">
        <v>374</v>
      </c>
      <c r="AL569" s="40"/>
      <c r="AX569" s="27"/>
      <c r="AY569" s="27"/>
      <c r="BK569" s="27"/>
      <c r="BL569" s="27"/>
      <c r="BX569" s="27"/>
      <c r="BY569" s="27"/>
      <c r="CH569" s="29"/>
    </row>
    <row r="570" spans="1:86" x14ac:dyDescent="0.2">
      <c r="A570" s="18">
        <v>10020</v>
      </c>
      <c r="B570" s="19">
        <v>5</v>
      </c>
      <c r="C570" s="19">
        <f t="shared" si="61"/>
        <v>100200005</v>
      </c>
      <c r="D570" s="23" t="s">
        <v>300</v>
      </c>
      <c r="E570" s="20" t="s">
        <v>109</v>
      </c>
      <c r="I570" s="22" t="s">
        <v>206</v>
      </c>
      <c r="J570" s="22"/>
      <c r="K570" s="22"/>
      <c r="L570" s="22"/>
      <c r="M570" s="22"/>
      <c r="N570" s="22" t="s">
        <v>163</v>
      </c>
      <c r="O570" s="22" t="s">
        <v>163</v>
      </c>
      <c r="P570" s="22"/>
      <c r="Q570" s="22" t="s">
        <v>2041</v>
      </c>
      <c r="R570" s="22"/>
      <c r="S570" s="22"/>
      <c r="T570" s="22" t="s">
        <v>2307</v>
      </c>
      <c r="U570" s="116" t="s">
        <v>2407</v>
      </c>
      <c r="V570" s="22" t="s">
        <v>109</v>
      </c>
      <c r="W570" s="22" t="s">
        <v>1</v>
      </c>
      <c r="X570" s="22"/>
      <c r="Z570" s="22"/>
      <c r="AA570" s="22"/>
      <c r="AB570" s="22"/>
      <c r="AC570" s="22" t="s">
        <v>477</v>
      </c>
      <c r="AD570" s="22"/>
      <c r="AE570" s="24"/>
      <c r="AF570" s="24" t="s">
        <v>2043</v>
      </c>
      <c r="AG570" s="22"/>
      <c r="AH570" s="25" t="s">
        <v>118</v>
      </c>
      <c r="AI570" s="25" t="s">
        <v>346</v>
      </c>
      <c r="AK570" s="40" t="s">
        <v>375</v>
      </c>
      <c r="AL570" s="40"/>
      <c r="AX570" s="27"/>
      <c r="AY570" s="27"/>
      <c r="BK570" s="27"/>
      <c r="BL570" s="27"/>
      <c r="BX570" s="27"/>
      <c r="BY570" s="27"/>
      <c r="CH570" s="29"/>
    </row>
    <row r="571" spans="1:86" x14ac:dyDescent="0.2">
      <c r="A571" s="18">
        <v>10021</v>
      </c>
      <c r="B571" s="19">
        <v>1</v>
      </c>
      <c r="C571" s="19">
        <f t="shared" si="61"/>
        <v>100210001</v>
      </c>
      <c r="D571" s="23" t="s">
        <v>301</v>
      </c>
      <c r="E571" s="20" t="s">
        <v>109</v>
      </c>
      <c r="I571" s="22" t="s">
        <v>206</v>
      </c>
      <c r="J571" s="22"/>
      <c r="K571" s="22"/>
      <c r="L571" s="22"/>
      <c r="M571" s="22"/>
      <c r="N571" s="22" t="s">
        <v>163</v>
      </c>
      <c r="O571" s="22" t="s">
        <v>163</v>
      </c>
      <c r="P571" s="22"/>
      <c r="Q571" s="22" t="s">
        <v>2041</v>
      </c>
      <c r="R571" s="22"/>
      <c r="S571" s="22"/>
      <c r="T571" s="22" t="s">
        <v>2307</v>
      </c>
      <c r="U571" s="116" t="s">
        <v>2408</v>
      </c>
      <c r="V571" s="22" t="s">
        <v>109</v>
      </c>
      <c r="W571" s="22" t="s">
        <v>1</v>
      </c>
      <c r="X571" s="22"/>
      <c r="Z571" s="22"/>
      <c r="AA571" s="22"/>
      <c r="AB571" s="22"/>
      <c r="AC571" s="22" t="s">
        <v>478</v>
      </c>
      <c r="AD571" s="22"/>
      <c r="AE571" s="24"/>
      <c r="AF571" s="24" t="s">
        <v>2043</v>
      </c>
      <c r="AG571" s="22"/>
      <c r="AI571" s="25" t="s">
        <v>349</v>
      </c>
      <c r="AK571" s="40" t="s">
        <v>136</v>
      </c>
      <c r="AL571" s="40"/>
      <c r="AX571" s="27"/>
      <c r="AY571" s="27"/>
      <c r="BK571" s="27"/>
      <c r="BL571" s="27"/>
      <c r="BX571" s="27"/>
      <c r="BY571" s="27"/>
      <c r="CH571" s="29"/>
    </row>
    <row r="572" spans="1:86" x14ac:dyDescent="0.2">
      <c r="A572" s="18">
        <v>10021</v>
      </c>
      <c r="B572" s="19">
        <v>2</v>
      </c>
      <c r="C572" s="19">
        <f t="shared" si="61"/>
        <v>100210002</v>
      </c>
      <c r="D572" s="23" t="s">
        <v>301</v>
      </c>
      <c r="E572" s="20" t="s">
        <v>109</v>
      </c>
      <c r="I572" s="22" t="s">
        <v>206</v>
      </c>
      <c r="J572" s="22"/>
      <c r="K572" s="22"/>
      <c r="L572" s="22"/>
      <c r="M572" s="22"/>
      <c r="N572" s="22" t="s">
        <v>163</v>
      </c>
      <c r="O572" s="22" t="s">
        <v>163</v>
      </c>
      <c r="P572" s="22"/>
      <c r="Q572" s="22" t="s">
        <v>2041</v>
      </c>
      <c r="R572" s="22"/>
      <c r="S572" s="22"/>
      <c r="T572" s="22" t="s">
        <v>2307</v>
      </c>
      <c r="U572" s="116" t="s">
        <v>2409</v>
      </c>
      <c r="V572" s="22" t="s">
        <v>109</v>
      </c>
      <c r="W572" s="22" t="s">
        <v>1</v>
      </c>
      <c r="X572" s="22"/>
      <c r="Z572" s="22"/>
      <c r="AA572" s="22"/>
      <c r="AB572" s="22"/>
      <c r="AC572" s="22" t="s">
        <v>478</v>
      </c>
      <c r="AD572" s="22"/>
      <c r="AE572" s="24"/>
      <c r="AF572" s="24" t="s">
        <v>2043</v>
      </c>
      <c r="AG572" s="22"/>
      <c r="AI572" s="25" t="s">
        <v>350</v>
      </c>
      <c r="AK572" s="40" t="s">
        <v>139</v>
      </c>
      <c r="AL572" s="40"/>
      <c r="AX572" s="27"/>
      <c r="AY572" s="27"/>
      <c r="BK572" s="27"/>
      <c r="BL572" s="27"/>
      <c r="BX572" s="27"/>
      <c r="BY572" s="27"/>
      <c r="CH572" s="29"/>
    </row>
    <row r="573" spans="1:86" x14ac:dyDescent="0.2">
      <c r="A573" s="18">
        <v>10021</v>
      </c>
      <c r="B573" s="19">
        <v>3</v>
      </c>
      <c r="C573" s="19">
        <f t="shared" ref="C573:C636" si="62">A573*10000+B573</f>
        <v>100210003</v>
      </c>
      <c r="D573" s="23" t="s">
        <v>301</v>
      </c>
      <c r="E573" s="20" t="s">
        <v>109</v>
      </c>
      <c r="I573" s="22" t="s">
        <v>206</v>
      </c>
      <c r="J573" s="22"/>
      <c r="K573" s="22"/>
      <c r="L573" s="22"/>
      <c r="M573" s="22"/>
      <c r="N573" s="22" t="s">
        <v>163</v>
      </c>
      <c r="O573" s="22" t="s">
        <v>163</v>
      </c>
      <c r="P573" s="22"/>
      <c r="Q573" s="22" t="s">
        <v>2041</v>
      </c>
      <c r="R573" s="22"/>
      <c r="S573" s="22"/>
      <c r="T573" s="22" t="s">
        <v>2307</v>
      </c>
      <c r="U573" s="116" t="s">
        <v>2410</v>
      </c>
      <c r="V573" s="22" t="s">
        <v>109</v>
      </c>
      <c r="W573" s="22" t="s">
        <v>1</v>
      </c>
      <c r="X573" s="22"/>
      <c r="Z573" s="22"/>
      <c r="AA573" s="22"/>
      <c r="AB573" s="22"/>
      <c r="AC573" s="22" t="s">
        <v>478</v>
      </c>
      <c r="AD573" s="22"/>
      <c r="AE573" s="24"/>
      <c r="AF573" s="24" t="s">
        <v>2043</v>
      </c>
      <c r="AG573" s="22"/>
      <c r="AH573" s="25" t="s">
        <v>189</v>
      </c>
      <c r="AI573" s="25" t="s">
        <v>347</v>
      </c>
      <c r="AK573" s="40" t="s">
        <v>373</v>
      </c>
      <c r="AL573" s="40"/>
      <c r="AX573" s="27"/>
      <c r="AY573" s="27"/>
      <c r="BK573" s="27"/>
      <c r="BL573" s="27"/>
      <c r="BX573" s="27"/>
      <c r="BY573" s="27"/>
      <c r="CH573" s="29"/>
    </row>
    <row r="574" spans="1:86" x14ac:dyDescent="0.2">
      <c r="A574" s="18">
        <v>10021</v>
      </c>
      <c r="B574" s="19">
        <v>4</v>
      </c>
      <c r="C574" s="19">
        <f t="shared" si="62"/>
        <v>100210004</v>
      </c>
      <c r="D574" s="23" t="s">
        <v>301</v>
      </c>
      <c r="E574" s="20" t="s">
        <v>109</v>
      </c>
      <c r="I574" s="22" t="s">
        <v>206</v>
      </c>
      <c r="J574" s="22"/>
      <c r="K574" s="22"/>
      <c r="L574" s="22"/>
      <c r="M574" s="22"/>
      <c r="N574" s="22" t="s">
        <v>163</v>
      </c>
      <c r="O574" s="22" t="s">
        <v>163</v>
      </c>
      <c r="P574" s="22"/>
      <c r="Q574" s="22" t="s">
        <v>2041</v>
      </c>
      <c r="R574" s="22"/>
      <c r="S574" s="22"/>
      <c r="T574" s="22" t="s">
        <v>2307</v>
      </c>
      <c r="U574" s="116" t="s">
        <v>2411</v>
      </c>
      <c r="V574" s="22" t="s">
        <v>109</v>
      </c>
      <c r="W574" s="22" t="s">
        <v>1</v>
      </c>
      <c r="X574" s="22"/>
      <c r="Z574" s="22"/>
      <c r="AA574" s="22"/>
      <c r="AB574" s="22"/>
      <c r="AC574" s="22" t="s">
        <v>478</v>
      </c>
      <c r="AD574" s="22"/>
      <c r="AE574" s="24"/>
      <c r="AF574" s="24" t="s">
        <v>2043</v>
      </c>
      <c r="AG574" s="22"/>
      <c r="AH574" s="25" t="s">
        <v>190</v>
      </c>
      <c r="AI574" s="25" t="s">
        <v>345</v>
      </c>
      <c r="AK574" s="40" t="s">
        <v>374</v>
      </c>
      <c r="AL574" s="40"/>
      <c r="AX574" s="27"/>
      <c r="AY574" s="27"/>
      <c r="BK574" s="27"/>
      <c r="BL574" s="27"/>
      <c r="BX574" s="27"/>
      <c r="BY574" s="27"/>
      <c r="CH574" s="29"/>
    </row>
    <row r="575" spans="1:86" x14ac:dyDescent="0.2">
      <c r="A575" s="18">
        <v>10021</v>
      </c>
      <c r="B575" s="19">
        <v>5</v>
      </c>
      <c r="C575" s="19">
        <f t="shared" si="62"/>
        <v>100210005</v>
      </c>
      <c r="D575" s="23" t="s">
        <v>301</v>
      </c>
      <c r="E575" s="20" t="s">
        <v>109</v>
      </c>
      <c r="I575" s="22" t="s">
        <v>206</v>
      </c>
      <c r="J575" s="22"/>
      <c r="K575" s="22"/>
      <c r="L575" s="22"/>
      <c r="M575" s="22"/>
      <c r="N575" s="22" t="s">
        <v>163</v>
      </c>
      <c r="O575" s="22" t="s">
        <v>163</v>
      </c>
      <c r="P575" s="22"/>
      <c r="Q575" s="22" t="s">
        <v>2041</v>
      </c>
      <c r="R575" s="22"/>
      <c r="S575" s="22"/>
      <c r="T575" s="22" t="s">
        <v>2307</v>
      </c>
      <c r="U575" s="116" t="s">
        <v>2412</v>
      </c>
      <c r="V575" s="22" t="s">
        <v>109</v>
      </c>
      <c r="W575" s="22" t="s">
        <v>1</v>
      </c>
      <c r="X575" s="22"/>
      <c r="Z575" s="22"/>
      <c r="AA575" s="22"/>
      <c r="AB575" s="22"/>
      <c r="AC575" s="22" t="s">
        <v>478</v>
      </c>
      <c r="AD575" s="22"/>
      <c r="AE575" s="24"/>
      <c r="AF575" s="24" t="s">
        <v>2043</v>
      </c>
      <c r="AG575" s="22"/>
      <c r="AH575" s="25" t="s">
        <v>191</v>
      </c>
      <c r="AI575" s="25" t="s">
        <v>346</v>
      </c>
      <c r="AK575" s="40" t="s">
        <v>375</v>
      </c>
      <c r="AL575" s="40"/>
      <c r="AX575" s="27"/>
      <c r="AY575" s="27"/>
      <c r="BK575" s="27"/>
      <c r="BL575" s="27"/>
      <c r="BX575" s="27"/>
      <c r="BY575" s="27"/>
      <c r="CH575" s="29"/>
    </row>
    <row r="576" spans="1:86" x14ac:dyDescent="0.2">
      <c r="A576" s="18">
        <v>10022</v>
      </c>
      <c r="B576" s="19">
        <v>1</v>
      </c>
      <c r="C576" s="19">
        <f t="shared" si="62"/>
        <v>100220001</v>
      </c>
      <c r="D576" s="23" t="s">
        <v>302</v>
      </c>
      <c r="E576" s="20" t="s">
        <v>109</v>
      </c>
      <c r="I576" s="22" t="s">
        <v>206</v>
      </c>
      <c r="J576" s="22"/>
      <c r="K576" s="22"/>
      <c r="L576" s="22"/>
      <c r="M576" s="22"/>
      <c r="N576" s="22" t="s">
        <v>163</v>
      </c>
      <c r="O576" s="22" t="s">
        <v>163</v>
      </c>
      <c r="P576" s="22"/>
      <c r="Q576" s="22" t="s">
        <v>2041</v>
      </c>
      <c r="R576" s="22"/>
      <c r="S576" s="22"/>
      <c r="T576" s="22" t="s">
        <v>2307</v>
      </c>
      <c r="U576" s="116" t="s">
        <v>2413</v>
      </c>
      <c r="V576" s="22" t="s">
        <v>109</v>
      </c>
      <c r="W576" s="22" t="s">
        <v>1</v>
      </c>
      <c r="X576" s="22"/>
      <c r="Z576" s="22"/>
      <c r="AA576" s="22"/>
      <c r="AB576" s="22"/>
      <c r="AC576" s="22" t="s">
        <v>479</v>
      </c>
      <c r="AD576" s="22"/>
      <c r="AE576" s="24"/>
      <c r="AF576" s="24" t="s">
        <v>2043</v>
      </c>
      <c r="AG576" s="22"/>
      <c r="AI576" s="25" t="s">
        <v>349</v>
      </c>
      <c r="AK576" s="40" t="s">
        <v>136</v>
      </c>
      <c r="AL576" s="40"/>
      <c r="AX576" s="27"/>
      <c r="AY576" s="27"/>
      <c r="BK576" s="27"/>
      <c r="BL576" s="27"/>
      <c r="BX576" s="27"/>
      <c r="BY576" s="27"/>
      <c r="CH576" s="29"/>
    </row>
    <row r="577" spans="1:86" x14ac:dyDescent="0.2">
      <c r="A577" s="18">
        <v>10022</v>
      </c>
      <c r="B577" s="19">
        <v>2</v>
      </c>
      <c r="C577" s="19">
        <f t="shared" si="62"/>
        <v>100220002</v>
      </c>
      <c r="D577" s="23" t="s">
        <v>302</v>
      </c>
      <c r="E577" s="20" t="s">
        <v>109</v>
      </c>
      <c r="I577" s="22" t="s">
        <v>206</v>
      </c>
      <c r="J577" s="22"/>
      <c r="K577" s="22"/>
      <c r="L577" s="22"/>
      <c r="M577" s="22"/>
      <c r="N577" s="22" t="s">
        <v>163</v>
      </c>
      <c r="O577" s="22" t="s">
        <v>163</v>
      </c>
      <c r="P577" s="22"/>
      <c r="Q577" s="22" t="s">
        <v>2041</v>
      </c>
      <c r="R577" s="22"/>
      <c r="S577" s="22"/>
      <c r="T577" s="22" t="s">
        <v>2307</v>
      </c>
      <c r="U577" s="116" t="s">
        <v>2414</v>
      </c>
      <c r="V577" s="22" t="s">
        <v>109</v>
      </c>
      <c r="W577" s="22" t="s">
        <v>1</v>
      </c>
      <c r="X577" s="22"/>
      <c r="Z577" s="22"/>
      <c r="AA577" s="22"/>
      <c r="AB577" s="22"/>
      <c r="AC577" s="22" t="s">
        <v>479</v>
      </c>
      <c r="AD577" s="22"/>
      <c r="AE577" s="24"/>
      <c r="AF577" s="24" t="s">
        <v>2043</v>
      </c>
      <c r="AG577" s="22"/>
      <c r="AI577" s="25" t="s">
        <v>350</v>
      </c>
      <c r="AK577" s="40" t="s">
        <v>139</v>
      </c>
      <c r="AL577" s="40"/>
      <c r="AX577" s="27"/>
      <c r="AY577" s="27"/>
      <c r="BK577" s="27"/>
      <c r="BL577" s="27"/>
      <c r="BX577" s="27"/>
      <c r="BY577" s="27"/>
      <c r="CH577" s="29"/>
    </row>
    <row r="578" spans="1:86" x14ac:dyDescent="0.2">
      <c r="A578" s="18">
        <v>10022</v>
      </c>
      <c r="B578" s="19">
        <v>3</v>
      </c>
      <c r="C578" s="19">
        <f t="shared" si="62"/>
        <v>100220003</v>
      </c>
      <c r="D578" s="23" t="s">
        <v>302</v>
      </c>
      <c r="E578" s="20" t="s">
        <v>109</v>
      </c>
      <c r="I578" s="22" t="s">
        <v>206</v>
      </c>
      <c r="J578" s="22"/>
      <c r="K578" s="22"/>
      <c r="L578" s="22"/>
      <c r="M578" s="22"/>
      <c r="N578" s="22" t="s">
        <v>163</v>
      </c>
      <c r="O578" s="22" t="s">
        <v>163</v>
      </c>
      <c r="P578" s="22"/>
      <c r="Q578" s="22" t="s">
        <v>2041</v>
      </c>
      <c r="R578" s="22"/>
      <c r="S578" s="22"/>
      <c r="T578" s="22" t="s">
        <v>2307</v>
      </c>
      <c r="U578" s="116" t="s">
        <v>2415</v>
      </c>
      <c r="V578" s="22" t="s">
        <v>109</v>
      </c>
      <c r="W578" s="22" t="s">
        <v>1</v>
      </c>
      <c r="X578" s="22"/>
      <c r="Z578" s="22"/>
      <c r="AA578" s="22"/>
      <c r="AB578" s="22"/>
      <c r="AC578" s="22" t="s">
        <v>479</v>
      </c>
      <c r="AD578" s="22"/>
      <c r="AE578" s="24"/>
      <c r="AF578" s="24" t="s">
        <v>2043</v>
      </c>
      <c r="AG578" s="22"/>
      <c r="AH578" s="25" t="s">
        <v>195</v>
      </c>
      <c r="AI578" s="25" t="s">
        <v>347</v>
      </c>
      <c r="AK578" s="40" t="s">
        <v>373</v>
      </c>
      <c r="AL578" s="40"/>
      <c r="AX578" s="27"/>
      <c r="AY578" s="27"/>
      <c r="BK578" s="27"/>
      <c r="BL578" s="27"/>
      <c r="BX578" s="27"/>
      <c r="BY578" s="27"/>
      <c r="CH578" s="29"/>
    </row>
    <row r="579" spans="1:86" x14ac:dyDescent="0.2">
      <c r="A579" s="18">
        <v>10022</v>
      </c>
      <c r="B579" s="19">
        <v>4</v>
      </c>
      <c r="C579" s="19">
        <f t="shared" si="62"/>
        <v>100220004</v>
      </c>
      <c r="D579" s="23" t="s">
        <v>302</v>
      </c>
      <c r="E579" s="20" t="s">
        <v>109</v>
      </c>
      <c r="I579" s="22" t="s">
        <v>206</v>
      </c>
      <c r="J579" s="22"/>
      <c r="K579" s="22"/>
      <c r="L579" s="22"/>
      <c r="M579" s="22"/>
      <c r="N579" s="22" t="s">
        <v>163</v>
      </c>
      <c r="O579" s="22" t="s">
        <v>163</v>
      </c>
      <c r="P579" s="22"/>
      <c r="Q579" s="22" t="s">
        <v>2041</v>
      </c>
      <c r="R579" s="22"/>
      <c r="S579" s="22"/>
      <c r="T579" s="22" t="s">
        <v>2307</v>
      </c>
      <c r="U579" s="116" t="s">
        <v>2416</v>
      </c>
      <c r="V579" s="22" t="s">
        <v>109</v>
      </c>
      <c r="W579" s="22" t="s">
        <v>1</v>
      </c>
      <c r="X579" s="22"/>
      <c r="Z579" s="22"/>
      <c r="AA579" s="22"/>
      <c r="AB579" s="22"/>
      <c r="AC579" s="22" t="s">
        <v>479</v>
      </c>
      <c r="AD579" s="22"/>
      <c r="AE579" s="24"/>
      <c r="AF579" s="24" t="s">
        <v>2043</v>
      </c>
      <c r="AG579" s="22"/>
      <c r="AH579" s="25" t="s">
        <v>196</v>
      </c>
      <c r="AI579" s="25" t="s">
        <v>345</v>
      </c>
      <c r="AK579" s="40" t="s">
        <v>374</v>
      </c>
      <c r="AL579" s="40"/>
      <c r="AX579" s="27"/>
      <c r="AY579" s="27"/>
      <c r="BK579" s="27"/>
      <c r="BL579" s="27"/>
      <c r="BX579" s="27"/>
      <c r="BY579" s="27"/>
      <c r="CH579" s="29"/>
    </row>
    <row r="580" spans="1:86" x14ac:dyDescent="0.2">
      <c r="A580" s="18">
        <v>10022</v>
      </c>
      <c r="B580" s="19">
        <v>5</v>
      </c>
      <c r="C580" s="19">
        <f t="shared" si="62"/>
        <v>100220005</v>
      </c>
      <c r="D580" s="23" t="s">
        <v>302</v>
      </c>
      <c r="E580" s="20" t="s">
        <v>109</v>
      </c>
      <c r="I580" s="22" t="s">
        <v>206</v>
      </c>
      <c r="J580" s="22"/>
      <c r="K580" s="22"/>
      <c r="L580" s="22"/>
      <c r="M580" s="22"/>
      <c r="N580" s="22" t="s">
        <v>163</v>
      </c>
      <c r="O580" s="22" t="s">
        <v>163</v>
      </c>
      <c r="P580" s="22"/>
      <c r="Q580" s="22" t="s">
        <v>2041</v>
      </c>
      <c r="R580" s="22"/>
      <c r="S580" s="22"/>
      <c r="T580" s="22" t="s">
        <v>2307</v>
      </c>
      <c r="U580" s="116" t="s">
        <v>2417</v>
      </c>
      <c r="V580" s="22" t="s">
        <v>109</v>
      </c>
      <c r="W580" s="22" t="s">
        <v>1</v>
      </c>
      <c r="X580" s="22"/>
      <c r="Z580" s="22"/>
      <c r="AA580" s="22"/>
      <c r="AB580" s="22"/>
      <c r="AC580" s="22" t="s">
        <v>479</v>
      </c>
      <c r="AD580" s="22"/>
      <c r="AE580" s="24"/>
      <c r="AF580" s="24" t="s">
        <v>2043</v>
      </c>
      <c r="AG580" s="22"/>
      <c r="AH580" s="25" t="s">
        <v>197</v>
      </c>
      <c r="AI580" s="25" t="s">
        <v>346</v>
      </c>
      <c r="AK580" s="40" t="s">
        <v>375</v>
      </c>
      <c r="AL580" s="40"/>
      <c r="AX580" s="27"/>
      <c r="AY580" s="27"/>
      <c r="BK580" s="27"/>
      <c r="BL580" s="27"/>
      <c r="BX580" s="27"/>
      <c r="BY580" s="27"/>
      <c r="CH580" s="29"/>
    </row>
    <row r="581" spans="1:86" x14ac:dyDescent="0.2">
      <c r="A581" s="18">
        <v>10023</v>
      </c>
      <c r="B581" s="19">
        <v>1</v>
      </c>
      <c r="C581" s="19">
        <f t="shared" si="62"/>
        <v>100230001</v>
      </c>
      <c r="D581" s="23" t="s">
        <v>303</v>
      </c>
      <c r="E581" s="20" t="s">
        <v>109</v>
      </c>
      <c r="I581" s="22" t="s">
        <v>206</v>
      </c>
      <c r="J581" s="22"/>
      <c r="K581" s="22"/>
      <c r="L581" s="22"/>
      <c r="M581" s="22"/>
      <c r="N581" s="22" t="s">
        <v>163</v>
      </c>
      <c r="O581" s="22" t="s">
        <v>163</v>
      </c>
      <c r="P581" s="22"/>
      <c r="Q581" s="22" t="s">
        <v>2041</v>
      </c>
      <c r="R581" s="22"/>
      <c r="S581" s="22"/>
      <c r="T581" s="22" t="s">
        <v>2307</v>
      </c>
      <c r="U581" s="116" t="s">
        <v>2418</v>
      </c>
      <c r="V581" s="22" t="s">
        <v>109</v>
      </c>
      <c r="W581" s="22" t="s">
        <v>1</v>
      </c>
      <c r="X581" s="22"/>
      <c r="Z581" s="22"/>
      <c r="AA581" s="22"/>
      <c r="AB581" s="22"/>
      <c r="AC581" s="22" t="s">
        <v>480</v>
      </c>
      <c r="AD581" s="22"/>
      <c r="AE581" s="24"/>
      <c r="AF581" s="24" t="s">
        <v>2043</v>
      </c>
      <c r="AG581" s="22"/>
      <c r="AI581" s="25" t="s">
        <v>349</v>
      </c>
      <c r="AK581" s="40" t="s">
        <v>136</v>
      </c>
      <c r="AL581" s="40"/>
      <c r="AX581" s="27"/>
      <c r="AY581" s="27"/>
      <c r="BK581" s="27"/>
      <c r="BL581" s="27"/>
      <c r="BX581" s="27"/>
      <c r="BY581" s="27"/>
      <c r="CH581" s="29"/>
    </row>
    <row r="582" spans="1:86" x14ac:dyDescent="0.2">
      <c r="A582" s="18">
        <v>10023</v>
      </c>
      <c r="B582" s="19">
        <v>2</v>
      </c>
      <c r="C582" s="19">
        <f t="shared" si="62"/>
        <v>100230002</v>
      </c>
      <c r="D582" s="23" t="s">
        <v>303</v>
      </c>
      <c r="E582" s="20" t="s">
        <v>109</v>
      </c>
      <c r="I582" s="22" t="s">
        <v>206</v>
      </c>
      <c r="J582" s="22"/>
      <c r="K582" s="22"/>
      <c r="L582" s="22"/>
      <c r="M582" s="22"/>
      <c r="N582" s="22" t="s">
        <v>163</v>
      </c>
      <c r="O582" s="22" t="s">
        <v>163</v>
      </c>
      <c r="P582" s="22"/>
      <c r="Q582" s="22" t="s">
        <v>2041</v>
      </c>
      <c r="R582" s="22"/>
      <c r="S582" s="22"/>
      <c r="T582" s="22" t="s">
        <v>2307</v>
      </c>
      <c r="U582" s="116" t="s">
        <v>2419</v>
      </c>
      <c r="V582" s="22" t="s">
        <v>109</v>
      </c>
      <c r="W582" s="22" t="s">
        <v>1</v>
      </c>
      <c r="X582" s="22"/>
      <c r="Z582" s="22"/>
      <c r="AA582" s="22"/>
      <c r="AB582" s="22"/>
      <c r="AC582" s="22" t="s">
        <v>480</v>
      </c>
      <c r="AD582" s="22"/>
      <c r="AE582" s="24"/>
      <c r="AF582" s="24" t="s">
        <v>2043</v>
      </c>
      <c r="AG582" s="22"/>
      <c r="AI582" s="25" t="s">
        <v>350</v>
      </c>
      <c r="AK582" s="40" t="s">
        <v>139</v>
      </c>
      <c r="AL582" s="40"/>
      <c r="AX582" s="27"/>
      <c r="AY582" s="27"/>
      <c r="BK582" s="27"/>
      <c r="BL582" s="27"/>
      <c r="BX582" s="27"/>
      <c r="BY582" s="27"/>
      <c r="CH582" s="29"/>
    </row>
    <row r="583" spans="1:86" x14ac:dyDescent="0.2">
      <c r="A583" s="18">
        <v>10023</v>
      </c>
      <c r="B583" s="19">
        <v>3</v>
      </c>
      <c r="C583" s="19">
        <f t="shared" si="62"/>
        <v>100230003</v>
      </c>
      <c r="D583" s="23" t="s">
        <v>303</v>
      </c>
      <c r="E583" s="20" t="s">
        <v>109</v>
      </c>
      <c r="I583" s="22" t="s">
        <v>206</v>
      </c>
      <c r="J583" s="22"/>
      <c r="K583" s="22"/>
      <c r="L583" s="22"/>
      <c r="M583" s="22"/>
      <c r="N583" s="22" t="s">
        <v>163</v>
      </c>
      <c r="O583" s="22" t="s">
        <v>163</v>
      </c>
      <c r="P583" s="22"/>
      <c r="Q583" s="22" t="s">
        <v>2041</v>
      </c>
      <c r="R583" s="22"/>
      <c r="S583" s="22"/>
      <c r="T583" s="22" t="s">
        <v>2307</v>
      </c>
      <c r="U583" s="116" t="s">
        <v>2420</v>
      </c>
      <c r="V583" s="22" t="s">
        <v>109</v>
      </c>
      <c r="W583" s="22" t="s">
        <v>1</v>
      </c>
      <c r="X583" s="22"/>
      <c r="Z583" s="22"/>
      <c r="AA583" s="22"/>
      <c r="AB583" s="22"/>
      <c r="AC583" s="22" t="s">
        <v>480</v>
      </c>
      <c r="AD583" s="22"/>
      <c r="AE583" s="24"/>
      <c r="AF583" s="24" t="s">
        <v>2043</v>
      </c>
      <c r="AG583" s="22"/>
      <c r="AH583" s="25" t="s">
        <v>192</v>
      </c>
      <c r="AI583" s="25" t="s">
        <v>347</v>
      </c>
      <c r="AK583" s="40" t="s">
        <v>373</v>
      </c>
      <c r="AL583" s="40"/>
      <c r="AX583" s="27"/>
      <c r="AY583" s="27"/>
      <c r="BK583" s="27"/>
      <c r="BL583" s="27"/>
      <c r="BX583" s="27"/>
      <c r="BY583" s="27"/>
      <c r="CH583" s="29"/>
    </row>
    <row r="584" spans="1:86" x14ac:dyDescent="0.2">
      <c r="A584" s="18">
        <v>10023</v>
      </c>
      <c r="B584" s="19">
        <v>4</v>
      </c>
      <c r="C584" s="19">
        <f t="shared" si="62"/>
        <v>100230004</v>
      </c>
      <c r="D584" s="23" t="s">
        <v>303</v>
      </c>
      <c r="E584" s="20" t="s">
        <v>109</v>
      </c>
      <c r="I584" s="22" t="s">
        <v>206</v>
      </c>
      <c r="J584" s="22"/>
      <c r="K584" s="22"/>
      <c r="L584" s="22"/>
      <c r="M584" s="22"/>
      <c r="N584" s="22" t="s">
        <v>163</v>
      </c>
      <c r="O584" s="22" t="s">
        <v>163</v>
      </c>
      <c r="P584" s="22"/>
      <c r="Q584" s="22" t="s">
        <v>2041</v>
      </c>
      <c r="R584" s="22"/>
      <c r="S584" s="22"/>
      <c r="T584" s="22" t="s">
        <v>2307</v>
      </c>
      <c r="U584" s="116" t="s">
        <v>2421</v>
      </c>
      <c r="V584" s="22" t="s">
        <v>109</v>
      </c>
      <c r="W584" s="22" t="s">
        <v>1</v>
      </c>
      <c r="X584" s="22"/>
      <c r="Z584" s="22"/>
      <c r="AA584" s="22"/>
      <c r="AB584" s="22"/>
      <c r="AC584" s="22" t="s">
        <v>480</v>
      </c>
      <c r="AD584" s="22"/>
      <c r="AE584" s="24"/>
      <c r="AF584" s="24" t="s">
        <v>2043</v>
      </c>
      <c r="AG584" s="22"/>
      <c r="AH584" s="25" t="s">
        <v>193</v>
      </c>
      <c r="AI584" s="25" t="s">
        <v>345</v>
      </c>
      <c r="AK584" s="40" t="s">
        <v>374</v>
      </c>
      <c r="AL584" s="40"/>
      <c r="AX584" s="27"/>
      <c r="AY584" s="27"/>
      <c r="BK584" s="27"/>
      <c r="BL584" s="27"/>
      <c r="BX584" s="27"/>
      <c r="BY584" s="27"/>
      <c r="CH584" s="29"/>
    </row>
    <row r="585" spans="1:86" x14ac:dyDescent="0.2">
      <c r="A585" s="18">
        <v>10023</v>
      </c>
      <c r="B585" s="19">
        <v>5</v>
      </c>
      <c r="C585" s="19">
        <f t="shared" si="62"/>
        <v>100230005</v>
      </c>
      <c r="D585" s="23" t="s">
        <v>303</v>
      </c>
      <c r="E585" s="20" t="s">
        <v>109</v>
      </c>
      <c r="I585" s="22" t="s">
        <v>206</v>
      </c>
      <c r="J585" s="22"/>
      <c r="K585" s="22"/>
      <c r="L585" s="22"/>
      <c r="M585" s="22"/>
      <c r="N585" s="22" t="s">
        <v>163</v>
      </c>
      <c r="O585" s="22" t="s">
        <v>163</v>
      </c>
      <c r="P585" s="22"/>
      <c r="Q585" s="22" t="s">
        <v>2041</v>
      </c>
      <c r="R585" s="22"/>
      <c r="S585" s="22"/>
      <c r="T585" s="22" t="s">
        <v>2307</v>
      </c>
      <c r="U585" s="116" t="s">
        <v>2422</v>
      </c>
      <c r="V585" s="22" t="s">
        <v>109</v>
      </c>
      <c r="W585" s="22" t="s">
        <v>1</v>
      </c>
      <c r="X585" s="22"/>
      <c r="Z585" s="22"/>
      <c r="AA585" s="22"/>
      <c r="AB585" s="22"/>
      <c r="AC585" s="22" t="s">
        <v>480</v>
      </c>
      <c r="AD585" s="22"/>
      <c r="AE585" s="24"/>
      <c r="AF585" s="24" t="s">
        <v>2043</v>
      </c>
      <c r="AG585" s="22"/>
      <c r="AH585" s="25" t="s">
        <v>194</v>
      </c>
      <c r="AI585" s="25" t="s">
        <v>346</v>
      </c>
      <c r="AK585" s="40" t="s">
        <v>375</v>
      </c>
      <c r="AL585" s="40"/>
      <c r="AX585" s="27"/>
      <c r="AY585" s="27"/>
      <c r="BK585" s="27"/>
      <c r="BL585" s="27"/>
      <c r="BX585" s="27"/>
      <c r="BY585" s="27"/>
      <c r="CH585" s="29"/>
    </row>
    <row r="586" spans="1:86" x14ac:dyDescent="0.2">
      <c r="A586" s="18">
        <v>10024</v>
      </c>
      <c r="B586" s="19">
        <v>1</v>
      </c>
      <c r="C586" s="19">
        <f t="shared" si="62"/>
        <v>100240001</v>
      </c>
      <c r="D586" s="23" t="s">
        <v>304</v>
      </c>
      <c r="E586" s="20" t="s">
        <v>109</v>
      </c>
      <c r="I586" s="22" t="s">
        <v>206</v>
      </c>
      <c r="J586" s="22"/>
      <c r="K586" s="22"/>
      <c r="L586" s="22"/>
      <c r="M586" s="22"/>
      <c r="N586" s="22" t="s">
        <v>163</v>
      </c>
      <c r="O586" s="22" t="s">
        <v>163</v>
      </c>
      <c r="P586" s="22"/>
      <c r="Q586" s="22" t="s">
        <v>2041</v>
      </c>
      <c r="R586" s="22"/>
      <c r="S586" s="22"/>
      <c r="T586" s="22" t="s">
        <v>2307</v>
      </c>
      <c r="U586" s="116" t="s">
        <v>2423</v>
      </c>
      <c r="V586" s="22" t="s">
        <v>109</v>
      </c>
      <c r="W586" s="22" t="s">
        <v>1</v>
      </c>
      <c r="X586" s="22"/>
      <c r="Z586" s="22"/>
      <c r="AA586" s="22"/>
      <c r="AB586" s="22"/>
      <c r="AC586" s="22" t="s">
        <v>481</v>
      </c>
      <c r="AD586" s="22"/>
      <c r="AE586" s="24"/>
      <c r="AF586" s="24" t="s">
        <v>2043</v>
      </c>
      <c r="AG586" s="22"/>
      <c r="AI586" s="25" t="s">
        <v>349</v>
      </c>
      <c r="AK586" s="40" t="s">
        <v>136</v>
      </c>
      <c r="AL586" s="40"/>
      <c r="AX586" s="27"/>
      <c r="AY586" s="27"/>
      <c r="BK586" s="27"/>
      <c r="BL586" s="27"/>
      <c r="BX586" s="27"/>
      <c r="BY586" s="27"/>
      <c r="CH586" s="29"/>
    </row>
    <row r="587" spans="1:86" x14ac:dyDescent="0.2">
      <c r="A587" s="18">
        <v>10024</v>
      </c>
      <c r="B587" s="19">
        <v>2</v>
      </c>
      <c r="C587" s="19">
        <f t="shared" si="62"/>
        <v>100240002</v>
      </c>
      <c r="D587" s="23" t="s">
        <v>304</v>
      </c>
      <c r="E587" s="20" t="s">
        <v>109</v>
      </c>
      <c r="I587" s="22" t="s">
        <v>206</v>
      </c>
      <c r="J587" s="22"/>
      <c r="K587" s="22"/>
      <c r="L587" s="22"/>
      <c r="M587" s="22"/>
      <c r="N587" s="22" t="s">
        <v>163</v>
      </c>
      <c r="O587" s="22" t="s">
        <v>163</v>
      </c>
      <c r="P587" s="22"/>
      <c r="Q587" s="22" t="s">
        <v>2041</v>
      </c>
      <c r="R587" s="22"/>
      <c r="S587" s="22"/>
      <c r="T587" s="22" t="s">
        <v>2307</v>
      </c>
      <c r="U587" s="116" t="s">
        <v>2424</v>
      </c>
      <c r="V587" s="22" t="s">
        <v>109</v>
      </c>
      <c r="W587" s="22" t="s">
        <v>1</v>
      </c>
      <c r="X587" s="22"/>
      <c r="Z587" s="22"/>
      <c r="AA587" s="22"/>
      <c r="AB587" s="22"/>
      <c r="AC587" s="22" t="s">
        <v>481</v>
      </c>
      <c r="AD587" s="22"/>
      <c r="AE587" s="24"/>
      <c r="AF587" s="24" t="s">
        <v>2043</v>
      </c>
      <c r="AG587" s="22"/>
      <c r="AI587" s="25" t="s">
        <v>350</v>
      </c>
      <c r="AK587" s="40" t="s">
        <v>139</v>
      </c>
      <c r="AL587" s="40"/>
      <c r="AX587" s="27"/>
      <c r="AY587" s="27"/>
      <c r="BK587" s="27"/>
      <c r="BL587" s="27"/>
      <c r="BX587" s="27"/>
      <c r="BY587" s="27"/>
      <c r="CH587" s="29"/>
    </row>
    <row r="588" spans="1:86" x14ac:dyDescent="0.2">
      <c r="A588" s="18">
        <v>10024</v>
      </c>
      <c r="B588" s="19">
        <v>3</v>
      </c>
      <c r="C588" s="19">
        <f t="shared" si="62"/>
        <v>100240003</v>
      </c>
      <c r="D588" s="23" t="s">
        <v>304</v>
      </c>
      <c r="E588" s="20" t="s">
        <v>109</v>
      </c>
      <c r="I588" s="22" t="s">
        <v>206</v>
      </c>
      <c r="J588" s="22"/>
      <c r="K588" s="22"/>
      <c r="L588" s="22"/>
      <c r="M588" s="22"/>
      <c r="N588" s="22" t="s">
        <v>163</v>
      </c>
      <c r="O588" s="22" t="s">
        <v>163</v>
      </c>
      <c r="P588" s="22"/>
      <c r="Q588" s="22" t="s">
        <v>2041</v>
      </c>
      <c r="R588" s="22"/>
      <c r="S588" s="22"/>
      <c r="T588" s="22" t="s">
        <v>2307</v>
      </c>
      <c r="U588" s="116" t="s">
        <v>2425</v>
      </c>
      <c r="V588" s="22" t="s">
        <v>109</v>
      </c>
      <c r="W588" s="22" t="s">
        <v>1</v>
      </c>
      <c r="X588" s="22"/>
      <c r="Z588" s="22"/>
      <c r="AA588" s="22"/>
      <c r="AB588" s="22"/>
      <c r="AC588" s="22" t="s">
        <v>481</v>
      </c>
      <c r="AD588" s="22"/>
      <c r="AE588" s="24"/>
      <c r="AF588" s="24" t="s">
        <v>2043</v>
      </c>
      <c r="AG588" s="22"/>
      <c r="AH588" s="25" t="s">
        <v>198</v>
      </c>
      <c r="AI588" s="25" t="s">
        <v>347</v>
      </c>
      <c r="AK588" s="40" t="s">
        <v>373</v>
      </c>
      <c r="AL588" s="40"/>
      <c r="AX588" s="27"/>
      <c r="AY588" s="27"/>
      <c r="BK588" s="27"/>
      <c r="BL588" s="27"/>
      <c r="BX588" s="27"/>
      <c r="BY588" s="27"/>
      <c r="CH588" s="29"/>
    </row>
    <row r="589" spans="1:86" x14ac:dyDescent="0.2">
      <c r="A589" s="18">
        <v>10024</v>
      </c>
      <c r="B589" s="19">
        <v>4</v>
      </c>
      <c r="C589" s="19">
        <f t="shared" si="62"/>
        <v>100240004</v>
      </c>
      <c r="D589" s="23" t="s">
        <v>304</v>
      </c>
      <c r="E589" s="20" t="s">
        <v>109</v>
      </c>
      <c r="I589" s="22" t="s">
        <v>206</v>
      </c>
      <c r="J589" s="22"/>
      <c r="K589" s="22"/>
      <c r="L589" s="22"/>
      <c r="M589" s="22"/>
      <c r="N589" s="22" t="s">
        <v>163</v>
      </c>
      <c r="O589" s="22" t="s">
        <v>163</v>
      </c>
      <c r="P589" s="22"/>
      <c r="Q589" s="22" t="s">
        <v>2041</v>
      </c>
      <c r="R589" s="22"/>
      <c r="S589" s="22"/>
      <c r="T589" s="22" t="s">
        <v>2307</v>
      </c>
      <c r="U589" s="116" t="s">
        <v>2426</v>
      </c>
      <c r="V589" s="22" t="s">
        <v>109</v>
      </c>
      <c r="W589" s="22" t="s">
        <v>1</v>
      </c>
      <c r="X589" s="22"/>
      <c r="Z589" s="22"/>
      <c r="AA589" s="22"/>
      <c r="AB589" s="22"/>
      <c r="AC589" s="22" t="s">
        <v>481</v>
      </c>
      <c r="AD589" s="22"/>
      <c r="AE589" s="24"/>
      <c r="AF589" s="24" t="s">
        <v>2043</v>
      </c>
      <c r="AG589" s="22"/>
      <c r="AH589" s="25" t="s">
        <v>199</v>
      </c>
      <c r="AI589" s="25" t="s">
        <v>345</v>
      </c>
      <c r="AK589" s="40" t="s">
        <v>374</v>
      </c>
      <c r="AL589" s="40"/>
      <c r="AX589" s="27"/>
      <c r="AY589" s="27"/>
      <c r="BK589" s="27"/>
      <c r="BL589" s="27"/>
      <c r="BX589" s="27"/>
      <c r="BY589" s="27"/>
      <c r="CH589" s="29"/>
    </row>
    <row r="590" spans="1:86" x14ac:dyDescent="0.2">
      <c r="A590" s="18">
        <v>10024</v>
      </c>
      <c r="B590" s="19">
        <v>5</v>
      </c>
      <c r="C590" s="19">
        <f t="shared" si="62"/>
        <v>100240005</v>
      </c>
      <c r="D590" s="23" t="s">
        <v>304</v>
      </c>
      <c r="E590" s="20" t="s">
        <v>109</v>
      </c>
      <c r="I590" s="22" t="s">
        <v>206</v>
      </c>
      <c r="J590" s="22"/>
      <c r="K590" s="22"/>
      <c r="L590" s="22"/>
      <c r="M590" s="22"/>
      <c r="N590" s="22" t="s">
        <v>163</v>
      </c>
      <c r="O590" s="22" t="s">
        <v>163</v>
      </c>
      <c r="P590" s="22"/>
      <c r="Q590" s="22" t="s">
        <v>2041</v>
      </c>
      <c r="R590" s="22"/>
      <c r="S590" s="22"/>
      <c r="T590" s="22" t="s">
        <v>2307</v>
      </c>
      <c r="U590" s="116" t="s">
        <v>2427</v>
      </c>
      <c r="V590" s="22" t="s">
        <v>109</v>
      </c>
      <c r="W590" s="22" t="s">
        <v>1</v>
      </c>
      <c r="X590" s="22"/>
      <c r="Z590" s="22"/>
      <c r="AA590" s="22"/>
      <c r="AB590" s="22"/>
      <c r="AC590" s="22" t="s">
        <v>481</v>
      </c>
      <c r="AD590" s="22"/>
      <c r="AE590" s="24"/>
      <c r="AF590" s="24" t="s">
        <v>2043</v>
      </c>
      <c r="AG590" s="22"/>
      <c r="AH590" s="25" t="s">
        <v>200</v>
      </c>
      <c r="AI590" s="25" t="s">
        <v>346</v>
      </c>
      <c r="AK590" s="40" t="s">
        <v>375</v>
      </c>
      <c r="AL590" s="40"/>
      <c r="AX590" s="27"/>
      <c r="AY590" s="27"/>
      <c r="BK590" s="27"/>
      <c r="BL590" s="27"/>
      <c r="BX590" s="27"/>
      <c r="BY590" s="27"/>
      <c r="CH590" s="29"/>
    </row>
    <row r="591" spans="1:86" x14ac:dyDescent="0.2">
      <c r="A591" s="18">
        <v>10025</v>
      </c>
      <c r="B591" s="19">
        <v>1</v>
      </c>
      <c r="C591" s="19">
        <f t="shared" si="62"/>
        <v>100250001</v>
      </c>
      <c r="D591" s="23" t="s">
        <v>305</v>
      </c>
      <c r="E591" s="20" t="s">
        <v>109</v>
      </c>
      <c r="I591" s="22" t="s">
        <v>206</v>
      </c>
      <c r="J591" s="22"/>
      <c r="K591" s="22"/>
      <c r="L591" s="22"/>
      <c r="M591" s="22"/>
      <c r="N591" s="22" t="s">
        <v>163</v>
      </c>
      <c r="O591" s="22" t="s">
        <v>163</v>
      </c>
      <c r="P591" s="22"/>
      <c r="Q591" s="22" t="s">
        <v>2041</v>
      </c>
      <c r="R591" s="22"/>
      <c r="S591" s="22"/>
      <c r="T591" s="22" t="s">
        <v>2307</v>
      </c>
      <c r="U591" s="116" t="s">
        <v>2428</v>
      </c>
      <c r="V591" s="22" t="s">
        <v>109</v>
      </c>
      <c r="W591" s="22" t="s">
        <v>1</v>
      </c>
      <c r="X591" s="22"/>
      <c r="Z591" s="22"/>
      <c r="AA591" s="22"/>
      <c r="AB591" s="22"/>
      <c r="AC591" s="22" t="s">
        <v>482</v>
      </c>
      <c r="AD591" s="22"/>
      <c r="AE591" s="24"/>
      <c r="AF591" s="24" t="s">
        <v>2043</v>
      </c>
      <c r="AG591" s="22"/>
      <c r="AI591" s="25" t="s">
        <v>349</v>
      </c>
      <c r="AK591" s="40" t="s">
        <v>136</v>
      </c>
      <c r="AL591" s="40"/>
      <c r="AX591" s="27"/>
      <c r="AY591" s="27"/>
      <c r="BK591" s="27"/>
      <c r="BL591" s="27"/>
      <c r="BX591" s="27"/>
      <c r="BY591" s="27"/>
      <c r="CH591" s="29"/>
    </row>
    <row r="592" spans="1:86" x14ac:dyDescent="0.2">
      <c r="A592" s="18">
        <v>10025</v>
      </c>
      <c r="B592" s="19">
        <v>2</v>
      </c>
      <c r="C592" s="19">
        <f t="shared" si="62"/>
        <v>100250002</v>
      </c>
      <c r="D592" s="23" t="s">
        <v>305</v>
      </c>
      <c r="E592" s="20" t="s">
        <v>109</v>
      </c>
      <c r="I592" s="22" t="s">
        <v>206</v>
      </c>
      <c r="J592" s="22"/>
      <c r="K592" s="22"/>
      <c r="L592" s="22"/>
      <c r="M592" s="22"/>
      <c r="N592" s="22" t="s">
        <v>163</v>
      </c>
      <c r="O592" s="22" t="s">
        <v>163</v>
      </c>
      <c r="P592" s="22"/>
      <c r="Q592" s="22" t="s">
        <v>2041</v>
      </c>
      <c r="R592" s="22"/>
      <c r="S592" s="22"/>
      <c r="T592" s="22" t="s">
        <v>2307</v>
      </c>
      <c r="U592" s="116" t="s">
        <v>2429</v>
      </c>
      <c r="V592" s="22" t="s">
        <v>109</v>
      </c>
      <c r="W592" s="22" t="s">
        <v>1</v>
      </c>
      <c r="X592" s="22"/>
      <c r="Z592" s="22"/>
      <c r="AA592" s="22"/>
      <c r="AB592" s="22"/>
      <c r="AC592" s="22" t="s">
        <v>482</v>
      </c>
      <c r="AD592" s="22"/>
      <c r="AE592" s="24"/>
      <c r="AF592" s="24" t="s">
        <v>2043</v>
      </c>
      <c r="AG592" s="22"/>
      <c r="AI592" s="25" t="s">
        <v>350</v>
      </c>
      <c r="AK592" s="40" t="s">
        <v>139</v>
      </c>
      <c r="AL592" s="40"/>
      <c r="AX592" s="27"/>
      <c r="AY592" s="27"/>
      <c r="BK592" s="27"/>
      <c r="BL592" s="27"/>
      <c r="BX592" s="27"/>
      <c r="BY592" s="27"/>
      <c r="CH592" s="29"/>
    </row>
    <row r="593" spans="1:86" x14ac:dyDescent="0.2">
      <c r="A593" s="18">
        <v>10025</v>
      </c>
      <c r="B593" s="19">
        <v>3</v>
      </c>
      <c r="C593" s="19">
        <f t="shared" si="62"/>
        <v>100250003</v>
      </c>
      <c r="D593" s="23" t="s">
        <v>305</v>
      </c>
      <c r="E593" s="20" t="s">
        <v>109</v>
      </c>
      <c r="I593" s="22" t="s">
        <v>206</v>
      </c>
      <c r="J593" s="22"/>
      <c r="K593" s="22"/>
      <c r="L593" s="22"/>
      <c r="M593" s="22"/>
      <c r="N593" s="22" t="s">
        <v>163</v>
      </c>
      <c r="O593" s="22" t="s">
        <v>163</v>
      </c>
      <c r="P593" s="22"/>
      <c r="Q593" s="22" t="s">
        <v>2041</v>
      </c>
      <c r="R593" s="22"/>
      <c r="S593" s="22"/>
      <c r="T593" s="22" t="s">
        <v>2307</v>
      </c>
      <c r="U593" s="116" t="s">
        <v>2430</v>
      </c>
      <c r="V593" s="22" t="s">
        <v>109</v>
      </c>
      <c r="W593" s="22" t="s">
        <v>1</v>
      </c>
      <c r="X593" s="22"/>
      <c r="Z593" s="22"/>
      <c r="AA593" s="22"/>
      <c r="AB593" s="22"/>
      <c r="AC593" s="22" t="s">
        <v>482</v>
      </c>
      <c r="AD593" s="22"/>
      <c r="AE593" s="24"/>
      <c r="AF593" s="24" t="s">
        <v>2043</v>
      </c>
      <c r="AG593" s="22"/>
      <c r="AH593" s="25" t="s">
        <v>201</v>
      </c>
      <c r="AI593" s="25" t="s">
        <v>347</v>
      </c>
      <c r="AK593" s="40" t="s">
        <v>373</v>
      </c>
      <c r="AL593" s="40"/>
      <c r="AX593" s="27"/>
      <c r="AY593" s="27"/>
      <c r="BK593" s="27"/>
      <c r="BL593" s="27"/>
      <c r="BX593" s="27"/>
      <c r="BY593" s="27"/>
      <c r="CH593" s="29"/>
    </row>
    <row r="594" spans="1:86" x14ac:dyDescent="0.2">
      <c r="A594" s="18">
        <v>10025</v>
      </c>
      <c r="B594" s="19">
        <v>4</v>
      </c>
      <c r="C594" s="19">
        <f t="shared" si="62"/>
        <v>100250004</v>
      </c>
      <c r="D594" s="23" t="s">
        <v>305</v>
      </c>
      <c r="E594" s="20" t="s">
        <v>109</v>
      </c>
      <c r="I594" s="22" t="s">
        <v>206</v>
      </c>
      <c r="J594" s="22"/>
      <c r="K594" s="22"/>
      <c r="L594" s="22"/>
      <c r="M594" s="22"/>
      <c r="N594" s="22" t="s">
        <v>163</v>
      </c>
      <c r="O594" s="22" t="s">
        <v>163</v>
      </c>
      <c r="P594" s="22"/>
      <c r="Q594" s="22" t="s">
        <v>2041</v>
      </c>
      <c r="R594" s="22"/>
      <c r="S594" s="22"/>
      <c r="T594" s="22" t="s">
        <v>2307</v>
      </c>
      <c r="U594" s="116" t="s">
        <v>2431</v>
      </c>
      <c r="V594" s="22" t="s">
        <v>109</v>
      </c>
      <c r="W594" s="22" t="s">
        <v>1</v>
      </c>
      <c r="X594" s="22"/>
      <c r="Z594" s="22"/>
      <c r="AA594" s="22"/>
      <c r="AB594" s="22"/>
      <c r="AC594" s="22" t="s">
        <v>482</v>
      </c>
      <c r="AD594" s="22"/>
      <c r="AE594" s="24"/>
      <c r="AF594" s="24" t="s">
        <v>2043</v>
      </c>
      <c r="AG594" s="22"/>
      <c r="AH594" s="25" t="s">
        <v>202</v>
      </c>
      <c r="AI594" s="25" t="s">
        <v>345</v>
      </c>
      <c r="AK594" s="40" t="s">
        <v>374</v>
      </c>
      <c r="AL594" s="40"/>
      <c r="AX594" s="27"/>
      <c r="AY594" s="27"/>
      <c r="BK594" s="27"/>
      <c r="BL594" s="27"/>
      <c r="BX594" s="27"/>
      <c r="BY594" s="27"/>
      <c r="CH594" s="29"/>
    </row>
    <row r="595" spans="1:86" x14ac:dyDescent="0.2">
      <c r="A595" s="18">
        <v>10025</v>
      </c>
      <c r="B595" s="19">
        <v>5</v>
      </c>
      <c r="C595" s="19">
        <f t="shared" si="62"/>
        <v>100250005</v>
      </c>
      <c r="D595" s="23" t="s">
        <v>305</v>
      </c>
      <c r="E595" s="20" t="s">
        <v>109</v>
      </c>
      <c r="I595" s="22" t="s">
        <v>206</v>
      </c>
      <c r="J595" s="22"/>
      <c r="K595" s="22"/>
      <c r="L595" s="22"/>
      <c r="M595" s="22"/>
      <c r="N595" s="22" t="s">
        <v>163</v>
      </c>
      <c r="O595" s="22" t="s">
        <v>163</v>
      </c>
      <c r="P595" s="22"/>
      <c r="Q595" s="22" t="s">
        <v>2041</v>
      </c>
      <c r="R595" s="22"/>
      <c r="S595" s="22"/>
      <c r="T595" s="22" t="s">
        <v>2307</v>
      </c>
      <c r="U595" s="116" t="s">
        <v>2432</v>
      </c>
      <c r="V595" s="22" t="s">
        <v>109</v>
      </c>
      <c r="W595" s="22" t="s">
        <v>1</v>
      </c>
      <c r="X595" s="22"/>
      <c r="Z595" s="22"/>
      <c r="AA595" s="22"/>
      <c r="AB595" s="22"/>
      <c r="AC595" s="22" t="s">
        <v>482</v>
      </c>
      <c r="AD595" s="22"/>
      <c r="AE595" s="24"/>
      <c r="AF595" s="24" t="s">
        <v>2043</v>
      </c>
      <c r="AG595" s="22"/>
      <c r="AH595" s="25" t="s">
        <v>203</v>
      </c>
      <c r="AI595" s="25" t="s">
        <v>346</v>
      </c>
      <c r="AK595" s="40" t="s">
        <v>375</v>
      </c>
      <c r="AL595" s="40"/>
      <c r="AX595" s="27"/>
      <c r="AY595" s="27"/>
      <c r="BK595" s="27"/>
      <c r="BL595" s="27"/>
      <c r="BX595" s="27"/>
      <c r="BY595" s="27"/>
      <c r="CH595" s="29"/>
    </row>
    <row r="596" spans="1:86" x14ac:dyDescent="0.2">
      <c r="A596" s="18">
        <v>10026</v>
      </c>
      <c r="B596" s="19">
        <v>1</v>
      </c>
      <c r="C596" s="19">
        <f t="shared" si="62"/>
        <v>100260001</v>
      </c>
      <c r="D596" s="23" t="s">
        <v>642</v>
      </c>
      <c r="E596" s="20" t="s">
        <v>109</v>
      </c>
      <c r="I596" s="22" t="s">
        <v>206</v>
      </c>
      <c r="J596" s="22"/>
      <c r="K596" s="22"/>
      <c r="L596" s="22"/>
      <c r="M596" s="22"/>
      <c r="N596" s="22" t="s">
        <v>163</v>
      </c>
      <c r="O596" s="22" t="s">
        <v>163</v>
      </c>
      <c r="P596" s="22"/>
      <c r="Q596" s="22" t="s">
        <v>2041</v>
      </c>
      <c r="R596" s="22"/>
      <c r="S596" s="22"/>
      <c r="T596" s="22" t="s">
        <v>2307</v>
      </c>
      <c r="U596" s="116" t="s">
        <v>2433</v>
      </c>
      <c r="V596" s="22" t="s">
        <v>109</v>
      </c>
      <c r="W596" s="22" t="s">
        <v>1</v>
      </c>
      <c r="X596" s="22"/>
      <c r="Z596" s="22"/>
      <c r="AA596" s="22"/>
      <c r="AB596" s="22"/>
      <c r="AC596" s="22">
        <v>26</v>
      </c>
      <c r="AD596" s="22"/>
      <c r="AE596" s="24"/>
      <c r="AF596" s="24" t="s">
        <v>2043</v>
      </c>
      <c r="AG596" s="22"/>
      <c r="AI596" s="25" t="s">
        <v>176</v>
      </c>
      <c r="AK596" s="40" t="s">
        <v>136</v>
      </c>
      <c r="AL596" s="40"/>
      <c r="AX596" s="27"/>
      <c r="AY596" s="27"/>
      <c r="BK596" s="27"/>
      <c r="BL596" s="27"/>
      <c r="BX596" s="27"/>
      <c r="BY596" s="27"/>
      <c r="CH596" s="29"/>
    </row>
    <row r="597" spans="1:86" x14ac:dyDescent="0.2">
      <c r="A597" s="18">
        <v>10026</v>
      </c>
      <c r="B597" s="19">
        <v>2</v>
      </c>
      <c r="C597" s="19">
        <f t="shared" si="62"/>
        <v>100260002</v>
      </c>
      <c r="D597" s="23" t="s">
        <v>642</v>
      </c>
      <c r="E597" s="20" t="s">
        <v>109</v>
      </c>
      <c r="I597" s="22" t="s">
        <v>206</v>
      </c>
      <c r="J597" s="22"/>
      <c r="K597" s="22"/>
      <c r="L597" s="22"/>
      <c r="M597" s="22"/>
      <c r="N597" s="22" t="s">
        <v>163</v>
      </c>
      <c r="O597" s="22" t="s">
        <v>163</v>
      </c>
      <c r="P597" s="22"/>
      <c r="Q597" s="22" t="s">
        <v>2041</v>
      </c>
      <c r="R597" s="22"/>
      <c r="S597" s="22"/>
      <c r="T597" s="22" t="s">
        <v>2307</v>
      </c>
      <c r="U597" s="116" t="s">
        <v>2434</v>
      </c>
      <c r="V597" s="22" t="s">
        <v>109</v>
      </c>
      <c r="W597" s="22" t="s">
        <v>1</v>
      </c>
      <c r="X597" s="22"/>
      <c r="Z597" s="22"/>
      <c r="AA597" s="22"/>
      <c r="AB597" s="22"/>
      <c r="AC597" s="22">
        <v>26</v>
      </c>
      <c r="AD597" s="22"/>
      <c r="AE597" s="24"/>
      <c r="AF597" s="24" t="s">
        <v>2043</v>
      </c>
      <c r="AG597" s="22"/>
      <c r="AI597" s="25" t="s">
        <v>260</v>
      </c>
      <c r="AK597" s="40" t="s">
        <v>139</v>
      </c>
      <c r="AL597" s="40"/>
      <c r="AX597" s="27"/>
      <c r="AY597" s="27"/>
      <c r="BK597" s="27"/>
      <c r="BL597" s="27"/>
      <c r="BX597" s="27"/>
      <c r="BY597" s="27"/>
      <c r="CH597" s="29"/>
    </row>
    <row r="598" spans="1:86" x14ac:dyDescent="0.2">
      <c r="A598" s="18">
        <v>10026</v>
      </c>
      <c r="B598" s="19">
        <v>3</v>
      </c>
      <c r="C598" s="19">
        <f t="shared" si="62"/>
        <v>100260003</v>
      </c>
      <c r="D598" s="23" t="s">
        <v>642</v>
      </c>
      <c r="E598" s="20" t="s">
        <v>109</v>
      </c>
      <c r="I598" s="22" t="s">
        <v>206</v>
      </c>
      <c r="J598" s="22"/>
      <c r="K598" s="22"/>
      <c r="L598" s="22"/>
      <c r="M598" s="22"/>
      <c r="N598" s="22" t="s">
        <v>163</v>
      </c>
      <c r="O598" s="22" t="s">
        <v>163</v>
      </c>
      <c r="P598" s="22"/>
      <c r="Q598" s="22" t="s">
        <v>2041</v>
      </c>
      <c r="R598" s="22"/>
      <c r="S598" s="22"/>
      <c r="T598" s="22" t="s">
        <v>2307</v>
      </c>
      <c r="U598" s="116" t="s">
        <v>2435</v>
      </c>
      <c r="V598" s="22" t="s">
        <v>109</v>
      </c>
      <c r="W598" s="22" t="s">
        <v>1</v>
      </c>
      <c r="X598" s="22"/>
      <c r="Z598" s="22"/>
      <c r="AA598" s="22"/>
      <c r="AB598" s="22"/>
      <c r="AC598" s="22">
        <v>26</v>
      </c>
      <c r="AD598" s="22"/>
      <c r="AE598" s="24"/>
      <c r="AF598" s="24" t="s">
        <v>2043</v>
      </c>
      <c r="AG598" s="22"/>
      <c r="AH598" s="25">
        <v>100263</v>
      </c>
      <c r="AI598" s="25" t="s">
        <v>264</v>
      </c>
      <c r="AK598" s="40" t="s">
        <v>373</v>
      </c>
      <c r="AL598" s="40"/>
      <c r="AX598" s="27"/>
      <c r="AY598" s="27"/>
      <c r="BK598" s="27"/>
      <c r="BL598" s="27"/>
      <c r="BX598" s="27"/>
      <c r="BY598" s="27"/>
      <c r="CH598" s="29"/>
    </row>
    <row r="599" spans="1:86" x14ac:dyDescent="0.2">
      <c r="A599" s="18">
        <v>10026</v>
      </c>
      <c r="B599" s="19">
        <v>4</v>
      </c>
      <c r="C599" s="19">
        <f t="shared" si="62"/>
        <v>100260004</v>
      </c>
      <c r="D599" s="23" t="s">
        <v>642</v>
      </c>
      <c r="E599" s="20" t="s">
        <v>109</v>
      </c>
      <c r="I599" s="22" t="s">
        <v>206</v>
      </c>
      <c r="J599" s="22"/>
      <c r="K599" s="22"/>
      <c r="L599" s="22"/>
      <c r="M599" s="22"/>
      <c r="N599" s="22" t="s">
        <v>163</v>
      </c>
      <c r="O599" s="22" t="s">
        <v>163</v>
      </c>
      <c r="P599" s="22"/>
      <c r="Q599" s="22" t="s">
        <v>2041</v>
      </c>
      <c r="R599" s="22"/>
      <c r="S599" s="22"/>
      <c r="T599" s="22" t="s">
        <v>2307</v>
      </c>
      <c r="U599" s="116" t="s">
        <v>2436</v>
      </c>
      <c r="V599" s="22" t="s">
        <v>109</v>
      </c>
      <c r="W599" s="22" t="s">
        <v>1</v>
      </c>
      <c r="X599" s="22"/>
      <c r="Z599" s="22"/>
      <c r="AA599" s="22"/>
      <c r="AB599" s="22"/>
      <c r="AC599" s="22">
        <v>26</v>
      </c>
      <c r="AD599" s="22"/>
      <c r="AE599" s="24"/>
      <c r="AF599" s="24" t="s">
        <v>2043</v>
      </c>
      <c r="AG599" s="22"/>
      <c r="AH599" s="25">
        <v>100264</v>
      </c>
      <c r="AI599" s="25" t="s">
        <v>265</v>
      </c>
      <c r="AK599" s="40" t="s">
        <v>374</v>
      </c>
      <c r="AL599" s="40"/>
      <c r="AX599" s="27"/>
      <c r="AY599" s="27"/>
      <c r="BK599" s="27"/>
      <c r="BL599" s="27"/>
      <c r="BX599" s="27"/>
      <c r="BY599" s="27"/>
      <c r="CH599" s="29"/>
    </row>
    <row r="600" spans="1:86" x14ac:dyDescent="0.2">
      <c r="A600" s="18">
        <v>10026</v>
      </c>
      <c r="B600" s="19">
        <v>5</v>
      </c>
      <c r="C600" s="19">
        <f t="shared" si="62"/>
        <v>100260005</v>
      </c>
      <c r="D600" s="23" t="s">
        <v>642</v>
      </c>
      <c r="E600" s="20" t="s">
        <v>109</v>
      </c>
      <c r="I600" s="22" t="s">
        <v>206</v>
      </c>
      <c r="J600" s="22"/>
      <c r="K600" s="22"/>
      <c r="L600" s="22"/>
      <c r="M600" s="22"/>
      <c r="N600" s="22" t="s">
        <v>163</v>
      </c>
      <c r="O600" s="22" t="s">
        <v>163</v>
      </c>
      <c r="P600" s="22"/>
      <c r="Q600" s="22" t="s">
        <v>2041</v>
      </c>
      <c r="R600" s="22"/>
      <c r="S600" s="22"/>
      <c r="T600" s="22" t="s">
        <v>2307</v>
      </c>
      <c r="U600" s="116" t="s">
        <v>2437</v>
      </c>
      <c r="V600" s="22" t="s">
        <v>109</v>
      </c>
      <c r="W600" s="22" t="s">
        <v>1</v>
      </c>
      <c r="X600" s="22"/>
      <c r="Z600" s="22"/>
      <c r="AA600" s="22"/>
      <c r="AB600" s="22"/>
      <c r="AC600" s="22">
        <v>26</v>
      </c>
      <c r="AD600" s="22"/>
      <c r="AE600" s="24"/>
      <c r="AF600" s="24" t="s">
        <v>2043</v>
      </c>
      <c r="AG600" s="22"/>
      <c r="AH600" s="25">
        <v>100265</v>
      </c>
      <c r="AI600" s="25" t="s">
        <v>266</v>
      </c>
      <c r="AK600" s="40" t="s">
        <v>375</v>
      </c>
      <c r="AL600" s="40"/>
      <c r="AX600" s="27"/>
      <c r="AY600" s="27"/>
      <c r="BK600" s="27"/>
      <c r="BL600" s="27"/>
      <c r="BX600" s="27"/>
      <c r="BY600" s="27"/>
      <c r="CH600" s="29"/>
    </row>
    <row r="601" spans="1:86" x14ac:dyDescent="0.2">
      <c r="A601" s="18">
        <v>10027</v>
      </c>
      <c r="B601" s="19">
        <v>1</v>
      </c>
      <c r="C601" s="19">
        <f t="shared" si="62"/>
        <v>100270001</v>
      </c>
      <c r="D601" s="23" t="s">
        <v>533</v>
      </c>
      <c r="E601" s="20" t="s">
        <v>109</v>
      </c>
      <c r="I601" s="22" t="s">
        <v>206</v>
      </c>
      <c r="J601" s="22"/>
      <c r="K601" s="22"/>
      <c r="L601" s="22"/>
      <c r="M601" s="22"/>
      <c r="N601" s="22" t="s">
        <v>163</v>
      </c>
      <c r="O601" s="22" t="s">
        <v>163</v>
      </c>
      <c r="P601" s="22"/>
      <c r="Q601" s="22" t="s">
        <v>2041</v>
      </c>
      <c r="R601" s="22"/>
      <c r="S601" s="22"/>
      <c r="T601" s="22" t="s">
        <v>2307</v>
      </c>
      <c r="U601" s="116" t="s">
        <v>2438</v>
      </c>
      <c r="V601" s="22" t="s">
        <v>109</v>
      </c>
      <c r="W601" s="22" t="s">
        <v>1</v>
      </c>
      <c r="X601" s="22"/>
      <c r="Z601" s="22"/>
      <c r="AA601" s="22"/>
      <c r="AB601" s="22"/>
      <c r="AC601" s="22" t="s">
        <v>182</v>
      </c>
      <c r="AD601" s="22"/>
      <c r="AE601" s="24"/>
      <c r="AF601" s="24" t="s">
        <v>2043</v>
      </c>
      <c r="AG601" s="22"/>
      <c r="AI601" s="25" t="s">
        <v>176</v>
      </c>
      <c r="AK601" s="40" t="s">
        <v>136</v>
      </c>
      <c r="AL601" s="40"/>
      <c r="AX601" s="27"/>
      <c r="AY601" s="27"/>
      <c r="BK601" s="27"/>
      <c r="BL601" s="27"/>
      <c r="BX601" s="27"/>
      <c r="BY601" s="27"/>
      <c r="CH601" s="29"/>
    </row>
    <row r="602" spans="1:86" x14ac:dyDescent="0.2">
      <c r="A602" s="18">
        <v>10027</v>
      </c>
      <c r="B602" s="19">
        <v>2</v>
      </c>
      <c r="C602" s="19">
        <f t="shared" si="62"/>
        <v>100270002</v>
      </c>
      <c r="D602" s="23" t="s">
        <v>533</v>
      </c>
      <c r="E602" s="20" t="s">
        <v>109</v>
      </c>
      <c r="I602" s="22" t="s">
        <v>206</v>
      </c>
      <c r="J602" s="22"/>
      <c r="K602" s="22"/>
      <c r="L602" s="22"/>
      <c r="M602" s="22"/>
      <c r="N602" s="22" t="s">
        <v>163</v>
      </c>
      <c r="O602" s="22" t="s">
        <v>163</v>
      </c>
      <c r="P602" s="22"/>
      <c r="Q602" s="22" t="s">
        <v>2041</v>
      </c>
      <c r="R602" s="22"/>
      <c r="S602" s="22"/>
      <c r="T602" s="22" t="s">
        <v>2307</v>
      </c>
      <c r="U602" s="116" t="s">
        <v>2439</v>
      </c>
      <c r="V602" s="22" t="s">
        <v>109</v>
      </c>
      <c r="W602" s="22" t="s">
        <v>1</v>
      </c>
      <c r="X602" s="22"/>
      <c r="Z602" s="22"/>
      <c r="AA602" s="22"/>
      <c r="AB602" s="22"/>
      <c r="AC602" s="22" t="s">
        <v>182</v>
      </c>
      <c r="AD602" s="22"/>
      <c r="AE602" s="24"/>
      <c r="AF602" s="24" t="s">
        <v>2043</v>
      </c>
      <c r="AG602" s="22"/>
      <c r="AI602" s="25" t="s">
        <v>260</v>
      </c>
      <c r="AK602" s="40" t="s">
        <v>139</v>
      </c>
      <c r="AL602" s="40"/>
      <c r="AX602" s="27"/>
      <c r="AY602" s="27"/>
      <c r="BK602" s="27"/>
      <c r="BL602" s="27"/>
      <c r="BX602" s="27"/>
      <c r="BY602" s="27"/>
      <c r="CH602" s="29"/>
    </row>
    <row r="603" spans="1:86" x14ac:dyDescent="0.2">
      <c r="A603" s="18">
        <v>10027</v>
      </c>
      <c r="B603" s="19">
        <v>3</v>
      </c>
      <c r="C603" s="19">
        <f t="shared" si="62"/>
        <v>100270003</v>
      </c>
      <c r="D603" s="23" t="s">
        <v>533</v>
      </c>
      <c r="E603" s="20" t="s">
        <v>109</v>
      </c>
      <c r="I603" s="22" t="s">
        <v>206</v>
      </c>
      <c r="J603" s="22"/>
      <c r="K603" s="22"/>
      <c r="L603" s="22"/>
      <c r="M603" s="22"/>
      <c r="N603" s="22" t="s">
        <v>163</v>
      </c>
      <c r="O603" s="22" t="s">
        <v>163</v>
      </c>
      <c r="P603" s="22"/>
      <c r="Q603" s="22" t="s">
        <v>2041</v>
      </c>
      <c r="R603" s="22"/>
      <c r="S603" s="22"/>
      <c r="T603" s="22" t="s">
        <v>2307</v>
      </c>
      <c r="U603" s="116" t="s">
        <v>2440</v>
      </c>
      <c r="V603" s="22" t="s">
        <v>109</v>
      </c>
      <c r="W603" s="22" t="s">
        <v>1</v>
      </c>
      <c r="X603" s="22"/>
      <c r="Z603" s="22"/>
      <c r="AA603" s="22"/>
      <c r="AB603" s="22"/>
      <c r="AC603" s="22" t="s">
        <v>182</v>
      </c>
      <c r="AD603" s="22"/>
      <c r="AE603" s="24"/>
      <c r="AF603" s="24" t="s">
        <v>2043</v>
      </c>
      <c r="AG603" s="22"/>
      <c r="AH603" s="25" t="s">
        <v>536</v>
      </c>
      <c r="AI603" s="25" t="s">
        <v>347</v>
      </c>
      <c r="AK603" s="40" t="s">
        <v>373</v>
      </c>
      <c r="AL603" s="40"/>
      <c r="AX603" s="27"/>
      <c r="AY603" s="27"/>
      <c r="BK603" s="27"/>
      <c r="BL603" s="27"/>
      <c r="BX603" s="27"/>
      <c r="BY603" s="27"/>
      <c r="CH603" s="29"/>
    </row>
    <row r="604" spans="1:86" x14ac:dyDescent="0.2">
      <c r="A604" s="18">
        <v>10027</v>
      </c>
      <c r="B604" s="19">
        <v>4</v>
      </c>
      <c r="C604" s="19">
        <f t="shared" si="62"/>
        <v>100270004</v>
      </c>
      <c r="D604" s="23" t="s">
        <v>533</v>
      </c>
      <c r="E604" s="20" t="s">
        <v>109</v>
      </c>
      <c r="I604" s="22" t="s">
        <v>206</v>
      </c>
      <c r="J604" s="22"/>
      <c r="K604" s="22"/>
      <c r="L604" s="22"/>
      <c r="M604" s="22"/>
      <c r="N604" s="22" t="s">
        <v>163</v>
      </c>
      <c r="O604" s="22" t="s">
        <v>163</v>
      </c>
      <c r="P604" s="22"/>
      <c r="Q604" s="22" t="s">
        <v>2041</v>
      </c>
      <c r="R604" s="22"/>
      <c r="S604" s="22"/>
      <c r="T604" s="22" t="s">
        <v>2307</v>
      </c>
      <c r="U604" s="116" t="s">
        <v>2441</v>
      </c>
      <c r="V604" s="22" t="s">
        <v>109</v>
      </c>
      <c r="W604" s="22" t="s">
        <v>1</v>
      </c>
      <c r="X604" s="22"/>
      <c r="Z604" s="22"/>
      <c r="AA604" s="22"/>
      <c r="AB604" s="22"/>
      <c r="AC604" s="22" t="s">
        <v>182</v>
      </c>
      <c r="AD604" s="22"/>
      <c r="AE604" s="24"/>
      <c r="AF604" s="24" t="s">
        <v>2043</v>
      </c>
      <c r="AG604" s="22"/>
      <c r="AH604" s="25" t="s">
        <v>537</v>
      </c>
      <c r="AI604" s="25" t="s">
        <v>345</v>
      </c>
      <c r="AK604" s="40" t="s">
        <v>374</v>
      </c>
      <c r="AL604" s="40"/>
      <c r="AX604" s="27"/>
      <c r="AY604" s="27"/>
      <c r="BK604" s="27"/>
      <c r="BL604" s="27"/>
      <c r="BX604" s="27"/>
      <c r="BY604" s="27"/>
      <c r="CH604" s="29"/>
    </row>
    <row r="605" spans="1:86" x14ac:dyDescent="0.2">
      <c r="A605" s="18">
        <v>10027</v>
      </c>
      <c r="B605" s="19">
        <v>5</v>
      </c>
      <c r="C605" s="19">
        <f t="shared" si="62"/>
        <v>100270005</v>
      </c>
      <c r="D605" s="23" t="s">
        <v>533</v>
      </c>
      <c r="E605" s="20" t="s">
        <v>109</v>
      </c>
      <c r="I605" s="22" t="s">
        <v>206</v>
      </c>
      <c r="J605" s="22"/>
      <c r="K605" s="22"/>
      <c r="L605" s="22"/>
      <c r="M605" s="22"/>
      <c r="N605" s="22" t="s">
        <v>163</v>
      </c>
      <c r="O605" s="22" t="s">
        <v>163</v>
      </c>
      <c r="P605" s="22"/>
      <c r="Q605" s="22" t="s">
        <v>2041</v>
      </c>
      <c r="R605" s="22"/>
      <c r="S605" s="22"/>
      <c r="T605" s="22" t="s">
        <v>2307</v>
      </c>
      <c r="U605" s="116" t="s">
        <v>2442</v>
      </c>
      <c r="V605" s="22" t="s">
        <v>109</v>
      </c>
      <c r="W605" s="22" t="s">
        <v>1</v>
      </c>
      <c r="X605" s="22"/>
      <c r="Z605" s="22"/>
      <c r="AA605" s="22"/>
      <c r="AB605" s="22"/>
      <c r="AC605" s="22" t="s">
        <v>182</v>
      </c>
      <c r="AD605" s="22"/>
      <c r="AE605" s="24"/>
      <c r="AF605" s="24" t="s">
        <v>2043</v>
      </c>
      <c r="AG605" s="22"/>
      <c r="AH605" s="25" t="s">
        <v>538</v>
      </c>
      <c r="AI605" s="25" t="s">
        <v>346</v>
      </c>
      <c r="AK605" s="40" t="s">
        <v>375</v>
      </c>
      <c r="AL605" s="40"/>
      <c r="AX605" s="27"/>
      <c r="AY605" s="27"/>
      <c r="BK605" s="27"/>
      <c r="BL605" s="27"/>
      <c r="BX605" s="27"/>
      <c r="BY605" s="27"/>
      <c r="CH605" s="29"/>
    </row>
    <row r="606" spans="1:86" x14ac:dyDescent="0.2">
      <c r="A606" s="18">
        <v>10028</v>
      </c>
      <c r="B606" s="19">
        <v>1</v>
      </c>
      <c r="C606" s="19">
        <f t="shared" si="62"/>
        <v>100280001</v>
      </c>
      <c r="D606" s="23" t="s">
        <v>534</v>
      </c>
      <c r="E606" s="20" t="s">
        <v>109</v>
      </c>
      <c r="I606" s="22" t="s">
        <v>206</v>
      </c>
      <c r="J606" s="22"/>
      <c r="K606" s="22"/>
      <c r="L606" s="22"/>
      <c r="M606" s="22"/>
      <c r="N606" s="22" t="s">
        <v>163</v>
      </c>
      <c r="O606" s="22" t="s">
        <v>163</v>
      </c>
      <c r="P606" s="22"/>
      <c r="Q606" s="22" t="s">
        <v>2041</v>
      </c>
      <c r="R606" s="22"/>
      <c r="S606" s="22"/>
      <c r="T606" s="22" t="s">
        <v>2307</v>
      </c>
      <c r="U606" s="116" t="s">
        <v>2443</v>
      </c>
      <c r="V606" s="22" t="s">
        <v>109</v>
      </c>
      <c r="W606" s="22" t="s">
        <v>1</v>
      </c>
      <c r="X606" s="22"/>
      <c r="Z606" s="22"/>
      <c r="AA606" s="22"/>
      <c r="AB606" s="22"/>
      <c r="AC606" s="22" t="s">
        <v>261</v>
      </c>
      <c r="AD606" s="22"/>
      <c r="AE606" s="24"/>
      <c r="AF606" s="24" t="s">
        <v>2043</v>
      </c>
      <c r="AG606" s="22"/>
      <c r="AI606" s="25" t="s">
        <v>176</v>
      </c>
      <c r="AK606" s="40" t="s">
        <v>136</v>
      </c>
      <c r="AL606" s="40"/>
      <c r="AX606" s="27"/>
      <c r="AY606" s="27"/>
      <c r="BK606" s="27"/>
      <c r="BL606" s="27"/>
      <c r="BX606" s="27"/>
      <c r="BY606" s="27"/>
      <c r="CH606" s="29"/>
    </row>
    <row r="607" spans="1:86" x14ac:dyDescent="0.2">
      <c r="A607" s="18">
        <v>10028</v>
      </c>
      <c r="B607" s="19">
        <v>2</v>
      </c>
      <c r="C607" s="19">
        <f t="shared" si="62"/>
        <v>100280002</v>
      </c>
      <c r="D607" s="23" t="s">
        <v>534</v>
      </c>
      <c r="E607" s="20" t="s">
        <v>109</v>
      </c>
      <c r="I607" s="22" t="s">
        <v>206</v>
      </c>
      <c r="J607" s="22"/>
      <c r="K607" s="22"/>
      <c r="L607" s="22"/>
      <c r="M607" s="22"/>
      <c r="N607" s="22" t="s">
        <v>163</v>
      </c>
      <c r="O607" s="22" t="s">
        <v>163</v>
      </c>
      <c r="P607" s="22"/>
      <c r="Q607" s="22" t="s">
        <v>2041</v>
      </c>
      <c r="R607" s="22"/>
      <c r="S607" s="22"/>
      <c r="T607" s="22" t="s">
        <v>2307</v>
      </c>
      <c r="U607" s="116" t="s">
        <v>2444</v>
      </c>
      <c r="V607" s="22" t="s">
        <v>109</v>
      </c>
      <c r="W607" s="22" t="s">
        <v>1</v>
      </c>
      <c r="X607" s="22"/>
      <c r="Z607" s="22"/>
      <c r="AA607" s="22"/>
      <c r="AB607" s="22"/>
      <c r="AC607" s="22" t="s">
        <v>261</v>
      </c>
      <c r="AD607" s="22"/>
      <c r="AE607" s="24"/>
      <c r="AF607" s="24" t="s">
        <v>2043</v>
      </c>
      <c r="AG607" s="22"/>
      <c r="AI607" s="25" t="s">
        <v>260</v>
      </c>
      <c r="AK607" s="40" t="s">
        <v>139</v>
      </c>
      <c r="AL607" s="40"/>
      <c r="AX607" s="27"/>
      <c r="AY607" s="27"/>
      <c r="BK607" s="27"/>
      <c r="BL607" s="27"/>
      <c r="BX607" s="27"/>
      <c r="BY607" s="27"/>
      <c r="CH607" s="29"/>
    </row>
    <row r="608" spans="1:86" x14ac:dyDescent="0.2">
      <c r="A608" s="18">
        <v>10028</v>
      </c>
      <c r="B608" s="19">
        <v>3</v>
      </c>
      <c r="C608" s="19">
        <f t="shared" si="62"/>
        <v>100280003</v>
      </c>
      <c r="D608" s="23" t="s">
        <v>534</v>
      </c>
      <c r="E608" s="20" t="s">
        <v>109</v>
      </c>
      <c r="I608" s="22" t="s">
        <v>206</v>
      </c>
      <c r="J608" s="22"/>
      <c r="K608" s="22"/>
      <c r="L608" s="22"/>
      <c r="M608" s="22"/>
      <c r="N608" s="22" t="s">
        <v>163</v>
      </c>
      <c r="O608" s="22" t="s">
        <v>163</v>
      </c>
      <c r="P608" s="22"/>
      <c r="Q608" s="22" t="s">
        <v>2041</v>
      </c>
      <c r="R608" s="22"/>
      <c r="S608" s="22"/>
      <c r="T608" s="22" t="s">
        <v>2307</v>
      </c>
      <c r="U608" s="116" t="s">
        <v>2445</v>
      </c>
      <c r="V608" s="22" t="s">
        <v>109</v>
      </c>
      <c r="W608" s="22" t="s">
        <v>1</v>
      </c>
      <c r="X608" s="22"/>
      <c r="Z608" s="22"/>
      <c r="AA608" s="22"/>
      <c r="AB608" s="22"/>
      <c r="AC608" s="22" t="s">
        <v>261</v>
      </c>
      <c r="AD608" s="22"/>
      <c r="AE608" s="24"/>
      <c r="AF608" s="24" t="s">
        <v>2043</v>
      </c>
      <c r="AG608" s="22"/>
      <c r="AH608" s="25" t="s">
        <v>539</v>
      </c>
      <c r="AI608" s="25" t="s">
        <v>347</v>
      </c>
      <c r="AK608" s="40" t="s">
        <v>373</v>
      </c>
      <c r="AL608" s="40"/>
      <c r="AX608" s="27"/>
      <c r="AY608" s="27"/>
      <c r="BK608" s="27"/>
      <c r="BL608" s="27"/>
      <c r="BX608" s="27"/>
      <c r="BY608" s="27"/>
      <c r="CH608" s="29"/>
    </row>
    <row r="609" spans="1:86" x14ac:dyDescent="0.2">
      <c r="A609" s="18">
        <v>10028</v>
      </c>
      <c r="B609" s="19">
        <v>4</v>
      </c>
      <c r="C609" s="19">
        <f t="shared" si="62"/>
        <v>100280004</v>
      </c>
      <c r="D609" s="23" t="s">
        <v>534</v>
      </c>
      <c r="E609" s="20" t="s">
        <v>109</v>
      </c>
      <c r="I609" s="22" t="s">
        <v>206</v>
      </c>
      <c r="J609" s="22"/>
      <c r="K609" s="22"/>
      <c r="L609" s="22"/>
      <c r="M609" s="22"/>
      <c r="N609" s="22" t="s">
        <v>163</v>
      </c>
      <c r="O609" s="22" t="s">
        <v>163</v>
      </c>
      <c r="P609" s="22"/>
      <c r="Q609" s="22" t="s">
        <v>2041</v>
      </c>
      <c r="R609" s="22"/>
      <c r="S609" s="22"/>
      <c r="T609" s="22" t="s">
        <v>2307</v>
      </c>
      <c r="U609" s="116" t="s">
        <v>2446</v>
      </c>
      <c r="V609" s="22" t="s">
        <v>109</v>
      </c>
      <c r="W609" s="22" t="s">
        <v>1</v>
      </c>
      <c r="X609" s="22"/>
      <c r="Z609" s="22"/>
      <c r="AA609" s="22"/>
      <c r="AB609" s="22"/>
      <c r="AC609" s="22" t="s">
        <v>261</v>
      </c>
      <c r="AD609" s="22"/>
      <c r="AE609" s="24"/>
      <c r="AF609" s="24" t="s">
        <v>2043</v>
      </c>
      <c r="AG609" s="22"/>
      <c r="AH609" s="25" t="s">
        <v>540</v>
      </c>
      <c r="AI609" s="25" t="s">
        <v>345</v>
      </c>
      <c r="AK609" s="40" t="s">
        <v>374</v>
      </c>
      <c r="AL609" s="40"/>
      <c r="AX609" s="27"/>
      <c r="AY609" s="27"/>
      <c r="BK609" s="27"/>
      <c r="BL609" s="27"/>
      <c r="BX609" s="27"/>
      <c r="BY609" s="27"/>
      <c r="CH609" s="29"/>
    </row>
    <row r="610" spans="1:86" x14ac:dyDescent="0.2">
      <c r="A610" s="18">
        <v>10028</v>
      </c>
      <c r="B610" s="19">
        <v>5</v>
      </c>
      <c r="C610" s="19">
        <f t="shared" si="62"/>
        <v>100280005</v>
      </c>
      <c r="D610" s="23" t="s">
        <v>534</v>
      </c>
      <c r="E610" s="20" t="s">
        <v>109</v>
      </c>
      <c r="I610" s="22" t="s">
        <v>206</v>
      </c>
      <c r="J610" s="22"/>
      <c r="K610" s="22"/>
      <c r="L610" s="22"/>
      <c r="M610" s="22"/>
      <c r="N610" s="22" t="s">
        <v>163</v>
      </c>
      <c r="O610" s="22" t="s">
        <v>163</v>
      </c>
      <c r="P610" s="22"/>
      <c r="Q610" s="22" t="s">
        <v>2041</v>
      </c>
      <c r="R610" s="22"/>
      <c r="S610" s="22"/>
      <c r="T610" s="22" t="s">
        <v>2307</v>
      </c>
      <c r="U610" s="116" t="s">
        <v>2447</v>
      </c>
      <c r="V610" s="22" t="s">
        <v>109</v>
      </c>
      <c r="W610" s="22" t="s">
        <v>1</v>
      </c>
      <c r="X610" s="22"/>
      <c r="Z610" s="22"/>
      <c r="AA610" s="22"/>
      <c r="AB610" s="22"/>
      <c r="AC610" s="22" t="s">
        <v>261</v>
      </c>
      <c r="AD610" s="22"/>
      <c r="AE610" s="24"/>
      <c r="AF610" s="24" t="s">
        <v>2043</v>
      </c>
      <c r="AG610" s="22"/>
      <c r="AH610" s="25" t="s">
        <v>541</v>
      </c>
      <c r="AI610" s="25" t="s">
        <v>346</v>
      </c>
      <c r="AK610" s="40" t="s">
        <v>375</v>
      </c>
      <c r="AL610" s="40"/>
      <c r="AX610" s="27"/>
      <c r="AY610" s="27"/>
      <c r="BK610" s="27"/>
      <c r="BL610" s="27"/>
      <c r="BX610" s="27"/>
      <c r="BY610" s="27"/>
      <c r="CH610" s="29"/>
    </row>
    <row r="611" spans="1:86" x14ac:dyDescent="0.2">
      <c r="A611" s="18">
        <v>10029</v>
      </c>
      <c r="B611" s="19">
        <v>1</v>
      </c>
      <c r="C611" s="19">
        <f t="shared" si="62"/>
        <v>100290001</v>
      </c>
      <c r="D611" s="23" t="s">
        <v>535</v>
      </c>
      <c r="E611" s="20" t="s">
        <v>109</v>
      </c>
      <c r="I611" s="22" t="s">
        <v>206</v>
      </c>
      <c r="J611" s="22"/>
      <c r="K611" s="22"/>
      <c r="L611" s="22"/>
      <c r="M611" s="22"/>
      <c r="N611" s="22" t="s">
        <v>163</v>
      </c>
      <c r="O611" s="22" t="s">
        <v>163</v>
      </c>
      <c r="P611" s="22"/>
      <c r="Q611" s="22" t="s">
        <v>2041</v>
      </c>
      <c r="R611" s="22"/>
      <c r="S611" s="22"/>
      <c r="T611" s="22" t="s">
        <v>2307</v>
      </c>
      <c r="U611" s="116" t="s">
        <v>2448</v>
      </c>
      <c r="V611" s="22" t="s">
        <v>109</v>
      </c>
      <c r="W611" s="22" t="s">
        <v>1</v>
      </c>
      <c r="X611" s="22"/>
      <c r="Z611" s="22"/>
      <c r="AA611" s="22"/>
      <c r="AB611" s="22"/>
      <c r="AC611" s="22" t="s">
        <v>484</v>
      </c>
      <c r="AD611" s="22"/>
      <c r="AE611" s="24"/>
      <c r="AF611" s="24" t="s">
        <v>2043</v>
      </c>
      <c r="AG611" s="22"/>
      <c r="AI611" s="25" t="s">
        <v>176</v>
      </c>
      <c r="AK611" s="40" t="s">
        <v>136</v>
      </c>
      <c r="AL611" s="40"/>
      <c r="AX611" s="27"/>
      <c r="AY611" s="27"/>
      <c r="BK611" s="27"/>
      <c r="BL611" s="27"/>
      <c r="BX611" s="27"/>
      <c r="BY611" s="27"/>
      <c r="CH611" s="29"/>
    </row>
    <row r="612" spans="1:86" x14ac:dyDescent="0.2">
      <c r="A612" s="18">
        <v>10029</v>
      </c>
      <c r="B612" s="19">
        <v>2</v>
      </c>
      <c r="C612" s="19">
        <f t="shared" si="62"/>
        <v>100290002</v>
      </c>
      <c r="D612" s="23" t="s">
        <v>535</v>
      </c>
      <c r="E612" s="20" t="s">
        <v>109</v>
      </c>
      <c r="I612" s="22" t="s">
        <v>206</v>
      </c>
      <c r="J612" s="22"/>
      <c r="K612" s="22"/>
      <c r="L612" s="22"/>
      <c r="M612" s="22"/>
      <c r="N612" s="22" t="s">
        <v>163</v>
      </c>
      <c r="O612" s="22" t="s">
        <v>163</v>
      </c>
      <c r="P612" s="22"/>
      <c r="Q612" s="22" t="s">
        <v>2041</v>
      </c>
      <c r="R612" s="22"/>
      <c r="S612" s="22"/>
      <c r="T612" s="22" t="s">
        <v>2307</v>
      </c>
      <c r="U612" s="116" t="s">
        <v>2449</v>
      </c>
      <c r="V612" s="22" t="s">
        <v>109</v>
      </c>
      <c r="W612" s="22" t="s">
        <v>1</v>
      </c>
      <c r="X612" s="22"/>
      <c r="Z612" s="22"/>
      <c r="AA612" s="22"/>
      <c r="AB612" s="22"/>
      <c r="AC612" s="22" t="s">
        <v>484</v>
      </c>
      <c r="AD612" s="22"/>
      <c r="AE612" s="24"/>
      <c r="AF612" s="24" t="s">
        <v>2043</v>
      </c>
      <c r="AG612" s="22"/>
      <c r="AI612" s="25" t="s">
        <v>260</v>
      </c>
      <c r="AK612" s="40" t="s">
        <v>139</v>
      </c>
      <c r="AL612" s="40"/>
      <c r="AX612" s="27"/>
      <c r="AY612" s="27"/>
      <c r="BK612" s="27"/>
      <c r="BL612" s="27"/>
      <c r="BX612" s="27"/>
      <c r="BY612" s="27"/>
      <c r="CH612" s="29"/>
    </row>
    <row r="613" spans="1:86" x14ac:dyDescent="0.2">
      <c r="A613" s="18">
        <v>10029</v>
      </c>
      <c r="B613" s="19">
        <v>3</v>
      </c>
      <c r="C613" s="19">
        <f t="shared" si="62"/>
        <v>100290003</v>
      </c>
      <c r="D613" s="23" t="s">
        <v>535</v>
      </c>
      <c r="E613" s="20" t="s">
        <v>109</v>
      </c>
      <c r="I613" s="22" t="s">
        <v>206</v>
      </c>
      <c r="J613" s="22"/>
      <c r="K613" s="22"/>
      <c r="L613" s="22"/>
      <c r="M613" s="22"/>
      <c r="N613" s="22" t="s">
        <v>163</v>
      </c>
      <c r="O613" s="22" t="s">
        <v>163</v>
      </c>
      <c r="P613" s="22"/>
      <c r="Q613" s="22" t="s">
        <v>2041</v>
      </c>
      <c r="R613" s="22"/>
      <c r="S613" s="22"/>
      <c r="T613" s="22" t="s">
        <v>2307</v>
      </c>
      <c r="U613" s="116" t="s">
        <v>2450</v>
      </c>
      <c r="V613" s="22" t="s">
        <v>109</v>
      </c>
      <c r="W613" s="22" t="s">
        <v>1</v>
      </c>
      <c r="X613" s="22"/>
      <c r="Z613" s="22"/>
      <c r="AA613" s="22"/>
      <c r="AB613" s="22"/>
      <c r="AC613" s="22" t="s">
        <v>484</v>
      </c>
      <c r="AD613" s="22"/>
      <c r="AE613" s="24"/>
      <c r="AF613" s="24" t="s">
        <v>2043</v>
      </c>
      <c r="AG613" s="22"/>
      <c r="AH613" s="25" t="s">
        <v>542</v>
      </c>
      <c r="AI613" s="25" t="s">
        <v>347</v>
      </c>
      <c r="AK613" s="40" t="s">
        <v>373</v>
      </c>
      <c r="AL613" s="40"/>
      <c r="AX613" s="27"/>
      <c r="AY613" s="27"/>
      <c r="BK613" s="27"/>
      <c r="BL613" s="27"/>
      <c r="BX613" s="27"/>
      <c r="BY613" s="27"/>
      <c r="CH613" s="29"/>
    </row>
    <row r="614" spans="1:86" x14ac:dyDescent="0.2">
      <c r="A614" s="18">
        <v>10029</v>
      </c>
      <c r="B614" s="19">
        <v>4</v>
      </c>
      <c r="C614" s="19">
        <f t="shared" si="62"/>
        <v>100290004</v>
      </c>
      <c r="D614" s="23" t="s">
        <v>535</v>
      </c>
      <c r="E614" s="20" t="s">
        <v>109</v>
      </c>
      <c r="I614" s="22" t="s">
        <v>2453</v>
      </c>
      <c r="J614" s="22"/>
      <c r="K614" s="22"/>
      <c r="L614" s="22"/>
      <c r="M614" s="22"/>
      <c r="N614" s="22" t="s">
        <v>163</v>
      </c>
      <c r="O614" s="22" t="s">
        <v>163</v>
      </c>
      <c r="P614" s="22"/>
      <c r="Q614" s="22" t="s">
        <v>2041</v>
      </c>
      <c r="R614" s="22"/>
      <c r="S614" s="22"/>
      <c r="T614" s="22" t="s">
        <v>2307</v>
      </c>
      <c r="U614" s="116" t="s">
        <v>2451</v>
      </c>
      <c r="V614" s="22" t="s">
        <v>109</v>
      </c>
      <c r="W614" s="22" t="s">
        <v>1</v>
      </c>
      <c r="X614" s="22"/>
      <c r="Z614" s="22"/>
      <c r="AA614" s="22"/>
      <c r="AB614" s="22"/>
      <c r="AC614" s="22" t="s">
        <v>484</v>
      </c>
      <c r="AD614" s="22"/>
      <c r="AE614" s="24"/>
      <c r="AF614" s="24" t="s">
        <v>2043</v>
      </c>
      <c r="AG614" s="22"/>
      <c r="AH614" s="25" t="s">
        <v>543</v>
      </c>
      <c r="AI614" s="25" t="s">
        <v>345</v>
      </c>
      <c r="AK614" s="40" t="s">
        <v>374</v>
      </c>
      <c r="AL614" s="40"/>
      <c r="AX614" s="27"/>
      <c r="AY614" s="27"/>
      <c r="BK614" s="27"/>
      <c r="BL614" s="27"/>
      <c r="BX614" s="27"/>
      <c r="BY614" s="27"/>
      <c r="CH614" s="29"/>
    </row>
    <row r="615" spans="1:86" x14ac:dyDescent="0.2">
      <c r="A615" s="18">
        <v>10029</v>
      </c>
      <c r="B615" s="19">
        <v>5</v>
      </c>
      <c r="C615" s="19">
        <f t="shared" si="62"/>
        <v>100290005</v>
      </c>
      <c r="D615" s="23" t="s">
        <v>535</v>
      </c>
      <c r="E615" s="20" t="s">
        <v>109</v>
      </c>
      <c r="I615" s="22" t="s">
        <v>206</v>
      </c>
      <c r="J615" s="22"/>
      <c r="K615" s="22"/>
      <c r="L615" s="22"/>
      <c r="M615" s="22"/>
      <c r="N615" s="22" t="s">
        <v>163</v>
      </c>
      <c r="O615" s="22" t="s">
        <v>163</v>
      </c>
      <c r="P615" s="22"/>
      <c r="Q615" s="22" t="s">
        <v>2041</v>
      </c>
      <c r="R615" s="22"/>
      <c r="S615" s="22"/>
      <c r="T615" s="22" t="s">
        <v>2307</v>
      </c>
      <c r="U615" s="116" t="s">
        <v>2452</v>
      </c>
      <c r="V615" s="22" t="s">
        <v>109</v>
      </c>
      <c r="W615" s="22" t="s">
        <v>1</v>
      </c>
      <c r="X615" s="22"/>
      <c r="Z615" s="22"/>
      <c r="AA615" s="22"/>
      <c r="AB615" s="22"/>
      <c r="AC615" s="22" t="s">
        <v>484</v>
      </c>
      <c r="AD615" s="22"/>
      <c r="AE615" s="24"/>
      <c r="AF615" s="24" t="s">
        <v>2043</v>
      </c>
      <c r="AG615" s="22"/>
      <c r="AH615" s="25" t="s">
        <v>544</v>
      </c>
      <c r="AI615" s="25" t="s">
        <v>346</v>
      </c>
      <c r="AK615" s="40" t="s">
        <v>375</v>
      </c>
      <c r="AL615" s="40"/>
      <c r="AX615" s="27"/>
      <c r="AY615" s="27"/>
      <c r="BK615" s="27"/>
      <c r="BL615" s="27"/>
      <c r="BX615" s="27"/>
      <c r="BY615" s="27"/>
      <c r="CH615" s="29"/>
    </row>
    <row r="616" spans="1:86" x14ac:dyDescent="0.2">
      <c r="A616" s="18">
        <v>10030</v>
      </c>
      <c r="B616" s="19">
        <v>1</v>
      </c>
      <c r="C616" s="19">
        <f t="shared" si="62"/>
        <v>100300001</v>
      </c>
      <c r="D616" s="23" t="s">
        <v>643</v>
      </c>
      <c r="E616" s="20" t="s">
        <v>109</v>
      </c>
      <c r="I616" s="22" t="s">
        <v>206</v>
      </c>
      <c r="J616" s="22"/>
      <c r="K616" s="22"/>
      <c r="L616" s="22"/>
      <c r="M616" s="22"/>
      <c r="N616" s="22" t="s">
        <v>163</v>
      </c>
      <c r="O616" s="22" t="s">
        <v>163</v>
      </c>
      <c r="P616" s="22"/>
      <c r="Q616" s="22" t="s">
        <v>2041</v>
      </c>
      <c r="R616" s="22"/>
      <c r="S616" s="22"/>
      <c r="T616" s="22" t="s">
        <v>2307</v>
      </c>
      <c r="U616" s="116" t="s">
        <v>2454</v>
      </c>
      <c r="V616" s="22" t="s">
        <v>109</v>
      </c>
      <c r="W616" s="22" t="s">
        <v>1</v>
      </c>
      <c r="X616" s="22"/>
      <c r="Z616" s="22"/>
      <c r="AA616" s="22"/>
      <c r="AB616" s="22"/>
      <c r="AC616" s="22">
        <v>30</v>
      </c>
      <c r="AD616" s="22"/>
      <c r="AE616" s="24"/>
      <c r="AF616" s="24" t="s">
        <v>2043</v>
      </c>
      <c r="AG616" s="22"/>
      <c r="AI616" s="25" t="s">
        <v>176</v>
      </c>
      <c r="AK616" s="40" t="s">
        <v>136</v>
      </c>
      <c r="AL616" s="40"/>
      <c r="AX616" s="27"/>
      <c r="AY616" s="27"/>
      <c r="BK616" s="27"/>
      <c r="BL616" s="27"/>
      <c r="BX616" s="27"/>
      <c r="BY616" s="27"/>
      <c r="CH616" s="29"/>
    </row>
    <row r="617" spans="1:86" x14ac:dyDescent="0.2">
      <c r="A617" s="18">
        <v>10030</v>
      </c>
      <c r="B617" s="19">
        <v>2</v>
      </c>
      <c r="C617" s="19">
        <f t="shared" si="62"/>
        <v>100300002</v>
      </c>
      <c r="D617" s="23" t="s">
        <v>643</v>
      </c>
      <c r="E617" s="20" t="s">
        <v>109</v>
      </c>
      <c r="I617" s="22" t="s">
        <v>206</v>
      </c>
      <c r="J617" s="22"/>
      <c r="K617" s="22"/>
      <c r="L617" s="22"/>
      <c r="M617" s="22"/>
      <c r="N617" s="22" t="s">
        <v>163</v>
      </c>
      <c r="O617" s="22" t="s">
        <v>163</v>
      </c>
      <c r="P617" s="22"/>
      <c r="Q617" s="22" t="s">
        <v>2041</v>
      </c>
      <c r="R617" s="22"/>
      <c r="S617" s="22"/>
      <c r="T617" s="22" t="s">
        <v>2307</v>
      </c>
      <c r="U617" s="116" t="s">
        <v>2455</v>
      </c>
      <c r="V617" s="22" t="s">
        <v>109</v>
      </c>
      <c r="W617" s="22" t="s">
        <v>1</v>
      </c>
      <c r="X617" s="22"/>
      <c r="Z617" s="22"/>
      <c r="AA617" s="22"/>
      <c r="AB617" s="22"/>
      <c r="AC617" s="22">
        <v>30</v>
      </c>
      <c r="AD617" s="22"/>
      <c r="AE617" s="24"/>
      <c r="AF617" s="24" t="s">
        <v>2043</v>
      </c>
      <c r="AG617" s="22"/>
      <c r="AI617" s="25" t="s">
        <v>260</v>
      </c>
      <c r="AK617" s="40" t="s">
        <v>139</v>
      </c>
      <c r="AL617" s="40"/>
      <c r="AX617" s="27"/>
      <c r="AY617" s="27"/>
      <c r="BK617" s="27"/>
      <c r="BL617" s="27"/>
      <c r="BX617" s="27"/>
      <c r="BY617" s="27"/>
      <c r="CH617" s="29"/>
    </row>
    <row r="618" spans="1:86" x14ac:dyDescent="0.2">
      <c r="A618" s="18">
        <v>10030</v>
      </c>
      <c r="B618" s="19">
        <v>3</v>
      </c>
      <c r="C618" s="19">
        <f t="shared" si="62"/>
        <v>100300003</v>
      </c>
      <c r="D618" s="23" t="s">
        <v>643</v>
      </c>
      <c r="E618" s="20" t="s">
        <v>109</v>
      </c>
      <c r="I618" s="22" t="s">
        <v>206</v>
      </c>
      <c r="J618" s="22"/>
      <c r="K618" s="22"/>
      <c r="L618" s="22"/>
      <c r="M618" s="22"/>
      <c r="N618" s="22" t="s">
        <v>163</v>
      </c>
      <c r="O618" s="22" t="s">
        <v>163</v>
      </c>
      <c r="P618" s="22"/>
      <c r="Q618" s="22" t="s">
        <v>2041</v>
      </c>
      <c r="R618" s="22"/>
      <c r="S618" s="22"/>
      <c r="T618" s="22" t="s">
        <v>2307</v>
      </c>
      <c r="U618" s="116" t="s">
        <v>2456</v>
      </c>
      <c r="V618" s="22" t="s">
        <v>109</v>
      </c>
      <c r="W618" s="22" t="s">
        <v>1</v>
      </c>
      <c r="X618" s="22"/>
      <c r="Z618" s="22"/>
      <c r="AA618" s="22"/>
      <c r="AB618" s="22"/>
      <c r="AC618" s="22">
        <v>30</v>
      </c>
      <c r="AD618" s="22"/>
      <c r="AE618" s="24"/>
      <c r="AF618" s="24" t="s">
        <v>2043</v>
      </c>
      <c r="AG618" s="22"/>
      <c r="AH618" s="25">
        <v>100303</v>
      </c>
      <c r="AI618" s="25" t="s">
        <v>264</v>
      </c>
      <c r="AK618" s="40" t="s">
        <v>373</v>
      </c>
      <c r="AL618" s="40"/>
      <c r="AX618" s="27"/>
      <c r="AY618" s="27"/>
      <c r="BK618" s="27"/>
      <c r="BL618" s="27"/>
      <c r="BX618" s="27"/>
      <c r="BY618" s="27"/>
      <c r="CH618" s="29"/>
    </row>
    <row r="619" spans="1:86" x14ac:dyDescent="0.2">
      <c r="A619" s="18">
        <v>10030</v>
      </c>
      <c r="B619" s="19">
        <v>4</v>
      </c>
      <c r="C619" s="19">
        <f t="shared" si="62"/>
        <v>100300004</v>
      </c>
      <c r="D619" s="23" t="s">
        <v>643</v>
      </c>
      <c r="E619" s="20" t="s">
        <v>109</v>
      </c>
      <c r="I619" s="22" t="s">
        <v>206</v>
      </c>
      <c r="J619" s="22"/>
      <c r="K619" s="22"/>
      <c r="L619" s="22"/>
      <c r="M619" s="22"/>
      <c r="N619" s="22" t="s">
        <v>163</v>
      </c>
      <c r="O619" s="22" t="s">
        <v>163</v>
      </c>
      <c r="P619" s="22"/>
      <c r="Q619" s="22" t="s">
        <v>2041</v>
      </c>
      <c r="R619" s="22"/>
      <c r="S619" s="22"/>
      <c r="T619" s="22" t="s">
        <v>2307</v>
      </c>
      <c r="U619" s="116" t="s">
        <v>2457</v>
      </c>
      <c r="V619" s="22" t="s">
        <v>109</v>
      </c>
      <c r="W619" s="22" t="s">
        <v>1</v>
      </c>
      <c r="X619" s="22"/>
      <c r="Z619" s="22"/>
      <c r="AA619" s="22"/>
      <c r="AB619" s="22"/>
      <c r="AC619" s="22">
        <v>30</v>
      </c>
      <c r="AD619" s="22"/>
      <c r="AE619" s="24"/>
      <c r="AF619" s="24" t="s">
        <v>2043</v>
      </c>
      <c r="AG619" s="22"/>
      <c r="AH619" s="25">
        <v>100304</v>
      </c>
      <c r="AI619" s="25" t="s">
        <v>265</v>
      </c>
      <c r="AK619" s="40" t="s">
        <v>374</v>
      </c>
      <c r="AL619" s="40"/>
      <c r="AX619" s="27"/>
      <c r="AY619" s="27"/>
      <c r="BK619" s="27"/>
      <c r="BL619" s="27"/>
      <c r="BX619" s="27"/>
      <c r="BY619" s="27"/>
      <c r="CH619" s="29"/>
    </row>
    <row r="620" spans="1:86" x14ac:dyDescent="0.2">
      <c r="A620" s="18">
        <v>10030</v>
      </c>
      <c r="B620" s="19">
        <v>5</v>
      </c>
      <c r="C620" s="19">
        <f t="shared" si="62"/>
        <v>100300005</v>
      </c>
      <c r="D620" s="23" t="s">
        <v>643</v>
      </c>
      <c r="E620" s="20" t="s">
        <v>109</v>
      </c>
      <c r="I620" s="22" t="s">
        <v>206</v>
      </c>
      <c r="J620" s="22"/>
      <c r="K620" s="22"/>
      <c r="L620" s="22"/>
      <c r="M620" s="22"/>
      <c r="N620" s="22" t="s">
        <v>163</v>
      </c>
      <c r="O620" s="22" t="s">
        <v>163</v>
      </c>
      <c r="P620" s="22"/>
      <c r="Q620" s="22" t="s">
        <v>2041</v>
      </c>
      <c r="R620" s="22"/>
      <c r="S620" s="22"/>
      <c r="T620" s="22" t="s">
        <v>2307</v>
      </c>
      <c r="U620" s="116" t="s">
        <v>2458</v>
      </c>
      <c r="V620" s="22" t="s">
        <v>109</v>
      </c>
      <c r="W620" s="22" t="s">
        <v>1</v>
      </c>
      <c r="X620" s="22"/>
      <c r="Z620" s="22"/>
      <c r="AA620" s="22"/>
      <c r="AB620" s="22"/>
      <c r="AC620" s="22">
        <v>30</v>
      </c>
      <c r="AD620" s="22"/>
      <c r="AE620" s="24"/>
      <c r="AF620" s="24" t="s">
        <v>2043</v>
      </c>
      <c r="AG620" s="22"/>
      <c r="AH620" s="25">
        <v>100305</v>
      </c>
      <c r="AI620" s="25" t="s">
        <v>266</v>
      </c>
      <c r="AK620" s="40" t="s">
        <v>375</v>
      </c>
      <c r="AL620" s="40"/>
      <c r="AX620" s="27"/>
      <c r="AY620" s="27"/>
      <c r="BK620" s="27"/>
      <c r="BL620" s="27"/>
      <c r="BX620" s="27"/>
      <c r="BY620" s="27"/>
      <c r="CH620" s="29"/>
    </row>
    <row r="621" spans="1:86" x14ac:dyDescent="0.2">
      <c r="A621" s="18">
        <v>10031</v>
      </c>
      <c r="B621" s="19">
        <v>1</v>
      </c>
      <c r="C621" s="19">
        <f t="shared" si="62"/>
        <v>100310001</v>
      </c>
      <c r="D621" s="23" t="s">
        <v>644</v>
      </c>
      <c r="E621" s="20" t="s">
        <v>109</v>
      </c>
      <c r="I621" s="22" t="s">
        <v>206</v>
      </c>
      <c r="J621" s="22"/>
      <c r="K621" s="22"/>
      <c r="L621" s="22"/>
      <c r="M621" s="22"/>
      <c r="N621" s="22" t="s">
        <v>163</v>
      </c>
      <c r="O621" s="22" t="s">
        <v>163</v>
      </c>
      <c r="P621" s="22"/>
      <c r="Q621" s="22" t="s">
        <v>2041</v>
      </c>
      <c r="R621" s="22"/>
      <c r="S621" s="22"/>
      <c r="T621" s="22" t="s">
        <v>2307</v>
      </c>
      <c r="U621" s="116" t="s">
        <v>2459</v>
      </c>
      <c r="V621" s="22" t="s">
        <v>109</v>
      </c>
      <c r="W621" s="22" t="s">
        <v>1</v>
      </c>
      <c r="X621" s="22"/>
      <c r="Z621" s="22"/>
      <c r="AA621" s="22"/>
      <c r="AB621" s="22"/>
      <c r="AC621" s="22">
        <v>31</v>
      </c>
      <c r="AD621" s="22"/>
      <c r="AE621" s="24"/>
      <c r="AF621" s="24" t="s">
        <v>2043</v>
      </c>
      <c r="AG621" s="22"/>
      <c r="AI621" s="25" t="s">
        <v>176</v>
      </c>
      <c r="AK621" s="40" t="s">
        <v>136</v>
      </c>
      <c r="AL621" s="40"/>
      <c r="AX621" s="27"/>
      <c r="AY621" s="27"/>
      <c r="BK621" s="27"/>
      <c r="BL621" s="27"/>
      <c r="BX621" s="27"/>
      <c r="BY621" s="27"/>
      <c r="CH621" s="29"/>
    </row>
    <row r="622" spans="1:86" x14ac:dyDescent="0.2">
      <c r="A622" s="18">
        <v>10031</v>
      </c>
      <c r="B622" s="19">
        <v>2</v>
      </c>
      <c r="C622" s="19">
        <f t="shared" si="62"/>
        <v>100310002</v>
      </c>
      <c r="D622" s="23" t="s">
        <v>644</v>
      </c>
      <c r="E622" s="20" t="s">
        <v>109</v>
      </c>
      <c r="I622" s="22" t="s">
        <v>206</v>
      </c>
      <c r="J622" s="22"/>
      <c r="K622" s="22"/>
      <c r="L622" s="22"/>
      <c r="M622" s="22"/>
      <c r="N622" s="22" t="s">
        <v>163</v>
      </c>
      <c r="O622" s="22" t="s">
        <v>163</v>
      </c>
      <c r="P622" s="22"/>
      <c r="Q622" s="22" t="s">
        <v>2041</v>
      </c>
      <c r="R622" s="22"/>
      <c r="S622" s="22"/>
      <c r="T622" s="22" t="s">
        <v>2307</v>
      </c>
      <c r="U622" s="116" t="s">
        <v>2460</v>
      </c>
      <c r="V622" s="22" t="s">
        <v>109</v>
      </c>
      <c r="W622" s="22" t="s">
        <v>1</v>
      </c>
      <c r="X622" s="22"/>
      <c r="Z622" s="22"/>
      <c r="AA622" s="22"/>
      <c r="AB622" s="22"/>
      <c r="AC622" s="22">
        <v>31</v>
      </c>
      <c r="AD622" s="22"/>
      <c r="AE622" s="24"/>
      <c r="AF622" s="24" t="s">
        <v>2043</v>
      </c>
      <c r="AG622" s="22"/>
      <c r="AI622" s="25" t="s">
        <v>260</v>
      </c>
      <c r="AK622" s="40" t="s">
        <v>139</v>
      </c>
      <c r="AL622" s="40"/>
      <c r="AX622" s="27"/>
      <c r="AY622" s="27"/>
      <c r="BK622" s="27"/>
      <c r="BL622" s="27"/>
      <c r="BX622" s="27"/>
      <c r="BY622" s="27"/>
      <c r="CH622" s="29"/>
    </row>
    <row r="623" spans="1:86" x14ac:dyDescent="0.2">
      <c r="A623" s="18">
        <v>10031</v>
      </c>
      <c r="B623" s="19">
        <v>3</v>
      </c>
      <c r="C623" s="19">
        <f t="shared" si="62"/>
        <v>100310003</v>
      </c>
      <c r="D623" s="23" t="s">
        <v>644</v>
      </c>
      <c r="E623" s="20" t="s">
        <v>109</v>
      </c>
      <c r="I623" s="22" t="s">
        <v>206</v>
      </c>
      <c r="J623" s="22"/>
      <c r="K623" s="22"/>
      <c r="L623" s="22"/>
      <c r="M623" s="22"/>
      <c r="N623" s="22" t="s">
        <v>163</v>
      </c>
      <c r="O623" s="22" t="s">
        <v>163</v>
      </c>
      <c r="P623" s="22"/>
      <c r="Q623" s="22" t="s">
        <v>2041</v>
      </c>
      <c r="R623" s="22"/>
      <c r="S623" s="22"/>
      <c r="T623" s="22" t="s">
        <v>2307</v>
      </c>
      <c r="U623" s="116" t="s">
        <v>2461</v>
      </c>
      <c r="V623" s="22" t="s">
        <v>109</v>
      </c>
      <c r="W623" s="22" t="s">
        <v>1</v>
      </c>
      <c r="X623" s="22"/>
      <c r="Z623" s="22"/>
      <c r="AA623" s="22"/>
      <c r="AB623" s="22"/>
      <c r="AC623" s="22">
        <v>31</v>
      </c>
      <c r="AD623" s="22"/>
      <c r="AE623" s="24"/>
      <c r="AF623" s="24" t="s">
        <v>2043</v>
      </c>
      <c r="AG623" s="22"/>
      <c r="AH623" s="25">
        <v>100313</v>
      </c>
      <c r="AI623" s="25" t="s">
        <v>264</v>
      </c>
      <c r="AK623" s="40" t="s">
        <v>373</v>
      </c>
      <c r="AL623" s="40"/>
      <c r="AX623" s="27"/>
      <c r="AY623" s="27"/>
      <c r="BK623" s="27"/>
      <c r="BL623" s="27"/>
      <c r="BX623" s="27"/>
      <c r="BY623" s="27"/>
      <c r="CH623" s="29"/>
    </row>
    <row r="624" spans="1:86" x14ac:dyDescent="0.2">
      <c r="A624" s="18">
        <v>10031</v>
      </c>
      <c r="B624" s="19">
        <v>4</v>
      </c>
      <c r="C624" s="19">
        <f t="shared" si="62"/>
        <v>100310004</v>
      </c>
      <c r="D624" s="23" t="s">
        <v>644</v>
      </c>
      <c r="E624" s="20" t="s">
        <v>109</v>
      </c>
      <c r="I624" s="22" t="s">
        <v>206</v>
      </c>
      <c r="J624" s="22"/>
      <c r="K624" s="22"/>
      <c r="L624" s="22"/>
      <c r="M624" s="22"/>
      <c r="N624" s="22" t="s">
        <v>163</v>
      </c>
      <c r="O624" s="22" t="s">
        <v>163</v>
      </c>
      <c r="P624" s="22"/>
      <c r="Q624" s="22" t="s">
        <v>2041</v>
      </c>
      <c r="R624" s="22"/>
      <c r="S624" s="22"/>
      <c r="T624" s="22" t="s">
        <v>2307</v>
      </c>
      <c r="U624" s="116" t="s">
        <v>2462</v>
      </c>
      <c r="V624" s="22" t="s">
        <v>109</v>
      </c>
      <c r="W624" s="22" t="s">
        <v>1</v>
      </c>
      <c r="X624" s="22"/>
      <c r="Z624" s="22"/>
      <c r="AA624" s="22"/>
      <c r="AB624" s="22"/>
      <c r="AC624" s="22">
        <v>31</v>
      </c>
      <c r="AD624" s="22"/>
      <c r="AE624" s="24"/>
      <c r="AF624" s="24" t="s">
        <v>2043</v>
      </c>
      <c r="AG624" s="22"/>
      <c r="AH624" s="25">
        <v>100314</v>
      </c>
      <c r="AI624" s="25" t="s">
        <v>265</v>
      </c>
      <c r="AK624" s="40" t="s">
        <v>374</v>
      </c>
      <c r="AL624" s="40"/>
      <c r="AX624" s="27"/>
      <c r="AY624" s="27"/>
      <c r="BK624" s="27"/>
      <c r="BL624" s="27"/>
      <c r="BX624" s="27"/>
      <c r="BY624" s="27"/>
      <c r="CH624" s="29"/>
    </row>
    <row r="625" spans="1:86" x14ac:dyDescent="0.2">
      <c r="A625" s="18">
        <v>10031</v>
      </c>
      <c r="B625" s="19">
        <v>5</v>
      </c>
      <c r="C625" s="19">
        <f t="shared" si="62"/>
        <v>100310005</v>
      </c>
      <c r="D625" s="23" t="s">
        <v>644</v>
      </c>
      <c r="E625" s="20" t="s">
        <v>109</v>
      </c>
      <c r="I625" s="22" t="s">
        <v>206</v>
      </c>
      <c r="J625" s="22"/>
      <c r="K625" s="22"/>
      <c r="L625" s="22"/>
      <c r="M625" s="22"/>
      <c r="N625" s="22" t="s">
        <v>163</v>
      </c>
      <c r="O625" s="22" t="s">
        <v>163</v>
      </c>
      <c r="P625" s="22"/>
      <c r="Q625" s="22" t="s">
        <v>2041</v>
      </c>
      <c r="R625" s="22"/>
      <c r="S625" s="22"/>
      <c r="T625" s="22" t="s">
        <v>2307</v>
      </c>
      <c r="U625" s="116" t="s">
        <v>2463</v>
      </c>
      <c r="V625" s="22" t="s">
        <v>109</v>
      </c>
      <c r="W625" s="22" t="s">
        <v>1</v>
      </c>
      <c r="X625" s="22"/>
      <c r="Z625" s="22"/>
      <c r="AA625" s="22"/>
      <c r="AB625" s="22"/>
      <c r="AC625" s="22">
        <v>31</v>
      </c>
      <c r="AD625" s="22"/>
      <c r="AE625" s="24"/>
      <c r="AF625" s="24" t="s">
        <v>2043</v>
      </c>
      <c r="AG625" s="22"/>
      <c r="AH625" s="25">
        <v>100315</v>
      </c>
      <c r="AI625" s="25" t="s">
        <v>266</v>
      </c>
      <c r="AK625" s="40" t="s">
        <v>375</v>
      </c>
      <c r="AL625" s="40"/>
      <c r="AX625" s="27"/>
      <c r="AY625" s="27"/>
      <c r="BK625" s="27"/>
      <c r="BL625" s="27"/>
      <c r="BX625" s="27"/>
      <c r="BY625" s="27"/>
      <c r="CH625" s="29"/>
    </row>
    <row r="626" spans="1:86" x14ac:dyDescent="0.2">
      <c r="A626" s="18">
        <v>10032</v>
      </c>
      <c r="B626" s="19">
        <v>1</v>
      </c>
      <c r="C626" s="19">
        <f t="shared" si="62"/>
        <v>100320001</v>
      </c>
      <c r="D626" s="23" t="s">
        <v>706</v>
      </c>
      <c r="E626" s="20" t="s">
        <v>109</v>
      </c>
      <c r="I626" s="22" t="s">
        <v>206</v>
      </c>
      <c r="J626" s="22"/>
      <c r="K626" s="22"/>
      <c r="L626" s="22"/>
      <c r="M626" s="22"/>
      <c r="N626" s="22" t="s">
        <v>163</v>
      </c>
      <c r="O626" s="22" t="s">
        <v>163</v>
      </c>
      <c r="P626" s="22"/>
      <c r="Q626" s="22" t="s">
        <v>2041</v>
      </c>
      <c r="R626" s="22"/>
      <c r="S626" s="22"/>
      <c r="T626" s="22" t="s">
        <v>2307</v>
      </c>
      <c r="U626" s="116" t="s">
        <v>2464</v>
      </c>
      <c r="V626" s="22" t="s">
        <v>109</v>
      </c>
      <c r="W626" s="22" t="s">
        <v>1</v>
      </c>
      <c r="X626" s="22"/>
      <c r="Z626" s="22"/>
      <c r="AA626" s="22"/>
      <c r="AB626" s="22"/>
      <c r="AC626" s="22" t="s">
        <v>707</v>
      </c>
      <c r="AD626" s="22"/>
      <c r="AE626" s="24"/>
      <c r="AF626" s="24" t="s">
        <v>2043</v>
      </c>
      <c r="AG626" s="22"/>
      <c r="AI626" s="25" t="s">
        <v>176</v>
      </c>
      <c r="AK626" s="40" t="s">
        <v>136</v>
      </c>
      <c r="AL626" s="40"/>
      <c r="AX626" s="27"/>
      <c r="AY626" s="27"/>
      <c r="BK626" s="27"/>
      <c r="BL626" s="27"/>
      <c r="BX626" s="27"/>
      <c r="BY626" s="27"/>
      <c r="CH626" s="29"/>
    </row>
    <row r="627" spans="1:86" x14ac:dyDescent="0.2">
      <c r="A627" s="18">
        <v>10032</v>
      </c>
      <c r="B627" s="19">
        <v>2</v>
      </c>
      <c r="C627" s="19">
        <f t="shared" si="62"/>
        <v>100320002</v>
      </c>
      <c r="D627" s="23" t="s">
        <v>706</v>
      </c>
      <c r="E627" s="20" t="s">
        <v>109</v>
      </c>
      <c r="I627" s="22" t="s">
        <v>206</v>
      </c>
      <c r="J627" s="22"/>
      <c r="K627" s="22"/>
      <c r="L627" s="22"/>
      <c r="M627" s="22"/>
      <c r="N627" s="22" t="s">
        <v>163</v>
      </c>
      <c r="O627" s="22" t="s">
        <v>163</v>
      </c>
      <c r="P627" s="22"/>
      <c r="Q627" s="22" t="s">
        <v>2041</v>
      </c>
      <c r="R627" s="22"/>
      <c r="S627" s="22"/>
      <c r="T627" s="22" t="s">
        <v>2307</v>
      </c>
      <c r="U627" s="116" t="s">
        <v>2465</v>
      </c>
      <c r="V627" s="22" t="s">
        <v>109</v>
      </c>
      <c r="W627" s="22" t="s">
        <v>1</v>
      </c>
      <c r="X627" s="22"/>
      <c r="Z627" s="22"/>
      <c r="AA627" s="22"/>
      <c r="AB627" s="22"/>
      <c r="AC627" s="22" t="s">
        <v>707</v>
      </c>
      <c r="AD627" s="22"/>
      <c r="AE627" s="24"/>
      <c r="AF627" s="24" t="s">
        <v>2043</v>
      </c>
      <c r="AG627" s="22"/>
      <c r="AI627" s="25" t="s">
        <v>260</v>
      </c>
      <c r="AK627" s="40" t="s">
        <v>139</v>
      </c>
      <c r="AL627" s="40"/>
      <c r="AX627" s="27"/>
      <c r="AY627" s="27"/>
      <c r="BK627" s="27"/>
      <c r="BL627" s="27"/>
      <c r="BX627" s="27"/>
      <c r="BY627" s="27"/>
      <c r="CH627" s="29"/>
    </row>
    <row r="628" spans="1:86" x14ac:dyDescent="0.2">
      <c r="A628" s="18">
        <v>10032</v>
      </c>
      <c r="B628" s="19">
        <v>3</v>
      </c>
      <c r="C628" s="19">
        <f t="shared" si="62"/>
        <v>100320003</v>
      </c>
      <c r="D628" s="23" t="s">
        <v>706</v>
      </c>
      <c r="E628" s="20" t="s">
        <v>109</v>
      </c>
      <c r="I628" s="22" t="s">
        <v>206</v>
      </c>
      <c r="J628" s="22"/>
      <c r="K628" s="22"/>
      <c r="L628" s="22"/>
      <c r="M628" s="22"/>
      <c r="N628" s="22" t="s">
        <v>163</v>
      </c>
      <c r="O628" s="22" t="s">
        <v>163</v>
      </c>
      <c r="P628" s="22"/>
      <c r="Q628" s="22" t="s">
        <v>2041</v>
      </c>
      <c r="R628" s="22"/>
      <c r="S628" s="22"/>
      <c r="T628" s="22" t="s">
        <v>2307</v>
      </c>
      <c r="U628" s="116" t="s">
        <v>2466</v>
      </c>
      <c r="V628" s="22" t="s">
        <v>109</v>
      </c>
      <c r="W628" s="22" t="s">
        <v>1</v>
      </c>
      <c r="X628" s="22"/>
      <c r="Z628" s="22"/>
      <c r="AA628" s="22"/>
      <c r="AB628" s="22"/>
      <c r="AC628" s="22" t="s">
        <v>707</v>
      </c>
      <c r="AD628" s="22"/>
      <c r="AE628" s="24"/>
      <c r="AF628" s="24" t="s">
        <v>2043</v>
      </c>
      <c r="AG628" s="22"/>
      <c r="AH628" s="25">
        <v>100323</v>
      </c>
      <c r="AI628" s="25" t="s">
        <v>347</v>
      </c>
      <c r="AK628" s="40" t="s">
        <v>373</v>
      </c>
      <c r="AL628" s="40"/>
      <c r="AX628" s="27"/>
      <c r="AY628" s="27"/>
      <c r="BK628" s="27"/>
      <c r="BL628" s="27"/>
      <c r="BX628" s="27"/>
      <c r="BY628" s="27"/>
      <c r="CH628" s="29"/>
    </row>
    <row r="629" spans="1:86" x14ac:dyDescent="0.2">
      <c r="A629" s="18">
        <v>10032</v>
      </c>
      <c r="B629" s="19">
        <v>4</v>
      </c>
      <c r="C629" s="19">
        <f t="shared" si="62"/>
        <v>100320004</v>
      </c>
      <c r="D629" s="23" t="s">
        <v>706</v>
      </c>
      <c r="E629" s="20" t="s">
        <v>109</v>
      </c>
      <c r="I629" s="22" t="s">
        <v>206</v>
      </c>
      <c r="J629" s="22"/>
      <c r="K629" s="22"/>
      <c r="L629" s="22"/>
      <c r="M629" s="22"/>
      <c r="N629" s="22" t="s">
        <v>163</v>
      </c>
      <c r="O629" s="22" t="s">
        <v>163</v>
      </c>
      <c r="P629" s="22"/>
      <c r="Q629" s="22" t="s">
        <v>2041</v>
      </c>
      <c r="R629" s="22"/>
      <c r="S629" s="22"/>
      <c r="T629" s="22" t="s">
        <v>2307</v>
      </c>
      <c r="U629" s="116" t="s">
        <v>2467</v>
      </c>
      <c r="V629" s="22" t="s">
        <v>109</v>
      </c>
      <c r="W629" s="22" t="s">
        <v>1</v>
      </c>
      <c r="X629" s="22"/>
      <c r="Z629" s="22"/>
      <c r="AA629" s="22"/>
      <c r="AB629" s="22"/>
      <c r="AC629" s="22" t="s">
        <v>707</v>
      </c>
      <c r="AD629" s="22"/>
      <c r="AE629" s="24"/>
      <c r="AF629" s="24" t="s">
        <v>2043</v>
      </c>
      <c r="AG629" s="22"/>
      <c r="AH629" s="25">
        <v>100324</v>
      </c>
      <c r="AI629" s="25" t="s">
        <v>345</v>
      </c>
      <c r="AK629" s="40" t="s">
        <v>374</v>
      </c>
      <c r="AL629" s="40"/>
      <c r="AX629" s="27"/>
      <c r="AY629" s="27"/>
      <c r="BK629" s="27"/>
      <c r="BL629" s="27"/>
      <c r="BX629" s="27"/>
      <c r="BY629" s="27"/>
      <c r="CH629" s="29"/>
    </row>
    <row r="630" spans="1:86" x14ac:dyDescent="0.2">
      <c r="A630" s="18">
        <v>10032</v>
      </c>
      <c r="B630" s="19">
        <v>5</v>
      </c>
      <c r="C630" s="19">
        <f t="shared" si="62"/>
        <v>100320005</v>
      </c>
      <c r="D630" s="23" t="s">
        <v>706</v>
      </c>
      <c r="E630" s="20" t="s">
        <v>109</v>
      </c>
      <c r="I630" s="22" t="s">
        <v>206</v>
      </c>
      <c r="J630" s="22"/>
      <c r="K630" s="22"/>
      <c r="L630" s="22"/>
      <c r="M630" s="22"/>
      <c r="N630" s="22" t="s">
        <v>163</v>
      </c>
      <c r="O630" s="22" t="s">
        <v>163</v>
      </c>
      <c r="P630" s="22"/>
      <c r="Q630" s="22" t="s">
        <v>2041</v>
      </c>
      <c r="R630" s="22"/>
      <c r="S630" s="22"/>
      <c r="T630" s="22" t="s">
        <v>2307</v>
      </c>
      <c r="U630" s="116" t="s">
        <v>2468</v>
      </c>
      <c r="V630" s="22" t="s">
        <v>109</v>
      </c>
      <c r="W630" s="22" t="s">
        <v>1</v>
      </c>
      <c r="X630" s="22"/>
      <c r="Z630" s="22"/>
      <c r="AA630" s="22"/>
      <c r="AB630" s="22"/>
      <c r="AC630" s="22" t="s">
        <v>707</v>
      </c>
      <c r="AD630" s="22"/>
      <c r="AE630" s="24"/>
      <c r="AF630" s="24" t="s">
        <v>2043</v>
      </c>
      <c r="AG630" s="22"/>
      <c r="AH630" s="25">
        <v>100325</v>
      </c>
      <c r="AI630" s="25" t="s">
        <v>266</v>
      </c>
      <c r="AK630" s="40" t="s">
        <v>375</v>
      </c>
      <c r="AL630" s="40"/>
      <c r="AX630" s="27"/>
      <c r="AY630" s="27"/>
      <c r="BK630" s="27"/>
      <c r="BL630" s="27"/>
      <c r="BX630" s="27"/>
      <c r="BY630" s="27"/>
      <c r="CH630" s="29"/>
    </row>
    <row r="631" spans="1:86" x14ac:dyDescent="0.2">
      <c r="A631" s="18">
        <v>10033</v>
      </c>
      <c r="B631" s="19">
        <v>1</v>
      </c>
      <c r="C631" s="19">
        <f t="shared" si="62"/>
        <v>100330001</v>
      </c>
      <c r="D631" s="23" t="s">
        <v>645</v>
      </c>
      <c r="E631" s="20" t="s">
        <v>109</v>
      </c>
      <c r="I631" s="22" t="s">
        <v>206</v>
      </c>
      <c r="J631" s="22"/>
      <c r="K631" s="22"/>
      <c r="L631" s="22"/>
      <c r="M631" s="22"/>
      <c r="N631" s="22" t="s">
        <v>163</v>
      </c>
      <c r="O631" s="22" t="s">
        <v>163</v>
      </c>
      <c r="P631" s="22"/>
      <c r="Q631" s="22" t="s">
        <v>2041</v>
      </c>
      <c r="R631" s="22"/>
      <c r="S631" s="22"/>
      <c r="T631" s="22" t="s">
        <v>2307</v>
      </c>
      <c r="U631" s="116" t="s">
        <v>2469</v>
      </c>
      <c r="V631" s="22" t="s">
        <v>109</v>
      </c>
      <c r="W631" s="22" t="s">
        <v>1</v>
      </c>
      <c r="X631" s="22"/>
      <c r="Z631" s="22"/>
      <c r="AA631" s="22"/>
      <c r="AB631" s="22"/>
      <c r="AC631" s="22" t="s">
        <v>648</v>
      </c>
      <c r="AD631" s="22"/>
      <c r="AE631" s="24"/>
      <c r="AF631" s="24" t="s">
        <v>2043</v>
      </c>
      <c r="AG631" s="22"/>
      <c r="AI631" s="25" t="s">
        <v>176</v>
      </c>
      <c r="AK631" s="40" t="s">
        <v>136</v>
      </c>
      <c r="AL631" s="40"/>
      <c r="AX631" s="27"/>
      <c r="AY631" s="27"/>
      <c r="BK631" s="27"/>
      <c r="BL631" s="27"/>
      <c r="BX631" s="27"/>
      <c r="BY631" s="27"/>
      <c r="CH631" s="29"/>
    </row>
    <row r="632" spans="1:86" x14ac:dyDescent="0.2">
      <c r="A632" s="18">
        <v>10033</v>
      </c>
      <c r="B632" s="19">
        <v>2</v>
      </c>
      <c r="C632" s="19">
        <f t="shared" si="62"/>
        <v>100330002</v>
      </c>
      <c r="D632" s="23" t="s">
        <v>645</v>
      </c>
      <c r="E632" s="20" t="s">
        <v>109</v>
      </c>
      <c r="I632" s="22" t="s">
        <v>206</v>
      </c>
      <c r="J632" s="22"/>
      <c r="K632" s="22"/>
      <c r="L632" s="22"/>
      <c r="M632" s="22"/>
      <c r="N632" s="22" t="s">
        <v>163</v>
      </c>
      <c r="O632" s="22" t="s">
        <v>163</v>
      </c>
      <c r="P632" s="22"/>
      <c r="Q632" s="22" t="s">
        <v>2041</v>
      </c>
      <c r="R632" s="22"/>
      <c r="S632" s="22"/>
      <c r="T632" s="22" t="s">
        <v>2307</v>
      </c>
      <c r="U632" s="116" t="s">
        <v>2470</v>
      </c>
      <c r="V632" s="22" t="s">
        <v>109</v>
      </c>
      <c r="W632" s="22" t="s">
        <v>1</v>
      </c>
      <c r="X632" s="22"/>
      <c r="Z632" s="22"/>
      <c r="AA632" s="22"/>
      <c r="AB632" s="22"/>
      <c r="AC632" s="22" t="s">
        <v>648</v>
      </c>
      <c r="AD632" s="22"/>
      <c r="AE632" s="24"/>
      <c r="AF632" s="24" t="s">
        <v>2043</v>
      </c>
      <c r="AG632" s="22"/>
      <c r="AI632" s="25" t="s">
        <v>260</v>
      </c>
      <c r="AK632" s="40" t="s">
        <v>139</v>
      </c>
      <c r="AL632" s="40"/>
      <c r="AX632" s="27"/>
      <c r="AY632" s="27"/>
      <c r="BK632" s="27"/>
      <c r="BL632" s="27"/>
      <c r="BX632" s="27"/>
      <c r="BY632" s="27"/>
      <c r="CH632" s="29"/>
    </row>
    <row r="633" spans="1:86" x14ac:dyDescent="0.2">
      <c r="A633" s="18">
        <v>10033</v>
      </c>
      <c r="B633" s="19">
        <v>3</v>
      </c>
      <c r="C633" s="19">
        <f t="shared" si="62"/>
        <v>100330003</v>
      </c>
      <c r="D633" s="23" t="s">
        <v>645</v>
      </c>
      <c r="E633" s="20" t="s">
        <v>109</v>
      </c>
      <c r="I633" s="22" t="s">
        <v>206</v>
      </c>
      <c r="J633" s="22"/>
      <c r="K633" s="22"/>
      <c r="L633" s="22"/>
      <c r="M633" s="22"/>
      <c r="N633" s="22" t="s">
        <v>163</v>
      </c>
      <c r="O633" s="22" t="s">
        <v>163</v>
      </c>
      <c r="P633" s="22"/>
      <c r="Q633" s="22" t="s">
        <v>2041</v>
      </c>
      <c r="R633" s="22"/>
      <c r="S633" s="22"/>
      <c r="T633" s="22" t="s">
        <v>2307</v>
      </c>
      <c r="U633" s="116" t="s">
        <v>2471</v>
      </c>
      <c r="V633" s="22" t="s">
        <v>109</v>
      </c>
      <c r="W633" s="22" t="s">
        <v>1</v>
      </c>
      <c r="X633" s="22"/>
      <c r="Z633" s="22"/>
      <c r="AA633" s="22"/>
      <c r="AB633" s="22"/>
      <c r="AC633" s="22" t="s">
        <v>648</v>
      </c>
      <c r="AD633" s="22"/>
      <c r="AE633" s="24"/>
      <c r="AF633" s="24" t="s">
        <v>2043</v>
      </c>
      <c r="AG633" s="22"/>
      <c r="AH633" s="25">
        <v>100333</v>
      </c>
      <c r="AI633" s="25" t="s">
        <v>347</v>
      </c>
      <c r="AK633" s="40" t="s">
        <v>373</v>
      </c>
      <c r="AL633" s="40"/>
      <c r="AX633" s="27"/>
      <c r="AY633" s="27"/>
      <c r="BK633" s="27"/>
      <c r="BL633" s="27"/>
      <c r="BX633" s="27"/>
      <c r="BY633" s="27"/>
      <c r="CH633" s="29"/>
    </row>
    <row r="634" spans="1:86" x14ac:dyDescent="0.2">
      <c r="A634" s="18">
        <v>10033</v>
      </c>
      <c r="B634" s="19">
        <v>4</v>
      </c>
      <c r="C634" s="19">
        <f t="shared" si="62"/>
        <v>100330004</v>
      </c>
      <c r="D634" s="23" t="s">
        <v>645</v>
      </c>
      <c r="E634" s="20" t="s">
        <v>109</v>
      </c>
      <c r="I634" s="22" t="s">
        <v>206</v>
      </c>
      <c r="J634" s="22"/>
      <c r="K634" s="22"/>
      <c r="L634" s="22"/>
      <c r="M634" s="22"/>
      <c r="N634" s="22" t="s">
        <v>163</v>
      </c>
      <c r="O634" s="22" t="s">
        <v>163</v>
      </c>
      <c r="P634" s="22"/>
      <c r="Q634" s="22" t="s">
        <v>2041</v>
      </c>
      <c r="R634" s="22"/>
      <c r="S634" s="22"/>
      <c r="T634" s="22" t="s">
        <v>2307</v>
      </c>
      <c r="U634" s="116" t="s">
        <v>2472</v>
      </c>
      <c r="V634" s="22" t="s">
        <v>109</v>
      </c>
      <c r="W634" s="22" t="s">
        <v>1</v>
      </c>
      <c r="X634" s="22"/>
      <c r="Z634" s="22"/>
      <c r="AA634" s="22"/>
      <c r="AB634" s="22"/>
      <c r="AC634" s="22" t="s">
        <v>648</v>
      </c>
      <c r="AD634" s="22"/>
      <c r="AE634" s="24"/>
      <c r="AF634" s="24" t="s">
        <v>2043</v>
      </c>
      <c r="AG634" s="22"/>
      <c r="AH634" s="25">
        <v>100334</v>
      </c>
      <c r="AI634" s="25" t="s">
        <v>345</v>
      </c>
      <c r="AK634" s="40" t="s">
        <v>374</v>
      </c>
      <c r="AL634" s="40"/>
      <c r="AX634" s="27"/>
      <c r="AY634" s="27"/>
      <c r="BK634" s="27"/>
      <c r="BL634" s="27"/>
      <c r="BX634" s="27"/>
      <c r="BY634" s="27"/>
      <c r="CH634" s="29"/>
    </row>
    <row r="635" spans="1:86" x14ac:dyDescent="0.2">
      <c r="A635" s="18">
        <v>10033</v>
      </c>
      <c r="B635" s="19">
        <v>5</v>
      </c>
      <c r="C635" s="19">
        <f t="shared" si="62"/>
        <v>100330005</v>
      </c>
      <c r="D635" s="23" t="s">
        <v>645</v>
      </c>
      <c r="E635" s="20" t="s">
        <v>109</v>
      </c>
      <c r="I635" s="22" t="s">
        <v>206</v>
      </c>
      <c r="J635" s="22"/>
      <c r="K635" s="22"/>
      <c r="L635" s="22"/>
      <c r="M635" s="22"/>
      <c r="N635" s="22" t="s">
        <v>163</v>
      </c>
      <c r="O635" s="22" t="s">
        <v>163</v>
      </c>
      <c r="P635" s="22"/>
      <c r="Q635" s="22" t="s">
        <v>2041</v>
      </c>
      <c r="R635" s="22"/>
      <c r="S635" s="22"/>
      <c r="T635" s="22" t="s">
        <v>2307</v>
      </c>
      <c r="U635" s="116" t="s">
        <v>2473</v>
      </c>
      <c r="V635" s="22" t="s">
        <v>109</v>
      </c>
      <c r="W635" s="22" t="s">
        <v>1</v>
      </c>
      <c r="X635" s="22"/>
      <c r="Z635" s="22"/>
      <c r="AA635" s="22"/>
      <c r="AB635" s="22"/>
      <c r="AC635" s="22" t="s">
        <v>648</v>
      </c>
      <c r="AD635" s="22"/>
      <c r="AE635" s="24"/>
      <c r="AF635" s="24" t="s">
        <v>2043</v>
      </c>
      <c r="AG635" s="22"/>
      <c r="AH635" s="25">
        <v>100335</v>
      </c>
      <c r="AI635" s="25" t="s">
        <v>266</v>
      </c>
      <c r="AK635" s="40" t="s">
        <v>375</v>
      </c>
      <c r="AL635" s="40"/>
      <c r="AX635" s="27"/>
      <c r="AY635" s="27"/>
      <c r="BK635" s="27"/>
      <c r="BL635" s="27"/>
      <c r="BX635" s="27"/>
      <c r="BY635" s="27"/>
      <c r="CH635" s="29"/>
    </row>
    <row r="636" spans="1:86" x14ac:dyDescent="0.2">
      <c r="A636" s="18">
        <v>10034</v>
      </c>
      <c r="B636" s="19">
        <v>1</v>
      </c>
      <c r="C636" s="19">
        <f t="shared" si="62"/>
        <v>100340001</v>
      </c>
      <c r="D636" s="23" t="s">
        <v>646</v>
      </c>
      <c r="E636" s="20" t="s">
        <v>109</v>
      </c>
      <c r="I636" s="22" t="s">
        <v>206</v>
      </c>
      <c r="J636" s="22"/>
      <c r="K636" s="22"/>
      <c r="L636" s="22"/>
      <c r="M636" s="22"/>
      <c r="N636" s="22" t="s">
        <v>163</v>
      </c>
      <c r="O636" s="22" t="s">
        <v>163</v>
      </c>
      <c r="P636" s="22"/>
      <c r="Q636" s="22" t="s">
        <v>2041</v>
      </c>
      <c r="R636" s="22"/>
      <c r="S636" s="22"/>
      <c r="T636" s="22" t="s">
        <v>2307</v>
      </c>
      <c r="U636" s="116" t="s">
        <v>2474</v>
      </c>
      <c r="V636" s="22" t="s">
        <v>109</v>
      </c>
      <c r="W636" s="22" t="s">
        <v>1</v>
      </c>
      <c r="X636" s="22"/>
      <c r="Z636" s="22"/>
      <c r="AA636" s="22"/>
      <c r="AB636" s="22"/>
      <c r="AC636" s="22" t="s">
        <v>649</v>
      </c>
      <c r="AD636" s="22"/>
      <c r="AE636" s="24"/>
      <c r="AF636" s="24" t="s">
        <v>2043</v>
      </c>
      <c r="AG636" s="22"/>
      <c r="AI636" s="25" t="s">
        <v>176</v>
      </c>
      <c r="AK636" s="40" t="s">
        <v>136</v>
      </c>
      <c r="AL636" s="40"/>
      <c r="AX636" s="27"/>
      <c r="AY636" s="27"/>
      <c r="BK636" s="27"/>
      <c r="BL636" s="27"/>
      <c r="BX636" s="27"/>
      <c r="BY636" s="27"/>
      <c r="CH636" s="29"/>
    </row>
    <row r="637" spans="1:86" x14ac:dyDescent="0.2">
      <c r="A637" s="18">
        <v>10034</v>
      </c>
      <c r="B637" s="19">
        <v>2</v>
      </c>
      <c r="C637" s="19">
        <f t="shared" ref="C637:C700" si="63">A637*10000+B637</f>
        <v>100340002</v>
      </c>
      <c r="D637" s="23" t="s">
        <v>646</v>
      </c>
      <c r="E637" s="20" t="s">
        <v>109</v>
      </c>
      <c r="I637" s="22" t="s">
        <v>206</v>
      </c>
      <c r="J637" s="22"/>
      <c r="K637" s="22"/>
      <c r="L637" s="22"/>
      <c r="M637" s="22"/>
      <c r="N637" s="22" t="s">
        <v>163</v>
      </c>
      <c r="O637" s="22" t="s">
        <v>163</v>
      </c>
      <c r="P637" s="22"/>
      <c r="Q637" s="22" t="s">
        <v>2041</v>
      </c>
      <c r="R637" s="22"/>
      <c r="S637" s="22"/>
      <c r="T637" s="22" t="s">
        <v>2307</v>
      </c>
      <c r="U637" s="116" t="s">
        <v>2475</v>
      </c>
      <c r="V637" s="22" t="s">
        <v>109</v>
      </c>
      <c r="W637" s="22" t="s">
        <v>1</v>
      </c>
      <c r="X637" s="22"/>
      <c r="Z637" s="22"/>
      <c r="AA637" s="22"/>
      <c r="AB637" s="22"/>
      <c r="AC637" s="22" t="s">
        <v>649</v>
      </c>
      <c r="AD637" s="22"/>
      <c r="AE637" s="24"/>
      <c r="AF637" s="24" t="s">
        <v>2043</v>
      </c>
      <c r="AG637" s="22"/>
      <c r="AI637" s="25" t="s">
        <v>260</v>
      </c>
      <c r="AK637" s="40" t="s">
        <v>139</v>
      </c>
      <c r="AL637" s="40"/>
      <c r="AX637" s="27"/>
      <c r="AY637" s="27"/>
      <c r="BK637" s="27"/>
      <c r="BL637" s="27"/>
      <c r="BX637" s="27"/>
      <c r="BY637" s="27"/>
      <c r="CH637" s="29"/>
    </row>
    <row r="638" spans="1:86" x14ac:dyDescent="0.2">
      <c r="A638" s="18">
        <v>10034</v>
      </c>
      <c r="B638" s="19">
        <v>3</v>
      </c>
      <c r="C638" s="19">
        <f t="shared" si="63"/>
        <v>100340003</v>
      </c>
      <c r="D638" s="23" t="s">
        <v>646</v>
      </c>
      <c r="E638" s="20" t="s">
        <v>109</v>
      </c>
      <c r="I638" s="22" t="s">
        <v>206</v>
      </c>
      <c r="J638" s="22"/>
      <c r="K638" s="22"/>
      <c r="L638" s="22"/>
      <c r="M638" s="22"/>
      <c r="N638" s="22" t="s">
        <v>163</v>
      </c>
      <c r="O638" s="22" t="s">
        <v>163</v>
      </c>
      <c r="P638" s="22"/>
      <c r="Q638" s="22" t="s">
        <v>2041</v>
      </c>
      <c r="R638" s="22"/>
      <c r="S638" s="22"/>
      <c r="T638" s="22" t="s">
        <v>2307</v>
      </c>
      <c r="U638" s="116" t="s">
        <v>2476</v>
      </c>
      <c r="V638" s="22" t="s">
        <v>109</v>
      </c>
      <c r="W638" s="22" t="s">
        <v>1</v>
      </c>
      <c r="X638" s="22"/>
      <c r="Z638" s="22"/>
      <c r="AA638" s="22"/>
      <c r="AB638" s="22"/>
      <c r="AC638" s="22" t="s">
        <v>649</v>
      </c>
      <c r="AD638" s="22"/>
      <c r="AE638" s="24"/>
      <c r="AF638" s="24" t="s">
        <v>2043</v>
      </c>
      <c r="AG638" s="22"/>
      <c r="AH638" s="25">
        <v>100343</v>
      </c>
      <c r="AI638" s="25" t="s">
        <v>264</v>
      </c>
      <c r="AK638" s="40" t="s">
        <v>373</v>
      </c>
      <c r="AL638" s="40"/>
      <c r="AX638" s="27"/>
      <c r="AY638" s="27"/>
      <c r="BK638" s="27"/>
      <c r="BL638" s="27"/>
      <c r="BX638" s="27"/>
      <c r="BY638" s="27"/>
      <c r="CH638" s="29"/>
    </row>
    <row r="639" spans="1:86" x14ac:dyDescent="0.2">
      <c r="A639" s="18">
        <v>10034</v>
      </c>
      <c r="B639" s="19">
        <v>4</v>
      </c>
      <c r="C639" s="19">
        <f t="shared" si="63"/>
        <v>100340004</v>
      </c>
      <c r="D639" s="23" t="s">
        <v>646</v>
      </c>
      <c r="E639" s="20" t="s">
        <v>109</v>
      </c>
      <c r="I639" s="22" t="s">
        <v>206</v>
      </c>
      <c r="J639" s="22"/>
      <c r="K639" s="22"/>
      <c r="L639" s="22"/>
      <c r="M639" s="22"/>
      <c r="N639" s="22" t="s">
        <v>163</v>
      </c>
      <c r="O639" s="22" t="s">
        <v>163</v>
      </c>
      <c r="P639" s="22"/>
      <c r="Q639" s="22" t="s">
        <v>2041</v>
      </c>
      <c r="R639" s="22"/>
      <c r="S639" s="22"/>
      <c r="T639" s="22" t="s">
        <v>2307</v>
      </c>
      <c r="U639" s="116" t="s">
        <v>2477</v>
      </c>
      <c r="V639" s="22" t="s">
        <v>109</v>
      </c>
      <c r="W639" s="22" t="s">
        <v>1</v>
      </c>
      <c r="X639" s="22"/>
      <c r="Z639" s="22"/>
      <c r="AA639" s="22"/>
      <c r="AB639" s="22"/>
      <c r="AC639" s="22" t="s">
        <v>649</v>
      </c>
      <c r="AD639" s="22"/>
      <c r="AE639" s="24"/>
      <c r="AF639" s="24" t="s">
        <v>2043</v>
      </c>
      <c r="AG639" s="22"/>
      <c r="AH639" s="25">
        <v>100344</v>
      </c>
      <c r="AI639" s="25" t="s">
        <v>265</v>
      </c>
      <c r="AK639" s="40" t="s">
        <v>374</v>
      </c>
      <c r="AL639" s="40"/>
      <c r="AX639" s="27"/>
      <c r="AY639" s="27"/>
      <c r="BK639" s="27"/>
      <c r="BL639" s="27"/>
      <c r="BX639" s="27"/>
      <c r="BY639" s="27"/>
      <c r="CH639" s="29"/>
    </row>
    <row r="640" spans="1:86" x14ac:dyDescent="0.2">
      <c r="A640" s="18">
        <v>10034</v>
      </c>
      <c r="B640" s="19">
        <v>5</v>
      </c>
      <c r="C640" s="19">
        <f t="shared" si="63"/>
        <v>100340005</v>
      </c>
      <c r="D640" s="23" t="s">
        <v>646</v>
      </c>
      <c r="E640" s="20" t="s">
        <v>109</v>
      </c>
      <c r="I640" s="22" t="s">
        <v>206</v>
      </c>
      <c r="J640" s="22"/>
      <c r="K640" s="22"/>
      <c r="L640" s="22"/>
      <c r="M640" s="22"/>
      <c r="N640" s="22" t="s">
        <v>163</v>
      </c>
      <c r="O640" s="22" t="s">
        <v>163</v>
      </c>
      <c r="P640" s="22"/>
      <c r="Q640" s="22" t="s">
        <v>2041</v>
      </c>
      <c r="R640" s="22"/>
      <c r="S640" s="22"/>
      <c r="T640" s="22" t="s">
        <v>2307</v>
      </c>
      <c r="U640" s="116" t="s">
        <v>2478</v>
      </c>
      <c r="V640" s="22" t="s">
        <v>109</v>
      </c>
      <c r="W640" s="22" t="s">
        <v>1</v>
      </c>
      <c r="X640" s="22"/>
      <c r="Z640" s="22"/>
      <c r="AA640" s="22"/>
      <c r="AB640" s="22"/>
      <c r="AC640" s="22" t="s">
        <v>649</v>
      </c>
      <c r="AD640" s="22"/>
      <c r="AE640" s="24"/>
      <c r="AF640" s="24" t="s">
        <v>2043</v>
      </c>
      <c r="AG640" s="22"/>
      <c r="AH640" s="25">
        <v>100345</v>
      </c>
      <c r="AI640" s="25" t="s">
        <v>266</v>
      </c>
      <c r="AK640" s="40" t="s">
        <v>375</v>
      </c>
      <c r="AL640" s="40"/>
      <c r="AX640" s="27"/>
      <c r="AY640" s="27"/>
      <c r="BK640" s="27"/>
      <c r="BL640" s="27"/>
      <c r="BX640" s="27"/>
      <c r="BY640" s="27"/>
      <c r="CH640" s="29"/>
    </row>
    <row r="641" spans="1:86" x14ac:dyDescent="0.2">
      <c r="A641" s="18">
        <v>10035</v>
      </c>
      <c r="B641" s="19">
        <v>1</v>
      </c>
      <c r="C641" s="19">
        <f t="shared" si="63"/>
        <v>100350001</v>
      </c>
      <c r="D641" s="23" t="s">
        <v>668</v>
      </c>
      <c r="E641" s="20" t="s">
        <v>109</v>
      </c>
      <c r="I641" s="22" t="s">
        <v>206</v>
      </c>
      <c r="J641" s="22"/>
      <c r="K641" s="22"/>
      <c r="L641" s="22"/>
      <c r="M641" s="22"/>
      <c r="N641" s="22" t="s">
        <v>163</v>
      </c>
      <c r="O641" s="22" t="s">
        <v>163</v>
      </c>
      <c r="P641" s="22"/>
      <c r="Q641" s="22" t="s">
        <v>2041</v>
      </c>
      <c r="R641" s="22"/>
      <c r="S641" s="22"/>
      <c r="T641" s="22" t="s">
        <v>2307</v>
      </c>
      <c r="U641" s="116" t="s">
        <v>2479</v>
      </c>
      <c r="V641" s="22" t="s">
        <v>109</v>
      </c>
      <c r="W641" s="22" t="s">
        <v>1</v>
      </c>
      <c r="X641" s="22"/>
      <c r="Z641" s="22"/>
      <c r="AA641" s="22"/>
      <c r="AB641" s="22"/>
      <c r="AC641" s="22" t="s">
        <v>264</v>
      </c>
      <c r="AD641" s="22"/>
      <c r="AE641" s="24"/>
      <c r="AF641" s="24" t="s">
        <v>2043</v>
      </c>
      <c r="AG641" s="22"/>
      <c r="AI641" s="25" t="s">
        <v>176</v>
      </c>
      <c r="AK641" s="40" t="s">
        <v>136</v>
      </c>
      <c r="AL641" s="40"/>
      <c r="AX641" s="27"/>
      <c r="AY641" s="27"/>
      <c r="BK641" s="27"/>
      <c r="BL641" s="27"/>
      <c r="BX641" s="27"/>
      <c r="BY641" s="27"/>
      <c r="CH641" s="29"/>
    </row>
    <row r="642" spans="1:86" x14ac:dyDescent="0.2">
      <c r="A642" s="18">
        <v>10035</v>
      </c>
      <c r="B642" s="19">
        <v>2</v>
      </c>
      <c r="C642" s="19">
        <f t="shared" si="63"/>
        <v>100350002</v>
      </c>
      <c r="D642" s="23" t="s">
        <v>668</v>
      </c>
      <c r="E642" s="20" t="s">
        <v>109</v>
      </c>
      <c r="I642" s="22" t="s">
        <v>206</v>
      </c>
      <c r="J642" s="22"/>
      <c r="K642" s="22"/>
      <c r="L642" s="22"/>
      <c r="M642" s="22"/>
      <c r="N642" s="22" t="s">
        <v>163</v>
      </c>
      <c r="O642" s="22" t="s">
        <v>163</v>
      </c>
      <c r="P642" s="22"/>
      <c r="Q642" s="22" t="s">
        <v>2041</v>
      </c>
      <c r="R642" s="22"/>
      <c r="S642" s="22"/>
      <c r="T642" s="22" t="s">
        <v>2307</v>
      </c>
      <c r="U642" s="116" t="s">
        <v>2480</v>
      </c>
      <c r="V642" s="22" t="s">
        <v>109</v>
      </c>
      <c r="W642" s="22" t="s">
        <v>1</v>
      </c>
      <c r="X642" s="22"/>
      <c r="Z642" s="22"/>
      <c r="AA642" s="22"/>
      <c r="AB642" s="22"/>
      <c r="AC642" s="22" t="s">
        <v>264</v>
      </c>
      <c r="AD642" s="22"/>
      <c r="AE642" s="24"/>
      <c r="AF642" s="24" t="s">
        <v>2043</v>
      </c>
      <c r="AG642" s="22"/>
      <c r="AI642" s="25" t="s">
        <v>260</v>
      </c>
      <c r="AK642" s="40" t="s">
        <v>139</v>
      </c>
      <c r="AL642" s="40"/>
      <c r="AX642" s="27"/>
      <c r="AY642" s="27"/>
      <c r="BK642" s="27"/>
      <c r="BL642" s="27"/>
      <c r="BX642" s="27"/>
      <c r="BY642" s="27"/>
      <c r="CH642" s="29"/>
    </row>
    <row r="643" spans="1:86" x14ac:dyDescent="0.2">
      <c r="A643" s="18">
        <v>10035</v>
      </c>
      <c r="B643" s="19">
        <v>3</v>
      </c>
      <c r="C643" s="19">
        <f t="shared" si="63"/>
        <v>100350003</v>
      </c>
      <c r="D643" s="23" t="s">
        <v>668</v>
      </c>
      <c r="E643" s="20" t="s">
        <v>109</v>
      </c>
      <c r="I643" s="22" t="s">
        <v>206</v>
      </c>
      <c r="J643" s="22"/>
      <c r="K643" s="22"/>
      <c r="L643" s="22"/>
      <c r="M643" s="22"/>
      <c r="N643" s="22" t="s">
        <v>163</v>
      </c>
      <c r="O643" s="22" t="s">
        <v>163</v>
      </c>
      <c r="P643" s="22"/>
      <c r="Q643" s="22" t="s">
        <v>2041</v>
      </c>
      <c r="R643" s="22"/>
      <c r="S643" s="22"/>
      <c r="T643" s="22" t="s">
        <v>2307</v>
      </c>
      <c r="U643" s="116" t="s">
        <v>2481</v>
      </c>
      <c r="V643" s="22" t="s">
        <v>109</v>
      </c>
      <c r="W643" s="22" t="s">
        <v>1</v>
      </c>
      <c r="X643" s="22"/>
      <c r="Z643" s="22"/>
      <c r="AA643" s="22"/>
      <c r="AB643" s="22"/>
      <c r="AC643" s="22" t="s">
        <v>264</v>
      </c>
      <c r="AD643" s="22"/>
      <c r="AE643" s="24"/>
      <c r="AF643" s="24" t="s">
        <v>2043</v>
      </c>
      <c r="AG643" s="22"/>
      <c r="AH643" s="25" t="s">
        <v>669</v>
      </c>
      <c r="AI643" s="25" t="s">
        <v>264</v>
      </c>
      <c r="AK643" s="40" t="s">
        <v>373</v>
      </c>
      <c r="AL643" s="40"/>
      <c r="AX643" s="27"/>
      <c r="AY643" s="27"/>
      <c r="BK643" s="27"/>
      <c r="BL643" s="27"/>
      <c r="BX643" s="27"/>
      <c r="BY643" s="27"/>
      <c r="CH643" s="29"/>
    </row>
    <row r="644" spans="1:86" x14ac:dyDescent="0.2">
      <c r="A644" s="18">
        <v>10035</v>
      </c>
      <c r="B644" s="19">
        <v>4</v>
      </c>
      <c r="C644" s="19">
        <f t="shared" si="63"/>
        <v>100350004</v>
      </c>
      <c r="D644" s="23" t="s">
        <v>668</v>
      </c>
      <c r="E644" s="20" t="s">
        <v>109</v>
      </c>
      <c r="I644" s="22" t="s">
        <v>206</v>
      </c>
      <c r="J644" s="22"/>
      <c r="K644" s="22"/>
      <c r="L644" s="22"/>
      <c r="M644" s="22"/>
      <c r="N644" s="22" t="s">
        <v>163</v>
      </c>
      <c r="O644" s="22" t="s">
        <v>163</v>
      </c>
      <c r="P644" s="22"/>
      <c r="Q644" s="22" t="s">
        <v>2041</v>
      </c>
      <c r="R644" s="22"/>
      <c r="S644" s="22"/>
      <c r="T644" s="22" t="s">
        <v>2307</v>
      </c>
      <c r="U644" s="116" t="s">
        <v>2482</v>
      </c>
      <c r="V644" s="22" t="s">
        <v>109</v>
      </c>
      <c r="W644" s="22" t="s">
        <v>1</v>
      </c>
      <c r="X644" s="22"/>
      <c r="Z644" s="22"/>
      <c r="AA644" s="22"/>
      <c r="AB644" s="22"/>
      <c r="AC644" s="22" t="s">
        <v>264</v>
      </c>
      <c r="AD644" s="22"/>
      <c r="AE644" s="24"/>
      <c r="AF644" s="24" t="s">
        <v>2043</v>
      </c>
      <c r="AG644" s="22"/>
      <c r="AH644" s="25" t="s">
        <v>670</v>
      </c>
      <c r="AI644" s="25" t="s">
        <v>265</v>
      </c>
      <c r="AK644" s="40" t="s">
        <v>374</v>
      </c>
      <c r="AL644" s="40"/>
      <c r="AX644" s="27"/>
      <c r="AY644" s="27"/>
      <c r="BK644" s="27"/>
      <c r="BL644" s="27"/>
      <c r="BX644" s="27"/>
      <c r="BY644" s="27"/>
      <c r="CH644" s="29"/>
    </row>
    <row r="645" spans="1:86" x14ac:dyDescent="0.2">
      <c r="A645" s="18">
        <v>10035</v>
      </c>
      <c r="B645" s="19">
        <v>5</v>
      </c>
      <c r="C645" s="19">
        <f t="shared" si="63"/>
        <v>100350005</v>
      </c>
      <c r="D645" s="23" t="s">
        <v>668</v>
      </c>
      <c r="E645" s="20" t="s">
        <v>109</v>
      </c>
      <c r="I645" s="22" t="s">
        <v>206</v>
      </c>
      <c r="J645" s="22"/>
      <c r="K645" s="22"/>
      <c r="L645" s="22"/>
      <c r="M645" s="22"/>
      <c r="N645" s="22" t="s">
        <v>163</v>
      </c>
      <c r="O645" s="22" t="s">
        <v>163</v>
      </c>
      <c r="P645" s="22"/>
      <c r="Q645" s="22" t="s">
        <v>2041</v>
      </c>
      <c r="R645" s="22"/>
      <c r="S645" s="22"/>
      <c r="T645" s="22" t="s">
        <v>2307</v>
      </c>
      <c r="U645" s="116" t="s">
        <v>2483</v>
      </c>
      <c r="V645" s="22" t="s">
        <v>109</v>
      </c>
      <c r="W645" s="22" t="s">
        <v>1</v>
      </c>
      <c r="X645" s="22"/>
      <c r="Z645" s="22"/>
      <c r="AA645" s="22"/>
      <c r="AB645" s="22"/>
      <c r="AC645" s="22" t="s">
        <v>264</v>
      </c>
      <c r="AD645" s="22"/>
      <c r="AE645" s="24"/>
      <c r="AF645" s="24" t="s">
        <v>2043</v>
      </c>
      <c r="AG645" s="22"/>
      <c r="AH645" s="25" t="s">
        <v>671</v>
      </c>
      <c r="AI645" s="25" t="s">
        <v>266</v>
      </c>
      <c r="AK645" s="40" t="s">
        <v>375</v>
      </c>
      <c r="AL645" s="40"/>
      <c r="AX645" s="27"/>
      <c r="AY645" s="27"/>
      <c r="BK645" s="27"/>
      <c r="BL645" s="27"/>
      <c r="BX645" s="27"/>
      <c r="BY645" s="27"/>
      <c r="CH645" s="29"/>
    </row>
    <row r="646" spans="1:86" x14ac:dyDescent="0.2">
      <c r="A646" s="18">
        <v>10036</v>
      </c>
      <c r="B646" s="19">
        <v>1</v>
      </c>
      <c r="C646" s="19">
        <f t="shared" si="63"/>
        <v>100360001</v>
      </c>
      <c r="D646" s="23" t="s">
        <v>708</v>
      </c>
      <c r="E646" s="20" t="s">
        <v>109</v>
      </c>
      <c r="I646" s="22" t="s">
        <v>206</v>
      </c>
      <c r="J646" s="22"/>
      <c r="K646" s="22"/>
      <c r="L646" s="22"/>
      <c r="M646" s="22"/>
      <c r="N646" s="22" t="s">
        <v>163</v>
      </c>
      <c r="O646" s="22" t="s">
        <v>163</v>
      </c>
      <c r="P646" s="22"/>
      <c r="Q646" s="22" t="s">
        <v>2041</v>
      </c>
      <c r="R646" s="22"/>
      <c r="S646" s="22"/>
      <c r="T646" s="22" t="s">
        <v>2307</v>
      </c>
      <c r="U646" s="116" t="s">
        <v>2484</v>
      </c>
      <c r="V646" s="22" t="s">
        <v>109</v>
      </c>
      <c r="W646" s="22" t="s">
        <v>1</v>
      </c>
      <c r="X646" s="22"/>
      <c r="Z646" s="22"/>
      <c r="AA646" s="22"/>
      <c r="AB646" s="22"/>
      <c r="AC646" s="22">
        <v>36</v>
      </c>
      <c r="AD646" s="22"/>
      <c r="AE646" s="24"/>
      <c r="AF646" s="24" t="s">
        <v>2043</v>
      </c>
      <c r="AG646" s="22"/>
      <c r="AI646" s="25" t="s">
        <v>176</v>
      </c>
      <c r="AK646" s="40" t="s">
        <v>136</v>
      </c>
      <c r="AL646" s="40"/>
      <c r="AX646" s="27"/>
      <c r="AY646" s="27"/>
      <c r="BK646" s="27"/>
      <c r="BL646" s="27"/>
      <c r="BX646" s="27"/>
      <c r="BY646" s="27"/>
      <c r="CH646" s="29"/>
    </row>
    <row r="647" spans="1:86" x14ac:dyDescent="0.2">
      <c r="A647" s="18">
        <v>10036</v>
      </c>
      <c r="B647" s="19">
        <v>2</v>
      </c>
      <c r="C647" s="19">
        <f t="shared" si="63"/>
        <v>100360002</v>
      </c>
      <c r="D647" s="23" t="s">
        <v>708</v>
      </c>
      <c r="E647" s="20" t="s">
        <v>109</v>
      </c>
      <c r="I647" s="22" t="s">
        <v>206</v>
      </c>
      <c r="J647" s="22"/>
      <c r="K647" s="22"/>
      <c r="L647" s="22"/>
      <c r="M647" s="22"/>
      <c r="N647" s="22" t="s">
        <v>163</v>
      </c>
      <c r="O647" s="22" t="s">
        <v>163</v>
      </c>
      <c r="P647" s="22"/>
      <c r="Q647" s="22" t="s">
        <v>2041</v>
      </c>
      <c r="R647" s="22"/>
      <c r="S647" s="22"/>
      <c r="T647" s="22" t="s">
        <v>2307</v>
      </c>
      <c r="U647" s="116" t="s">
        <v>2485</v>
      </c>
      <c r="V647" s="22" t="s">
        <v>109</v>
      </c>
      <c r="W647" s="22" t="s">
        <v>1</v>
      </c>
      <c r="X647" s="22"/>
      <c r="Z647" s="22"/>
      <c r="AA647" s="22"/>
      <c r="AB647" s="22"/>
      <c r="AC647" s="22">
        <v>36</v>
      </c>
      <c r="AD647" s="22"/>
      <c r="AE647" s="24"/>
      <c r="AF647" s="24" t="s">
        <v>2043</v>
      </c>
      <c r="AG647" s="22"/>
      <c r="AI647" s="25" t="s">
        <v>260</v>
      </c>
      <c r="AK647" s="40" t="s">
        <v>139</v>
      </c>
      <c r="AL647" s="40"/>
      <c r="AX647" s="27"/>
      <c r="AY647" s="27"/>
      <c r="BK647" s="27"/>
      <c r="BL647" s="27"/>
      <c r="BX647" s="27"/>
      <c r="BY647" s="27"/>
      <c r="CH647" s="29"/>
    </row>
    <row r="648" spans="1:86" x14ac:dyDescent="0.2">
      <c r="A648" s="18">
        <v>10036</v>
      </c>
      <c r="B648" s="19">
        <v>3</v>
      </c>
      <c r="C648" s="19">
        <f t="shared" si="63"/>
        <v>100360003</v>
      </c>
      <c r="D648" s="23" t="s">
        <v>708</v>
      </c>
      <c r="E648" s="20" t="s">
        <v>109</v>
      </c>
      <c r="I648" s="22" t="s">
        <v>206</v>
      </c>
      <c r="J648" s="22"/>
      <c r="K648" s="22"/>
      <c r="L648" s="22"/>
      <c r="M648" s="22"/>
      <c r="N648" s="22" t="s">
        <v>163</v>
      </c>
      <c r="O648" s="22" t="s">
        <v>163</v>
      </c>
      <c r="P648" s="22"/>
      <c r="Q648" s="22" t="s">
        <v>2041</v>
      </c>
      <c r="R648" s="22"/>
      <c r="S648" s="22"/>
      <c r="T648" s="22" t="s">
        <v>2307</v>
      </c>
      <c r="U648" s="116" t="s">
        <v>2486</v>
      </c>
      <c r="V648" s="22" t="s">
        <v>109</v>
      </c>
      <c r="W648" s="22" t="s">
        <v>1</v>
      </c>
      <c r="X648" s="22"/>
      <c r="Z648" s="22"/>
      <c r="AA648" s="22"/>
      <c r="AB648" s="22"/>
      <c r="AC648" s="22">
        <v>36</v>
      </c>
      <c r="AD648" s="22"/>
      <c r="AE648" s="24"/>
      <c r="AF648" s="24" t="s">
        <v>2043</v>
      </c>
      <c r="AG648" s="22"/>
      <c r="AH648" s="25">
        <v>100363</v>
      </c>
      <c r="AI648" s="25" t="s">
        <v>264</v>
      </c>
      <c r="AK648" s="40" t="s">
        <v>373</v>
      </c>
      <c r="AL648" s="40"/>
      <c r="AX648" s="27"/>
      <c r="AY648" s="27"/>
      <c r="BK648" s="27"/>
      <c r="BL648" s="27"/>
      <c r="BX648" s="27"/>
      <c r="BY648" s="27"/>
      <c r="CH648" s="29"/>
    </row>
    <row r="649" spans="1:86" x14ac:dyDescent="0.2">
      <c r="A649" s="18">
        <v>10036</v>
      </c>
      <c r="B649" s="19">
        <v>4</v>
      </c>
      <c r="C649" s="19">
        <f t="shared" si="63"/>
        <v>100360004</v>
      </c>
      <c r="D649" s="23" t="s">
        <v>708</v>
      </c>
      <c r="E649" s="20" t="s">
        <v>109</v>
      </c>
      <c r="I649" s="22" t="s">
        <v>206</v>
      </c>
      <c r="J649" s="22"/>
      <c r="K649" s="22"/>
      <c r="L649" s="22"/>
      <c r="M649" s="22"/>
      <c r="N649" s="22" t="s">
        <v>163</v>
      </c>
      <c r="O649" s="22" t="s">
        <v>163</v>
      </c>
      <c r="P649" s="22"/>
      <c r="Q649" s="22" t="s">
        <v>2041</v>
      </c>
      <c r="R649" s="22"/>
      <c r="S649" s="22"/>
      <c r="T649" s="22" t="s">
        <v>2307</v>
      </c>
      <c r="U649" s="116" t="s">
        <v>2487</v>
      </c>
      <c r="V649" s="22" t="s">
        <v>109</v>
      </c>
      <c r="W649" s="22" t="s">
        <v>1</v>
      </c>
      <c r="X649" s="22"/>
      <c r="Z649" s="22"/>
      <c r="AA649" s="22"/>
      <c r="AB649" s="22"/>
      <c r="AC649" s="22">
        <v>36</v>
      </c>
      <c r="AD649" s="22"/>
      <c r="AE649" s="24"/>
      <c r="AF649" s="24" t="s">
        <v>2043</v>
      </c>
      <c r="AG649" s="22"/>
      <c r="AH649" s="25">
        <v>100364</v>
      </c>
      <c r="AI649" s="25" t="s">
        <v>265</v>
      </c>
      <c r="AK649" s="40" t="s">
        <v>374</v>
      </c>
      <c r="AL649" s="40"/>
      <c r="AX649" s="27"/>
      <c r="AY649" s="27"/>
      <c r="BK649" s="27"/>
      <c r="BL649" s="27"/>
      <c r="BX649" s="27"/>
      <c r="BY649" s="27"/>
      <c r="CH649" s="29"/>
    </row>
    <row r="650" spans="1:86" x14ac:dyDescent="0.2">
      <c r="A650" s="18">
        <v>10036</v>
      </c>
      <c r="B650" s="19">
        <v>5</v>
      </c>
      <c r="C650" s="19">
        <f t="shared" si="63"/>
        <v>100360005</v>
      </c>
      <c r="D650" s="23" t="s">
        <v>708</v>
      </c>
      <c r="E650" s="20" t="s">
        <v>109</v>
      </c>
      <c r="I650" s="22" t="s">
        <v>206</v>
      </c>
      <c r="J650" s="22"/>
      <c r="K650" s="22"/>
      <c r="L650" s="22"/>
      <c r="M650" s="22"/>
      <c r="N650" s="22" t="s">
        <v>163</v>
      </c>
      <c r="O650" s="22" t="s">
        <v>163</v>
      </c>
      <c r="P650" s="22"/>
      <c r="Q650" s="22" t="s">
        <v>2041</v>
      </c>
      <c r="R650" s="22"/>
      <c r="S650" s="22"/>
      <c r="T650" s="22" t="s">
        <v>2307</v>
      </c>
      <c r="U650" s="116" t="s">
        <v>2488</v>
      </c>
      <c r="V650" s="22" t="s">
        <v>109</v>
      </c>
      <c r="W650" s="22" t="s">
        <v>1</v>
      </c>
      <c r="X650" s="22"/>
      <c r="Z650" s="22"/>
      <c r="AA650" s="22"/>
      <c r="AB650" s="22"/>
      <c r="AC650" s="22">
        <v>36</v>
      </c>
      <c r="AD650" s="22"/>
      <c r="AE650" s="24"/>
      <c r="AF650" s="24" t="s">
        <v>2043</v>
      </c>
      <c r="AG650" s="22"/>
      <c r="AH650" s="25">
        <v>100365</v>
      </c>
      <c r="AI650" s="25" t="s">
        <v>266</v>
      </c>
      <c r="AK650" s="40" t="s">
        <v>375</v>
      </c>
      <c r="AL650" s="40"/>
      <c r="AX650" s="27"/>
      <c r="AY650" s="27"/>
      <c r="BK650" s="27"/>
      <c r="BL650" s="27"/>
      <c r="BX650" s="27"/>
      <c r="BY650" s="27"/>
      <c r="CH650" s="29"/>
    </row>
    <row r="651" spans="1:86" x14ac:dyDescent="0.2">
      <c r="A651" s="18">
        <v>10037</v>
      </c>
      <c r="B651" s="19">
        <v>1</v>
      </c>
      <c r="C651" s="19">
        <f t="shared" si="63"/>
        <v>100370001</v>
      </c>
      <c r="D651" s="23" t="s">
        <v>647</v>
      </c>
      <c r="E651" s="20" t="s">
        <v>109</v>
      </c>
      <c r="I651" s="22" t="s">
        <v>206</v>
      </c>
      <c r="J651" s="22"/>
      <c r="K651" s="22"/>
      <c r="L651" s="22"/>
      <c r="M651" s="22"/>
      <c r="N651" s="22" t="s">
        <v>163</v>
      </c>
      <c r="O651" s="22" t="s">
        <v>163</v>
      </c>
      <c r="P651" s="22"/>
      <c r="Q651" s="22" t="s">
        <v>2041</v>
      </c>
      <c r="R651" s="22"/>
      <c r="S651" s="22"/>
      <c r="T651" s="22" t="s">
        <v>2307</v>
      </c>
      <c r="U651" s="116" t="s">
        <v>2489</v>
      </c>
      <c r="V651" s="22" t="s">
        <v>109</v>
      </c>
      <c r="W651" s="22" t="s">
        <v>1</v>
      </c>
      <c r="X651" s="22"/>
      <c r="Z651" s="22"/>
      <c r="AA651" s="22"/>
      <c r="AB651" s="22"/>
      <c r="AC651" s="22" t="s">
        <v>650</v>
      </c>
      <c r="AD651" s="22"/>
      <c r="AE651" s="24"/>
      <c r="AF651" s="24" t="s">
        <v>2043</v>
      </c>
      <c r="AG651" s="22"/>
      <c r="AI651" s="25" t="s">
        <v>176</v>
      </c>
      <c r="AK651" s="40" t="s">
        <v>136</v>
      </c>
      <c r="AL651" s="40"/>
      <c r="AX651" s="27"/>
      <c r="AY651" s="27"/>
      <c r="BK651" s="27"/>
      <c r="BL651" s="27"/>
      <c r="BX651" s="27"/>
      <c r="BY651" s="27"/>
      <c r="CH651" s="29"/>
    </row>
    <row r="652" spans="1:86" x14ac:dyDescent="0.2">
      <c r="A652" s="18">
        <v>10037</v>
      </c>
      <c r="B652" s="19">
        <v>2</v>
      </c>
      <c r="C652" s="19">
        <f t="shared" si="63"/>
        <v>100370002</v>
      </c>
      <c r="D652" s="23" t="s">
        <v>647</v>
      </c>
      <c r="E652" s="20" t="s">
        <v>109</v>
      </c>
      <c r="I652" s="22" t="s">
        <v>206</v>
      </c>
      <c r="J652" s="22"/>
      <c r="K652" s="22"/>
      <c r="L652" s="22"/>
      <c r="M652" s="22"/>
      <c r="N652" s="22" t="s">
        <v>163</v>
      </c>
      <c r="O652" s="22" t="s">
        <v>163</v>
      </c>
      <c r="P652" s="22"/>
      <c r="Q652" s="22" t="s">
        <v>2041</v>
      </c>
      <c r="R652" s="22"/>
      <c r="S652" s="22"/>
      <c r="T652" s="22" t="s">
        <v>2307</v>
      </c>
      <c r="U652" s="116" t="s">
        <v>2490</v>
      </c>
      <c r="V652" s="22" t="s">
        <v>109</v>
      </c>
      <c r="W652" s="22" t="s">
        <v>1</v>
      </c>
      <c r="X652" s="22"/>
      <c r="Z652" s="22"/>
      <c r="AA652" s="22"/>
      <c r="AB652" s="22"/>
      <c r="AC652" s="22" t="s">
        <v>650</v>
      </c>
      <c r="AD652" s="22"/>
      <c r="AE652" s="24"/>
      <c r="AF652" s="24" t="s">
        <v>2043</v>
      </c>
      <c r="AG652" s="22"/>
      <c r="AI652" s="25" t="s">
        <v>260</v>
      </c>
      <c r="AK652" s="40" t="s">
        <v>139</v>
      </c>
      <c r="AL652" s="40"/>
      <c r="AX652" s="27"/>
      <c r="AY652" s="27"/>
      <c r="BK652" s="27"/>
      <c r="BL652" s="27"/>
      <c r="BX652" s="27"/>
      <c r="BY652" s="27"/>
      <c r="CH652" s="29"/>
    </row>
    <row r="653" spans="1:86" x14ac:dyDescent="0.2">
      <c r="A653" s="18">
        <v>10037</v>
      </c>
      <c r="B653" s="19">
        <v>3</v>
      </c>
      <c r="C653" s="19">
        <f t="shared" si="63"/>
        <v>100370003</v>
      </c>
      <c r="D653" s="23" t="s">
        <v>647</v>
      </c>
      <c r="E653" s="20" t="s">
        <v>109</v>
      </c>
      <c r="I653" s="22" t="s">
        <v>206</v>
      </c>
      <c r="J653" s="22"/>
      <c r="K653" s="22"/>
      <c r="L653" s="22"/>
      <c r="M653" s="22"/>
      <c r="N653" s="22" t="s">
        <v>163</v>
      </c>
      <c r="O653" s="22" t="s">
        <v>163</v>
      </c>
      <c r="P653" s="22"/>
      <c r="Q653" s="22" t="s">
        <v>2041</v>
      </c>
      <c r="R653" s="22"/>
      <c r="S653" s="22"/>
      <c r="T653" s="22" t="s">
        <v>2307</v>
      </c>
      <c r="U653" s="116" t="s">
        <v>2491</v>
      </c>
      <c r="V653" s="22" t="s">
        <v>109</v>
      </c>
      <c r="W653" s="22" t="s">
        <v>1</v>
      </c>
      <c r="X653" s="22"/>
      <c r="Z653" s="22"/>
      <c r="AA653" s="22"/>
      <c r="AB653" s="22"/>
      <c r="AC653" s="22" t="s">
        <v>650</v>
      </c>
      <c r="AD653" s="22"/>
      <c r="AE653" s="24"/>
      <c r="AF653" s="24" t="s">
        <v>2043</v>
      </c>
      <c r="AG653" s="22"/>
      <c r="AH653" s="25">
        <v>100373</v>
      </c>
      <c r="AI653" s="25" t="s">
        <v>264</v>
      </c>
      <c r="AK653" s="40" t="s">
        <v>373</v>
      </c>
      <c r="AL653" s="40"/>
      <c r="AX653" s="27"/>
      <c r="AY653" s="27"/>
      <c r="BK653" s="27"/>
      <c r="BL653" s="27"/>
      <c r="BX653" s="27"/>
      <c r="BY653" s="27"/>
      <c r="CH653" s="29"/>
    </row>
    <row r="654" spans="1:86" ht="12.75" customHeight="1" x14ac:dyDescent="0.2">
      <c r="A654" s="18">
        <v>10037</v>
      </c>
      <c r="B654" s="19">
        <v>4</v>
      </c>
      <c r="C654" s="19">
        <f t="shared" si="63"/>
        <v>100370004</v>
      </c>
      <c r="D654" s="23" t="s">
        <v>647</v>
      </c>
      <c r="E654" s="20" t="s">
        <v>109</v>
      </c>
      <c r="I654" s="22" t="s">
        <v>206</v>
      </c>
      <c r="J654" s="22"/>
      <c r="K654" s="22"/>
      <c r="L654" s="22"/>
      <c r="M654" s="22"/>
      <c r="N654" s="22" t="s">
        <v>163</v>
      </c>
      <c r="O654" s="22" t="s">
        <v>163</v>
      </c>
      <c r="P654" s="22"/>
      <c r="Q654" s="22" t="s">
        <v>2041</v>
      </c>
      <c r="R654" s="22"/>
      <c r="S654" s="22"/>
      <c r="T654" s="22" t="s">
        <v>2307</v>
      </c>
      <c r="U654" s="116" t="s">
        <v>2492</v>
      </c>
      <c r="V654" s="22" t="s">
        <v>109</v>
      </c>
      <c r="W654" s="22" t="s">
        <v>1</v>
      </c>
      <c r="X654" s="22"/>
      <c r="Z654" s="22"/>
      <c r="AA654" s="22"/>
      <c r="AB654" s="22"/>
      <c r="AC654" s="22" t="s">
        <v>650</v>
      </c>
      <c r="AD654" s="22"/>
      <c r="AE654" s="24"/>
      <c r="AF654" s="24" t="s">
        <v>2043</v>
      </c>
      <c r="AG654" s="22"/>
      <c r="AH654" s="25">
        <v>100374</v>
      </c>
      <c r="AI654" s="25" t="s">
        <v>265</v>
      </c>
      <c r="AK654" s="40" t="s">
        <v>374</v>
      </c>
      <c r="AL654" s="40"/>
      <c r="AX654" s="27"/>
      <c r="AY654" s="27"/>
      <c r="BK654" s="27"/>
      <c r="BL654" s="27"/>
      <c r="BX654" s="27"/>
      <c r="BY654" s="27"/>
      <c r="CH654" s="29"/>
    </row>
    <row r="655" spans="1:86" x14ac:dyDescent="0.2">
      <c r="A655" s="18">
        <v>10037</v>
      </c>
      <c r="B655" s="19">
        <v>5</v>
      </c>
      <c r="C655" s="19">
        <f t="shared" si="63"/>
        <v>100370005</v>
      </c>
      <c r="D655" s="23" t="s">
        <v>647</v>
      </c>
      <c r="E655" s="20" t="s">
        <v>109</v>
      </c>
      <c r="I655" s="22" t="s">
        <v>206</v>
      </c>
      <c r="J655" s="22"/>
      <c r="K655" s="22"/>
      <c r="L655" s="22"/>
      <c r="M655" s="22"/>
      <c r="N655" s="22" t="s">
        <v>163</v>
      </c>
      <c r="O655" s="22" t="s">
        <v>163</v>
      </c>
      <c r="P655" s="22"/>
      <c r="Q655" s="22" t="s">
        <v>2041</v>
      </c>
      <c r="R655" s="22"/>
      <c r="S655" s="22"/>
      <c r="T655" s="22" t="s">
        <v>2307</v>
      </c>
      <c r="U655" s="116" t="s">
        <v>2493</v>
      </c>
      <c r="V655" s="22" t="s">
        <v>109</v>
      </c>
      <c r="W655" s="22" t="s">
        <v>1</v>
      </c>
      <c r="X655" s="22"/>
      <c r="Z655" s="22"/>
      <c r="AA655" s="22"/>
      <c r="AB655" s="22"/>
      <c r="AC655" s="22" t="s">
        <v>650</v>
      </c>
      <c r="AD655" s="22"/>
      <c r="AE655" s="24"/>
      <c r="AF655" s="24" t="s">
        <v>2043</v>
      </c>
      <c r="AG655" s="22"/>
      <c r="AH655" s="25">
        <v>100375</v>
      </c>
      <c r="AI655" s="25" t="s">
        <v>266</v>
      </c>
      <c r="AK655" s="40" t="s">
        <v>375</v>
      </c>
      <c r="AL655" s="40"/>
      <c r="AX655" s="27"/>
      <c r="AY655" s="27"/>
      <c r="BK655" s="27"/>
      <c r="BL655" s="27"/>
      <c r="BX655" s="27"/>
      <c r="BY655" s="27"/>
      <c r="CH655" s="29"/>
    </row>
    <row r="656" spans="1:86" x14ac:dyDescent="0.2">
      <c r="A656" s="18">
        <v>10038</v>
      </c>
      <c r="B656" s="19">
        <v>1</v>
      </c>
      <c r="C656" s="19">
        <f t="shared" si="63"/>
        <v>100380001</v>
      </c>
      <c r="D656" s="23" t="s">
        <v>978</v>
      </c>
      <c r="E656" s="20" t="s">
        <v>109</v>
      </c>
      <c r="I656" s="22" t="s">
        <v>206</v>
      </c>
      <c r="J656" s="22"/>
      <c r="K656" s="22"/>
      <c r="L656" s="22"/>
      <c r="M656" s="22"/>
      <c r="N656" s="22" t="s">
        <v>1159</v>
      </c>
      <c r="O656" s="22" t="s">
        <v>1159</v>
      </c>
      <c r="P656" s="22"/>
      <c r="Q656" s="22" t="s">
        <v>2041</v>
      </c>
      <c r="R656" s="22"/>
      <c r="S656" s="22"/>
      <c r="T656" s="22" t="s">
        <v>2307</v>
      </c>
      <c r="U656" s="116" t="s">
        <v>2494</v>
      </c>
      <c r="V656" s="22" t="s">
        <v>109</v>
      </c>
      <c r="W656" s="22" t="s">
        <v>1</v>
      </c>
      <c r="X656" s="22"/>
      <c r="Z656" s="22"/>
      <c r="AA656" s="22"/>
      <c r="AB656" s="22"/>
      <c r="AC656" s="22">
        <v>38</v>
      </c>
      <c r="AD656" s="22"/>
      <c r="AE656" s="24"/>
      <c r="AF656" s="24" t="s">
        <v>2043</v>
      </c>
      <c r="AG656" s="22"/>
      <c r="AI656" s="25" t="s">
        <v>204</v>
      </c>
      <c r="AK656" s="40" t="s">
        <v>1160</v>
      </c>
      <c r="AL656" s="40"/>
      <c r="AX656" s="27"/>
      <c r="AY656" s="27"/>
      <c r="BK656" s="27"/>
      <c r="BL656" s="27"/>
      <c r="BX656" s="27"/>
      <c r="BY656" s="27"/>
      <c r="CH656" s="29"/>
    </row>
    <row r="657" spans="1:86" x14ac:dyDescent="0.2">
      <c r="A657" s="18">
        <v>10038</v>
      </c>
      <c r="B657" s="19">
        <v>2</v>
      </c>
      <c r="C657" s="19">
        <f t="shared" si="63"/>
        <v>100380002</v>
      </c>
      <c r="D657" s="23" t="s">
        <v>978</v>
      </c>
      <c r="E657" s="20" t="s">
        <v>109</v>
      </c>
      <c r="I657" s="22" t="s">
        <v>206</v>
      </c>
      <c r="J657" s="22"/>
      <c r="K657" s="22"/>
      <c r="L657" s="22"/>
      <c r="M657" s="22"/>
      <c r="N657" s="22" t="s">
        <v>1159</v>
      </c>
      <c r="O657" s="22" t="s">
        <v>1159</v>
      </c>
      <c r="P657" s="22"/>
      <c r="Q657" s="22" t="s">
        <v>2041</v>
      </c>
      <c r="R657" s="22"/>
      <c r="S657" s="22"/>
      <c r="T657" s="22" t="s">
        <v>2307</v>
      </c>
      <c r="U657" s="116" t="s">
        <v>2495</v>
      </c>
      <c r="V657" s="22" t="s">
        <v>109</v>
      </c>
      <c r="W657" s="22" t="s">
        <v>1</v>
      </c>
      <c r="X657" s="22"/>
      <c r="Z657" s="22"/>
      <c r="AA657" s="22"/>
      <c r="AB657" s="22"/>
      <c r="AC657" s="22">
        <v>38</v>
      </c>
      <c r="AD657" s="22"/>
      <c r="AE657" s="24"/>
      <c r="AF657" s="24" t="s">
        <v>2043</v>
      </c>
      <c r="AG657" s="22"/>
      <c r="AI657" s="25" t="s">
        <v>1161</v>
      </c>
      <c r="AK657" s="40" t="s">
        <v>1162</v>
      </c>
      <c r="AL657" s="40"/>
      <c r="AX657" s="27"/>
      <c r="AY657" s="27"/>
      <c r="BK657" s="27"/>
      <c r="BL657" s="27"/>
      <c r="BX657" s="27"/>
      <c r="BY657" s="27"/>
      <c r="CH657" s="29"/>
    </row>
    <row r="658" spans="1:86" x14ac:dyDescent="0.2">
      <c r="A658" s="18">
        <v>10038</v>
      </c>
      <c r="B658" s="19">
        <v>3</v>
      </c>
      <c r="C658" s="19">
        <f t="shared" si="63"/>
        <v>100380003</v>
      </c>
      <c r="D658" s="23" t="s">
        <v>978</v>
      </c>
      <c r="E658" s="20" t="s">
        <v>109</v>
      </c>
      <c r="I658" s="22" t="s">
        <v>206</v>
      </c>
      <c r="J658" s="22"/>
      <c r="K658" s="22"/>
      <c r="L658" s="22"/>
      <c r="M658" s="22"/>
      <c r="N658" s="22" t="s">
        <v>1159</v>
      </c>
      <c r="O658" s="22" t="s">
        <v>1159</v>
      </c>
      <c r="P658" s="22"/>
      <c r="Q658" s="22" t="s">
        <v>2041</v>
      </c>
      <c r="R658" s="22"/>
      <c r="S658" s="22"/>
      <c r="T658" s="22" t="s">
        <v>2307</v>
      </c>
      <c r="U658" s="116" t="s">
        <v>2496</v>
      </c>
      <c r="V658" s="22" t="s">
        <v>109</v>
      </c>
      <c r="W658" s="22" t="s">
        <v>1</v>
      </c>
      <c r="X658" s="22"/>
      <c r="Z658" s="22"/>
      <c r="AA658" s="22"/>
      <c r="AB658" s="22"/>
      <c r="AC658" s="22">
        <v>38</v>
      </c>
      <c r="AD658" s="22"/>
      <c r="AE658" s="24"/>
      <c r="AF658" s="24" t="s">
        <v>2043</v>
      </c>
      <c r="AG658" s="22"/>
      <c r="AH658" s="25">
        <v>100383</v>
      </c>
      <c r="AI658" s="25" t="s">
        <v>1163</v>
      </c>
      <c r="AK658" s="40" t="s">
        <v>1164</v>
      </c>
      <c r="AL658" s="40"/>
      <c r="AX658" s="27"/>
      <c r="AY658" s="27"/>
      <c r="BK658" s="27"/>
      <c r="BL658" s="27"/>
      <c r="BX658" s="27"/>
      <c r="BY658" s="27"/>
      <c r="CH658" s="29"/>
    </row>
    <row r="659" spans="1:86" x14ac:dyDescent="0.2">
      <c r="A659" s="18">
        <v>10038</v>
      </c>
      <c r="B659" s="19">
        <v>4</v>
      </c>
      <c r="C659" s="19">
        <f t="shared" si="63"/>
        <v>100380004</v>
      </c>
      <c r="D659" s="23" t="s">
        <v>978</v>
      </c>
      <c r="E659" s="20" t="s">
        <v>109</v>
      </c>
      <c r="I659" s="22" t="s">
        <v>206</v>
      </c>
      <c r="J659" s="22"/>
      <c r="K659" s="22"/>
      <c r="L659" s="22"/>
      <c r="M659" s="22"/>
      <c r="N659" s="22" t="s">
        <v>1159</v>
      </c>
      <c r="O659" s="22" t="s">
        <v>1159</v>
      </c>
      <c r="P659" s="22"/>
      <c r="Q659" s="22" t="s">
        <v>2041</v>
      </c>
      <c r="R659" s="22"/>
      <c r="S659" s="22"/>
      <c r="T659" s="22" t="s">
        <v>2307</v>
      </c>
      <c r="U659" s="116" t="s">
        <v>2497</v>
      </c>
      <c r="V659" s="22" t="s">
        <v>109</v>
      </c>
      <c r="W659" s="22" t="s">
        <v>1</v>
      </c>
      <c r="X659" s="22"/>
      <c r="Z659" s="22"/>
      <c r="AA659" s="22"/>
      <c r="AB659" s="22"/>
      <c r="AC659" s="22">
        <v>38</v>
      </c>
      <c r="AD659" s="22"/>
      <c r="AE659" s="24"/>
      <c r="AF659" s="24" t="s">
        <v>2043</v>
      </c>
      <c r="AG659" s="22"/>
      <c r="AH659" s="25">
        <v>100384</v>
      </c>
      <c r="AI659" s="25" t="s">
        <v>1165</v>
      </c>
      <c r="AK659" s="40" t="s">
        <v>1166</v>
      </c>
      <c r="AL659" s="40"/>
      <c r="AX659" s="27"/>
      <c r="AY659" s="27"/>
      <c r="BK659" s="27"/>
      <c r="BL659" s="27"/>
      <c r="BX659" s="27"/>
      <c r="BY659" s="27"/>
      <c r="CH659" s="29"/>
    </row>
    <row r="660" spans="1:86" x14ac:dyDescent="0.2">
      <c r="A660" s="18">
        <v>10038</v>
      </c>
      <c r="B660" s="19">
        <v>5</v>
      </c>
      <c r="C660" s="19">
        <f t="shared" si="63"/>
        <v>100380005</v>
      </c>
      <c r="D660" s="23" t="s">
        <v>978</v>
      </c>
      <c r="E660" s="20" t="s">
        <v>109</v>
      </c>
      <c r="I660" s="22" t="s">
        <v>206</v>
      </c>
      <c r="J660" s="22"/>
      <c r="K660" s="22"/>
      <c r="L660" s="22"/>
      <c r="M660" s="22"/>
      <c r="N660" s="22" t="s">
        <v>1159</v>
      </c>
      <c r="O660" s="22" t="s">
        <v>1159</v>
      </c>
      <c r="P660" s="22"/>
      <c r="Q660" s="22" t="s">
        <v>2041</v>
      </c>
      <c r="R660" s="22"/>
      <c r="S660" s="22"/>
      <c r="T660" s="22" t="s">
        <v>2307</v>
      </c>
      <c r="U660" s="116" t="s">
        <v>2498</v>
      </c>
      <c r="V660" s="22" t="s">
        <v>109</v>
      </c>
      <c r="W660" s="22" t="s">
        <v>1</v>
      </c>
      <c r="X660" s="22"/>
      <c r="Z660" s="22"/>
      <c r="AA660" s="22"/>
      <c r="AB660" s="22"/>
      <c r="AC660" s="22">
        <v>38</v>
      </c>
      <c r="AD660" s="22"/>
      <c r="AE660" s="24"/>
      <c r="AF660" s="24" t="s">
        <v>2043</v>
      </c>
      <c r="AG660" s="22"/>
      <c r="AH660" s="25">
        <v>100385</v>
      </c>
      <c r="AI660" s="25" t="s">
        <v>1167</v>
      </c>
      <c r="AK660" s="40" t="s">
        <v>1168</v>
      </c>
      <c r="AL660" s="40"/>
      <c r="AX660" s="27"/>
      <c r="AY660" s="27"/>
      <c r="BK660" s="27"/>
      <c r="BL660" s="27"/>
      <c r="BX660" s="27"/>
      <c r="BY660" s="27"/>
      <c r="CH660" s="29"/>
    </row>
    <row r="661" spans="1:86" x14ac:dyDescent="0.2">
      <c r="A661" s="18">
        <v>10039</v>
      </c>
      <c r="B661" s="19">
        <v>1</v>
      </c>
      <c r="C661" s="19">
        <f t="shared" si="63"/>
        <v>100390001</v>
      </c>
      <c r="D661" s="23" t="s">
        <v>784</v>
      </c>
      <c r="E661" s="20" t="s">
        <v>109</v>
      </c>
      <c r="I661" s="22" t="s">
        <v>206</v>
      </c>
      <c r="J661" s="22"/>
      <c r="K661" s="22"/>
      <c r="L661" s="22"/>
      <c r="M661" s="22"/>
      <c r="N661" s="22" t="s">
        <v>1159</v>
      </c>
      <c r="O661" s="22" t="s">
        <v>1159</v>
      </c>
      <c r="P661" s="22"/>
      <c r="Q661" s="22" t="s">
        <v>2041</v>
      </c>
      <c r="R661" s="22"/>
      <c r="S661" s="22"/>
      <c r="T661" s="22" t="s">
        <v>2307</v>
      </c>
      <c r="U661" s="116" t="s">
        <v>2499</v>
      </c>
      <c r="V661" s="22" t="s">
        <v>109</v>
      </c>
      <c r="W661" s="22" t="s">
        <v>1</v>
      </c>
      <c r="X661" s="22"/>
      <c r="Z661" s="22"/>
      <c r="AA661" s="22"/>
      <c r="AB661" s="22"/>
      <c r="AC661" s="22" t="s">
        <v>1169</v>
      </c>
      <c r="AD661" s="22"/>
      <c r="AE661" s="24"/>
      <c r="AF661" s="24" t="s">
        <v>2043</v>
      </c>
      <c r="AG661" s="22"/>
      <c r="AI661" s="25" t="s">
        <v>1170</v>
      </c>
      <c r="AK661" s="40" t="s">
        <v>1171</v>
      </c>
      <c r="AL661" s="40"/>
      <c r="AX661" s="27"/>
      <c r="AY661" s="27"/>
      <c r="BK661" s="27"/>
      <c r="BL661" s="27"/>
      <c r="BX661" s="27"/>
      <c r="BY661" s="27"/>
      <c r="CH661" s="29"/>
    </row>
    <row r="662" spans="1:86" x14ac:dyDescent="0.2">
      <c r="A662" s="18">
        <v>10039</v>
      </c>
      <c r="B662" s="19">
        <v>2</v>
      </c>
      <c r="C662" s="19">
        <f t="shared" si="63"/>
        <v>100390002</v>
      </c>
      <c r="D662" s="23" t="s">
        <v>784</v>
      </c>
      <c r="E662" s="20" t="s">
        <v>109</v>
      </c>
      <c r="I662" s="22" t="s">
        <v>206</v>
      </c>
      <c r="J662" s="22"/>
      <c r="K662" s="22"/>
      <c r="L662" s="22"/>
      <c r="M662" s="22"/>
      <c r="N662" s="22" t="s">
        <v>163</v>
      </c>
      <c r="O662" s="22" t="s">
        <v>163</v>
      </c>
      <c r="P662" s="22"/>
      <c r="Q662" s="22" t="s">
        <v>2041</v>
      </c>
      <c r="R662" s="22"/>
      <c r="S662" s="22"/>
      <c r="T662" s="22" t="s">
        <v>2307</v>
      </c>
      <c r="U662" s="116" t="s">
        <v>2500</v>
      </c>
      <c r="V662" s="22" t="s">
        <v>109</v>
      </c>
      <c r="W662" s="22" t="s">
        <v>1</v>
      </c>
      <c r="X662" s="22"/>
      <c r="Z662" s="22"/>
      <c r="AA662" s="22"/>
      <c r="AB662" s="22"/>
      <c r="AC662" s="22" t="s">
        <v>786</v>
      </c>
      <c r="AD662" s="22"/>
      <c r="AE662" s="24"/>
      <c r="AF662" s="24" t="s">
        <v>2043</v>
      </c>
      <c r="AG662" s="22"/>
      <c r="AI662" s="25" t="s">
        <v>260</v>
      </c>
      <c r="AK662" s="40" t="s">
        <v>139</v>
      </c>
      <c r="AL662" s="40"/>
      <c r="AX662" s="27"/>
      <c r="AY662" s="27"/>
      <c r="BK662" s="27"/>
      <c r="BL662" s="27"/>
      <c r="BX662" s="27"/>
      <c r="BY662" s="27"/>
      <c r="CH662" s="29"/>
    </row>
    <row r="663" spans="1:86" x14ac:dyDescent="0.2">
      <c r="A663" s="18">
        <v>10039</v>
      </c>
      <c r="B663" s="19">
        <v>3</v>
      </c>
      <c r="C663" s="19">
        <f t="shared" si="63"/>
        <v>100390003</v>
      </c>
      <c r="D663" s="23" t="s">
        <v>784</v>
      </c>
      <c r="E663" s="20" t="s">
        <v>109</v>
      </c>
      <c r="I663" s="22" t="s">
        <v>206</v>
      </c>
      <c r="J663" s="22"/>
      <c r="K663" s="22"/>
      <c r="L663" s="22"/>
      <c r="M663" s="22"/>
      <c r="N663" s="22" t="s">
        <v>163</v>
      </c>
      <c r="O663" s="22" t="s">
        <v>163</v>
      </c>
      <c r="P663" s="22"/>
      <c r="Q663" s="22" t="s">
        <v>2041</v>
      </c>
      <c r="R663" s="22"/>
      <c r="S663" s="22"/>
      <c r="T663" s="22" t="s">
        <v>2307</v>
      </c>
      <c r="U663" s="116" t="s">
        <v>2501</v>
      </c>
      <c r="V663" s="22" t="s">
        <v>109</v>
      </c>
      <c r="W663" s="22" t="s">
        <v>1</v>
      </c>
      <c r="X663" s="22"/>
      <c r="Z663" s="22"/>
      <c r="AA663" s="22"/>
      <c r="AB663" s="22"/>
      <c r="AC663" s="22" t="s">
        <v>786</v>
      </c>
      <c r="AD663" s="22"/>
      <c r="AE663" s="24"/>
      <c r="AF663" s="24" t="s">
        <v>2043</v>
      </c>
      <c r="AG663" s="22"/>
      <c r="AH663" s="25" t="s">
        <v>790</v>
      </c>
      <c r="AI663" s="25" t="s">
        <v>264</v>
      </c>
      <c r="AK663" s="40" t="s">
        <v>373</v>
      </c>
      <c r="AL663" s="40"/>
      <c r="AX663" s="27"/>
      <c r="AY663" s="27"/>
      <c r="BK663" s="27"/>
      <c r="BL663" s="27"/>
      <c r="BX663" s="27"/>
      <c r="BY663" s="27"/>
      <c r="CH663" s="29"/>
    </row>
    <row r="664" spans="1:86" ht="12.75" customHeight="1" x14ac:dyDescent="0.2">
      <c r="A664" s="18">
        <v>10039</v>
      </c>
      <c r="B664" s="19">
        <v>4</v>
      </c>
      <c r="C664" s="19">
        <f t="shared" si="63"/>
        <v>100390004</v>
      </c>
      <c r="D664" s="23" t="s">
        <v>784</v>
      </c>
      <c r="E664" s="20" t="s">
        <v>109</v>
      </c>
      <c r="I664" s="22" t="s">
        <v>206</v>
      </c>
      <c r="J664" s="22"/>
      <c r="K664" s="22"/>
      <c r="L664" s="22"/>
      <c r="M664" s="22"/>
      <c r="N664" s="22" t="s">
        <v>163</v>
      </c>
      <c r="O664" s="22" t="s">
        <v>163</v>
      </c>
      <c r="P664" s="22"/>
      <c r="Q664" s="22" t="s">
        <v>2041</v>
      </c>
      <c r="R664" s="22"/>
      <c r="S664" s="22"/>
      <c r="T664" s="22" t="s">
        <v>2307</v>
      </c>
      <c r="U664" s="116" t="s">
        <v>2502</v>
      </c>
      <c r="V664" s="22" t="s">
        <v>109</v>
      </c>
      <c r="W664" s="22" t="s">
        <v>1</v>
      </c>
      <c r="X664" s="22"/>
      <c r="Z664" s="22"/>
      <c r="AA664" s="22"/>
      <c r="AB664" s="22"/>
      <c r="AC664" s="22" t="s">
        <v>786</v>
      </c>
      <c r="AD664" s="22"/>
      <c r="AE664" s="24"/>
      <c r="AF664" s="24" t="s">
        <v>2043</v>
      </c>
      <c r="AG664" s="22"/>
      <c r="AH664" s="25" t="s">
        <v>791</v>
      </c>
      <c r="AI664" s="25" t="s">
        <v>265</v>
      </c>
      <c r="AK664" s="40" t="s">
        <v>374</v>
      </c>
      <c r="AL664" s="40"/>
      <c r="AX664" s="27"/>
      <c r="AY664" s="27"/>
      <c r="BK664" s="27"/>
      <c r="BL664" s="27"/>
      <c r="BX664" s="27"/>
      <c r="BY664" s="27"/>
      <c r="CH664" s="29"/>
    </row>
    <row r="665" spans="1:86" x14ac:dyDescent="0.2">
      <c r="A665" s="18">
        <v>10039</v>
      </c>
      <c r="B665" s="19">
        <v>5</v>
      </c>
      <c r="C665" s="19">
        <f t="shared" si="63"/>
        <v>100390005</v>
      </c>
      <c r="D665" s="23" t="s">
        <v>784</v>
      </c>
      <c r="E665" s="20" t="s">
        <v>109</v>
      </c>
      <c r="I665" s="22" t="s">
        <v>206</v>
      </c>
      <c r="J665" s="22"/>
      <c r="K665" s="22"/>
      <c r="L665" s="22"/>
      <c r="M665" s="22"/>
      <c r="N665" s="22" t="s">
        <v>163</v>
      </c>
      <c r="O665" s="22" t="s">
        <v>163</v>
      </c>
      <c r="P665" s="22"/>
      <c r="Q665" s="22" t="s">
        <v>2041</v>
      </c>
      <c r="R665" s="22"/>
      <c r="S665" s="22"/>
      <c r="T665" s="22" t="s">
        <v>2307</v>
      </c>
      <c r="U665" s="116" t="s">
        <v>2503</v>
      </c>
      <c r="V665" s="22" t="s">
        <v>109</v>
      </c>
      <c r="W665" s="22" t="s">
        <v>1</v>
      </c>
      <c r="X665" s="22"/>
      <c r="Z665" s="22"/>
      <c r="AA665" s="22"/>
      <c r="AB665" s="22"/>
      <c r="AC665" s="22" t="s">
        <v>786</v>
      </c>
      <c r="AD665" s="22"/>
      <c r="AE665" s="24"/>
      <c r="AF665" s="24" t="s">
        <v>2043</v>
      </c>
      <c r="AG665" s="22"/>
      <c r="AH665" s="25" t="s">
        <v>792</v>
      </c>
      <c r="AI665" s="25" t="s">
        <v>266</v>
      </c>
      <c r="AK665" s="40" t="s">
        <v>375</v>
      </c>
      <c r="AL665" s="40"/>
      <c r="AX665" s="27"/>
      <c r="AY665" s="27"/>
      <c r="BK665" s="27"/>
      <c r="BL665" s="27"/>
      <c r="BX665" s="27"/>
      <c r="BY665" s="27"/>
      <c r="CH665" s="29"/>
    </row>
    <row r="666" spans="1:86" x14ac:dyDescent="0.2">
      <c r="A666" s="18">
        <v>10040</v>
      </c>
      <c r="B666" s="19">
        <v>1</v>
      </c>
      <c r="C666" s="19">
        <f t="shared" si="63"/>
        <v>100400001</v>
      </c>
      <c r="D666" s="23" t="s">
        <v>863</v>
      </c>
      <c r="E666" s="20" t="s">
        <v>109</v>
      </c>
      <c r="I666" s="22" t="s">
        <v>206</v>
      </c>
      <c r="J666" s="22"/>
      <c r="K666" s="22"/>
      <c r="L666" s="22"/>
      <c r="M666" s="22"/>
      <c r="N666" s="22" t="s">
        <v>864</v>
      </c>
      <c r="O666" s="22" t="s">
        <v>864</v>
      </c>
      <c r="P666" s="22"/>
      <c r="Q666" s="22" t="s">
        <v>2041</v>
      </c>
      <c r="R666" s="22"/>
      <c r="S666" s="22"/>
      <c r="T666" s="22" t="s">
        <v>2307</v>
      </c>
      <c r="U666" s="116" t="s">
        <v>2504</v>
      </c>
      <c r="V666" s="22" t="s">
        <v>109</v>
      </c>
      <c r="W666" s="22" t="s">
        <v>1</v>
      </c>
      <c r="X666" s="22"/>
      <c r="Z666" s="22"/>
      <c r="AA666" s="22"/>
      <c r="AB666" s="22"/>
      <c r="AC666" s="22" t="s">
        <v>865</v>
      </c>
      <c r="AD666" s="22"/>
      <c r="AE666" s="24"/>
      <c r="AF666" s="24" t="s">
        <v>2043</v>
      </c>
      <c r="AG666" s="22"/>
      <c r="AI666" s="25" t="s">
        <v>866</v>
      </c>
      <c r="AK666" s="40" t="s">
        <v>867</v>
      </c>
      <c r="AL666" s="40"/>
      <c r="AX666" s="27"/>
      <c r="AY666" s="27"/>
      <c r="BK666" s="27"/>
      <c r="BL666" s="27"/>
      <c r="BX666" s="27"/>
      <c r="BY666" s="27"/>
      <c r="CH666" s="29"/>
    </row>
    <row r="667" spans="1:86" x14ac:dyDescent="0.2">
      <c r="A667" s="18">
        <v>10040</v>
      </c>
      <c r="B667" s="19">
        <v>2</v>
      </c>
      <c r="C667" s="19">
        <f t="shared" si="63"/>
        <v>100400002</v>
      </c>
      <c r="D667" s="23" t="s">
        <v>863</v>
      </c>
      <c r="E667" s="20" t="s">
        <v>109</v>
      </c>
      <c r="I667" s="22" t="s">
        <v>206</v>
      </c>
      <c r="J667" s="22"/>
      <c r="K667" s="22"/>
      <c r="L667" s="22"/>
      <c r="M667" s="22"/>
      <c r="N667" s="22" t="s">
        <v>864</v>
      </c>
      <c r="O667" s="22" t="s">
        <v>864</v>
      </c>
      <c r="P667" s="22"/>
      <c r="Q667" s="22" t="s">
        <v>2041</v>
      </c>
      <c r="R667" s="22"/>
      <c r="S667" s="22"/>
      <c r="T667" s="22" t="s">
        <v>2307</v>
      </c>
      <c r="U667" s="116" t="s">
        <v>2505</v>
      </c>
      <c r="V667" s="22" t="s">
        <v>109</v>
      </c>
      <c r="W667" s="22" t="s">
        <v>1</v>
      </c>
      <c r="X667" s="22"/>
      <c r="Z667" s="22"/>
      <c r="AA667" s="22"/>
      <c r="AB667" s="22"/>
      <c r="AC667" s="22" t="s">
        <v>865</v>
      </c>
      <c r="AD667" s="22"/>
      <c r="AE667" s="24"/>
      <c r="AF667" s="24" t="s">
        <v>2043</v>
      </c>
      <c r="AG667" s="22"/>
      <c r="AI667" s="25" t="s">
        <v>868</v>
      </c>
      <c r="AK667" s="40" t="s">
        <v>869</v>
      </c>
      <c r="AL667" s="40"/>
      <c r="AX667" s="27"/>
      <c r="AY667" s="27"/>
      <c r="BK667" s="27"/>
      <c r="BL667" s="27"/>
      <c r="BX667" s="27"/>
      <c r="BY667" s="27"/>
      <c r="CH667" s="29"/>
    </row>
    <row r="668" spans="1:86" x14ac:dyDescent="0.2">
      <c r="A668" s="18">
        <v>10040</v>
      </c>
      <c r="B668" s="19">
        <v>3</v>
      </c>
      <c r="C668" s="19">
        <f t="shared" si="63"/>
        <v>100400003</v>
      </c>
      <c r="D668" s="23" t="s">
        <v>860</v>
      </c>
      <c r="E668" s="20" t="s">
        <v>109</v>
      </c>
      <c r="I668" s="22" t="s">
        <v>206</v>
      </c>
      <c r="J668" s="22"/>
      <c r="K668" s="22"/>
      <c r="L668" s="22"/>
      <c r="M668" s="22"/>
      <c r="N668" s="22" t="s">
        <v>870</v>
      </c>
      <c r="O668" s="22" t="s">
        <v>870</v>
      </c>
      <c r="P668" s="22"/>
      <c r="Q668" s="22" t="s">
        <v>2041</v>
      </c>
      <c r="R668" s="22"/>
      <c r="S668" s="22"/>
      <c r="T668" s="22" t="s">
        <v>2307</v>
      </c>
      <c r="U668" s="116" t="s">
        <v>2506</v>
      </c>
      <c r="V668" s="22" t="s">
        <v>109</v>
      </c>
      <c r="W668" s="22" t="s">
        <v>1</v>
      </c>
      <c r="X668" s="22"/>
      <c r="Z668" s="22"/>
      <c r="AA668" s="22"/>
      <c r="AB668" s="22"/>
      <c r="AC668" s="22" t="s">
        <v>871</v>
      </c>
      <c r="AD668" s="22"/>
      <c r="AE668" s="24"/>
      <c r="AF668" s="24" t="s">
        <v>2043</v>
      </c>
      <c r="AG668" s="22"/>
      <c r="AH668" s="25" t="s">
        <v>872</v>
      </c>
      <c r="AI668" s="25" t="s">
        <v>873</v>
      </c>
      <c r="AK668" s="40" t="s">
        <v>874</v>
      </c>
      <c r="AL668" s="40"/>
      <c r="AX668" s="27"/>
      <c r="AY668" s="27"/>
      <c r="BK668" s="27"/>
      <c r="BL668" s="27"/>
      <c r="BX668" s="27"/>
      <c r="BY668" s="27"/>
      <c r="CH668" s="29"/>
    </row>
    <row r="669" spans="1:86" x14ac:dyDescent="0.2">
      <c r="A669" s="18">
        <v>10040</v>
      </c>
      <c r="B669" s="19">
        <v>4</v>
      </c>
      <c r="C669" s="19">
        <f t="shared" si="63"/>
        <v>100400004</v>
      </c>
      <c r="D669" s="23" t="s">
        <v>860</v>
      </c>
      <c r="E669" s="20" t="s">
        <v>109</v>
      </c>
      <c r="I669" s="22" t="s">
        <v>206</v>
      </c>
      <c r="J669" s="22"/>
      <c r="K669" s="22"/>
      <c r="L669" s="22"/>
      <c r="M669" s="22"/>
      <c r="N669" s="22" t="s">
        <v>870</v>
      </c>
      <c r="O669" s="22" t="s">
        <v>870</v>
      </c>
      <c r="P669" s="22"/>
      <c r="Q669" s="22" t="s">
        <v>2041</v>
      </c>
      <c r="R669" s="22"/>
      <c r="S669" s="22"/>
      <c r="T669" s="22" t="s">
        <v>2307</v>
      </c>
      <c r="U669" s="116" t="s">
        <v>2507</v>
      </c>
      <c r="V669" s="22" t="s">
        <v>109</v>
      </c>
      <c r="W669" s="22" t="s">
        <v>1</v>
      </c>
      <c r="X669" s="22"/>
      <c r="Z669" s="22"/>
      <c r="AA669" s="22"/>
      <c r="AB669" s="22"/>
      <c r="AC669" s="22" t="s">
        <v>871</v>
      </c>
      <c r="AD669" s="22"/>
      <c r="AE669" s="24"/>
      <c r="AF669" s="24" t="s">
        <v>2043</v>
      </c>
      <c r="AG669" s="22"/>
      <c r="AH669" s="25" t="s">
        <v>875</v>
      </c>
      <c r="AI669" s="25" t="s">
        <v>876</v>
      </c>
      <c r="AK669" s="40" t="s">
        <v>877</v>
      </c>
      <c r="AL669" s="40"/>
      <c r="AX669" s="27"/>
      <c r="AY669" s="27"/>
      <c r="BK669" s="27"/>
      <c r="BL669" s="27"/>
      <c r="BX669" s="27"/>
      <c r="BY669" s="27"/>
      <c r="CH669" s="29"/>
    </row>
    <row r="670" spans="1:86" x14ac:dyDescent="0.2">
      <c r="A670" s="18">
        <v>10040</v>
      </c>
      <c r="B670" s="19">
        <v>5</v>
      </c>
      <c r="C670" s="19">
        <f t="shared" si="63"/>
        <v>100400005</v>
      </c>
      <c r="D670" s="23" t="s">
        <v>860</v>
      </c>
      <c r="E670" s="20" t="s">
        <v>109</v>
      </c>
      <c r="I670" s="22" t="s">
        <v>206</v>
      </c>
      <c r="J670" s="22"/>
      <c r="K670" s="22"/>
      <c r="L670" s="22"/>
      <c r="M670" s="22"/>
      <c r="N670" s="22" t="s">
        <v>870</v>
      </c>
      <c r="O670" s="22" t="s">
        <v>870</v>
      </c>
      <c r="P670" s="22"/>
      <c r="Q670" s="22" t="s">
        <v>2041</v>
      </c>
      <c r="R670" s="22"/>
      <c r="S670" s="22"/>
      <c r="T670" s="22" t="s">
        <v>2307</v>
      </c>
      <c r="U670" s="116" t="s">
        <v>2508</v>
      </c>
      <c r="V670" s="22" t="s">
        <v>109</v>
      </c>
      <c r="W670" s="22" t="s">
        <v>1</v>
      </c>
      <c r="X670" s="22"/>
      <c r="Z670" s="22"/>
      <c r="AA670" s="22"/>
      <c r="AB670" s="22"/>
      <c r="AC670" s="22" t="s">
        <v>871</v>
      </c>
      <c r="AD670" s="22"/>
      <c r="AE670" s="24"/>
      <c r="AF670" s="24" t="s">
        <v>2043</v>
      </c>
      <c r="AG670" s="22"/>
      <c r="AH670" s="25" t="s">
        <v>862</v>
      </c>
      <c r="AI670" s="25" t="s">
        <v>878</v>
      </c>
      <c r="AK670" s="40" t="s">
        <v>879</v>
      </c>
      <c r="AL670" s="40"/>
      <c r="AX670" s="27"/>
      <c r="AY670" s="27"/>
      <c r="BK670" s="27"/>
      <c r="BL670" s="27"/>
      <c r="BX670" s="27"/>
      <c r="BY670" s="27"/>
      <c r="CH670" s="29"/>
    </row>
    <row r="671" spans="1:86" x14ac:dyDescent="0.2">
      <c r="A671" s="18">
        <v>10041</v>
      </c>
      <c r="B671" s="19">
        <v>1</v>
      </c>
      <c r="C671" s="19">
        <f t="shared" si="63"/>
        <v>100410001</v>
      </c>
      <c r="D671" s="23" t="s">
        <v>861</v>
      </c>
      <c r="E671" s="20" t="s">
        <v>109</v>
      </c>
      <c r="I671" s="22" t="s">
        <v>206</v>
      </c>
      <c r="J671" s="22"/>
      <c r="K671" s="22"/>
      <c r="L671" s="22"/>
      <c r="M671" s="22"/>
      <c r="N671" s="22" t="s">
        <v>870</v>
      </c>
      <c r="O671" s="22" t="s">
        <v>870</v>
      </c>
      <c r="P671" s="22"/>
      <c r="Q671" s="22" t="s">
        <v>2041</v>
      </c>
      <c r="R671" s="22"/>
      <c r="S671" s="22"/>
      <c r="T671" s="22" t="s">
        <v>2307</v>
      </c>
      <c r="U671" s="116" t="s">
        <v>2509</v>
      </c>
      <c r="V671" s="22" t="s">
        <v>109</v>
      </c>
      <c r="W671" s="22" t="s">
        <v>1</v>
      </c>
      <c r="X671" s="22"/>
      <c r="Z671" s="22"/>
      <c r="AA671" s="22"/>
      <c r="AB671" s="22"/>
      <c r="AC671" s="22" t="s">
        <v>880</v>
      </c>
      <c r="AD671" s="22"/>
      <c r="AE671" s="24"/>
      <c r="AF671" s="24" t="s">
        <v>2043</v>
      </c>
      <c r="AG671" s="22"/>
      <c r="AI671" s="25" t="s">
        <v>881</v>
      </c>
      <c r="AK671" s="40" t="s">
        <v>882</v>
      </c>
      <c r="AL671" s="40"/>
      <c r="AX671" s="27"/>
      <c r="AY671" s="27"/>
      <c r="BK671" s="27"/>
      <c r="BL671" s="27"/>
      <c r="BX671" s="27"/>
      <c r="BY671" s="27"/>
      <c r="CH671" s="29"/>
    </row>
    <row r="672" spans="1:86" x14ac:dyDescent="0.2">
      <c r="A672" s="18">
        <v>10041</v>
      </c>
      <c r="B672" s="19">
        <v>2</v>
      </c>
      <c r="C672" s="19">
        <f t="shared" si="63"/>
        <v>100410002</v>
      </c>
      <c r="D672" s="23" t="s">
        <v>883</v>
      </c>
      <c r="E672" s="20" t="s">
        <v>109</v>
      </c>
      <c r="I672" s="22" t="s">
        <v>206</v>
      </c>
      <c r="J672" s="22"/>
      <c r="K672" s="22"/>
      <c r="L672" s="22"/>
      <c r="M672" s="22"/>
      <c r="N672" s="22" t="s">
        <v>884</v>
      </c>
      <c r="O672" s="22" t="s">
        <v>884</v>
      </c>
      <c r="P672" s="22"/>
      <c r="Q672" s="22" t="s">
        <v>2041</v>
      </c>
      <c r="R672" s="22"/>
      <c r="S672" s="22"/>
      <c r="T672" s="22" t="s">
        <v>2307</v>
      </c>
      <c r="U672" s="116" t="s">
        <v>2510</v>
      </c>
      <c r="V672" s="22" t="s">
        <v>109</v>
      </c>
      <c r="W672" s="22" t="s">
        <v>1</v>
      </c>
      <c r="X672" s="22"/>
      <c r="Z672" s="22"/>
      <c r="AA672" s="22"/>
      <c r="AB672" s="22"/>
      <c r="AC672" s="22" t="s">
        <v>885</v>
      </c>
      <c r="AD672" s="22"/>
      <c r="AE672" s="24"/>
      <c r="AF672" s="24" t="s">
        <v>2043</v>
      </c>
      <c r="AG672" s="22"/>
      <c r="AI672" s="25" t="s">
        <v>886</v>
      </c>
      <c r="AK672" s="40" t="s">
        <v>887</v>
      </c>
      <c r="AL672" s="40"/>
      <c r="AX672" s="27"/>
      <c r="AY672" s="27"/>
      <c r="BK672" s="27"/>
      <c r="BL672" s="27"/>
      <c r="BX672" s="27"/>
      <c r="BY672" s="27"/>
      <c r="CH672" s="29"/>
    </row>
    <row r="673" spans="1:86" x14ac:dyDescent="0.2">
      <c r="A673" s="18">
        <v>10041</v>
      </c>
      <c r="B673" s="19">
        <v>3</v>
      </c>
      <c r="C673" s="19">
        <f t="shared" si="63"/>
        <v>100410003</v>
      </c>
      <c r="D673" s="23" t="s">
        <v>883</v>
      </c>
      <c r="E673" s="20" t="s">
        <v>109</v>
      </c>
      <c r="I673" s="22" t="s">
        <v>206</v>
      </c>
      <c r="J673" s="22"/>
      <c r="K673" s="22"/>
      <c r="L673" s="22"/>
      <c r="M673" s="22"/>
      <c r="N673" s="22" t="s">
        <v>884</v>
      </c>
      <c r="O673" s="22" t="s">
        <v>884</v>
      </c>
      <c r="P673" s="22"/>
      <c r="Q673" s="22" t="s">
        <v>2041</v>
      </c>
      <c r="R673" s="22"/>
      <c r="S673" s="22"/>
      <c r="T673" s="22" t="s">
        <v>2307</v>
      </c>
      <c r="U673" s="116" t="s">
        <v>2511</v>
      </c>
      <c r="V673" s="22" t="s">
        <v>109</v>
      </c>
      <c r="W673" s="22" t="s">
        <v>1</v>
      </c>
      <c r="X673" s="22"/>
      <c r="Z673" s="22"/>
      <c r="AA673" s="22"/>
      <c r="AB673" s="22"/>
      <c r="AC673" s="22" t="s">
        <v>885</v>
      </c>
      <c r="AD673" s="22"/>
      <c r="AE673" s="24"/>
      <c r="AF673" s="24" t="s">
        <v>2043</v>
      </c>
      <c r="AG673" s="22"/>
      <c r="AH673" s="25" t="s">
        <v>888</v>
      </c>
      <c r="AI673" s="25" t="s">
        <v>889</v>
      </c>
      <c r="AK673" s="40" t="s">
        <v>890</v>
      </c>
      <c r="AL673" s="40"/>
      <c r="AX673" s="27"/>
      <c r="AY673" s="27"/>
      <c r="BK673" s="27"/>
      <c r="BL673" s="27"/>
      <c r="BX673" s="27"/>
      <c r="BY673" s="27"/>
      <c r="CH673" s="29"/>
    </row>
    <row r="674" spans="1:86" x14ac:dyDescent="0.2">
      <c r="A674" s="18">
        <v>10041</v>
      </c>
      <c r="B674" s="19">
        <v>4</v>
      </c>
      <c r="C674" s="19">
        <f t="shared" si="63"/>
        <v>100410004</v>
      </c>
      <c r="D674" s="23" t="s">
        <v>883</v>
      </c>
      <c r="E674" s="20" t="s">
        <v>109</v>
      </c>
      <c r="I674" s="22" t="s">
        <v>206</v>
      </c>
      <c r="J674" s="22"/>
      <c r="K674" s="22"/>
      <c r="L674" s="22"/>
      <c r="M674" s="22"/>
      <c r="N674" s="22" t="s">
        <v>884</v>
      </c>
      <c r="O674" s="22" t="s">
        <v>884</v>
      </c>
      <c r="P674" s="22"/>
      <c r="Q674" s="22" t="s">
        <v>2041</v>
      </c>
      <c r="R674" s="22"/>
      <c r="S674" s="22"/>
      <c r="T674" s="22" t="s">
        <v>2307</v>
      </c>
      <c r="U674" s="116" t="s">
        <v>2512</v>
      </c>
      <c r="V674" s="22" t="s">
        <v>109</v>
      </c>
      <c r="W674" s="22" t="s">
        <v>1</v>
      </c>
      <c r="X674" s="22"/>
      <c r="Z674" s="22"/>
      <c r="AA674" s="22"/>
      <c r="AB674" s="22"/>
      <c r="AC674" s="22" t="s">
        <v>885</v>
      </c>
      <c r="AD674" s="22"/>
      <c r="AE674" s="24"/>
      <c r="AF674" s="24" t="s">
        <v>2043</v>
      </c>
      <c r="AG674" s="22"/>
      <c r="AH674" s="25" t="s">
        <v>891</v>
      </c>
      <c r="AI674" s="25" t="s">
        <v>892</v>
      </c>
      <c r="AK674" s="40" t="s">
        <v>893</v>
      </c>
      <c r="AL674" s="40"/>
      <c r="AX674" s="27"/>
      <c r="AY674" s="27"/>
      <c r="BK674" s="27"/>
      <c r="BL674" s="27"/>
      <c r="BX674" s="27"/>
      <c r="BY674" s="27"/>
      <c r="CH674" s="29"/>
    </row>
    <row r="675" spans="1:86" x14ac:dyDescent="0.2">
      <c r="A675" s="18">
        <v>10041</v>
      </c>
      <c r="B675" s="19">
        <v>5</v>
      </c>
      <c r="C675" s="19">
        <f t="shared" si="63"/>
        <v>100410005</v>
      </c>
      <c r="D675" s="23" t="s">
        <v>883</v>
      </c>
      <c r="E675" s="20" t="s">
        <v>109</v>
      </c>
      <c r="I675" s="22" t="s">
        <v>206</v>
      </c>
      <c r="J675" s="22"/>
      <c r="K675" s="22"/>
      <c r="L675" s="22"/>
      <c r="M675" s="22"/>
      <c r="N675" s="22" t="s">
        <v>884</v>
      </c>
      <c r="O675" s="22" t="s">
        <v>884</v>
      </c>
      <c r="P675" s="22"/>
      <c r="Q675" s="22" t="s">
        <v>2041</v>
      </c>
      <c r="R675" s="22"/>
      <c r="S675" s="22"/>
      <c r="T675" s="22" t="s">
        <v>2307</v>
      </c>
      <c r="U675" s="116" t="s">
        <v>2513</v>
      </c>
      <c r="V675" s="22" t="s">
        <v>109</v>
      </c>
      <c r="W675" s="22" t="s">
        <v>1</v>
      </c>
      <c r="X675" s="22"/>
      <c r="Z675" s="22"/>
      <c r="AA675" s="22"/>
      <c r="AB675" s="22"/>
      <c r="AC675" s="22" t="s">
        <v>885</v>
      </c>
      <c r="AD675" s="22"/>
      <c r="AE675" s="24"/>
      <c r="AF675" s="24" t="s">
        <v>2043</v>
      </c>
      <c r="AG675" s="22"/>
      <c r="AH675" s="25" t="s">
        <v>894</v>
      </c>
      <c r="AI675" s="25" t="s">
        <v>895</v>
      </c>
      <c r="AK675" s="40" t="s">
        <v>896</v>
      </c>
      <c r="AL675" s="40"/>
      <c r="AX675" s="27"/>
      <c r="AY675" s="27"/>
      <c r="BK675" s="27"/>
      <c r="BL675" s="27"/>
      <c r="BX675" s="27"/>
      <c r="BY675" s="27"/>
      <c r="CH675" s="29"/>
    </row>
    <row r="676" spans="1:86" x14ac:dyDescent="0.2">
      <c r="A676" s="18">
        <v>10042</v>
      </c>
      <c r="B676" s="19">
        <v>1</v>
      </c>
      <c r="C676" s="19">
        <f t="shared" si="63"/>
        <v>100420001</v>
      </c>
      <c r="D676" s="23" t="s">
        <v>785</v>
      </c>
      <c r="E676" s="20" t="s">
        <v>109</v>
      </c>
      <c r="I676" s="22" t="s">
        <v>206</v>
      </c>
      <c r="J676" s="22"/>
      <c r="K676" s="22"/>
      <c r="L676" s="22"/>
      <c r="M676" s="22"/>
      <c r="N676" s="22" t="s">
        <v>163</v>
      </c>
      <c r="O676" s="22" t="s">
        <v>163</v>
      </c>
      <c r="P676" s="22"/>
      <c r="Q676" s="22" t="s">
        <v>2041</v>
      </c>
      <c r="R676" s="22"/>
      <c r="S676" s="22"/>
      <c r="T676" s="22" t="s">
        <v>2307</v>
      </c>
      <c r="U676" s="116" t="s">
        <v>2514</v>
      </c>
      <c r="V676" s="22" t="s">
        <v>109</v>
      </c>
      <c r="W676" s="22" t="s">
        <v>1</v>
      </c>
      <c r="X676" s="22"/>
      <c r="Z676" s="22"/>
      <c r="AA676" s="22"/>
      <c r="AB676" s="22"/>
      <c r="AC676" s="22" t="s">
        <v>657</v>
      </c>
      <c r="AD676" s="22"/>
      <c r="AE676" s="24"/>
      <c r="AF676" s="24" t="s">
        <v>2043</v>
      </c>
      <c r="AG676" s="22"/>
      <c r="AI676" s="25" t="s">
        <v>176</v>
      </c>
      <c r="AK676" s="40" t="s">
        <v>136</v>
      </c>
      <c r="AL676" s="40"/>
      <c r="AX676" s="27"/>
      <c r="AY676" s="27"/>
      <c r="BK676" s="27"/>
      <c r="BL676" s="27"/>
      <c r="BX676" s="27"/>
      <c r="BY676" s="27"/>
      <c r="CH676" s="29"/>
    </row>
    <row r="677" spans="1:86" x14ac:dyDescent="0.2">
      <c r="A677" s="18">
        <v>10042</v>
      </c>
      <c r="B677" s="19">
        <v>2</v>
      </c>
      <c r="C677" s="19">
        <f t="shared" si="63"/>
        <v>100420002</v>
      </c>
      <c r="D677" s="23" t="s">
        <v>785</v>
      </c>
      <c r="E677" s="20" t="s">
        <v>109</v>
      </c>
      <c r="I677" s="22" t="s">
        <v>206</v>
      </c>
      <c r="J677" s="22"/>
      <c r="K677" s="22"/>
      <c r="L677" s="22"/>
      <c r="M677" s="22"/>
      <c r="N677" s="22" t="s">
        <v>163</v>
      </c>
      <c r="O677" s="22" t="s">
        <v>163</v>
      </c>
      <c r="P677" s="22"/>
      <c r="Q677" s="22" t="s">
        <v>2041</v>
      </c>
      <c r="R677" s="22"/>
      <c r="S677" s="22"/>
      <c r="T677" s="22" t="s">
        <v>2307</v>
      </c>
      <c r="U677" s="116" t="s">
        <v>2515</v>
      </c>
      <c r="V677" s="22" t="s">
        <v>109</v>
      </c>
      <c r="W677" s="22" t="s">
        <v>1</v>
      </c>
      <c r="X677" s="22"/>
      <c r="Z677" s="22"/>
      <c r="AA677" s="22"/>
      <c r="AB677" s="22"/>
      <c r="AC677" s="22" t="s">
        <v>657</v>
      </c>
      <c r="AD677" s="22"/>
      <c r="AE677" s="24"/>
      <c r="AF677" s="24" t="s">
        <v>2043</v>
      </c>
      <c r="AG677" s="22"/>
      <c r="AI677" s="25" t="s">
        <v>260</v>
      </c>
      <c r="AK677" s="40" t="s">
        <v>139</v>
      </c>
      <c r="AL677" s="40"/>
      <c r="AX677" s="27"/>
      <c r="AY677" s="27"/>
      <c r="BK677" s="27"/>
      <c r="BL677" s="27"/>
      <c r="BX677" s="27"/>
      <c r="BY677" s="27"/>
      <c r="CH677" s="29"/>
    </row>
    <row r="678" spans="1:86" x14ac:dyDescent="0.2">
      <c r="A678" s="18">
        <v>10042</v>
      </c>
      <c r="B678" s="19">
        <v>3</v>
      </c>
      <c r="C678" s="19">
        <f t="shared" si="63"/>
        <v>100420003</v>
      </c>
      <c r="D678" s="23" t="s">
        <v>785</v>
      </c>
      <c r="E678" s="20" t="s">
        <v>109</v>
      </c>
      <c r="I678" s="22" t="s">
        <v>206</v>
      </c>
      <c r="J678" s="22"/>
      <c r="K678" s="22"/>
      <c r="L678" s="22"/>
      <c r="M678" s="22"/>
      <c r="N678" s="22" t="s">
        <v>163</v>
      </c>
      <c r="O678" s="22" t="s">
        <v>163</v>
      </c>
      <c r="P678" s="22"/>
      <c r="Q678" s="22" t="s">
        <v>2041</v>
      </c>
      <c r="R678" s="22"/>
      <c r="S678" s="22"/>
      <c r="T678" s="22" t="s">
        <v>2307</v>
      </c>
      <c r="U678" s="116" t="s">
        <v>2516</v>
      </c>
      <c r="V678" s="22" t="s">
        <v>109</v>
      </c>
      <c r="W678" s="22" t="s">
        <v>1</v>
      </c>
      <c r="X678" s="22"/>
      <c r="Z678" s="22"/>
      <c r="AA678" s="22"/>
      <c r="AB678" s="22"/>
      <c r="AC678" s="22" t="s">
        <v>657</v>
      </c>
      <c r="AD678" s="22"/>
      <c r="AE678" s="24"/>
      <c r="AF678" s="24" t="s">
        <v>2043</v>
      </c>
      <c r="AG678" s="22"/>
      <c r="AH678" s="25" t="s">
        <v>793</v>
      </c>
      <c r="AI678" s="25" t="s">
        <v>264</v>
      </c>
      <c r="AK678" s="40" t="s">
        <v>373</v>
      </c>
      <c r="AL678" s="40"/>
      <c r="AX678" s="27"/>
      <c r="AY678" s="27"/>
      <c r="BK678" s="27"/>
      <c r="BL678" s="27"/>
      <c r="BX678" s="27"/>
      <c r="BY678" s="27"/>
      <c r="CH678" s="29"/>
    </row>
    <row r="679" spans="1:86" ht="12.75" customHeight="1" x14ac:dyDescent="0.2">
      <c r="A679" s="18">
        <v>10042</v>
      </c>
      <c r="B679" s="19">
        <v>4</v>
      </c>
      <c r="C679" s="19">
        <f t="shared" si="63"/>
        <v>100420004</v>
      </c>
      <c r="D679" s="23" t="s">
        <v>785</v>
      </c>
      <c r="E679" s="20" t="s">
        <v>109</v>
      </c>
      <c r="I679" s="22" t="s">
        <v>206</v>
      </c>
      <c r="J679" s="22"/>
      <c r="K679" s="22"/>
      <c r="L679" s="22"/>
      <c r="M679" s="22"/>
      <c r="N679" s="22" t="s">
        <v>163</v>
      </c>
      <c r="O679" s="22" t="s">
        <v>163</v>
      </c>
      <c r="P679" s="22"/>
      <c r="Q679" s="22" t="s">
        <v>2041</v>
      </c>
      <c r="R679" s="22"/>
      <c r="S679" s="22"/>
      <c r="T679" s="22" t="s">
        <v>2307</v>
      </c>
      <c r="U679" s="116" t="s">
        <v>2517</v>
      </c>
      <c r="V679" s="22" t="s">
        <v>109</v>
      </c>
      <c r="W679" s="22" t="s">
        <v>1</v>
      </c>
      <c r="X679" s="22"/>
      <c r="Z679" s="22"/>
      <c r="AA679" s="22"/>
      <c r="AB679" s="22"/>
      <c r="AC679" s="22" t="s">
        <v>657</v>
      </c>
      <c r="AD679" s="22"/>
      <c r="AE679" s="24"/>
      <c r="AF679" s="24" t="s">
        <v>2043</v>
      </c>
      <c r="AG679" s="22"/>
      <c r="AH679" s="25" t="s">
        <v>794</v>
      </c>
      <c r="AI679" s="25" t="s">
        <v>265</v>
      </c>
      <c r="AK679" s="40" t="s">
        <v>374</v>
      </c>
      <c r="AL679" s="40"/>
      <c r="AX679" s="27"/>
      <c r="AY679" s="27"/>
      <c r="BK679" s="27"/>
      <c r="BL679" s="27"/>
      <c r="BX679" s="27"/>
      <c r="BY679" s="27"/>
      <c r="CH679" s="29"/>
    </row>
    <row r="680" spans="1:86" x14ac:dyDescent="0.2">
      <c r="A680" s="18">
        <v>10042</v>
      </c>
      <c r="B680" s="19">
        <v>5</v>
      </c>
      <c r="C680" s="19">
        <f t="shared" si="63"/>
        <v>100420005</v>
      </c>
      <c r="D680" s="23" t="s">
        <v>785</v>
      </c>
      <c r="E680" s="20" t="s">
        <v>109</v>
      </c>
      <c r="I680" s="22" t="s">
        <v>206</v>
      </c>
      <c r="J680" s="22"/>
      <c r="K680" s="22"/>
      <c r="L680" s="22"/>
      <c r="M680" s="22"/>
      <c r="N680" s="22" t="s">
        <v>163</v>
      </c>
      <c r="O680" s="22" t="s">
        <v>163</v>
      </c>
      <c r="P680" s="22"/>
      <c r="Q680" s="22" t="s">
        <v>2041</v>
      </c>
      <c r="R680" s="22"/>
      <c r="S680" s="22"/>
      <c r="T680" s="22" t="s">
        <v>2307</v>
      </c>
      <c r="U680" s="116" t="s">
        <v>2518</v>
      </c>
      <c r="V680" s="22" t="s">
        <v>109</v>
      </c>
      <c r="W680" s="22" t="s">
        <v>1</v>
      </c>
      <c r="X680" s="22"/>
      <c r="Z680" s="22"/>
      <c r="AA680" s="22"/>
      <c r="AB680" s="22"/>
      <c r="AC680" s="22" t="s">
        <v>657</v>
      </c>
      <c r="AD680" s="22"/>
      <c r="AE680" s="24"/>
      <c r="AF680" s="24" t="s">
        <v>2043</v>
      </c>
      <c r="AG680" s="22"/>
      <c r="AH680" s="25" t="s">
        <v>795</v>
      </c>
      <c r="AI680" s="25" t="s">
        <v>266</v>
      </c>
      <c r="AK680" s="40" t="s">
        <v>375</v>
      </c>
      <c r="AL680" s="40"/>
      <c r="AX680" s="27"/>
      <c r="AY680" s="27"/>
      <c r="BK680" s="27"/>
      <c r="BL680" s="27"/>
      <c r="BX680" s="27"/>
      <c r="BY680" s="27"/>
      <c r="CH680" s="29"/>
    </row>
    <row r="681" spans="1:86" x14ac:dyDescent="0.2">
      <c r="A681" s="18">
        <v>10043</v>
      </c>
      <c r="B681" s="19">
        <v>1</v>
      </c>
      <c r="C681" s="19">
        <f t="shared" si="63"/>
        <v>100430001</v>
      </c>
      <c r="D681" s="23" t="s">
        <v>700</v>
      </c>
      <c r="E681" s="20" t="s">
        <v>109</v>
      </c>
      <c r="I681" s="22" t="s">
        <v>206</v>
      </c>
      <c r="J681" s="22"/>
      <c r="K681" s="22"/>
      <c r="L681" s="22"/>
      <c r="M681" s="22"/>
      <c r="N681" s="22" t="s">
        <v>163</v>
      </c>
      <c r="O681" s="22" t="s">
        <v>163</v>
      </c>
      <c r="P681" s="22"/>
      <c r="Q681" s="22" t="s">
        <v>2041</v>
      </c>
      <c r="R681" s="22"/>
      <c r="S681" s="22"/>
      <c r="T681" s="22" t="s">
        <v>2307</v>
      </c>
      <c r="U681" s="116" t="s">
        <v>2519</v>
      </c>
      <c r="V681" s="22" t="s">
        <v>109</v>
      </c>
      <c r="W681" s="22" t="s">
        <v>1</v>
      </c>
      <c r="X681" s="22"/>
      <c r="Z681" s="22"/>
      <c r="AA681" s="22"/>
      <c r="AB681" s="22"/>
      <c r="AC681" s="22">
        <v>43</v>
      </c>
      <c r="AD681" s="22"/>
      <c r="AE681" s="24"/>
      <c r="AF681" s="24" t="s">
        <v>2043</v>
      </c>
      <c r="AG681" s="22"/>
      <c r="AI681" s="25" t="s">
        <v>176</v>
      </c>
      <c r="AK681" s="40" t="s">
        <v>136</v>
      </c>
      <c r="AL681" s="40"/>
      <c r="AX681" s="27"/>
      <c r="AY681" s="27"/>
      <c r="BK681" s="27"/>
      <c r="BL681" s="27"/>
      <c r="BX681" s="27"/>
      <c r="BY681" s="27"/>
      <c r="CH681" s="29"/>
    </row>
    <row r="682" spans="1:86" x14ac:dyDescent="0.2">
      <c r="A682" s="18">
        <v>10043</v>
      </c>
      <c r="B682" s="19">
        <v>2</v>
      </c>
      <c r="C682" s="19">
        <f t="shared" si="63"/>
        <v>100430002</v>
      </c>
      <c r="D682" s="23" t="s">
        <v>700</v>
      </c>
      <c r="E682" s="20" t="s">
        <v>109</v>
      </c>
      <c r="I682" s="22" t="s">
        <v>206</v>
      </c>
      <c r="J682" s="22"/>
      <c r="K682" s="22"/>
      <c r="L682" s="22"/>
      <c r="M682" s="22"/>
      <c r="N682" s="22" t="s">
        <v>163</v>
      </c>
      <c r="O682" s="22" t="s">
        <v>163</v>
      </c>
      <c r="P682" s="22"/>
      <c r="Q682" s="22" t="s">
        <v>2041</v>
      </c>
      <c r="R682" s="22"/>
      <c r="S682" s="22"/>
      <c r="T682" s="22" t="s">
        <v>2307</v>
      </c>
      <c r="U682" s="116" t="s">
        <v>2520</v>
      </c>
      <c r="V682" s="22" t="s">
        <v>109</v>
      </c>
      <c r="W682" s="22" t="s">
        <v>1</v>
      </c>
      <c r="X682" s="22"/>
      <c r="Z682" s="22"/>
      <c r="AA682" s="22"/>
      <c r="AB682" s="22"/>
      <c r="AC682" s="22">
        <v>43</v>
      </c>
      <c r="AD682" s="22"/>
      <c r="AE682" s="24"/>
      <c r="AF682" s="24" t="s">
        <v>2043</v>
      </c>
      <c r="AG682" s="22"/>
      <c r="AI682" s="25" t="s">
        <v>260</v>
      </c>
      <c r="AK682" s="40" t="s">
        <v>139</v>
      </c>
      <c r="AL682" s="40"/>
      <c r="AX682" s="27"/>
      <c r="AY682" s="27"/>
      <c r="BK682" s="27"/>
      <c r="BL682" s="27"/>
      <c r="BX682" s="27"/>
      <c r="BY682" s="27"/>
      <c r="CH682" s="29"/>
    </row>
    <row r="683" spans="1:86" x14ac:dyDescent="0.2">
      <c r="A683" s="18">
        <v>10043</v>
      </c>
      <c r="B683" s="19">
        <v>3</v>
      </c>
      <c r="C683" s="19">
        <f t="shared" si="63"/>
        <v>100430003</v>
      </c>
      <c r="D683" s="23" t="s">
        <v>700</v>
      </c>
      <c r="E683" s="20" t="s">
        <v>109</v>
      </c>
      <c r="I683" s="22" t="s">
        <v>206</v>
      </c>
      <c r="J683" s="22"/>
      <c r="K683" s="22"/>
      <c r="L683" s="22"/>
      <c r="M683" s="22"/>
      <c r="N683" s="22" t="s">
        <v>163</v>
      </c>
      <c r="O683" s="22" t="s">
        <v>163</v>
      </c>
      <c r="P683" s="22"/>
      <c r="Q683" s="22" t="s">
        <v>2041</v>
      </c>
      <c r="R683" s="22"/>
      <c r="S683" s="22"/>
      <c r="T683" s="22" t="s">
        <v>2307</v>
      </c>
      <c r="U683" s="116" t="s">
        <v>2521</v>
      </c>
      <c r="V683" s="22" t="s">
        <v>109</v>
      </c>
      <c r="W683" s="22" t="s">
        <v>1</v>
      </c>
      <c r="X683" s="22"/>
      <c r="Z683" s="22"/>
      <c r="AA683" s="22"/>
      <c r="AB683" s="22"/>
      <c r="AC683" s="22">
        <v>43</v>
      </c>
      <c r="AD683" s="22"/>
      <c r="AE683" s="24"/>
      <c r="AF683" s="24" t="s">
        <v>2043</v>
      </c>
      <c r="AG683" s="22"/>
      <c r="AH683" s="25">
        <v>100433</v>
      </c>
      <c r="AI683" s="25" t="s">
        <v>264</v>
      </c>
      <c r="AK683" s="40" t="s">
        <v>373</v>
      </c>
      <c r="AL683" s="40"/>
      <c r="AX683" s="27"/>
      <c r="AY683" s="27"/>
      <c r="BK683" s="27"/>
      <c r="BL683" s="27"/>
      <c r="BX683" s="27"/>
      <c r="BY683" s="27"/>
      <c r="CH683" s="29"/>
    </row>
    <row r="684" spans="1:86" ht="12.75" customHeight="1" x14ac:dyDescent="0.2">
      <c r="A684" s="18">
        <v>10043</v>
      </c>
      <c r="B684" s="19">
        <v>4</v>
      </c>
      <c r="C684" s="19">
        <f t="shared" si="63"/>
        <v>100430004</v>
      </c>
      <c r="D684" s="23" t="s">
        <v>700</v>
      </c>
      <c r="E684" s="20" t="s">
        <v>109</v>
      </c>
      <c r="I684" s="22" t="s">
        <v>206</v>
      </c>
      <c r="J684" s="22"/>
      <c r="K684" s="22"/>
      <c r="L684" s="22"/>
      <c r="M684" s="22"/>
      <c r="N684" s="22" t="s">
        <v>163</v>
      </c>
      <c r="O684" s="22" t="s">
        <v>163</v>
      </c>
      <c r="P684" s="22"/>
      <c r="Q684" s="22" t="s">
        <v>2041</v>
      </c>
      <c r="R684" s="22"/>
      <c r="S684" s="22"/>
      <c r="T684" s="22" t="s">
        <v>2307</v>
      </c>
      <c r="U684" s="116" t="s">
        <v>2522</v>
      </c>
      <c r="V684" s="22" t="s">
        <v>109</v>
      </c>
      <c r="W684" s="22" t="s">
        <v>1</v>
      </c>
      <c r="X684" s="22"/>
      <c r="Z684" s="22"/>
      <c r="AA684" s="22"/>
      <c r="AB684" s="22"/>
      <c r="AC684" s="22">
        <v>43</v>
      </c>
      <c r="AD684" s="22"/>
      <c r="AE684" s="24"/>
      <c r="AF684" s="24" t="s">
        <v>2043</v>
      </c>
      <c r="AG684" s="22"/>
      <c r="AH684" s="25">
        <v>100434</v>
      </c>
      <c r="AI684" s="25" t="s">
        <v>265</v>
      </c>
      <c r="AK684" s="40" t="s">
        <v>374</v>
      </c>
      <c r="AL684" s="40"/>
      <c r="AX684" s="27"/>
      <c r="AY684" s="27"/>
      <c r="BK684" s="27"/>
      <c r="BL684" s="27"/>
      <c r="BX684" s="27"/>
      <c r="BY684" s="27"/>
      <c r="CH684" s="29"/>
    </row>
    <row r="685" spans="1:86" x14ac:dyDescent="0.2">
      <c r="A685" s="18">
        <v>10043</v>
      </c>
      <c r="B685" s="19">
        <v>5</v>
      </c>
      <c r="C685" s="19">
        <f t="shared" si="63"/>
        <v>100430005</v>
      </c>
      <c r="D685" s="23" t="s">
        <v>700</v>
      </c>
      <c r="E685" s="20" t="s">
        <v>109</v>
      </c>
      <c r="I685" s="22" t="s">
        <v>206</v>
      </c>
      <c r="J685" s="22"/>
      <c r="K685" s="22"/>
      <c r="L685" s="22"/>
      <c r="M685" s="22"/>
      <c r="N685" s="22" t="s">
        <v>163</v>
      </c>
      <c r="O685" s="22" t="s">
        <v>163</v>
      </c>
      <c r="P685" s="22"/>
      <c r="Q685" s="22" t="s">
        <v>2041</v>
      </c>
      <c r="R685" s="22"/>
      <c r="S685" s="22"/>
      <c r="T685" s="22" t="s">
        <v>2307</v>
      </c>
      <c r="U685" s="116" t="s">
        <v>2523</v>
      </c>
      <c r="V685" s="22" t="s">
        <v>109</v>
      </c>
      <c r="W685" s="22" t="s">
        <v>1</v>
      </c>
      <c r="X685" s="22"/>
      <c r="Z685" s="22"/>
      <c r="AA685" s="22"/>
      <c r="AB685" s="22"/>
      <c r="AC685" s="22">
        <v>43</v>
      </c>
      <c r="AD685" s="22"/>
      <c r="AE685" s="24"/>
      <c r="AF685" s="24" t="s">
        <v>2043</v>
      </c>
      <c r="AG685" s="22"/>
      <c r="AH685" s="25">
        <v>100435</v>
      </c>
      <c r="AI685" s="25" t="s">
        <v>266</v>
      </c>
      <c r="AK685" s="40" t="s">
        <v>375</v>
      </c>
      <c r="AL685" s="40"/>
      <c r="AX685" s="27"/>
      <c r="AY685" s="27"/>
      <c r="BK685" s="27"/>
      <c r="BL685" s="27"/>
      <c r="BX685" s="27"/>
      <c r="BY685" s="27"/>
      <c r="CH685" s="29"/>
    </row>
    <row r="686" spans="1:86" x14ac:dyDescent="0.2">
      <c r="A686" s="18">
        <v>10044</v>
      </c>
      <c r="B686" s="19">
        <v>1</v>
      </c>
      <c r="C686" s="19">
        <f t="shared" si="63"/>
        <v>100440001</v>
      </c>
      <c r="D686" s="23" t="s">
        <v>710</v>
      </c>
      <c r="E686" s="20" t="s">
        <v>109</v>
      </c>
      <c r="I686" s="22" t="s">
        <v>206</v>
      </c>
      <c r="J686" s="22"/>
      <c r="K686" s="22"/>
      <c r="L686" s="22"/>
      <c r="M686" s="22"/>
      <c r="N686" s="22" t="s">
        <v>163</v>
      </c>
      <c r="O686" s="22" t="s">
        <v>163</v>
      </c>
      <c r="P686" s="22"/>
      <c r="Q686" s="22" t="s">
        <v>2041</v>
      </c>
      <c r="R686" s="22"/>
      <c r="S686" s="22"/>
      <c r="T686" s="22" t="s">
        <v>2307</v>
      </c>
      <c r="U686" s="116" t="s">
        <v>2524</v>
      </c>
      <c r="V686" s="22" t="s">
        <v>109</v>
      </c>
      <c r="W686" s="22" t="s">
        <v>1</v>
      </c>
      <c r="X686" s="22"/>
      <c r="Z686" s="22"/>
      <c r="AA686" s="22"/>
      <c r="AB686" s="22"/>
      <c r="AC686" s="22" t="s">
        <v>709</v>
      </c>
      <c r="AD686" s="22"/>
      <c r="AE686" s="24"/>
      <c r="AF686" s="24" t="s">
        <v>2043</v>
      </c>
      <c r="AG686" s="22"/>
      <c r="AI686" s="25" t="s">
        <v>176</v>
      </c>
      <c r="AK686" s="40" t="s">
        <v>136</v>
      </c>
      <c r="AL686" s="40"/>
      <c r="AX686" s="27"/>
      <c r="AY686" s="27"/>
      <c r="BK686" s="27"/>
      <c r="BL686" s="27"/>
      <c r="BX686" s="27"/>
      <c r="BY686" s="27"/>
      <c r="CH686" s="29"/>
    </row>
    <row r="687" spans="1:86" x14ac:dyDescent="0.2">
      <c r="A687" s="18">
        <v>10044</v>
      </c>
      <c r="B687" s="19">
        <v>2</v>
      </c>
      <c r="C687" s="19">
        <f t="shared" si="63"/>
        <v>100440002</v>
      </c>
      <c r="D687" s="23" t="s">
        <v>710</v>
      </c>
      <c r="E687" s="20" t="s">
        <v>109</v>
      </c>
      <c r="I687" s="22" t="s">
        <v>206</v>
      </c>
      <c r="J687" s="22"/>
      <c r="K687" s="22"/>
      <c r="L687" s="22"/>
      <c r="M687" s="22"/>
      <c r="N687" s="22" t="s">
        <v>163</v>
      </c>
      <c r="O687" s="22" t="s">
        <v>163</v>
      </c>
      <c r="P687" s="22"/>
      <c r="Q687" s="22" t="s">
        <v>2041</v>
      </c>
      <c r="R687" s="22"/>
      <c r="S687" s="22"/>
      <c r="T687" s="22" t="s">
        <v>2307</v>
      </c>
      <c r="U687" s="116" t="s">
        <v>2525</v>
      </c>
      <c r="V687" s="22" t="s">
        <v>109</v>
      </c>
      <c r="W687" s="22" t="s">
        <v>1</v>
      </c>
      <c r="X687" s="22"/>
      <c r="Z687" s="22"/>
      <c r="AA687" s="22"/>
      <c r="AB687" s="22"/>
      <c r="AC687" s="22" t="s">
        <v>709</v>
      </c>
      <c r="AD687" s="22"/>
      <c r="AE687" s="24"/>
      <c r="AF687" s="24" t="s">
        <v>2043</v>
      </c>
      <c r="AG687" s="22"/>
      <c r="AI687" s="25" t="s">
        <v>260</v>
      </c>
      <c r="AK687" s="40" t="s">
        <v>139</v>
      </c>
      <c r="AL687" s="40"/>
      <c r="AX687" s="27"/>
      <c r="AY687" s="27"/>
      <c r="BK687" s="27"/>
      <c r="BL687" s="27"/>
      <c r="BX687" s="27"/>
      <c r="BY687" s="27"/>
      <c r="CH687" s="29"/>
    </row>
    <row r="688" spans="1:86" x14ac:dyDescent="0.2">
      <c r="A688" s="18">
        <v>10044</v>
      </c>
      <c r="B688" s="19">
        <v>3</v>
      </c>
      <c r="C688" s="19">
        <f t="shared" si="63"/>
        <v>100440003</v>
      </c>
      <c r="D688" s="23" t="s">
        <v>710</v>
      </c>
      <c r="E688" s="20" t="s">
        <v>109</v>
      </c>
      <c r="I688" s="22" t="s">
        <v>206</v>
      </c>
      <c r="J688" s="22"/>
      <c r="K688" s="22"/>
      <c r="L688" s="22"/>
      <c r="M688" s="22"/>
      <c r="N688" s="22" t="s">
        <v>163</v>
      </c>
      <c r="O688" s="22" t="s">
        <v>163</v>
      </c>
      <c r="P688" s="22"/>
      <c r="Q688" s="22" t="s">
        <v>2041</v>
      </c>
      <c r="R688" s="22"/>
      <c r="S688" s="22"/>
      <c r="T688" s="22" t="s">
        <v>2307</v>
      </c>
      <c r="U688" s="116" t="s">
        <v>2526</v>
      </c>
      <c r="V688" s="22" t="s">
        <v>109</v>
      </c>
      <c r="W688" s="22" t="s">
        <v>1</v>
      </c>
      <c r="X688" s="22"/>
      <c r="Z688" s="22"/>
      <c r="AA688" s="22"/>
      <c r="AB688" s="22"/>
      <c r="AC688" s="22" t="s">
        <v>709</v>
      </c>
      <c r="AD688" s="22"/>
      <c r="AE688" s="24"/>
      <c r="AF688" s="24" t="s">
        <v>2043</v>
      </c>
      <c r="AG688" s="22"/>
      <c r="AH688" s="25">
        <v>100443</v>
      </c>
      <c r="AI688" s="25" t="s">
        <v>264</v>
      </c>
      <c r="AK688" s="40" t="s">
        <v>373</v>
      </c>
      <c r="AL688" s="40"/>
      <c r="AX688" s="27"/>
      <c r="AY688" s="27"/>
      <c r="BK688" s="27"/>
      <c r="BL688" s="27"/>
      <c r="BX688" s="27"/>
      <c r="BY688" s="27"/>
      <c r="CH688" s="29"/>
    </row>
    <row r="689" spans="1:107" ht="12.75" customHeight="1" x14ac:dyDescent="0.2">
      <c r="A689" s="18">
        <v>10044</v>
      </c>
      <c r="B689" s="19">
        <v>4</v>
      </c>
      <c r="C689" s="19">
        <f t="shared" si="63"/>
        <v>100440004</v>
      </c>
      <c r="D689" s="23" t="s">
        <v>710</v>
      </c>
      <c r="E689" s="20" t="s">
        <v>109</v>
      </c>
      <c r="I689" s="22" t="s">
        <v>206</v>
      </c>
      <c r="J689" s="22"/>
      <c r="K689" s="22"/>
      <c r="L689" s="22"/>
      <c r="M689" s="22"/>
      <c r="N689" s="22" t="s">
        <v>163</v>
      </c>
      <c r="O689" s="22" t="s">
        <v>163</v>
      </c>
      <c r="P689" s="22"/>
      <c r="Q689" s="22" t="s">
        <v>2041</v>
      </c>
      <c r="R689" s="22"/>
      <c r="S689" s="22"/>
      <c r="T689" s="22" t="s">
        <v>2307</v>
      </c>
      <c r="U689" s="116" t="s">
        <v>2527</v>
      </c>
      <c r="V689" s="22" t="s">
        <v>109</v>
      </c>
      <c r="W689" s="22" t="s">
        <v>1</v>
      </c>
      <c r="X689" s="22"/>
      <c r="Z689" s="22"/>
      <c r="AA689" s="22"/>
      <c r="AB689" s="22"/>
      <c r="AC689" s="22" t="s">
        <v>709</v>
      </c>
      <c r="AD689" s="22"/>
      <c r="AE689" s="24"/>
      <c r="AF689" s="24" t="s">
        <v>2043</v>
      </c>
      <c r="AG689" s="22"/>
      <c r="AH689" s="25">
        <v>100444</v>
      </c>
      <c r="AI689" s="25" t="s">
        <v>265</v>
      </c>
      <c r="AK689" s="40" t="s">
        <v>374</v>
      </c>
      <c r="AL689" s="40"/>
      <c r="AX689" s="27"/>
      <c r="AY689" s="27"/>
      <c r="BK689" s="27"/>
      <c r="BL689" s="27"/>
      <c r="BX689" s="27"/>
      <c r="BY689" s="27"/>
      <c r="CH689" s="29"/>
    </row>
    <row r="690" spans="1:107" x14ac:dyDescent="0.2">
      <c r="A690" s="18">
        <v>10044</v>
      </c>
      <c r="B690" s="19">
        <v>5</v>
      </c>
      <c r="C690" s="19">
        <f t="shared" si="63"/>
        <v>100440005</v>
      </c>
      <c r="D690" s="23" t="s">
        <v>710</v>
      </c>
      <c r="E690" s="20" t="s">
        <v>109</v>
      </c>
      <c r="I690" s="22" t="s">
        <v>206</v>
      </c>
      <c r="J690" s="22"/>
      <c r="K690" s="22"/>
      <c r="L690" s="22"/>
      <c r="M690" s="22"/>
      <c r="N690" s="22" t="s">
        <v>163</v>
      </c>
      <c r="O690" s="22" t="s">
        <v>163</v>
      </c>
      <c r="P690" s="22"/>
      <c r="Q690" s="22" t="s">
        <v>2041</v>
      </c>
      <c r="R690" s="22"/>
      <c r="S690" s="22"/>
      <c r="T690" s="22" t="s">
        <v>2307</v>
      </c>
      <c r="U690" s="116" t="s">
        <v>2528</v>
      </c>
      <c r="V690" s="22" t="s">
        <v>109</v>
      </c>
      <c r="W690" s="22" t="s">
        <v>1</v>
      </c>
      <c r="X690" s="22"/>
      <c r="Z690" s="22"/>
      <c r="AA690" s="22"/>
      <c r="AB690" s="22"/>
      <c r="AC690" s="22" t="s">
        <v>709</v>
      </c>
      <c r="AD690" s="22"/>
      <c r="AE690" s="24"/>
      <c r="AF690" s="24" t="s">
        <v>2043</v>
      </c>
      <c r="AG690" s="22"/>
      <c r="AH690" s="25">
        <v>100445</v>
      </c>
      <c r="AI690" s="25" t="s">
        <v>266</v>
      </c>
      <c r="AK690" s="40" t="s">
        <v>375</v>
      </c>
      <c r="AL690" s="40"/>
      <c r="AX690" s="27"/>
      <c r="AY690" s="27"/>
      <c r="BK690" s="27"/>
      <c r="BL690" s="27"/>
      <c r="BX690" s="27"/>
      <c r="BY690" s="27"/>
      <c r="CH690" s="29"/>
    </row>
    <row r="691" spans="1:107" x14ac:dyDescent="0.2">
      <c r="A691" s="18">
        <v>10045</v>
      </c>
      <c r="B691" s="19">
        <v>1</v>
      </c>
      <c r="C691" s="19">
        <f t="shared" si="63"/>
        <v>100450001</v>
      </c>
      <c r="D691" s="23" t="s">
        <v>783</v>
      </c>
      <c r="E691" s="20" t="s">
        <v>109</v>
      </c>
      <c r="I691" s="22" t="s">
        <v>206</v>
      </c>
      <c r="J691" s="22"/>
      <c r="K691" s="22"/>
      <c r="L691" s="22"/>
      <c r="M691" s="22"/>
      <c r="N691" s="22" t="s">
        <v>163</v>
      </c>
      <c r="O691" s="22" t="s">
        <v>163</v>
      </c>
      <c r="P691" s="22"/>
      <c r="Q691" s="22" t="s">
        <v>2041</v>
      </c>
      <c r="R691" s="22"/>
      <c r="S691" s="22"/>
      <c r="T691" s="22" t="s">
        <v>2307</v>
      </c>
      <c r="U691" s="116" t="s">
        <v>2529</v>
      </c>
      <c r="V691" s="22" t="s">
        <v>109</v>
      </c>
      <c r="W691" s="22" t="s">
        <v>1</v>
      </c>
      <c r="X691" s="22"/>
      <c r="Z691" s="22"/>
      <c r="AA691" s="22"/>
      <c r="AB691" s="22"/>
      <c r="AC691" s="22" t="s">
        <v>345</v>
      </c>
      <c r="AD691" s="22"/>
      <c r="AE691" s="24"/>
      <c r="AF691" s="24" t="s">
        <v>2043</v>
      </c>
      <c r="AG691" s="22"/>
      <c r="AI691" s="25" t="s">
        <v>176</v>
      </c>
      <c r="AK691" s="40" t="s">
        <v>136</v>
      </c>
      <c r="AL691" s="40"/>
      <c r="AX691" s="27"/>
      <c r="AY691" s="27"/>
      <c r="BK691" s="27"/>
      <c r="BL691" s="27"/>
      <c r="BX691" s="27"/>
      <c r="BY691" s="27"/>
      <c r="CH691" s="29"/>
    </row>
    <row r="692" spans="1:107" x14ac:dyDescent="0.2">
      <c r="A692" s="18">
        <v>10045</v>
      </c>
      <c r="B692" s="19">
        <v>2</v>
      </c>
      <c r="C692" s="19">
        <f t="shared" si="63"/>
        <v>100450002</v>
      </c>
      <c r="D692" s="23" t="s">
        <v>783</v>
      </c>
      <c r="E692" s="20" t="s">
        <v>109</v>
      </c>
      <c r="I692" s="22" t="s">
        <v>206</v>
      </c>
      <c r="J692" s="22"/>
      <c r="K692" s="22"/>
      <c r="L692" s="22"/>
      <c r="M692" s="22"/>
      <c r="N692" s="22" t="s">
        <v>163</v>
      </c>
      <c r="O692" s="22" t="s">
        <v>163</v>
      </c>
      <c r="P692" s="22"/>
      <c r="Q692" s="22" t="s">
        <v>2041</v>
      </c>
      <c r="R692" s="22"/>
      <c r="S692" s="22"/>
      <c r="T692" s="22" t="s">
        <v>2307</v>
      </c>
      <c r="U692" s="116" t="s">
        <v>2530</v>
      </c>
      <c r="V692" s="22" t="s">
        <v>109</v>
      </c>
      <c r="W692" s="22" t="s">
        <v>1</v>
      </c>
      <c r="X692" s="22"/>
      <c r="Z692" s="22"/>
      <c r="AA692" s="22"/>
      <c r="AB692" s="22"/>
      <c r="AC692" s="22" t="s">
        <v>345</v>
      </c>
      <c r="AD692" s="22"/>
      <c r="AE692" s="24"/>
      <c r="AF692" s="24" t="s">
        <v>2043</v>
      </c>
      <c r="AG692" s="22"/>
      <c r="AI692" s="25" t="s">
        <v>260</v>
      </c>
      <c r="AK692" s="40" t="s">
        <v>139</v>
      </c>
      <c r="AL692" s="40"/>
      <c r="AX692" s="27"/>
      <c r="AY692" s="27"/>
      <c r="BK692" s="27"/>
      <c r="BL692" s="27"/>
      <c r="BX692" s="27"/>
      <c r="BY692" s="27"/>
      <c r="CH692" s="29"/>
    </row>
    <row r="693" spans="1:107" x14ac:dyDescent="0.2">
      <c r="A693" s="18">
        <v>10045</v>
      </c>
      <c r="B693" s="19">
        <v>3</v>
      </c>
      <c r="C693" s="19">
        <f t="shared" si="63"/>
        <v>100450003</v>
      </c>
      <c r="D693" s="23" t="s">
        <v>783</v>
      </c>
      <c r="E693" s="20" t="s">
        <v>109</v>
      </c>
      <c r="I693" s="22" t="s">
        <v>206</v>
      </c>
      <c r="J693" s="22"/>
      <c r="K693" s="22"/>
      <c r="L693" s="22"/>
      <c r="M693" s="22"/>
      <c r="N693" s="22" t="s">
        <v>163</v>
      </c>
      <c r="O693" s="22" t="s">
        <v>163</v>
      </c>
      <c r="P693" s="22"/>
      <c r="Q693" s="22" t="s">
        <v>2041</v>
      </c>
      <c r="R693" s="22"/>
      <c r="S693" s="22"/>
      <c r="T693" s="22" t="s">
        <v>2307</v>
      </c>
      <c r="U693" s="116" t="s">
        <v>2531</v>
      </c>
      <c r="V693" s="22" t="s">
        <v>109</v>
      </c>
      <c r="W693" s="22" t="s">
        <v>1</v>
      </c>
      <c r="X693" s="22"/>
      <c r="Z693" s="22"/>
      <c r="AA693" s="22"/>
      <c r="AB693" s="22"/>
      <c r="AC693" s="22" t="s">
        <v>345</v>
      </c>
      <c r="AD693" s="22"/>
      <c r="AE693" s="24"/>
      <c r="AF693" s="24" t="s">
        <v>2043</v>
      </c>
      <c r="AG693" s="22"/>
      <c r="AH693" s="25" t="s">
        <v>787</v>
      </c>
      <c r="AI693" s="25" t="s">
        <v>264</v>
      </c>
      <c r="AK693" s="40" t="s">
        <v>373</v>
      </c>
      <c r="AL693" s="40"/>
      <c r="AX693" s="27"/>
      <c r="AY693" s="27"/>
      <c r="BK693" s="27"/>
      <c r="BL693" s="27"/>
      <c r="BX693" s="27"/>
      <c r="BY693" s="27"/>
      <c r="CH693" s="29"/>
    </row>
    <row r="694" spans="1:107" ht="12.75" customHeight="1" x14ac:dyDescent="0.2">
      <c r="A694" s="18">
        <v>10045</v>
      </c>
      <c r="B694" s="19">
        <v>4</v>
      </c>
      <c r="C694" s="19">
        <f t="shared" si="63"/>
        <v>100450004</v>
      </c>
      <c r="D694" s="23" t="s">
        <v>783</v>
      </c>
      <c r="E694" s="20" t="s">
        <v>109</v>
      </c>
      <c r="I694" s="22" t="s">
        <v>206</v>
      </c>
      <c r="J694" s="22"/>
      <c r="K694" s="22"/>
      <c r="L694" s="22"/>
      <c r="M694" s="22"/>
      <c r="N694" s="22" t="s">
        <v>163</v>
      </c>
      <c r="O694" s="22" t="s">
        <v>163</v>
      </c>
      <c r="P694" s="22"/>
      <c r="Q694" s="22" t="s">
        <v>2041</v>
      </c>
      <c r="R694" s="22"/>
      <c r="S694" s="22"/>
      <c r="T694" s="22" t="s">
        <v>2307</v>
      </c>
      <c r="U694" s="116" t="s">
        <v>2532</v>
      </c>
      <c r="V694" s="22" t="s">
        <v>109</v>
      </c>
      <c r="W694" s="22" t="s">
        <v>1</v>
      </c>
      <c r="X694" s="22"/>
      <c r="Z694" s="22"/>
      <c r="AA694" s="22"/>
      <c r="AB694" s="22"/>
      <c r="AC694" s="22" t="s">
        <v>345</v>
      </c>
      <c r="AD694" s="22"/>
      <c r="AE694" s="24"/>
      <c r="AF694" s="24" t="s">
        <v>2043</v>
      </c>
      <c r="AG694" s="22"/>
      <c r="AH694" s="25" t="s">
        <v>788</v>
      </c>
      <c r="AI694" s="25" t="s">
        <v>265</v>
      </c>
      <c r="AK694" s="40" t="s">
        <v>374</v>
      </c>
      <c r="AL694" s="40"/>
      <c r="AX694" s="27"/>
      <c r="AY694" s="27"/>
      <c r="BK694" s="27"/>
      <c r="BL694" s="27"/>
      <c r="BX694" s="27"/>
      <c r="BY694" s="27"/>
      <c r="CH694" s="29"/>
    </row>
    <row r="695" spans="1:107" x14ac:dyDescent="0.2">
      <c r="A695" s="18">
        <v>10045</v>
      </c>
      <c r="B695" s="19">
        <v>5</v>
      </c>
      <c r="C695" s="19">
        <f t="shared" si="63"/>
        <v>100450005</v>
      </c>
      <c r="D695" s="23" t="s">
        <v>783</v>
      </c>
      <c r="E695" s="20" t="s">
        <v>109</v>
      </c>
      <c r="I695" s="22" t="s">
        <v>206</v>
      </c>
      <c r="J695" s="22"/>
      <c r="K695" s="22"/>
      <c r="L695" s="22"/>
      <c r="M695" s="22"/>
      <c r="N695" s="22" t="s">
        <v>163</v>
      </c>
      <c r="O695" s="22" t="s">
        <v>163</v>
      </c>
      <c r="P695" s="22"/>
      <c r="Q695" s="22" t="s">
        <v>2041</v>
      </c>
      <c r="R695" s="22"/>
      <c r="S695" s="22"/>
      <c r="T695" s="22" t="s">
        <v>2307</v>
      </c>
      <c r="U695" s="116" t="s">
        <v>2533</v>
      </c>
      <c r="V695" s="22" t="s">
        <v>109</v>
      </c>
      <c r="W695" s="22" t="s">
        <v>1</v>
      </c>
      <c r="X695" s="22"/>
      <c r="Z695" s="22"/>
      <c r="AA695" s="22"/>
      <c r="AB695" s="22"/>
      <c r="AC695" s="22" t="s">
        <v>345</v>
      </c>
      <c r="AD695" s="22"/>
      <c r="AE695" s="24"/>
      <c r="AF695" s="24" t="s">
        <v>2043</v>
      </c>
      <c r="AG695" s="22"/>
      <c r="AH695" s="25" t="s">
        <v>789</v>
      </c>
      <c r="AI695" s="25" t="s">
        <v>266</v>
      </c>
      <c r="AK695" s="40" t="s">
        <v>375</v>
      </c>
      <c r="AL695" s="40"/>
      <c r="AX695" s="27"/>
      <c r="AY695" s="27"/>
      <c r="BK695" s="27"/>
      <c r="BL695" s="27"/>
      <c r="BX695" s="27"/>
      <c r="BY695" s="27"/>
      <c r="CH695" s="29"/>
    </row>
    <row r="696" spans="1:107" s="46" customFormat="1" x14ac:dyDescent="0.2">
      <c r="A696" s="44">
        <v>10046</v>
      </c>
      <c r="B696" s="45">
        <v>1</v>
      </c>
      <c r="C696" s="45">
        <f t="shared" si="63"/>
        <v>100460001</v>
      </c>
      <c r="D696" s="46" t="s">
        <v>1395</v>
      </c>
      <c r="E696" s="47" t="s">
        <v>109</v>
      </c>
      <c r="F696" s="47"/>
      <c r="G696" s="47"/>
      <c r="H696" s="47"/>
      <c r="I696" s="48" t="s">
        <v>206</v>
      </c>
      <c r="J696" s="48"/>
      <c r="K696" s="48"/>
      <c r="L696" s="48"/>
      <c r="M696" s="48"/>
      <c r="N696" s="48" t="s">
        <v>163</v>
      </c>
      <c r="O696" s="48" t="s">
        <v>163</v>
      </c>
      <c r="P696" s="114"/>
      <c r="Q696" s="114" t="s">
        <v>2041</v>
      </c>
      <c r="R696" s="114"/>
      <c r="S696" s="114"/>
      <c r="T696" s="114" t="s">
        <v>2307</v>
      </c>
      <c r="U696" s="121" t="s">
        <v>2534</v>
      </c>
      <c r="V696" s="48" t="s">
        <v>109</v>
      </c>
      <c r="W696" s="48" t="s">
        <v>1</v>
      </c>
      <c r="X696" s="48"/>
      <c r="Z696" s="48"/>
      <c r="AA696" s="48"/>
      <c r="AB696" s="48"/>
      <c r="AC696" s="48">
        <v>46</v>
      </c>
      <c r="AD696" s="48"/>
      <c r="AE696" s="49"/>
      <c r="AF696" s="24" t="s">
        <v>2043</v>
      </c>
      <c r="AG696" s="48"/>
      <c r="AH696" s="50"/>
      <c r="AI696" s="50" t="s">
        <v>176</v>
      </c>
      <c r="AJ696" s="50"/>
      <c r="AK696" s="51" t="s">
        <v>136</v>
      </c>
      <c r="AL696" s="51"/>
      <c r="AM696" s="52"/>
      <c r="AN696" s="52"/>
      <c r="AO696" s="52"/>
      <c r="AP696" s="52"/>
      <c r="AQ696" s="52"/>
      <c r="AR696" s="52"/>
      <c r="AS696" s="52"/>
      <c r="AT696" s="52"/>
      <c r="AU696" s="50"/>
      <c r="AV696" s="50"/>
      <c r="AW696" s="50"/>
      <c r="AX696" s="51"/>
      <c r="AY696" s="51"/>
      <c r="AZ696" s="52"/>
      <c r="BA696" s="52"/>
      <c r="BB696" s="52"/>
      <c r="BC696" s="52"/>
      <c r="BD696" s="52"/>
      <c r="BE696" s="52"/>
      <c r="BF696" s="52"/>
      <c r="BG696" s="52"/>
      <c r="BH696" s="50"/>
      <c r="BI696" s="50"/>
      <c r="BJ696" s="50"/>
      <c r="BK696" s="51"/>
      <c r="BL696" s="51"/>
      <c r="BM696" s="52"/>
      <c r="BN696" s="52"/>
      <c r="BO696" s="52"/>
      <c r="BP696" s="52"/>
      <c r="BQ696" s="52"/>
      <c r="BR696" s="52"/>
      <c r="BS696" s="52"/>
      <c r="BT696" s="52"/>
      <c r="BU696" s="50"/>
      <c r="BV696" s="50"/>
      <c r="BW696" s="50"/>
      <c r="BX696" s="51"/>
      <c r="BY696" s="51"/>
      <c r="BZ696" s="52"/>
      <c r="CA696" s="52"/>
      <c r="CB696" s="52"/>
      <c r="CC696" s="52"/>
      <c r="CD696" s="52"/>
      <c r="CE696" s="52"/>
      <c r="CF696" s="52"/>
      <c r="CG696" s="52"/>
      <c r="CH696" s="53"/>
      <c r="CJ696" s="52"/>
      <c r="CT696" s="54"/>
      <c r="CU696" s="54"/>
      <c r="CV696" s="54"/>
      <c r="CW696" s="54"/>
      <c r="CX696" s="54"/>
      <c r="CY696" s="54"/>
      <c r="CZ696" s="54"/>
      <c r="DA696" s="54"/>
      <c r="DB696" s="54"/>
      <c r="DC696" s="52"/>
    </row>
    <row r="697" spans="1:107" s="46" customFormat="1" x14ac:dyDescent="0.2">
      <c r="A697" s="44">
        <v>10046</v>
      </c>
      <c r="B697" s="45">
        <v>2</v>
      </c>
      <c r="C697" s="45">
        <f t="shared" si="63"/>
        <v>100460002</v>
      </c>
      <c r="D697" s="46" t="s">
        <v>1395</v>
      </c>
      <c r="E697" s="47" t="s">
        <v>109</v>
      </c>
      <c r="F697" s="47"/>
      <c r="G697" s="47"/>
      <c r="H697" s="47"/>
      <c r="I697" s="48" t="s">
        <v>206</v>
      </c>
      <c r="J697" s="48"/>
      <c r="K697" s="48"/>
      <c r="L697" s="48"/>
      <c r="M697" s="48"/>
      <c r="N697" s="48" t="s">
        <v>163</v>
      </c>
      <c r="O697" s="48" t="s">
        <v>163</v>
      </c>
      <c r="P697" s="114"/>
      <c r="Q697" s="114" t="s">
        <v>2041</v>
      </c>
      <c r="R697" s="114"/>
      <c r="S697" s="114"/>
      <c r="T697" s="114" t="s">
        <v>2307</v>
      </c>
      <c r="U697" s="121" t="s">
        <v>2535</v>
      </c>
      <c r="V697" s="48" t="s">
        <v>109</v>
      </c>
      <c r="W697" s="48" t="s">
        <v>1</v>
      </c>
      <c r="X697" s="48"/>
      <c r="Z697" s="48"/>
      <c r="AA697" s="48"/>
      <c r="AB697" s="48"/>
      <c r="AC697" s="48">
        <v>46</v>
      </c>
      <c r="AD697" s="48"/>
      <c r="AE697" s="49"/>
      <c r="AF697" s="24" t="s">
        <v>2043</v>
      </c>
      <c r="AG697" s="48"/>
      <c r="AH697" s="50"/>
      <c r="AI697" s="50" t="s">
        <v>260</v>
      </c>
      <c r="AJ697" s="50"/>
      <c r="AK697" s="51" t="s">
        <v>139</v>
      </c>
      <c r="AL697" s="51"/>
      <c r="AM697" s="52"/>
      <c r="AN697" s="52"/>
      <c r="AO697" s="52"/>
      <c r="AP697" s="52"/>
      <c r="AQ697" s="52"/>
      <c r="AR697" s="52"/>
      <c r="AS697" s="52"/>
      <c r="AT697" s="52"/>
      <c r="AU697" s="50"/>
      <c r="AV697" s="50"/>
      <c r="AW697" s="50"/>
      <c r="AX697" s="51"/>
      <c r="AY697" s="51"/>
      <c r="AZ697" s="52"/>
      <c r="BA697" s="52"/>
      <c r="BB697" s="52"/>
      <c r="BC697" s="52"/>
      <c r="BD697" s="52"/>
      <c r="BE697" s="52"/>
      <c r="BF697" s="52"/>
      <c r="BG697" s="52"/>
      <c r="BH697" s="50"/>
      <c r="BI697" s="50"/>
      <c r="BJ697" s="50"/>
      <c r="BK697" s="51"/>
      <c r="BL697" s="51"/>
      <c r="BM697" s="52"/>
      <c r="BN697" s="52"/>
      <c r="BO697" s="52"/>
      <c r="BP697" s="52"/>
      <c r="BQ697" s="52"/>
      <c r="BR697" s="52"/>
      <c r="BS697" s="52"/>
      <c r="BT697" s="52"/>
      <c r="BU697" s="50"/>
      <c r="BV697" s="50"/>
      <c r="BW697" s="50"/>
      <c r="BX697" s="51"/>
      <c r="BY697" s="51"/>
      <c r="BZ697" s="52"/>
      <c r="CA697" s="52"/>
      <c r="CB697" s="52"/>
      <c r="CC697" s="52"/>
      <c r="CD697" s="52"/>
      <c r="CE697" s="52"/>
      <c r="CF697" s="52"/>
      <c r="CG697" s="52"/>
      <c r="CH697" s="53"/>
      <c r="CJ697" s="52"/>
      <c r="CT697" s="54"/>
      <c r="CU697" s="54"/>
      <c r="CV697" s="54"/>
      <c r="CW697" s="54"/>
      <c r="CX697" s="54"/>
      <c r="CY697" s="54"/>
      <c r="CZ697" s="54"/>
      <c r="DA697" s="54"/>
      <c r="DB697" s="54"/>
      <c r="DC697" s="52"/>
    </row>
    <row r="698" spans="1:107" s="46" customFormat="1" x14ac:dyDescent="0.2">
      <c r="A698" s="44">
        <v>10046</v>
      </c>
      <c r="B698" s="45">
        <v>3</v>
      </c>
      <c r="C698" s="45">
        <f t="shared" si="63"/>
        <v>100460003</v>
      </c>
      <c r="D698" s="46" t="s">
        <v>1395</v>
      </c>
      <c r="E698" s="47" t="s">
        <v>109</v>
      </c>
      <c r="F698" s="47"/>
      <c r="G698" s="47"/>
      <c r="H698" s="47"/>
      <c r="I698" s="48" t="s">
        <v>206</v>
      </c>
      <c r="J698" s="48"/>
      <c r="K698" s="48"/>
      <c r="L698" s="48"/>
      <c r="M698" s="48"/>
      <c r="N698" s="48" t="s">
        <v>163</v>
      </c>
      <c r="O698" s="48" t="s">
        <v>163</v>
      </c>
      <c r="P698" s="114"/>
      <c r="Q698" s="114" t="s">
        <v>2041</v>
      </c>
      <c r="R698" s="114"/>
      <c r="S698" s="114"/>
      <c r="T698" s="114" t="s">
        <v>2307</v>
      </c>
      <c r="U698" s="121" t="s">
        <v>2536</v>
      </c>
      <c r="V698" s="48" t="s">
        <v>109</v>
      </c>
      <c r="W698" s="48" t="s">
        <v>1</v>
      </c>
      <c r="X698" s="48"/>
      <c r="Z698" s="48"/>
      <c r="AA698" s="48"/>
      <c r="AB698" s="48"/>
      <c r="AC698" s="48">
        <v>46</v>
      </c>
      <c r="AD698" s="48"/>
      <c r="AE698" s="49"/>
      <c r="AF698" s="24" t="s">
        <v>2043</v>
      </c>
      <c r="AG698" s="48"/>
      <c r="AH698" s="50">
        <v>100463</v>
      </c>
      <c r="AI698" s="50" t="s">
        <v>264</v>
      </c>
      <c r="AJ698" s="50"/>
      <c r="AK698" s="51" t="s">
        <v>373</v>
      </c>
      <c r="AL698" s="51"/>
      <c r="AM698" s="52"/>
      <c r="AN698" s="52"/>
      <c r="AO698" s="52"/>
      <c r="AP698" s="52"/>
      <c r="AQ698" s="52"/>
      <c r="AR698" s="52"/>
      <c r="AS698" s="52"/>
      <c r="AT698" s="52"/>
      <c r="AU698" s="50"/>
      <c r="AV698" s="50"/>
      <c r="AW698" s="50"/>
      <c r="AX698" s="51"/>
      <c r="AY698" s="51"/>
      <c r="AZ698" s="52"/>
      <c r="BA698" s="52"/>
      <c r="BB698" s="52"/>
      <c r="BC698" s="52"/>
      <c r="BD698" s="52"/>
      <c r="BE698" s="52"/>
      <c r="BF698" s="52"/>
      <c r="BG698" s="52"/>
      <c r="BH698" s="50"/>
      <c r="BI698" s="50"/>
      <c r="BJ698" s="50"/>
      <c r="BK698" s="51"/>
      <c r="BL698" s="51"/>
      <c r="BM698" s="52"/>
      <c r="BN698" s="52"/>
      <c r="BO698" s="52"/>
      <c r="BP698" s="52"/>
      <c r="BQ698" s="52"/>
      <c r="BR698" s="52"/>
      <c r="BS698" s="52"/>
      <c r="BT698" s="52"/>
      <c r="BU698" s="50"/>
      <c r="BV698" s="50"/>
      <c r="BW698" s="50"/>
      <c r="BX698" s="51"/>
      <c r="BY698" s="51"/>
      <c r="BZ698" s="52"/>
      <c r="CA698" s="52"/>
      <c r="CB698" s="52"/>
      <c r="CC698" s="52"/>
      <c r="CD698" s="52"/>
      <c r="CE698" s="52"/>
      <c r="CF698" s="52"/>
      <c r="CG698" s="52"/>
      <c r="CH698" s="53"/>
      <c r="CJ698" s="52"/>
      <c r="CT698" s="54"/>
      <c r="CU698" s="54"/>
      <c r="CV698" s="54"/>
      <c r="CW698" s="54"/>
      <c r="CX698" s="54"/>
      <c r="CY698" s="54"/>
      <c r="CZ698" s="54"/>
      <c r="DA698" s="54"/>
      <c r="DB698" s="54"/>
      <c r="DC698" s="52"/>
    </row>
    <row r="699" spans="1:107" s="46" customFormat="1" x14ac:dyDescent="0.2">
      <c r="A699" s="44">
        <v>10046</v>
      </c>
      <c r="B699" s="45">
        <v>4</v>
      </c>
      <c r="C699" s="45">
        <f t="shared" si="63"/>
        <v>100460004</v>
      </c>
      <c r="D699" s="46" t="s">
        <v>1395</v>
      </c>
      <c r="E699" s="47" t="s">
        <v>109</v>
      </c>
      <c r="F699" s="47"/>
      <c r="G699" s="47"/>
      <c r="H699" s="47"/>
      <c r="I699" s="48" t="s">
        <v>206</v>
      </c>
      <c r="J699" s="48"/>
      <c r="K699" s="48"/>
      <c r="L699" s="48"/>
      <c r="M699" s="48"/>
      <c r="N699" s="48" t="s">
        <v>163</v>
      </c>
      <c r="O699" s="48" t="s">
        <v>163</v>
      </c>
      <c r="P699" s="114"/>
      <c r="Q699" s="114" t="s">
        <v>2041</v>
      </c>
      <c r="R699" s="114"/>
      <c r="S699" s="114"/>
      <c r="T699" s="114" t="s">
        <v>2307</v>
      </c>
      <c r="U699" s="121" t="s">
        <v>2537</v>
      </c>
      <c r="V699" s="48" t="s">
        <v>109</v>
      </c>
      <c r="W699" s="48" t="s">
        <v>1</v>
      </c>
      <c r="X699" s="48"/>
      <c r="Z699" s="48"/>
      <c r="AA699" s="48"/>
      <c r="AB699" s="48"/>
      <c r="AC699" s="48">
        <v>46</v>
      </c>
      <c r="AD699" s="48"/>
      <c r="AE699" s="49"/>
      <c r="AF699" s="24" t="s">
        <v>2043</v>
      </c>
      <c r="AG699" s="48"/>
      <c r="AH699" s="50">
        <v>100464</v>
      </c>
      <c r="AI699" s="50" t="s">
        <v>265</v>
      </c>
      <c r="AJ699" s="50"/>
      <c r="AK699" s="51" t="s">
        <v>374</v>
      </c>
      <c r="AL699" s="51"/>
      <c r="AM699" s="52"/>
      <c r="AN699" s="52"/>
      <c r="AO699" s="52"/>
      <c r="AP699" s="52"/>
      <c r="AQ699" s="52"/>
      <c r="AR699" s="52"/>
      <c r="AS699" s="52"/>
      <c r="AT699" s="52"/>
      <c r="AU699" s="50"/>
      <c r="AV699" s="50"/>
      <c r="AW699" s="50"/>
      <c r="AX699" s="51"/>
      <c r="AY699" s="51"/>
      <c r="AZ699" s="52"/>
      <c r="BA699" s="52"/>
      <c r="BB699" s="52"/>
      <c r="BC699" s="52"/>
      <c r="BD699" s="52"/>
      <c r="BE699" s="52"/>
      <c r="BF699" s="52"/>
      <c r="BG699" s="52"/>
      <c r="BH699" s="50"/>
      <c r="BI699" s="50"/>
      <c r="BJ699" s="50"/>
      <c r="BK699" s="51"/>
      <c r="BL699" s="51"/>
      <c r="BM699" s="52"/>
      <c r="BN699" s="52"/>
      <c r="BO699" s="52"/>
      <c r="BP699" s="52"/>
      <c r="BQ699" s="52"/>
      <c r="BR699" s="52"/>
      <c r="BS699" s="52"/>
      <c r="BT699" s="52"/>
      <c r="BU699" s="50"/>
      <c r="BV699" s="50"/>
      <c r="BW699" s="50"/>
      <c r="BX699" s="51"/>
      <c r="BY699" s="51"/>
      <c r="BZ699" s="52"/>
      <c r="CA699" s="52"/>
      <c r="CB699" s="52"/>
      <c r="CC699" s="52"/>
      <c r="CD699" s="52"/>
      <c r="CE699" s="52"/>
      <c r="CF699" s="52"/>
      <c r="CG699" s="52"/>
      <c r="CH699" s="53"/>
      <c r="CJ699" s="52"/>
      <c r="CT699" s="54"/>
      <c r="CU699" s="54"/>
      <c r="CV699" s="54"/>
      <c r="CW699" s="54"/>
      <c r="CX699" s="54"/>
      <c r="CY699" s="54"/>
      <c r="CZ699" s="54"/>
      <c r="DA699" s="54"/>
      <c r="DB699" s="54"/>
      <c r="DC699" s="52"/>
    </row>
    <row r="700" spans="1:107" s="46" customFormat="1" x14ac:dyDescent="0.2">
      <c r="A700" s="44">
        <v>10046</v>
      </c>
      <c r="B700" s="45">
        <v>5</v>
      </c>
      <c r="C700" s="45">
        <f t="shared" si="63"/>
        <v>100460005</v>
      </c>
      <c r="D700" s="46" t="s">
        <v>1395</v>
      </c>
      <c r="E700" s="47" t="s">
        <v>109</v>
      </c>
      <c r="F700" s="47"/>
      <c r="G700" s="47"/>
      <c r="H700" s="47"/>
      <c r="I700" s="48" t="s">
        <v>206</v>
      </c>
      <c r="J700" s="48"/>
      <c r="K700" s="48"/>
      <c r="L700" s="48"/>
      <c r="M700" s="48"/>
      <c r="N700" s="48" t="s">
        <v>163</v>
      </c>
      <c r="O700" s="48" t="s">
        <v>163</v>
      </c>
      <c r="P700" s="114"/>
      <c r="Q700" s="114" t="s">
        <v>2041</v>
      </c>
      <c r="R700" s="114"/>
      <c r="S700" s="114"/>
      <c r="T700" s="114" t="s">
        <v>2307</v>
      </c>
      <c r="U700" s="121" t="s">
        <v>2538</v>
      </c>
      <c r="V700" s="48" t="s">
        <v>109</v>
      </c>
      <c r="W700" s="48" t="s">
        <v>1</v>
      </c>
      <c r="X700" s="48"/>
      <c r="Z700" s="48"/>
      <c r="AA700" s="48"/>
      <c r="AB700" s="48"/>
      <c r="AC700" s="48">
        <v>46</v>
      </c>
      <c r="AD700" s="48"/>
      <c r="AE700" s="49"/>
      <c r="AF700" s="24" t="s">
        <v>2043</v>
      </c>
      <c r="AG700" s="48"/>
      <c r="AH700" s="50">
        <v>100465</v>
      </c>
      <c r="AI700" s="50" t="s">
        <v>266</v>
      </c>
      <c r="AJ700" s="50"/>
      <c r="AK700" s="51" t="s">
        <v>375</v>
      </c>
      <c r="AL700" s="51"/>
      <c r="AM700" s="52"/>
      <c r="AN700" s="52"/>
      <c r="AO700" s="52"/>
      <c r="AP700" s="52"/>
      <c r="AQ700" s="52"/>
      <c r="AR700" s="52"/>
      <c r="AS700" s="52"/>
      <c r="AT700" s="52"/>
      <c r="AU700" s="50"/>
      <c r="AV700" s="50"/>
      <c r="AW700" s="50"/>
      <c r="AX700" s="51"/>
      <c r="AY700" s="51"/>
      <c r="AZ700" s="52"/>
      <c r="BA700" s="52"/>
      <c r="BB700" s="52"/>
      <c r="BC700" s="52"/>
      <c r="BD700" s="52"/>
      <c r="BE700" s="52"/>
      <c r="BF700" s="52"/>
      <c r="BG700" s="52"/>
      <c r="BH700" s="50"/>
      <c r="BI700" s="50"/>
      <c r="BJ700" s="50"/>
      <c r="BK700" s="51"/>
      <c r="BL700" s="51"/>
      <c r="BM700" s="52"/>
      <c r="BN700" s="52"/>
      <c r="BO700" s="52"/>
      <c r="BP700" s="52"/>
      <c r="BQ700" s="52"/>
      <c r="BR700" s="52"/>
      <c r="BS700" s="52"/>
      <c r="BT700" s="52"/>
      <c r="BU700" s="50"/>
      <c r="BV700" s="50"/>
      <c r="BW700" s="50"/>
      <c r="BX700" s="51"/>
      <c r="BY700" s="51"/>
      <c r="BZ700" s="52"/>
      <c r="CA700" s="52"/>
      <c r="CB700" s="52"/>
      <c r="CC700" s="52"/>
      <c r="CD700" s="52"/>
      <c r="CE700" s="52"/>
      <c r="CF700" s="52"/>
      <c r="CG700" s="52"/>
      <c r="CH700" s="53"/>
      <c r="CJ700" s="52"/>
      <c r="CT700" s="54"/>
      <c r="CU700" s="54"/>
      <c r="CV700" s="54"/>
      <c r="CW700" s="54"/>
      <c r="CX700" s="54"/>
      <c r="CY700" s="54"/>
      <c r="CZ700" s="54"/>
      <c r="DA700" s="54"/>
      <c r="DB700" s="54"/>
      <c r="DC700" s="52"/>
    </row>
    <row r="701" spans="1:107" s="46" customFormat="1" x14ac:dyDescent="0.2">
      <c r="A701" s="44">
        <v>10047</v>
      </c>
      <c r="B701" s="45">
        <v>1</v>
      </c>
      <c r="C701" s="45">
        <f t="shared" ref="C701:C769" si="64">A701*10000+B701</f>
        <v>100470001</v>
      </c>
      <c r="D701" s="46" t="s">
        <v>1913</v>
      </c>
      <c r="E701" s="47" t="s">
        <v>109</v>
      </c>
      <c r="F701" s="47"/>
      <c r="G701" s="47"/>
      <c r="H701" s="47"/>
      <c r="I701" s="48" t="s">
        <v>206</v>
      </c>
      <c r="J701" s="48"/>
      <c r="K701" s="48"/>
      <c r="L701" s="48"/>
      <c r="M701" s="48"/>
      <c r="N701" s="48" t="s">
        <v>163</v>
      </c>
      <c r="O701" s="48" t="s">
        <v>163</v>
      </c>
      <c r="P701" s="114"/>
      <c r="Q701" s="114" t="s">
        <v>2041</v>
      </c>
      <c r="R701" s="114"/>
      <c r="S701" s="114"/>
      <c r="T701" s="114" t="s">
        <v>2307</v>
      </c>
      <c r="U701" s="121" t="s">
        <v>2539</v>
      </c>
      <c r="V701" s="48" t="s">
        <v>109</v>
      </c>
      <c r="W701" s="48" t="s">
        <v>1</v>
      </c>
      <c r="X701" s="48"/>
      <c r="Z701" s="48"/>
      <c r="AA701" s="48"/>
      <c r="AB701" s="48"/>
      <c r="AC701" s="48">
        <v>47</v>
      </c>
      <c r="AD701" s="48"/>
      <c r="AE701" s="49"/>
      <c r="AF701" s="24" t="s">
        <v>2043</v>
      </c>
      <c r="AG701" s="48"/>
      <c r="AH701" s="50"/>
      <c r="AI701" s="50" t="s">
        <v>176</v>
      </c>
      <c r="AJ701" s="50"/>
      <c r="AK701" s="51" t="s">
        <v>136</v>
      </c>
      <c r="AL701" s="51"/>
      <c r="AM701" s="52"/>
      <c r="AN701" s="52"/>
      <c r="AO701" s="52"/>
      <c r="AP701" s="52"/>
      <c r="AQ701" s="52"/>
      <c r="AR701" s="52"/>
      <c r="AS701" s="52"/>
      <c r="AT701" s="52"/>
      <c r="AU701" s="50"/>
      <c r="AV701" s="50"/>
      <c r="AW701" s="50"/>
      <c r="AX701" s="51"/>
      <c r="AY701" s="51"/>
      <c r="AZ701" s="52"/>
      <c r="BA701" s="52"/>
      <c r="BB701" s="52"/>
      <c r="BC701" s="52"/>
      <c r="BD701" s="52"/>
      <c r="BE701" s="52"/>
      <c r="BF701" s="52"/>
      <c r="BG701" s="52"/>
      <c r="BH701" s="50"/>
      <c r="BI701" s="50"/>
      <c r="BJ701" s="50"/>
      <c r="BK701" s="51"/>
      <c r="BL701" s="51"/>
      <c r="BM701" s="52"/>
      <c r="BN701" s="52"/>
      <c r="BO701" s="52"/>
      <c r="BP701" s="52"/>
      <c r="BQ701" s="52"/>
      <c r="BR701" s="52"/>
      <c r="BS701" s="52"/>
      <c r="BT701" s="52"/>
      <c r="BU701" s="50"/>
      <c r="BV701" s="50"/>
      <c r="BW701" s="50"/>
      <c r="BX701" s="51"/>
      <c r="BY701" s="51"/>
      <c r="BZ701" s="52"/>
      <c r="CA701" s="52"/>
      <c r="CB701" s="52"/>
      <c r="CC701" s="52"/>
      <c r="CD701" s="52"/>
      <c r="CE701" s="52"/>
      <c r="CF701" s="52"/>
      <c r="CG701" s="52"/>
      <c r="CH701" s="53"/>
      <c r="CJ701" s="52"/>
      <c r="CT701" s="54"/>
      <c r="CU701" s="54"/>
      <c r="CV701" s="54"/>
      <c r="CW701" s="54"/>
      <c r="CX701" s="54"/>
      <c r="CY701" s="54"/>
      <c r="CZ701" s="54"/>
      <c r="DA701" s="54"/>
      <c r="DB701" s="54"/>
      <c r="DC701" s="52"/>
    </row>
    <row r="702" spans="1:107" s="46" customFormat="1" x14ac:dyDescent="0.2">
      <c r="A702" s="44">
        <v>10047</v>
      </c>
      <c r="B702" s="45">
        <v>2</v>
      </c>
      <c r="C702" s="45">
        <f t="shared" si="64"/>
        <v>100470002</v>
      </c>
      <c r="D702" s="46" t="s">
        <v>1913</v>
      </c>
      <c r="E702" s="47" t="s">
        <v>109</v>
      </c>
      <c r="F702" s="47"/>
      <c r="G702" s="47"/>
      <c r="H702" s="47"/>
      <c r="I702" s="48" t="s">
        <v>206</v>
      </c>
      <c r="J702" s="48"/>
      <c r="K702" s="48"/>
      <c r="L702" s="48"/>
      <c r="M702" s="48"/>
      <c r="N702" s="48" t="s">
        <v>163</v>
      </c>
      <c r="O702" s="48" t="s">
        <v>163</v>
      </c>
      <c r="P702" s="114"/>
      <c r="Q702" s="114" t="s">
        <v>2041</v>
      </c>
      <c r="R702" s="114"/>
      <c r="S702" s="114"/>
      <c r="T702" s="114" t="s">
        <v>2307</v>
      </c>
      <c r="U702" s="121" t="s">
        <v>2540</v>
      </c>
      <c r="V702" s="48" t="s">
        <v>109</v>
      </c>
      <c r="W702" s="48" t="s">
        <v>1</v>
      </c>
      <c r="X702" s="48"/>
      <c r="Z702" s="48"/>
      <c r="AA702" s="48"/>
      <c r="AB702" s="48"/>
      <c r="AC702" s="48">
        <v>47</v>
      </c>
      <c r="AD702" s="48"/>
      <c r="AE702" s="49"/>
      <c r="AF702" s="24" t="s">
        <v>2043</v>
      </c>
      <c r="AG702" s="48"/>
      <c r="AH702" s="50"/>
      <c r="AI702" s="50" t="s">
        <v>260</v>
      </c>
      <c r="AJ702" s="50"/>
      <c r="AK702" s="51" t="s">
        <v>139</v>
      </c>
      <c r="AL702" s="51"/>
      <c r="AM702" s="52"/>
      <c r="AN702" s="52"/>
      <c r="AO702" s="52"/>
      <c r="AP702" s="52"/>
      <c r="AQ702" s="52"/>
      <c r="AR702" s="52"/>
      <c r="AS702" s="52"/>
      <c r="AT702" s="52"/>
      <c r="AU702" s="50"/>
      <c r="AV702" s="50"/>
      <c r="AW702" s="50"/>
      <c r="AX702" s="51"/>
      <c r="AY702" s="51"/>
      <c r="AZ702" s="52"/>
      <c r="BA702" s="52"/>
      <c r="BB702" s="52"/>
      <c r="BC702" s="52"/>
      <c r="BD702" s="52"/>
      <c r="BE702" s="52"/>
      <c r="BF702" s="52"/>
      <c r="BG702" s="52"/>
      <c r="BH702" s="50"/>
      <c r="BI702" s="50"/>
      <c r="BJ702" s="50"/>
      <c r="BK702" s="51"/>
      <c r="BL702" s="51"/>
      <c r="BM702" s="52"/>
      <c r="BN702" s="52"/>
      <c r="BO702" s="52"/>
      <c r="BP702" s="52"/>
      <c r="BQ702" s="52"/>
      <c r="BR702" s="52"/>
      <c r="BS702" s="52"/>
      <c r="BT702" s="52"/>
      <c r="BU702" s="50"/>
      <c r="BV702" s="50"/>
      <c r="BW702" s="50"/>
      <c r="BX702" s="51"/>
      <c r="BY702" s="51"/>
      <c r="BZ702" s="52"/>
      <c r="CA702" s="52"/>
      <c r="CB702" s="52"/>
      <c r="CC702" s="52"/>
      <c r="CD702" s="52"/>
      <c r="CE702" s="52"/>
      <c r="CF702" s="52"/>
      <c r="CG702" s="52"/>
      <c r="CH702" s="53"/>
      <c r="CJ702" s="52"/>
      <c r="CT702" s="54"/>
      <c r="CU702" s="54"/>
      <c r="CV702" s="54"/>
      <c r="CW702" s="54"/>
      <c r="CX702" s="54"/>
      <c r="CY702" s="54"/>
      <c r="CZ702" s="54"/>
      <c r="DA702" s="54"/>
      <c r="DB702" s="54"/>
      <c r="DC702" s="52"/>
    </row>
    <row r="703" spans="1:107" s="46" customFormat="1" x14ac:dyDescent="0.2">
      <c r="A703" s="44">
        <v>10047</v>
      </c>
      <c r="B703" s="45">
        <v>3</v>
      </c>
      <c r="C703" s="45">
        <f t="shared" si="64"/>
        <v>100470003</v>
      </c>
      <c r="D703" s="46" t="s">
        <v>1913</v>
      </c>
      <c r="E703" s="47" t="s">
        <v>109</v>
      </c>
      <c r="F703" s="47"/>
      <c r="G703" s="47"/>
      <c r="H703" s="47"/>
      <c r="I703" s="48" t="s">
        <v>206</v>
      </c>
      <c r="J703" s="48"/>
      <c r="K703" s="48"/>
      <c r="L703" s="48"/>
      <c r="M703" s="48"/>
      <c r="N703" s="48" t="s">
        <v>163</v>
      </c>
      <c r="O703" s="48" t="s">
        <v>163</v>
      </c>
      <c r="P703" s="114"/>
      <c r="Q703" s="114" t="s">
        <v>2041</v>
      </c>
      <c r="R703" s="114"/>
      <c r="S703" s="114"/>
      <c r="T703" s="114" t="s">
        <v>2307</v>
      </c>
      <c r="U703" s="121" t="s">
        <v>2541</v>
      </c>
      <c r="V703" s="48" t="s">
        <v>109</v>
      </c>
      <c r="W703" s="48" t="s">
        <v>1</v>
      </c>
      <c r="X703" s="48"/>
      <c r="Z703" s="48"/>
      <c r="AA703" s="48"/>
      <c r="AB703" s="48"/>
      <c r="AC703" s="48">
        <v>47</v>
      </c>
      <c r="AD703" s="48"/>
      <c r="AE703" s="49"/>
      <c r="AF703" s="24" t="s">
        <v>2043</v>
      </c>
      <c r="AG703" s="48"/>
      <c r="AH703" s="50">
        <v>100473</v>
      </c>
      <c r="AI703" s="50" t="s">
        <v>264</v>
      </c>
      <c r="AJ703" s="50"/>
      <c r="AK703" s="51" t="s">
        <v>373</v>
      </c>
      <c r="AL703" s="51"/>
      <c r="AM703" s="52"/>
      <c r="AN703" s="52"/>
      <c r="AO703" s="52"/>
      <c r="AP703" s="52"/>
      <c r="AQ703" s="52"/>
      <c r="AR703" s="52"/>
      <c r="AS703" s="52"/>
      <c r="AT703" s="52"/>
      <c r="AU703" s="50"/>
      <c r="AV703" s="50"/>
      <c r="AW703" s="50"/>
      <c r="AX703" s="51"/>
      <c r="AY703" s="51"/>
      <c r="AZ703" s="52"/>
      <c r="BA703" s="52"/>
      <c r="BB703" s="52"/>
      <c r="BC703" s="52"/>
      <c r="BD703" s="52"/>
      <c r="BE703" s="52"/>
      <c r="BF703" s="52"/>
      <c r="BG703" s="52"/>
      <c r="BH703" s="50"/>
      <c r="BI703" s="50"/>
      <c r="BJ703" s="50"/>
      <c r="BK703" s="51"/>
      <c r="BL703" s="51"/>
      <c r="BM703" s="52"/>
      <c r="BN703" s="52"/>
      <c r="BO703" s="52"/>
      <c r="BP703" s="52"/>
      <c r="BQ703" s="52"/>
      <c r="BR703" s="52"/>
      <c r="BS703" s="52"/>
      <c r="BT703" s="52"/>
      <c r="BU703" s="50"/>
      <c r="BV703" s="50"/>
      <c r="BW703" s="50"/>
      <c r="BX703" s="51"/>
      <c r="BY703" s="51"/>
      <c r="BZ703" s="52"/>
      <c r="CA703" s="52"/>
      <c r="CB703" s="52"/>
      <c r="CC703" s="52"/>
      <c r="CD703" s="52"/>
      <c r="CE703" s="52"/>
      <c r="CF703" s="52"/>
      <c r="CG703" s="52"/>
      <c r="CH703" s="53"/>
      <c r="CJ703" s="52"/>
      <c r="CT703" s="54"/>
      <c r="CU703" s="54"/>
      <c r="CV703" s="54"/>
      <c r="CW703" s="54"/>
      <c r="CX703" s="54"/>
      <c r="CY703" s="54"/>
      <c r="CZ703" s="54"/>
      <c r="DA703" s="54"/>
      <c r="DB703" s="54"/>
      <c r="DC703" s="52"/>
    </row>
    <row r="704" spans="1:107" s="46" customFormat="1" x14ac:dyDescent="0.2">
      <c r="A704" s="44">
        <v>10047</v>
      </c>
      <c r="B704" s="45">
        <v>4</v>
      </c>
      <c r="C704" s="45">
        <f t="shared" si="64"/>
        <v>100470004</v>
      </c>
      <c r="D704" s="46" t="s">
        <v>1913</v>
      </c>
      <c r="E704" s="47" t="s">
        <v>109</v>
      </c>
      <c r="F704" s="47"/>
      <c r="G704" s="47"/>
      <c r="H704" s="47"/>
      <c r="I704" s="48" t="s">
        <v>206</v>
      </c>
      <c r="J704" s="48"/>
      <c r="K704" s="48"/>
      <c r="L704" s="48"/>
      <c r="M704" s="48"/>
      <c r="N704" s="48" t="s">
        <v>163</v>
      </c>
      <c r="O704" s="48" t="s">
        <v>163</v>
      </c>
      <c r="P704" s="114"/>
      <c r="Q704" s="114" t="s">
        <v>2041</v>
      </c>
      <c r="R704" s="114"/>
      <c r="S704" s="114"/>
      <c r="T704" s="114" t="s">
        <v>2307</v>
      </c>
      <c r="U704" s="121" t="s">
        <v>2542</v>
      </c>
      <c r="V704" s="48" t="s">
        <v>109</v>
      </c>
      <c r="W704" s="48" t="s">
        <v>1</v>
      </c>
      <c r="X704" s="48"/>
      <c r="Z704" s="48"/>
      <c r="AA704" s="48"/>
      <c r="AB704" s="48"/>
      <c r="AC704" s="48">
        <v>47</v>
      </c>
      <c r="AD704" s="48"/>
      <c r="AE704" s="49"/>
      <c r="AF704" s="24" t="s">
        <v>2043</v>
      </c>
      <c r="AG704" s="48"/>
      <c r="AH704" s="50">
        <v>100474</v>
      </c>
      <c r="AI704" s="50" t="s">
        <v>265</v>
      </c>
      <c r="AJ704" s="50"/>
      <c r="AK704" s="51" t="s">
        <v>374</v>
      </c>
      <c r="AL704" s="51"/>
      <c r="AM704" s="52"/>
      <c r="AN704" s="52"/>
      <c r="AO704" s="52"/>
      <c r="AP704" s="52"/>
      <c r="AQ704" s="52"/>
      <c r="AR704" s="52"/>
      <c r="AS704" s="52"/>
      <c r="AT704" s="52"/>
      <c r="AU704" s="50"/>
      <c r="AV704" s="50"/>
      <c r="AW704" s="50"/>
      <c r="AX704" s="51"/>
      <c r="AY704" s="51"/>
      <c r="AZ704" s="52"/>
      <c r="BA704" s="52"/>
      <c r="BB704" s="52"/>
      <c r="BC704" s="52"/>
      <c r="BD704" s="52"/>
      <c r="BE704" s="52"/>
      <c r="BF704" s="52"/>
      <c r="BG704" s="52"/>
      <c r="BH704" s="50"/>
      <c r="BI704" s="50"/>
      <c r="BJ704" s="50"/>
      <c r="BK704" s="51"/>
      <c r="BL704" s="51"/>
      <c r="BM704" s="52"/>
      <c r="BN704" s="52"/>
      <c r="BO704" s="52"/>
      <c r="BP704" s="52"/>
      <c r="BQ704" s="52"/>
      <c r="BR704" s="52"/>
      <c r="BS704" s="52"/>
      <c r="BT704" s="52"/>
      <c r="BU704" s="50"/>
      <c r="BV704" s="50"/>
      <c r="BW704" s="50"/>
      <c r="BX704" s="51"/>
      <c r="BY704" s="51"/>
      <c r="BZ704" s="52"/>
      <c r="CA704" s="52"/>
      <c r="CB704" s="52"/>
      <c r="CC704" s="52"/>
      <c r="CD704" s="52"/>
      <c r="CE704" s="52"/>
      <c r="CF704" s="52"/>
      <c r="CG704" s="52"/>
      <c r="CH704" s="53"/>
      <c r="CJ704" s="52"/>
      <c r="CT704" s="54"/>
      <c r="CU704" s="54"/>
      <c r="CV704" s="54"/>
      <c r="CW704" s="54"/>
      <c r="CX704" s="54"/>
      <c r="CY704" s="54"/>
      <c r="CZ704" s="54"/>
      <c r="DA704" s="54"/>
      <c r="DB704" s="54"/>
      <c r="DC704" s="52"/>
    </row>
    <row r="705" spans="1:107" s="46" customFormat="1" x14ac:dyDescent="0.2">
      <c r="A705" s="44">
        <v>10047</v>
      </c>
      <c r="B705" s="45">
        <v>5</v>
      </c>
      <c r="C705" s="45">
        <f t="shared" si="64"/>
        <v>100470005</v>
      </c>
      <c r="D705" s="46" t="s">
        <v>1913</v>
      </c>
      <c r="E705" s="47" t="s">
        <v>109</v>
      </c>
      <c r="F705" s="47"/>
      <c r="G705" s="47"/>
      <c r="H705" s="47"/>
      <c r="I705" s="48" t="s">
        <v>206</v>
      </c>
      <c r="J705" s="48"/>
      <c r="K705" s="48"/>
      <c r="L705" s="48"/>
      <c r="M705" s="48"/>
      <c r="N705" s="48" t="s">
        <v>163</v>
      </c>
      <c r="O705" s="48" t="s">
        <v>163</v>
      </c>
      <c r="P705" s="114"/>
      <c r="Q705" s="114" t="s">
        <v>2041</v>
      </c>
      <c r="R705" s="114"/>
      <c r="S705" s="114"/>
      <c r="T705" s="114" t="s">
        <v>2307</v>
      </c>
      <c r="U705" s="121" t="s">
        <v>2543</v>
      </c>
      <c r="V705" s="48" t="s">
        <v>109</v>
      </c>
      <c r="W705" s="48" t="s">
        <v>1</v>
      </c>
      <c r="X705" s="48"/>
      <c r="Z705" s="48"/>
      <c r="AA705" s="48"/>
      <c r="AB705" s="48"/>
      <c r="AC705" s="48">
        <v>47</v>
      </c>
      <c r="AD705" s="48"/>
      <c r="AE705" s="49"/>
      <c r="AF705" s="24" t="s">
        <v>2043</v>
      </c>
      <c r="AG705" s="48"/>
      <c r="AH705" s="50">
        <v>100475</v>
      </c>
      <c r="AI705" s="50" t="s">
        <v>266</v>
      </c>
      <c r="AJ705" s="50"/>
      <c r="AK705" s="51" t="s">
        <v>375</v>
      </c>
      <c r="AL705" s="51"/>
      <c r="AM705" s="52"/>
      <c r="AN705" s="52"/>
      <c r="AO705" s="52"/>
      <c r="AP705" s="52"/>
      <c r="AQ705" s="52"/>
      <c r="AR705" s="52"/>
      <c r="AS705" s="52"/>
      <c r="AT705" s="52"/>
      <c r="AU705" s="50"/>
      <c r="AV705" s="50"/>
      <c r="AW705" s="50"/>
      <c r="AX705" s="51"/>
      <c r="AY705" s="51"/>
      <c r="AZ705" s="52"/>
      <c r="BA705" s="52"/>
      <c r="BB705" s="52"/>
      <c r="BC705" s="52"/>
      <c r="BD705" s="52"/>
      <c r="BE705" s="52"/>
      <c r="BF705" s="52"/>
      <c r="BG705" s="52"/>
      <c r="BH705" s="50"/>
      <c r="BI705" s="50"/>
      <c r="BJ705" s="50"/>
      <c r="BK705" s="51"/>
      <c r="BL705" s="51"/>
      <c r="BM705" s="52"/>
      <c r="BN705" s="52"/>
      <c r="BO705" s="52"/>
      <c r="BP705" s="52"/>
      <c r="BQ705" s="52"/>
      <c r="BR705" s="52"/>
      <c r="BS705" s="52"/>
      <c r="BT705" s="52"/>
      <c r="BU705" s="50"/>
      <c r="BV705" s="50"/>
      <c r="BW705" s="50"/>
      <c r="BX705" s="51"/>
      <c r="BY705" s="51"/>
      <c r="BZ705" s="52"/>
      <c r="CA705" s="52"/>
      <c r="CB705" s="52"/>
      <c r="CC705" s="52"/>
      <c r="CD705" s="52"/>
      <c r="CE705" s="52"/>
      <c r="CF705" s="52"/>
      <c r="CG705" s="52"/>
      <c r="CH705" s="53"/>
      <c r="CJ705" s="52"/>
      <c r="CT705" s="54"/>
      <c r="CU705" s="54"/>
      <c r="CV705" s="54"/>
      <c r="CW705" s="54"/>
      <c r="CX705" s="54"/>
      <c r="CY705" s="54"/>
      <c r="CZ705" s="54"/>
      <c r="DA705" s="54"/>
      <c r="DB705" s="54"/>
      <c r="DC705" s="52"/>
    </row>
    <row r="706" spans="1:107" s="46" customFormat="1" x14ac:dyDescent="0.2">
      <c r="A706" s="44">
        <v>10048</v>
      </c>
      <c r="B706" s="45">
        <v>1</v>
      </c>
      <c r="C706" s="45">
        <f t="shared" ref="C706:C710" si="65">A706*10000+B706</f>
        <v>100480001</v>
      </c>
      <c r="D706" s="46" t="s">
        <v>3453</v>
      </c>
      <c r="E706" s="47" t="s">
        <v>109</v>
      </c>
      <c r="F706" s="47"/>
      <c r="G706" s="47"/>
      <c r="H706" s="47"/>
      <c r="I706" s="48" t="s">
        <v>206</v>
      </c>
      <c r="J706" s="48"/>
      <c r="K706" s="48"/>
      <c r="L706" s="48"/>
      <c r="M706" s="48"/>
      <c r="N706" s="48" t="s">
        <v>163</v>
      </c>
      <c r="O706" s="48" t="s">
        <v>163</v>
      </c>
      <c r="P706" s="114"/>
      <c r="Q706" s="114" t="s">
        <v>2041</v>
      </c>
      <c r="R706" s="114"/>
      <c r="S706" s="114"/>
      <c r="T706" s="114" t="s">
        <v>2307</v>
      </c>
      <c r="U706" s="121" t="s">
        <v>3465</v>
      </c>
      <c r="V706" s="48" t="s">
        <v>109</v>
      </c>
      <c r="W706" s="48" t="s">
        <v>1</v>
      </c>
      <c r="X706" s="48"/>
      <c r="Z706" s="48"/>
      <c r="AA706" s="48"/>
      <c r="AB706" s="48"/>
      <c r="AC706" s="48" t="s">
        <v>3459</v>
      </c>
      <c r="AD706" s="48"/>
      <c r="AE706" s="49"/>
      <c r="AF706" s="24" t="s">
        <v>2043</v>
      </c>
      <c r="AG706" s="48"/>
      <c r="AH706" s="50"/>
      <c r="AI706" s="50" t="s">
        <v>176</v>
      </c>
      <c r="AJ706" s="50"/>
      <c r="AK706" s="51" t="s">
        <v>136</v>
      </c>
      <c r="AL706" s="51"/>
      <c r="AM706" s="52"/>
      <c r="AN706" s="52"/>
      <c r="AO706" s="52"/>
      <c r="AP706" s="52"/>
      <c r="AQ706" s="52"/>
      <c r="AR706" s="52"/>
      <c r="AS706" s="52"/>
      <c r="AT706" s="52"/>
      <c r="AU706" s="50"/>
      <c r="AV706" s="50"/>
      <c r="AW706" s="50"/>
      <c r="AX706" s="51"/>
      <c r="AY706" s="51"/>
      <c r="AZ706" s="52"/>
      <c r="BA706" s="52"/>
      <c r="BB706" s="52"/>
      <c r="BC706" s="52"/>
      <c r="BD706" s="52"/>
      <c r="BE706" s="52"/>
      <c r="BF706" s="52"/>
      <c r="BG706" s="52"/>
      <c r="BH706" s="50"/>
      <c r="BI706" s="50"/>
      <c r="BJ706" s="50"/>
      <c r="BK706" s="51"/>
      <c r="BL706" s="51"/>
      <c r="BM706" s="52"/>
      <c r="BN706" s="52"/>
      <c r="BO706" s="52"/>
      <c r="BP706" s="52"/>
      <c r="BQ706" s="52"/>
      <c r="BR706" s="52"/>
      <c r="BS706" s="52"/>
      <c r="BT706" s="52"/>
      <c r="BU706" s="50"/>
      <c r="BV706" s="50"/>
      <c r="BW706" s="50"/>
      <c r="BX706" s="51"/>
      <c r="BY706" s="51"/>
      <c r="BZ706" s="52"/>
      <c r="CA706" s="52"/>
      <c r="CB706" s="52"/>
      <c r="CC706" s="52"/>
      <c r="CD706" s="52"/>
      <c r="CE706" s="52"/>
      <c r="CF706" s="52"/>
      <c r="CG706" s="52"/>
      <c r="CH706" s="53"/>
      <c r="CJ706" s="52"/>
      <c r="CT706" s="54"/>
      <c r="CU706" s="54"/>
      <c r="CV706" s="54"/>
      <c r="CW706" s="54"/>
      <c r="CX706" s="54"/>
      <c r="CY706" s="54"/>
      <c r="CZ706" s="54"/>
      <c r="DA706" s="54"/>
      <c r="DB706" s="54"/>
      <c r="DC706" s="52"/>
    </row>
    <row r="707" spans="1:107" s="46" customFormat="1" x14ac:dyDescent="0.2">
      <c r="A707" s="44">
        <v>10048</v>
      </c>
      <c r="B707" s="45">
        <v>2</v>
      </c>
      <c r="C707" s="45">
        <f t="shared" si="65"/>
        <v>100480002</v>
      </c>
      <c r="D707" s="46" t="s">
        <v>3453</v>
      </c>
      <c r="E707" s="47" t="s">
        <v>109</v>
      </c>
      <c r="F707" s="47"/>
      <c r="G707" s="47"/>
      <c r="H707" s="47"/>
      <c r="I707" s="48" t="s">
        <v>206</v>
      </c>
      <c r="J707" s="48"/>
      <c r="K707" s="48"/>
      <c r="L707" s="48"/>
      <c r="M707" s="48"/>
      <c r="N707" s="48" t="s">
        <v>163</v>
      </c>
      <c r="O707" s="48" t="s">
        <v>163</v>
      </c>
      <c r="P707" s="114"/>
      <c r="Q707" s="114" t="s">
        <v>2041</v>
      </c>
      <c r="R707" s="114"/>
      <c r="S707" s="114"/>
      <c r="T707" s="114" t="s">
        <v>2307</v>
      </c>
      <c r="U707" s="121" t="s">
        <v>3466</v>
      </c>
      <c r="V707" s="48" t="s">
        <v>109</v>
      </c>
      <c r="W707" s="48" t="s">
        <v>1</v>
      </c>
      <c r="X707" s="48"/>
      <c r="Z707" s="48"/>
      <c r="AA707" s="48"/>
      <c r="AB707" s="48"/>
      <c r="AC707" s="48" t="s">
        <v>3459</v>
      </c>
      <c r="AD707" s="48"/>
      <c r="AE707" s="49"/>
      <c r="AF707" s="24" t="s">
        <v>2043</v>
      </c>
      <c r="AG707" s="48"/>
      <c r="AH707" s="50"/>
      <c r="AI707" s="50" t="s">
        <v>260</v>
      </c>
      <c r="AJ707" s="50"/>
      <c r="AK707" s="51" t="s">
        <v>139</v>
      </c>
      <c r="AL707" s="51"/>
      <c r="AM707" s="52"/>
      <c r="AN707" s="52"/>
      <c r="AO707" s="52"/>
      <c r="AP707" s="52"/>
      <c r="AQ707" s="52"/>
      <c r="AR707" s="52"/>
      <c r="AS707" s="52"/>
      <c r="AT707" s="52"/>
      <c r="AU707" s="50"/>
      <c r="AV707" s="50"/>
      <c r="AW707" s="50"/>
      <c r="AX707" s="51"/>
      <c r="AY707" s="51"/>
      <c r="AZ707" s="52"/>
      <c r="BA707" s="52"/>
      <c r="BB707" s="52"/>
      <c r="BC707" s="52"/>
      <c r="BD707" s="52"/>
      <c r="BE707" s="52"/>
      <c r="BF707" s="52"/>
      <c r="BG707" s="52"/>
      <c r="BH707" s="50"/>
      <c r="BI707" s="50"/>
      <c r="BJ707" s="50"/>
      <c r="BK707" s="51"/>
      <c r="BL707" s="51"/>
      <c r="BM707" s="52"/>
      <c r="BN707" s="52"/>
      <c r="BO707" s="52"/>
      <c r="BP707" s="52"/>
      <c r="BQ707" s="52"/>
      <c r="BR707" s="52"/>
      <c r="BS707" s="52"/>
      <c r="BT707" s="52"/>
      <c r="BU707" s="50"/>
      <c r="BV707" s="50"/>
      <c r="BW707" s="50"/>
      <c r="BX707" s="51"/>
      <c r="BY707" s="51"/>
      <c r="BZ707" s="52"/>
      <c r="CA707" s="52"/>
      <c r="CB707" s="52"/>
      <c r="CC707" s="52"/>
      <c r="CD707" s="52"/>
      <c r="CE707" s="52"/>
      <c r="CF707" s="52"/>
      <c r="CG707" s="52"/>
      <c r="CH707" s="53"/>
      <c r="CJ707" s="52"/>
      <c r="CT707" s="54"/>
      <c r="CU707" s="54"/>
      <c r="CV707" s="54"/>
      <c r="CW707" s="54"/>
      <c r="CX707" s="54"/>
      <c r="CY707" s="54"/>
      <c r="CZ707" s="54"/>
      <c r="DA707" s="54"/>
      <c r="DB707" s="54"/>
      <c r="DC707" s="52"/>
    </row>
    <row r="708" spans="1:107" s="46" customFormat="1" x14ac:dyDescent="0.2">
      <c r="A708" s="44">
        <v>10048</v>
      </c>
      <c r="B708" s="45">
        <v>3</v>
      </c>
      <c r="C708" s="45">
        <f t="shared" si="65"/>
        <v>100480003</v>
      </c>
      <c r="D708" s="46" t="s">
        <v>3453</v>
      </c>
      <c r="E708" s="47" t="s">
        <v>109</v>
      </c>
      <c r="F708" s="47"/>
      <c r="G708" s="47"/>
      <c r="H708" s="47"/>
      <c r="I708" s="48" t="s">
        <v>206</v>
      </c>
      <c r="J708" s="48"/>
      <c r="K708" s="48"/>
      <c r="L708" s="48"/>
      <c r="M708" s="48"/>
      <c r="N708" s="48" t="s">
        <v>163</v>
      </c>
      <c r="O708" s="48" t="s">
        <v>163</v>
      </c>
      <c r="P708" s="114"/>
      <c r="Q708" s="114" t="s">
        <v>2041</v>
      </c>
      <c r="R708" s="114"/>
      <c r="S708" s="114"/>
      <c r="T708" s="114" t="s">
        <v>2307</v>
      </c>
      <c r="U708" s="121" t="s">
        <v>3467</v>
      </c>
      <c r="V708" s="48" t="s">
        <v>109</v>
      </c>
      <c r="W708" s="48" t="s">
        <v>1</v>
      </c>
      <c r="X708" s="48"/>
      <c r="Z708" s="48"/>
      <c r="AA708" s="48"/>
      <c r="AB708" s="48"/>
      <c r="AC708" s="48" t="s">
        <v>3459</v>
      </c>
      <c r="AD708" s="48"/>
      <c r="AE708" s="49"/>
      <c r="AF708" s="24" t="s">
        <v>2043</v>
      </c>
      <c r="AG708" s="48"/>
      <c r="AH708" s="50" t="s">
        <v>3470</v>
      </c>
      <c r="AI708" s="50" t="s">
        <v>264</v>
      </c>
      <c r="AJ708" s="50"/>
      <c r="AK708" s="51" t="s">
        <v>373</v>
      </c>
      <c r="AL708" s="51"/>
      <c r="AM708" s="52"/>
      <c r="AN708" s="52"/>
      <c r="AO708" s="52"/>
      <c r="AP708" s="52"/>
      <c r="AQ708" s="52"/>
      <c r="AR708" s="52"/>
      <c r="AS708" s="52"/>
      <c r="AT708" s="52"/>
      <c r="AU708" s="50"/>
      <c r="AV708" s="50"/>
      <c r="AW708" s="50"/>
      <c r="AX708" s="51"/>
      <c r="AY708" s="51"/>
      <c r="AZ708" s="52"/>
      <c r="BA708" s="52"/>
      <c r="BB708" s="52"/>
      <c r="BC708" s="52"/>
      <c r="BD708" s="52"/>
      <c r="BE708" s="52"/>
      <c r="BF708" s="52"/>
      <c r="BG708" s="52"/>
      <c r="BH708" s="50"/>
      <c r="BI708" s="50"/>
      <c r="BJ708" s="50"/>
      <c r="BK708" s="51"/>
      <c r="BL708" s="51"/>
      <c r="BM708" s="52"/>
      <c r="BN708" s="52"/>
      <c r="BO708" s="52"/>
      <c r="BP708" s="52"/>
      <c r="BQ708" s="52"/>
      <c r="BR708" s="52"/>
      <c r="BS708" s="52"/>
      <c r="BT708" s="52"/>
      <c r="BU708" s="50"/>
      <c r="BV708" s="50"/>
      <c r="BW708" s="50"/>
      <c r="BX708" s="51"/>
      <c r="BY708" s="51"/>
      <c r="BZ708" s="52"/>
      <c r="CA708" s="52"/>
      <c r="CB708" s="52"/>
      <c r="CC708" s="52"/>
      <c r="CD708" s="52"/>
      <c r="CE708" s="52"/>
      <c r="CF708" s="52"/>
      <c r="CG708" s="52"/>
      <c r="CH708" s="53"/>
      <c r="CJ708" s="52"/>
      <c r="CT708" s="54"/>
      <c r="CU708" s="54"/>
      <c r="CV708" s="54"/>
      <c r="CW708" s="54"/>
      <c r="CX708" s="54"/>
      <c r="CY708" s="54"/>
      <c r="CZ708" s="54"/>
      <c r="DA708" s="54"/>
      <c r="DB708" s="54"/>
      <c r="DC708" s="52"/>
    </row>
    <row r="709" spans="1:107" s="46" customFormat="1" x14ac:dyDescent="0.2">
      <c r="A709" s="44">
        <v>10048</v>
      </c>
      <c r="B709" s="45">
        <v>4</v>
      </c>
      <c r="C709" s="45">
        <f t="shared" si="65"/>
        <v>100480004</v>
      </c>
      <c r="D709" s="46" t="s">
        <v>3453</v>
      </c>
      <c r="E709" s="47" t="s">
        <v>109</v>
      </c>
      <c r="F709" s="47"/>
      <c r="G709" s="47"/>
      <c r="H709" s="47"/>
      <c r="I709" s="48" t="s">
        <v>206</v>
      </c>
      <c r="J709" s="48"/>
      <c r="K709" s="48"/>
      <c r="L709" s="48"/>
      <c r="M709" s="48"/>
      <c r="N709" s="48" t="s">
        <v>163</v>
      </c>
      <c r="O709" s="48" t="s">
        <v>163</v>
      </c>
      <c r="P709" s="114"/>
      <c r="Q709" s="114" t="s">
        <v>2041</v>
      </c>
      <c r="R709" s="114"/>
      <c r="S709" s="114"/>
      <c r="T709" s="114" t="s">
        <v>2307</v>
      </c>
      <c r="U709" s="121" t="s">
        <v>3468</v>
      </c>
      <c r="V709" s="48" t="s">
        <v>109</v>
      </c>
      <c r="W709" s="48" t="s">
        <v>1</v>
      </c>
      <c r="X709" s="48"/>
      <c r="Z709" s="48"/>
      <c r="AA709" s="48"/>
      <c r="AB709" s="48"/>
      <c r="AC709" s="48" t="s">
        <v>3459</v>
      </c>
      <c r="AD709" s="48"/>
      <c r="AE709" s="49"/>
      <c r="AF709" s="24" t="s">
        <v>2043</v>
      </c>
      <c r="AG709" s="48"/>
      <c r="AH709" s="50" t="s">
        <v>3471</v>
      </c>
      <c r="AI709" s="50" t="s">
        <v>265</v>
      </c>
      <c r="AJ709" s="50"/>
      <c r="AK709" s="51" t="s">
        <v>374</v>
      </c>
      <c r="AL709" s="51"/>
      <c r="AM709" s="52"/>
      <c r="AN709" s="52"/>
      <c r="AO709" s="52"/>
      <c r="AP709" s="52"/>
      <c r="AQ709" s="52"/>
      <c r="AR709" s="52"/>
      <c r="AS709" s="52"/>
      <c r="AT709" s="52"/>
      <c r="AU709" s="50"/>
      <c r="AV709" s="50"/>
      <c r="AW709" s="50"/>
      <c r="AX709" s="51"/>
      <c r="AY709" s="51"/>
      <c r="AZ709" s="52"/>
      <c r="BA709" s="52"/>
      <c r="BB709" s="52"/>
      <c r="BC709" s="52"/>
      <c r="BD709" s="52"/>
      <c r="BE709" s="52"/>
      <c r="BF709" s="52"/>
      <c r="BG709" s="52"/>
      <c r="BH709" s="50"/>
      <c r="BI709" s="50"/>
      <c r="BJ709" s="50"/>
      <c r="BK709" s="51"/>
      <c r="BL709" s="51"/>
      <c r="BM709" s="52"/>
      <c r="BN709" s="52"/>
      <c r="BO709" s="52"/>
      <c r="BP709" s="52"/>
      <c r="BQ709" s="52"/>
      <c r="BR709" s="52"/>
      <c r="BS709" s="52"/>
      <c r="BT709" s="52"/>
      <c r="BU709" s="50"/>
      <c r="BV709" s="50"/>
      <c r="BW709" s="50"/>
      <c r="BX709" s="51"/>
      <c r="BY709" s="51"/>
      <c r="BZ709" s="52"/>
      <c r="CA709" s="52"/>
      <c r="CB709" s="52"/>
      <c r="CC709" s="52"/>
      <c r="CD709" s="52"/>
      <c r="CE709" s="52"/>
      <c r="CF709" s="52"/>
      <c r="CG709" s="52"/>
      <c r="CH709" s="53"/>
      <c r="CJ709" s="52"/>
      <c r="CT709" s="54"/>
      <c r="CU709" s="54"/>
      <c r="CV709" s="54"/>
      <c r="CW709" s="54"/>
      <c r="CX709" s="54"/>
      <c r="CY709" s="54"/>
      <c r="CZ709" s="54"/>
      <c r="DA709" s="54"/>
      <c r="DB709" s="54"/>
      <c r="DC709" s="52"/>
    </row>
    <row r="710" spans="1:107" s="46" customFormat="1" x14ac:dyDescent="0.2">
      <c r="A710" s="44">
        <v>10048</v>
      </c>
      <c r="B710" s="45">
        <v>5</v>
      </c>
      <c r="C710" s="45">
        <f t="shared" si="65"/>
        <v>100480005</v>
      </c>
      <c r="D710" s="46" t="s">
        <v>3453</v>
      </c>
      <c r="E710" s="47" t="s">
        <v>109</v>
      </c>
      <c r="F710" s="47"/>
      <c r="G710" s="47"/>
      <c r="H710" s="47"/>
      <c r="I710" s="48" t="s">
        <v>206</v>
      </c>
      <c r="J710" s="48"/>
      <c r="K710" s="48"/>
      <c r="L710" s="48"/>
      <c r="M710" s="48"/>
      <c r="N710" s="48" t="s">
        <v>163</v>
      </c>
      <c r="O710" s="48" t="s">
        <v>163</v>
      </c>
      <c r="P710" s="114"/>
      <c r="Q710" s="114" t="s">
        <v>2041</v>
      </c>
      <c r="R710" s="114"/>
      <c r="S710" s="114"/>
      <c r="T710" s="114" t="s">
        <v>2307</v>
      </c>
      <c r="U710" s="121" t="s">
        <v>3469</v>
      </c>
      <c r="V710" s="48" t="s">
        <v>109</v>
      </c>
      <c r="W710" s="48" t="s">
        <v>1</v>
      </c>
      <c r="X710" s="48"/>
      <c r="Z710" s="48"/>
      <c r="AA710" s="48"/>
      <c r="AB710" s="48"/>
      <c r="AC710" s="48" t="s">
        <v>3459</v>
      </c>
      <c r="AD710" s="48"/>
      <c r="AE710" s="49"/>
      <c r="AF710" s="24" t="s">
        <v>2043</v>
      </c>
      <c r="AG710" s="48"/>
      <c r="AH710" s="50" t="s">
        <v>3472</v>
      </c>
      <c r="AI710" s="50" t="s">
        <v>266</v>
      </c>
      <c r="AJ710" s="50"/>
      <c r="AK710" s="51" t="s">
        <v>375</v>
      </c>
      <c r="AL710" s="51"/>
      <c r="AM710" s="52"/>
      <c r="AN710" s="52"/>
      <c r="AO710" s="52"/>
      <c r="AP710" s="52"/>
      <c r="AQ710" s="52"/>
      <c r="AR710" s="52"/>
      <c r="AS710" s="52"/>
      <c r="AT710" s="52"/>
      <c r="AU710" s="50"/>
      <c r="AV710" s="50"/>
      <c r="AW710" s="50"/>
      <c r="AX710" s="51"/>
      <c r="AY710" s="51"/>
      <c r="AZ710" s="52"/>
      <c r="BA710" s="52"/>
      <c r="BB710" s="52"/>
      <c r="BC710" s="52"/>
      <c r="BD710" s="52"/>
      <c r="BE710" s="52"/>
      <c r="BF710" s="52"/>
      <c r="BG710" s="52"/>
      <c r="BH710" s="50"/>
      <c r="BI710" s="50"/>
      <c r="BJ710" s="50"/>
      <c r="BK710" s="51"/>
      <c r="BL710" s="51"/>
      <c r="BM710" s="52"/>
      <c r="BN710" s="52"/>
      <c r="BO710" s="52"/>
      <c r="BP710" s="52"/>
      <c r="BQ710" s="52"/>
      <c r="BR710" s="52"/>
      <c r="BS710" s="52"/>
      <c r="BT710" s="52"/>
      <c r="BU710" s="50"/>
      <c r="BV710" s="50"/>
      <c r="BW710" s="50"/>
      <c r="BX710" s="51"/>
      <c r="BY710" s="51"/>
      <c r="BZ710" s="52"/>
      <c r="CA710" s="52"/>
      <c r="CB710" s="52"/>
      <c r="CC710" s="52"/>
      <c r="CD710" s="52"/>
      <c r="CE710" s="52"/>
      <c r="CF710" s="52"/>
      <c r="CG710" s="52"/>
      <c r="CH710" s="53"/>
      <c r="CJ710" s="52"/>
      <c r="CT710" s="54"/>
      <c r="CU710" s="54"/>
      <c r="CV710" s="54"/>
      <c r="CW710" s="54"/>
      <c r="CX710" s="54"/>
      <c r="CY710" s="54"/>
      <c r="CZ710" s="54"/>
      <c r="DA710" s="54"/>
      <c r="DB710" s="54"/>
      <c r="DC710" s="52"/>
    </row>
    <row r="711" spans="1:107" x14ac:dyDescent="0.2">
      <c r="A711" s="18">
        <v>10049</v>
      </c>
      <c r="B711" s="19">
        <v>1</v>
      </c>
      <c r="C711" s="19">
        <f t="shared" si="64"/>
        <v>100490001</v>
      </c>
      <c r="D711" s="23" t="s">
        <v>1139</v>
      </c>
      <c r="E711" s="20" t="s">
        <v>109</v>
      </c>
      <c r="I711" s="22" t="s">
        <v>206</v>
      </c>
      <c r="J711" s="22"/>
      <c r="K711" s="22"/>
      <c r="L711" s="22"/>
      <c r="M711" s="22"/>
      <c r="N711" s="22" t="s">
        <v>1140</v>
      </c>
      <c r="O711" s="22" t="s">
        <v>1140</v>
      </c>
      <c r="P711" s="22"/>
      <c r="Q711" s="22" t="s">
        <v>2041</v>
      </c>
      <c r="R711" s="22"/>
      <c r="S711" s="22"/>
      <c r="T711" s="22" t="s">
        <v>2307</v>
      </c>
      <c r="U711" s="116" t="s">
        <v>2544</v>
      </c>
      <c r="V711" s="22" t="s">
        <v>109</v>
      </c>
      <c r="W711" s="22" t="s">
        <v>1</v>
      </c>
      <c r="X711" s="22"/>
      <c r="Z711" s="22"/>
      <c r="AA711" s="22"/>
      <c r="AB711" s="22"/>
      <c r="AC711" s="22">
        <v>49</v>
      </c>
      <c r="AD711" s="22"/>
      <c r="AE711" s="24"/>
      <c r="AF711" s="24" t="s">
        <v>2043</v>
      </c>
      <c r="AG711" s="22"/>
      <c r="AI711" s="25" t="s">
        <v>1141</v>
      </c>
      <c r="AK711" s="40" t="s">
        <v>1142</v>
      </c>
      <c r="AL711" s="40"/>
      <c r="AX711" s="27"/>
      <c r="AY711" s="27"/>
      <c r="BK711" s="27"/>
      <c r="BL711" s="27"/>
      <c r="BX711" s="27"/>
      <c r="BY711" s="27"/>
      <c r="CH711" s="29"/>
    </row>
    <row r="712" spans="1:107" x14ac:dyDescent="0.2">
      <c r="A712" s="18">
        <v>10049</v>
      </c>
      <c r="B712" s="19">
        <v>2</v>
      </c>
      <c r="C712" s="19">
        <f t="shared" si="64"/>
        <v>100490002</v>
      </c>
      <c r="D712" s="23" t="s">
        <v>1143</v>
      </c>
      <c r="E712" s="20" t="s">
        <v>109</v>
      </c>
      <c r="I712" s="22" t="s">
        <v>206</v>
      </c>
      <c r="J712" s="22"/>
      <c r="K712" s="22"/>
      <c r="L712" s="22"/>
      <c r="M712" s="22"/>
      <c r="N712" s="22" t="s">
        <v>1144</v>
      </c>
      <c r="O712" s="22" t="s">
        <v>1144</v>
      </c>
      <c r="P712" s="22"/>
      <c r="Q712" s="22" t="s">
        <v>2041</v>
      </c>
      <c r="R712" s="22"/>
      <c r="S712" s="22"/>
      <c r="T712" s="22" t="s">
        <v>2307</v>
      </c>
      <c r="U712" s="116" t="s">
        <v>2545</v>
      </c>
      <c r="V712" s="22" t="s">
        <v>109</v>
      </c>
      <c r="W712" s="22" t="s">
        <v>1</v>
      </c>
      <c r="X712" s="22"/>
      <c r="Z712" s="22"/>
      <c r="AA712" s="22"/>
      <c r="AB712" s="22"/>
      <c r="AC712" s="22">
        <v>49</v>
      </c>
      <c r="AD712" s="22"/>
      <c r="AE712" s="24"/>
      <c r="AF712" s="24" t="s">
        <v>2043</v>
      </c>
      <c r="AG712" s="22"/>
      <c r="AI712" s="25" t="s">
        <v>1145</v>
      </c>
      <c r="AK712" s="40" t="s">
        <v>1146</v>
      </c>
      <c r="AL712" s="40"/>
      <c r="AX712" s="27"/>
      <c r="AY712" s="27"/>
      <c r="BK712" s="27"/>
      <c r="BL712" s="27"/>
      <c r="BX712" s="27"/>
      <c r="BY712" s="27"/>
      <c r="CH712" s="29"/>
    </row>
    <row r="713" spans="1:107" x14ac:dyDescent="0.2">
      <c r="A713" s="18">
        <v>10049</v>
      </c>
      <c r="B713" s="19">
        <v>3</v>
      </c>
      <c r="C713" s="19">
        <f t="shared" si="64"/>
        <v>100490003</v>
      </c>
      <c r="D713" s="23" t="s">
        <v>1143</v>
      </c>
      <c r="E713" s="20" t="s">
        <v>109</v>
      </c>
      <c r="I713" s="22" t="s">
        <v>206</v>
      </c>
      <c r="J713" s="22"/>
      <c r="K713" s="22"/>
      <c r="L713" s="22"/>
      <c r="M713" s="22"/>
      <c r="N713" s="22" t="s">
        <v>1147</v>
      </c>
      <c r="O713" s="22" t="s">
        <v>1147</v>
      </c>
      <c r="P713" s="22"/>
      <c r="Q713" s="22" t="s">
        <v>2041</v>
      </c>
      <c r="R713" s="22"/>
      <c r="S713" s="22"/>
      <c r="T713" s="22" t="s">
        <v>2307</v>
      </c>
      <c r="U713" s="116" t="s">
        <v>2546</v>
      </c>
      <c r="V713" s="22" t="s">
        <v>109</v>
      </c>
      <c r="W713" s="22" t="s">
        <v>1</v>
      </c>
      <c r="X713" s="22"/>
      <c r="Z713" s="22"/>
      <c r="AA713" s="22"/>
      <c r="AB713" s="22"/>
      <c r="AC713" s="22">
        <v>49</v>
      </c>
      <c r="AD713" s="22"/>
      <c r="AE713" s="24"/>
      <c r="AF713" s="24" t="s">
        <v>2043</v>
      </c>
      <c r="AG713" s="22"/>
      <c r="AH713" s="25">
        <v>100493</v>
      </c>
      <c r="AI713" s="25" t="s">
        <v>1148</v>
      </c>
      <c r="AK713" s="40" t="s">
        <v>1149</v>
      </c>
      <c r="AL713" s="40"/>
      <c r="AX713" s="27"/>
      <c r="AY713" s="27"/>
      <c r="BK713" s="27"/>
      <c r="BL713" s="27"/>
      <c r="BX713" s="27"/>
      <c r="BY713" s="27"/>
      <c r="CH713" s="29"/>
    </row>
    <row r="714" spans="1:107" x14ac:dyDescent="0.2">
      <c r="A714" s="18">
        <v>10049</v>
      </c>
      <c r="B714" s="19">
        <v>4</v>
      </c>
      <c r="C714" s="19">
        <f t="shared" si="64"/>
        <v>100490004</v>
      </c>
      <c r="D714" s="23" t="s">
        <v>1143</v>
      </c>
      <c r="E714" s="20" t="s">
        <v>109</v>
      </c>
      <c r="I714" s="22" t="s">
        <v>206</v>
      </c>
      <c r="J714" s="22"/>
      <c r="K714" s="22"/>
      <c r="L714" s="22"/>
      <c r="M714" s="22"/>
      <c r="N714" s="22" t="s">
        <v>1147</v>
      </c>
      <c r="O714" s="22" t="s">
        <v>1147</v>
      </c>
      <c r="P714" s="22"/>
      <c r="Q714" s="22" t="s">
        <v>2041</v>
      </c>
      <c r="R714" s="22"/>
      <c r="S714" s="22"/>
      <c r="T714" s="22" t="s">
        <v>2307</v>
      </c>
      <c r="U714" s="116" t="s">
        <v>2547</v>
      </c>
      <c r="V714" s="22" t="s">
        <v>109</v>
      </c>
      <c r="W714" s="22" t="s">
        <v>1</v>
      </c>
      <c r="X714" s="22"/>
      <c r="Z714" s="22"/>
      <c r="AA714" s="22"/>
      <c r="AB714" s="22"/>
      <c r="AC714" s="22">
        <v>49</v>
      </c>
      <c r="AD714" s="22"/>
      <c r="AE714" s="24"/>
      <c r="AF714" s="24" t="s">
        <v>2043</v>
      </c>
      <c r="AG714" s="22"/>
      <c r="AH714" s="25">
        <v>100494</v>
      </c>
      <c r="AI714" s="25" t="s">
        <v>1150</v>
      </c>
      <c r="AK714" s="40" t="s">
        <v>1151</v>
      </c>
      <c r="AL714" s="40"/>
      <c r="AX714" s="27"/>
      <c r="AY714" s="27"/>
      <c r="BK714" s="27"/>
      <c r="BL714" s="27"/>
      <c r="BX714" s="27"/>
      <c r="BY714" s="27"/>
      <c r="CH714" s="29"/>
    </row>
    <row r="715" spans="1:107" x14ac:dyDescent="0.2">
      <c r="A715" s="18">
        <v>10049</v>
      </c>
      <c r="B715" s="19">
        <v>5</v>
      </c>
      <c r="C715" s="19">
        <f t="shared" si="64"/>
        <v>100490005</v>
      </c>
      <c r="D715" s="23" t="s">
        <v>1143</v>
      </c>
      <c r="E715" s="20" t="s">
        <v>109</v>
      </c>
      <c r="I715" s="22" t="s">
        <v>206</v>
      </c>
      <c r="J715" s="22"/>
      <c r="K715" s="22"/>
      <c r="L715" s="22"/>
      <c r="M715" s="22"/>
      <c r="N715" s="22" t="s">
        <v>1147</v>
      </c>
      <c r="O715" s="22" t="s">
        <v>1147</v>
      </c>
      <c r="P715" s="22"/>
      <c r="Q715" s="22" t="s">
        <v>2041</v>
      </c>
      <c r="R715" s="22"/>
      <c r="S715" s="22"/>
      <c r="T715" s="22" t="s">
        <v>2307</v>
      </c>
      <c r="U715" s="116" t="s">
        <v>2548</v>
      </c>
      <c r="V715" s="22" t="s">
        <v>109</v>
      </c>
      <c r="W715" s="22" t="s">
        <v>1</v>
      </c>
      <c r="X715" s="22"/>
      <c r="Z715" s="22"/>
      <c r="AA715" s="22"/>
      <c r="AB715" s="22"/>
      <c r="AC715" s="22">
        <v>49</v>
      </c>
      <c r="AD715" s="22"/>
      <c r="AE715" s="24"/>
      <c r="AF715" s="24" t="s">
        <v>2043</v>
      </c>
      <c r="AG715" s="22"/>
      <c r="AH715" s="25">
        <v>100495</v>
      </c>
      <c r="AI715" s="25" t="s">
        <v>1152</v>
      </c>
      <c r="AK715" s="40" t="s">
        <v>1153</v>
      </c>
      <c r="AL715" s="40"/>
      <c r="AX715" s="27"/>
      <c r="AY715" s="27"/>
      <c r="BK715" s="27"/>
      <c r="BL715" s="27"/>
      <c r="BX715" s="27"/>
      <c r="BY715" s="27"/>
      <c r="CH715" s="29"/>
    </row>
    <row r="716" spans="1:107" x14ac:dyDescent="0.2">
      <c r="A716" s="18">
        <v>10050</v>
      </c>
      <c r="B716" s="19">
        <v>1</v>
      </c>
      <c r="C716" s="19">
        <f t="shared" si="64"/>
        <v>100500001</v>
      </c>
      <c r="D716" s="23" t="s">
        <v>1154</v>
      </c>
      <c r="E716" s="20" t="s">
        <v>109</v>
      </c>
      <c r="I716" s="22" t="s">
        <v>206</v>
      </c>
      <c r="J716" s="22"/>
      <c r="K716" s="22"/>
      <c r="L716" s="22"/>
      <c r="M716" s="22"/>
      <c r="N716" s="22" t="s">
        <v>1147</v>
      </c>
      <c r="O716" s="22" t="s">
        <v>1147</v>
      </c>
      <c r="P716" s="22"/>
      <c r="Q716" s="22" t="s">
        <v>2041</v>
      </c>
      <c r="R716" s="22"/>
      <c r="S716" s="22"/>
      <c r="T716" s="22" t="s">
        <v>2307</v>
      </c>
      <c r="U716" s="116" t="s">
        <v>2549</v>
      </c>
      <c r="V716" s="22" t="s">
        <v>109</v>
      </c>
      <c r="W716" s="22" t="s">
        <v>1</v>
      </c>
      <c r="X716" s="22"/>
      <c r="Z716" s="22"/>
      <c r="AA716" s="22"/>
      <c r="AB716" s="22"/>
      <c r="AC716" s="22">
        <v>50</v>
      </c>
      <c r="AD716" s="22"/>
      <c r="AE716" s="24"/>
      <c r="AF716" s="24" t="s">
        <v>2043</v>
      </c>
      <c r="AG716" s="22"/>
      <c r="AI716" s="25" t="s">
        <v>1155</v>
      </c>
      <c r="AK716" s="40" t="s">
        <v>1156</v>
      </c>
      <c r="AL716" s="40"/>
      <c r="AX716" s="27"/>
      <c r="AY716" s="27"/>
      <c r="BK716" s="27"/>
      <c r="BL716" s="27"/>
      <c r="BX716" s="27"/>
      <c r="BY716" s="27"/>
      <c r="CH716" s="29"/>
    </row>
    <row r="717" spans="1:107" x14ac:dyDescent="0.2">
      <c r="A717" s="18">
        <v>10050</v>
      </c>
      <c r="B717" s="19">
        <v>2</v>
      </c>
      <c r="C717" s="19">
        <f t="shared" si="64"/>
        <v>100500002</v>
      </c>
      <c r="D717" s="23" t="s">
        <v>1154</v>
      </c>
      <c r="E717" s="20" t="s">
        <v>109</v>
      </c>
      <c r="I717" s="22" t="s">
        <v>206</v>
      </c>
      <c r="J717" s="22"/>
      <c r="K717" s="22"/>
      <c r="L717" s="22"/>
      <c r="M717" s="22"/>
      <c r="N717" s="22" t="s">
        <v>1147</v>
      </c>
      <c r="O717" s="22" t="s">
        <v>1147</v>
      </c>
      <c r="P717" s="22"/>
      <c r="Q717" s="22" t="s">
        <v>2041</v>
      </c>
      <c r="R717" s="22"/>
      <c r="S717" s="22"/>
      <c r="T717" s="22" t="s">
        <v>2307</v>
      </c>
      <c r="U717" s="116" t="s">
        <v>2550</v>
      </c>
      <c r="V717" s="22" t="s">
        <v>109</v>
      </c>
      <c r="W717" s="22" t="s">
        <v>1</v>
      </c>
      <c r="X717" s="22"/>
      <c r="Z717" s="22"/>
      <c r="AA717" s="22"/>
      <c r="AB717" s="22"/>
      <c r="AC717" s="22">
        <v>50</v>
      </c>
      <c r="AD717" s="22"/>
      <c r="AE717" s="24"/>
      <c r="AF717" s="24" t="s">
        <v>2043</v>
      </c>
      <c r="AG717" s="22"/>
      <c r="AI717" s="25" t="s">
        <v>1157</v>
      </c>
      <c r="AK717" s="40" t="s">
        <v>1158</v>
      </c>
      <c r="AL717" s="40"/>
      <c r="AX717" s="27"/>
      <c r="AY717" s="27"/>
      <c r="BK717" s="27"/>
      <c r="BL717" s="27"/>
      <c r="BX717" s="27"/>
      <c r="BY717" s="27"/>
      <c r="CH717" s="29"/>
    </row>
    <row r="718" spans="1:107" x14ac:dyDescent="0.2">
      <c r="A718" s="18">
        <v>10050</v>
      </c>
      <c r="B718" s="19">
        <v>3</v>
      </c>
      <c r="C718" s="19">
        <f t="shared" si="64"/>
        <v>100500003</v>
      </c>
      <c r="D718" s="23" t="s">
        <v>1154</v>
      </c>
      <c r="E718" s="20" t="s">
        <v>109</v>
      </c>
      <c r="I718" s="22" t="s">
        <v>206</v>
      </c>
      <c r="J718" s="22"/>
      <c r="K718" s="22"/>
      <c r="L718" s="22"/>
      <c r="M718" s="22"/>
      <c r="N718" s="22" t="s">
        <v>1147</v>
      </c>
      <c r="O718" s="22" t="s">
        <v>1147</v>
      </c>
      <c r="P718" s="22"/>
      <c r="Q718" s="22" t="s">
        <v>2041</v>
      </c>
      <c r="R718" s="22"/>
      <c r="S718" s="22"/>
      <c r="T718" s="22" t="s">
        <v>2307</v>
      </c>
      <c r="U718" s="116" t="s">
        <v>2551</v>
      </c>
      <c r="V718" s="22" t="s">
        <v>109</v>
      </c>
      <c r="W718" s="22" t="s">
        <v>1</v>
      </c>
      <c r="X718" s="22"/>
      <c r="Z718" s="22"/>
      <c r="AA718" s="22"/>
      <c r="AB718" s="22"/>
      <c r="AC718" s="22">
        <v>50</v>
      </c>
      <c r="AD718" s="22"/>
      <c r="AE718" s="24"/>
      <c r="AF718" s="24" t="s">
        <v>2043</v>
      </c>
      <c r="AG718" s="22"/>
      <c r="AH718" s="25">
        <v>100503</v>
      </c>
      <c r="AI718" s="25" t="s">
        <v>1148</v>
      </c>
      <c r="AK718" s="40" t="s">
        <v>1149</v>
      </c>
      <c r="AL718" s="40"/>
      <c r="AX718" s="27"/>
      <c r="AY718" s="27"/>
      <c r="BK718" s="27"/>
      <c r="BL718" s="27"/>
      <c r="BX718" s="27"/>
      <c r="BY718" s="27"/>
      <c r="CH718" s="29"/>
    </row>
    <row r="719" spans="1:107" x14ac:dyDescent="0.2">
      <c r="A719" s="18">
        <v>10050</v>
      </c>
      <c r="B719" s="19">
        <v>4</v>
      </c>
      <c r="C719" s="19">
        <f t="shared" si="64"/>
        <v>100500004</v>
      </c>
      <c r="D719" s="23" t="s">
        <v>1154</v>
      </c>
      <c r="E719" s="20" t="s">
        <v>109</v>
      </c>
      <c r="I719" s="22" t="s">
        <v>206</v>
      </c>
      <c r="J719" s="22"/>
      <c r="K719" s="22"/>
      <c r="L719" s="22"/>
      <c r="M719" s="22"/>
      <c r="N719" s="22" t="s">
        <v>1147</v>
      </c>
      <c r="O719" s="22" t="s">
        <v>1147</v>
      </c>
      <c r="P719" s="22"/>
      <c r="Q719" s="22" t="s">
        <v>2041</v>
      </c>
      <c r="R719" s="22"/>
      <c r="S719" s="22"/>
      <c r="T719" s="22" t="s">
        <v>2307</v>
      </c>
      <c r="U719" s="116" t="s">
        <v>2552</v>
      </c>
      <c r="V719" s="22" t="s">
        <v>109</v>
      </c>
      <c r="W719" s="22" t="s">
        <v>1</v>
      </c>
      <c r="X719" s="22"/>
      <c r="Z719" s="22"/>
      <c r="AA719" s="22"/>
      <c r="AB719" s="22"/>
      <c r="AC719" s="22">
        <v>50</v>
      </c>
      <c r="AD719" s="22"/>
      <c r="AE719" s="24"/>
      <c r="AF719" s="24" t="s">
        <v>2043</v>
      </c>
      <c r="AG719" s="22"/>
      <c r="AH719" s="25">
        <v>100504</v>
      </c>
      <c r="AI719" s="25">
        <v>50</v>
      </c>
      <c r="AK719" s="40" t="s">
        <v>1151</v>
      </c>
      <c r="AL719" s="40"/>
      <c r="AX719" s="27"/>
      <c r="AY719" s="27"/>
      <c r="BK719" s="27"/>
      <c r="BL719" s="27"/>
      <c r="BX719" s="27"/>
      <c r="BY719" s="27"/>
      <c r="CH719" s="29"/>
    </row>
    <row r="720" spans="1:107" x14ac:dyDescent="0.2">
      <c r="A720" s="18">
        <v>10050</v>
      </c>
      <c r="B720" s="19">
        <v>5</v>
      </c>
      <c r="C720" s="19">
        <f t="shared" si="64"/>
        <v>100500005</v>
      </c>
      <c r="D720" s="23" t="s">
        <v>1154</v>
      </c>
      <c r="E720" s="20" t="s">
        <v>109</v>
      </c>
      <c r="I720" s="22" t="s">
        <v>206</v>
      </c>
      <c r="J720" s="22"/>
      <c r="K720" s="22"/>
      <c r="L720" s="22"/>
      <c r="M720" s="22"/>
      <c r="N720" s="22" t="s">
        <v>1147</v>
      </c>
      <c r="O720" s="22" t="s">
        <v>1147</v>
      </c>
      <c r="P720" s="22"/>
      <c r="Q720" s="22" t="s">
        <v>2041</v>
      </c>
      <c r="R720" s="22"/>
      <c r="S720" s="22"/>
      <c r="T720" s="22" t="s">
        <v>2307</v>
      </c>
      <c r="U720" s="116" t="s">
        <v>2553</v>
      </c>
      <c r="V720" s="22" t="s">
        <v>109</v>
      </c>
      <c r="W720" s="22" t="s">
        <v>1</v>
      </c>
      <c r="X720" s="22"/>
      <c r="Z720" s="22"/>
      <c r="AA720" s="22"/>
      <c r="AB720" s="22"/>
      <c r="AC720" s="22">
        <v>50</v>
      </c>
      <c r="AD720" s="22"/>
      <c r="AE720" s="24"/>
      <c r="AF720" s="24" t="s">
        <v>2043</v>
      </c>
      <c r="AG720" s="22"/>
      <c r="AH720" s="25">
        <v>100505</v>
      </c>
      <c r="AI720" s="25" t="s">
        <v>1152</v>
      </c>
      <c r="AK720" s="40" t="s">
        <v>1153</v>
      </c>
      <c r="AL720" s="40"/>
      <c r="AX720" s="27"/>
      <c r="AY720" s="27"/>
      <c r="BK720" s="27"/>
      <c r="BL720" s="27"/>
      <c r="BX720" s="27"/>
      <c r="BY720" s="27"/>
      <c r="CH720" s="29"/>
    </row>
    <row r="721" spans="1:107" x14ac:dyDescent="0.2">
      <c r="A721" s="18">
        <v>10051</v>
      </c>
      <c r="B721" s="19">
        <v>1</v>
      </c>
      <c r="C721" s="19">
        <f t="shared" si="64"/>
        <v>100510001</v>
      </c>
      <c r="D721" s="23" t="s">
        <v>1136</v>
      </c>
      <c r="E721" s="20" t="s">
        <v>109</v>
      </c>
      <c r="I721" s="21" t="s">
        <v>206</v>
      </c>
      <c r="J721" s="21"/>
      <c r="K721" s="21"/>
      <c r="L721" s="21"/>
      <c r="M721" s="21"/>
      <c r="N721" s="21" t="s">
        <v>163</v>
      </c>
      <c r="O721" s="21" t="s">
        <v>163</v>
      </c>
      <c r="P721" s="114"/>
      <c r="Q721" s="114" t="s">
        <v>2041</v>
      </c>
      <c r="R721" s="114"/>
      <c r="S721" s="114"/>
      <c r="T721" s="114" t="s">
        <v>2307</v>
      </c>
      <c r="U721" s="117" t="s">
        <v>2554</v>
      </c>
      <c r="V721" s="21" t="s">
        <v>109</v>
      </c>
      <c r="W721" s="21" t="s">
        <v>1</v>
      </c>
      <c r="X721" s="21"/>
      <c r="Z721" s="21"/>
      <c r="AA721" s="21"/>
      <c r="AB721" s="21"/>
      <c r="AC721" s="21">
        <v>51</v>
      </c>
      <c r="AD721" s="21"/>
      <c r="AE721" s="39"/>
      <c r="AF721" s="24" t="s">
        <v>2043</v>
      </c>
      <c r="AG721" s="21"/>
      <c r="AI721" s="25" t="s">
        <v>176</v>
      </c>
      <c r="AK721" s="27" t="s">
        <v>136</v>
      </c>
      <c r="AL721" s="27"/>
      <c r="AX721" s="27"/>
      <c r="AY721" s="27"/>
      <c r="BK721" s="27"/>
      <c r="BL721" s="27"/>
      <c r="BX721" s="27"/>
      <c r="BY721" s="27"/>
      <c r="CH721" s="29"/>
    </row>
    <row r="722" spans="1:107" x14ac:dyDescent="0.2">
      <c r="A722" s="18">
        <v>10051</v>
      </c>
      <c r="B722" s="19">
        <v>2</v>
      </c>
      <c r="C722" s="19">
        <f t="shared" si="64"/>
        <v>100510002</v>
      </c>
      <c r="D722" s="23" t="s">
        <v>1136</v>
      </c>
      <c r="E722" s="20" t="s">
        <v>109</v>
      </c>
      <c r="I722" s="21" t="s">
        <v>206</v>
      </c>
      <c r="J722" s="21"/>
      <c r="K722" s="21"/>
      <c r="L722" s="21"/>
      <c r="M722" s="21"/>
      <c r="N722" s="21" t="s">
        <v>163</v>
      </c>
      <c r="O722" s="21" t="s">
        <v>163</v>
      </c>
      <c r="P722" s="114"/>
      <c r="Q722" s="114" t="s">
        <v>2041</v>
      </c>
      <c r="R722" s="114"/>
      <c r="S722" s="114"/>
      <c r="T722" s="114" t="s">
        <v>2307</v>
      </c>
      <c r="U722" s="117" t="s">
        <v>2555</v>
      </c>
      <c r="V722" s="21" t="s">
        <v>109</v>
      </c>
      <c r="W722" s="21" t="s">
        <v>1</v>
      </c>
      <c r="X722" s="21"/>
      <c r="Z722" s="21"/>
      <c r="AA722" s="21"/>
      <c r="AB722" s="21"/>
      <c r="AC722" s="21">
        <v>51</v>
      </c>
      <c r="AD722" s="21"/>
      <c r="AE722" s="39"/>
      <c r="AF722" s="24" t="s">
        <v>2043</v>
      </c>
      <c r="AG722" s="21"/>
      <c r="AI722" s="25" t="s">
        <v>260</v>
      </c>
      <c r="AK722" s="27" t="s">
        <v>139</v>
      </c>
      <c r="AL722" s="27"/>
      <c r="AX722" s="27"/>
      <c r="AY722" s="27"/>
      <c r="BK722" s="27"/>
      <c r="BL722" s="27"/>
      <c r="BX722" s="27"/>
      <c r="BY722" s="27"/>
      <c r="CH722" s="29"/>
    </row>
    <row r="723" spans="1:107" x14ac:dyDescent="0.2">
      <c r="A723" s="18">
        <v>10051</v>
      </c>
      <c r="B723" s="19">
        <v>3</v>
      </c>
      <c r="C723" s="19">
        <f t="shared" si="64"/>
        <v>100510003</v>
      </c>
      <c r="D723" s="23" t="s">
        <v>1136</v>
      </c>
      <c r="E723" s="20" t="s">
        <v>109</v>
      </c>
      <c r="I723" s="21" t="s">
        <v>206</v>
      </c>
      <c r="J723" s="21"/>
      <c r="K723" s="21"/>
      <c r="L723" s="21"/>
      <c r="M723" s="21"/>
      <c r="N723" s="21" t="s">
        <v>163</v>
      </c>
      <c r="O723" s="21" t="s">
        <v>163</v>
      </c>
      <c r="P723" s="114"/>
      <c r="Q723" s="114" t="s">
        <v>2041</v>
      </c>
      <c r="R723" s="114"/>
      <c r="S723" s="114"/>
      <c r="T723" s="114" t="s">
        <v>2307</v>
      </c>
      <c r="U723" s="117" t="s">
        <v>2556</v>
      </c>
      <c r="V723" s="21" t="s">
        <v>109</v>
      </c>
      <c r="W723" s="21" t="s">
        <v>1</v>
      </c>
      <c r="X723" s="21"/>
      <c r="Z723" s="21"/>
      <c r="AA723" s="21"/>
      <c r="AB723" s="21"/>
      <c r="AC723" s="21">
        <v>51</v>
      </c>
      <c r="AD723" s="21"/>
      <c r="AE723" s="39"/>
      <c r="AF723" s="24" t="s">
        <v>2043</v>
      </c>
      <c r="AG723" s="21"/>
      <c r="AH723" s="25">
        <v>100513</v>
      </c>
      <c r="AI723" s="25" t="s">
        <v>264</v>
      </c>
      <c r="AK723" s="27" t="s">
        <v>373</v>
      </c>
      <c r="AL723" s="27"/>
      <c r="AX723" s="27"/>
      <c r="AY723" s="27"/>
      <c r="BK723" s="27"/>
      <c r="BL723" s="27"/>
      <c r="BX723" s="27"/>
      <c r="BY723" s="27"/>
      <c r="CH723" s="29"/>
    </row>
    <row r="724" spans="1:107" ht="12.75" customHeight="1" x14ac:dyDescent="0.2">
      <c r="A724" s="18">
        <v>10051</v>
      </c>
      <c r="B724" s="19">
        <v>4</v>
      </c>
      <c r="C724" s="19">
        <f t="shared" si="64"/>
        <v>100510004</v>
      </c>
      <c r="D724" s="23" t="s">
        <v>1136</v>
      </c>
      <c r="E724" s="20" t="s">
        <v>109</v>
      </c>
      <c r="I724" s="21" t="s">
        <v>206</v>
      </c>
      <c r="J724" s="21"/>
      <c r="K724" s="21"/>
      <c r="L724" s="21"/>
      <c r="M724" s="21"/>
      <c r="N724" s="21" t="s">
        <v>163</v>
      </c>
      <c r="O724" s="21" t="s">
        <v>163</v>
      </c>
      <c r="P724" s="114"/>
      <c r="Q724" s="114" t="s">
        <v>2041</v>
      </c>
      <c r="R724" s="114"/>
      <c r="S724" s="114"/>
      <c r="T724" s="114" t="s">
        <v>2307</v>
      </c>
      <c r="U724" s="117" t="s">
        <v>2557</v>
      </c>
      <c r="V724" s="21" t="s">
        <v>109</v>
      </c>
      <c r="W724" s="21" t="s">
        <v>1</v>
      </c>
      <c r="X724" s="21"/>
      <c r="Z724" s="21"/>
      <c r="AA724" s="21"/>
      <c r="AB724" s="21"/>
      <c r="AC724" s="21">
        <v>51</v>
      </c>
      <c r="AD724" s="21"/>
      <c r="AE724" s="39"/>
      <c r="AF724" s="24" t="s">
        <v>2043</v>
      </c>
      <c r="AG724" s="21"/>
      <c r="AH724" s="25">
        <v>100514</v>
      </c>
      <c r="AI724" s="25" t="s">
        <v>1135</v>
      </c>
      <c r="AK724" s="27" t="s">
        <v>374</v>
      </c>
      <c r="AL724" s="27"/>
      <c r="AX724" s="27"/>
      <c r="AY724" s="27"/>
      <c r="BK724" s="27"/>
      <c r="BL724" s="27"/>
      <c r="BX724" s="27"/>
      <c r="BY724" s="27"/>
      <c r="CH724" s="29"/>
    </row>
    <row r="725" spans="1:107" x14ac:dyDescent="0.2">
      <c r="A725" s="18">
        <v>10051</v>
      </c>
      <c r="B725" s="19">
        <v>5</v>
      </c>
      <c r="C725" s="19">
        <f t="shared" si="64"/>
        <v>100510005</v>
      </c>
      <c r="D725" s="23" t="s">
        <v>1136</v>
      </c>
      <c r="E725" s="20" t="s">
        <v>109</v>
      </c>
      <c r="I725" s="21" t="s">
        <v>206</v>
      </c>
      <c r="J725" s="21"/>
      <c r="K725" s="21"/>
      <c r="L725" s="21"/>
      <c r="M725" s="21"/>
      <c r="N725" s="21" t="s">
        <v>163</v>
      </c>
      <c r="O725" s="21" t="s">
        <v>163</v>
      </c>
      <c r="P725" s="114"/>
      <c r="Q725" s="114" t="s">
        <v>2041</v>
      </c>
      <c r="R725" s="114"/>
      <c r="S725" s="114"/>
      <c r="T725" s="114" t="s">
        <v>2307</v>
      </c>
      <c r="U725" s="117" t="s">
        <v>2558</v>
      </c>
      <c r="V725" s="21" t="s">
        <v>109</v>
      </c>
      <c r="W725" s="21" t="s">
        <v>1</v>
      </c>
      <c r="X725" s="21"/>
      <c r="Z725" s="21"/>
      <c r="AA725" s="21"/>
      <c r="AB725" s="21"/>
      <c r="AC725" s="21">
        <v>51</v>
      </c>
      <c r="AD725" s="21"/>
      <c r="AE725" s="39"/>
      <c r="AF725" s="24" t="s">
        <v>2043</v>
      </c>
      <c r="AG725" s="21"/>
      <c r="AH725" s="25">
        <v>100515</v>
      </c>
      <c r="AI725" s="25" t="s">
        <v>266</v>
      </c>
      <c r="AK725" s="27" t="s">
        <v>375</v>
      </c>
      <c r="AL725" s="27"/>
      <c r="AX725" s="27"/>
      <c r="AY725" s="27"/>
      <c r="BK725" s="27"/>
      <c r="BL725" s="27"/>
      <c r="BX725" s="27"/>
      <c r="BY725" s="27"/>
      <c r="CH725" s="29"/>
    </row>
    <row r="726" spans="1:107" x14ac:dyDescent="0.2">
      <c r="A726" s="18">
        <v>10052</v>
      </c>
      <c r="B726" s="19">
        <v>1</v>
      </c>
      <c r="C726" s="19">
        <f t="shared" si="64"/>
        <v>100520001</v>
      </c>
      <c r="D726" s="23" t="s">
        <v>1137</v>
      </c>
      <c r="E726" s="20" t="s">
        <v>109</v>
      </c>
      <c r="I726" s="21" t="s">
        <v>206</v>
      </c>
      <c r="J726" s="21"/>
      <c r="K726" s="21"/>
      <c r="L726" s="21"/>
      <c r="M726" s="21"/>
      <c r="N726" s="21" t="s">
        <v>163</v>
      </c>
      <c r="O726" s="21" t="s">
        <v>163</v>
      </c>
      <c r="P726" s="114"/>
      <c r="Q726" s="114" t="s">
        <v>2041</v>
      </c>
      <c r="R726" s="114"/>
      <c r="S726" s="114"/>
      <c r="T726" s="114" t="s">
        <v>2307</v>
      </c>
      <c r="U726" s="117" t="s">
        <v>2559</v>
      </c>
      <c r="V726" s="21" t="s">
        <v>109</v>
      </c>
      <c r="W726" s="21" t="s">
        <v>1</v>
      </c>
      <c r="X726" s="21"/>
      <c r="Z726" s="21"/>
      <c r="AA726" s="21"/>
      <c r="AB726" s="21"/>
      <c r="AC726" s="21">
        <v>52</v>
      </c>
      <c r="AD726" s="21"/>
      <c r="AE726" s="39"/>
      <c r="AF726" s="24" t="s">
        <v>2043</v>
      </c>
      <c r="AG726" s="21"/>
      <c r="AI726" s="25" t="s">
        <v>176</v>
      </c>
      <c r="AK726" s="27" t="s">
        <v>136</v>
      </c>
      <c r="AL726" s="27"/>
      <c r="AX726" s="27"/>
      <c r="AY726" s="27"/>
      <c r="BK726" s="27"/>
      <c r="BL726" s="27"/>
      <c r="BX726" s="27"/>
      <c r="BY726" s="27"/>
      <c r="CH726" s="29"/>
    </row>
    <row r="727" spans="1:107" x14ac:dyDescent="0.2">
      <c r="A727" s="18">
        <v>10052</v>
      </c>
      <c r="B727" s="19">
        <v>2</v>
      </c>
      <c r="C727" s="19">
        <f t="shared" si="64"/>
        <v>100520002</v>
      </c>
      <c r="D727" s="23" t="s">
        <v>1137</v>
      </c>
      <c r="E727" s="20" t="s">
        <v>1425</v>
      </c>
      <c r="I727" s="21" t="s">
        <v>206</v>
      </c>
      <c r="J727" s="21"/>
      <c r="K727" s="21"/>
      <c r="L727" s="21"/>
      <c r="M727" s="21"/>
      <c r="N727" s="21" t="s">
        <v>163</v>
      </c>
      <c r="O727" s="21" t="s">
        <v>163</v>
      </c>
      <c r="P727" s="114"/>
      <c r="Q727" s="114" t="s">
        <v>2041</v>
      </c>
      <c r="R727" s="114"/>
      <c r="S727" s="114"/>
      <c r="T727" s="114" t="s">
        <v>2307</v>
      </c>
      <c r="U727" s="117" t="s">
        <v>2560</v>
      </c>
      <c r="V727" s="21" t="s">
        <v>109</v>
      </c>
      <c r="W727" s="21" t="s">
        <v>1</v>
      </c>
      <c r="X727" s="21"/>
      <c r="Z727" s="21"/>
      <c r="AA727" s="21"/>
      <c r="AB727" s="21"/>
      <c r="AC727" s="21">
        <v>52</v>
      </c>
      <c r="AD727" s="21"/>
      <c r="AE727" s="39"/>
      <c r="AF727" s="24" t="s">
        <v>2043</v>
      </c>
      <c r="AG727" s="21"/>
      <c r="AI727" s="25" t="s">
        <v>260</v>
      </c>
      <c r="AK727" s="27" t="s">
        <v>139</v>
      </c>
      <c r="AL727" s="27"/>
      <c r="AX727" s="27"/>
      <c r="AY727" s="27"/>
      <c r="BK727" s="27"/>
      <c r="BL727" s="27"/>
      <c r="BX727" s="27"/>
      <c r="BY727" s="27"/>
      <c r="CH727" s="29"/>
    </row>
    <row r="728" spans="1:107" x14ac:dyDescent="0.2">
      <c r="A728" s="18">
        <v>10052</v>
      </c>
      <c r="B728" s="19">
        <v>3</v>
      </c>
      <c r="C728" s="19">
        <f t="shared" si="64"/>
        <v>100520003</v>
      </c>
      <c r="D728" s="23" t="s">
        <v>1137</v>
      </c>
      <c r="E728" s="20" t="s">
        <v>109</v>
      </c>
      <c r="I728" s="21" t="s">
        <v>206</v>
      </c>
      <c r="J728" s="21"/>
      <c r="K728" s="21"/>
      <c r="L728" s="21"/>
      <c r="M728" s="21"/>
      <c r="N728" s="21" t="s">
        <v>163</v>
      </c>
      <c r="O728" s="21" t="s">
        <v>163</v>
      </c>
      <c r="P728" s="114"/>
      <c r="Q728" s="114" t="s">
        <v>2041</v>
      </c>
      <c r="R728" s="114"/>
      <c r="S728" s="114"/>
      <c r="T728" s="114" t="s">
        <v>2307</v>
      </c>
      <c r="U728" s="117" t="s">
        <v>2561</v>
      </c>
      <c r="V728" s="21" t="s">
        <v>109</v>
      </c>
      <c r="W728" s="21" t="s">
        <v>1</v>
      </c>
      <c r="X728" s="21"/>
      <c r="Z728" s="21"/>
      <c r="AA728" s="21"/>
      <c r="AB728" s="21"/>
      <c r="AC728" s="21">
        <v>52</v>
      </c>
      <c r="AD728" s="21"/>
      <c r="AE728" s="39"/>
      <c r="AF728" s="24" t="s">
        <v>2043</v>
      </c>
      <c r="AG728" s="21"/>
      <c r="AH728" s="25">
        <v>100523</v>
      </c>
      <c r="AI728" s="25" t="s">
        <v>264</v>
      </c>
      <c r="AK728" s="27" t="s">
        <v>373</v>
      </c>
      <c r="AL728" s="27"/>
      <c r="AX728" s="27"/>
      <c r="AY728" s="27"/>
      <c r="BK728" s="27"/>
      <c r="BL728" s="27"/>
      <c r="BX728" s="27"/>
      <c r="BY728" s="27"/>
      <c r="CH728" s="29"/>
    </row>
    <row r="729" spans="1:107" ht="12.75" customHeight="1" x14ac:dyDescent="0.2">
      <c r="A729" s="18">
        <v>10052</v>
      </c>
      <c r="B729" s="19">
        <v>4</v>
      </c>
      <c r="C729" s="19">
        <f t="shared" si="64"/>
        <v>100520004</v>
      </c>
      <c r="D729" s="23" t="s">
        <v>1137</v>
      </c>
      <c r="E729" s="20" t="s">
        <v>109</v>
      </c>
      <c r="I729" s="21" t="s">
        <v>206</v>
      </c>
      <c r="J729" s="21"/>
      <c r="K729" s="21"/>
      <c r="L729" s="21"/>
      <c r="M729" s="21"/>
      <c r="N729" s="21" t="s">
        <v>163</v>
      </c>
      <c r="O729" s="21" t="s">
        <v>163</v>
      </c>
      <c r="P729" s="114"/>
      <c r="Q729" s="114" t="s">
        <v>2041</v>
      </c>
      <c r="R729" s="114"/>
      <c r="S729" s="114"/>
      <c r="T729" s="114" t="s">
        <v>2307</v>
      </c>
      <c r="U729" s="117" t="s">
        <v>2562</v>
      </c>
      <c r="V729" s="21" t="s">
        <v>109</v>
      </c>
      <c r="W729" s="21" t="s">
        <v>1</v>
      </c>
      <c r="X729" s="21"/>
      <c r="Z729" s="21"/>
      <c r="AA729" s="21"/>
      <c r="AB729" s="21"/>
      <c r="AC729" s="21">
        <v>52</v>
      </c>
      <c r="AD729" s="21"/>
      <c r="AE729" s="39"/>
      <c r="AF729" s="24" t="s">
        <v>2043</v>
      </c>
      <c r="AG729" s="21"/>
      <c r="AH729" s="25">
        <v>100524</v>
      </c>
      <c r="AI729" s="25" t="s">
        <v>1135</v>
      </c>
      <c r="AK729" s="27" t="s">
        <v>374</v>
      </c>
      <c r="AL729" s="27"/>
      <c r="AX729" s="27"/>
      <c r="AY729" s="27"/>
      <c r="BK729" s="27"/>
      <c r="BL729" s="27"/>
      <c r="BX729" s="27"/>
      <c r="BY729" s="27"/>
      <c r="CH729" s="29"/>
    </row>
    <row r="730" spans="1:107" x14ac:dyDescent="0.2">
      <c r="A730" s="18">
        <v>10052</v>
      </c>
      <c r="B730" s="19">
        <v>5</v>
      </c>
      <c r="C730" s="19">
        <f t="shared" si="64"/>
        <v>100520005</v>
      </c>
      <c r="D730" s="23" t="s">
        <v>1137</v>
      </c>
      <c r="E730" s="20" t="s">
        <v>109</v>
      </c>
      <c r="I730" s="21" t="s">
        <v>206</v>
      </c>
      <c r="J730" s="21"/>
      <c r="K730" s="21"/>
      <c r="L730" s="21"/>
      <c r="M730" s="21"/>
      <c r="N730" s="21" t="s">
        <v>163</v>
      </c>
      <c r="O730" s="21" t="s">
        <v>163</v>
      </c>
      <c r="P730" s="114"/>
      <c r="Q730" s="114" t="s">
        <v>2041</v>
      </c>
      <c r="R730" s="114"/>
      <c r="S730" s="114"/>
      <c r="T730" s="114" t="s">
        <v>2307</v>
      </c>
      <c r="U730" s="117" t="s">
        <v>2563</v>
      </c>
      <c r="V730" s="21" t="s">
        <v>109</v>
      </c>
      <c r="W730" s="21" t="s">
        <v>1</v>
      </c>
      <c r="X730" s="21"/>
      <c r="Z730" s="21"/>
      <c r="AA730" s="21"/>
      <c r="AB730" s="21"/>
      <c r="AC730" s="21">
        <v>52</v>
      </c>
      <c r="AD730" s="21"/>
      <c r="AE730" s="39"/>
      <c r="AF730" s="24" t="s">
        <v>2043</v>
      </c>
      <c r="AG730" s="21"/>
      <c r="AH730" s="25">
        <v>100525</v>
      </c>
      <c r="AI730" s="25" t="s">
        <v>266</v>
      </c>
      <c r="AK730" s="27" t="s">
        <v>375</v>
      </c>
      <c r="AL730" s="27"/>
      <c r="AX730" s="27"/>
      <c r="AY730" s="27"/>
      <c r="BK730" s="27"/>
      <c r="BL730" s="27"/>
      <c r="BX730" s="27"/>
      <c r="BY730" s="27"/>
      <c r="CH730" s="29"/>
    </row>
    <row r="731" spans="1:107" x14ac:dyDescent="0.2">
      <c r="A731" s="18">
        <v>10053</v>
      </c>
      <c r="B731" s="19">
        <v>1</v>
      </c>
      <c r="C731" s="19">
        <f t="shared" si="64"/>
        <v>100530001</v>
      </c>
      <c r="D731" s="23" t="s">
        <v>1347</v>
      </c>
      <c r="E731" s="20" t="s">
        <v>109</v>
      </c>
      <c r="I731" s="21" t="s">
        <v>206</v>
      </c>
      <c r="J731" s="21"/>
      <c r="K731" s="21"/>
      <c r="L731" s="21"/>
      <c r="M731" s="21"/>
      <c r="N731" s="21" t="s">
        <v>163</v>
      </c>
      <c r="O731" s="21" t="s">
        <v>163</v>
      </c>
      <c r="P731" s="114"/>
      <c r="Q731" s="114" t="s">
        <v>2041</v>
      </c>
      <c r="R731" s="114"/>
      <c r="S731" s="114"/>
      <c r="T731" s="114" t="s">
        <v>2307</v>
      </c>
      <c r="U731" s="117" t="s">
        <v>2564</v>
      </c>
      <c r="V731" s="21" t="s">
        <v>109</v>
      </c>
      <c r="W731" s="21" t="s">
        <v>1</v>
      </c>
      <c r="X731" s="21"/>
      <c r="Z731" s="21"/>
      <c r="AA731" s="21"/>
      <c r="AB731" s="21"/>
      <c r="AC731" s="21">
        <v>53</v>
      </c>
      <c r="AD731" s="21"/>
      <c r="AE731" s="39"/>
      <c r="AF731" s="24" t="s">
        <v>2043</v>
      </c>
      <c r="AG731" s="21"/>
      <c r="AI731" s="25" t="s">
        <v>176</v>
      </c>
      <c r="AK731" s="27" t="s">
        <v>136</v>
      </c>
      <c r="AL731" s="27"/>
      <c r="AX731" s="27"/>
      <c r="AY731" s="27"/>
      <c r="BK731" s="27"/>
      <c r="BL731" s="27"/>
      <c r="BX731" s="27"/>
      <c r="BY731" s="27"/>
      <c r="CH731" s="29"/>
    </row>
    <row r="732" spans="1:107" x14ac:dyDescent="0.2">
      <c r="A732" s="18">
        <v>10053</v>
      </c>
      <c r="B732" s="19">
        <v>2</v>
      </c>
      <c r="C732" s="19">
        <f t="shared" si="64"/>
        <v>100530002</v>
      </c>
      <c r="D732" s="23" t="s">
        <v>1347</v>
      </c>
      <c r="E732" s="20" t="s">
        <v>109</v>
      </c>
      <c r="I732" s="21" t="s">
        <v>206</v>
      </c>
      <c r="J732" s="21"/>
      <c r="K732" s="21"/>
      <c r="L732" s="21"/>
      <c r="M732" s="21"/>
      <c r="N732" s="21" t="s">
        <v>163</v>
      </c>
      <c r="O732" s="21" t="s">
        <v>163</v>
      </c>
      <c r="P732" s="114"/>
      <c r="Q732" s="114" t="s">
        <v>2041</v>
      </c>
      <c r="R732" s="114"/>
      <c r="S732" s="114"/>
      <c r="T732" s="114" t="s">
        <v>2307</v>
      </c>
      <c r="U732" s="117" t="s">
        <v>2565</v>
      </c>
      <c r="V732" s="21" t="s">
        <v>109</v>
      </c>
      <c r="W732" s="21" t="s">
        <v>1</v>
      </c>
      <c r="X732" s="21"/>
      <c r="Z732" s="21"/>
      <c r="AA732" s="21"/>
      <c r="AB732" s="21"/>
      <c r="AC732" s="21">
        <v>53</v>
      </c>
      <c r="AD732" s="21"/>
      <c r="AE732" s="39"/>
      <c r="AF732" s="24" t="s">
        <v>2043</v>
      </c>
      <c r="AG732" s="21"/>
      <c r="AI732" s="25" t="s">
        <v>260</v>
      </c>
      <c r="AK732" s="27" t="s">
        <v>139</v>
      </c>
      <c r="AL732" s="27"/>
      <c r="AX732" s="27"/>
      <c r="AY732" s="27"/>
      <c r="BK732" s="27"/>
      <c r="BL732" s="27"/>
      <c r="BX732" s="27"/>
      <c r="BY732" s="27"/>
      <c r="CH732" s="29"/>
    </row>
    <row r="733" spans="1:107" x14ac:dyDescent="0.2">
      <c r="A733" s="18">
        <v>10053</v>
      </c>
      <c r="B733" s="19">
        <v>3</v>
      </c>
      <c r="C733" s="19">
        <f t="shared" si="64"/>
        <v>100530003</v>
      </c>
      <c r="D733" s="23" t="s">
        <v>1347</v>
      </c>
      <c r="E733" s="20" t="s">
        <v>109</v>
      </c>
      <c r="I733" s="21" t="s">
        <v>206</v>
      </c>
      <c r="J733" s="21"/>
      <c r="K733" s="21"/>
      <c r="L733" s="21"/>
      <c r="M733" s="21"/>
      <c r="N733" s="21" t="s">
        <v>163</v>
      </c>
      <c r="O733" s="21" t="s">
        <v>163</v>
      </c>
      <c r="P733" s="114"/>
      <c r="Q733" s="114" t="s">
        <v>2041</v>
      </c>
      <c r="R733" s="114"/>
      <c r="S733" s="114"/>
      <c r="T733" s="114" t="s">
        <v>2307</v>
      </c>
      <c r="U733" s="117" t="s">
        <v>2566</v>
      </c>
      <c r="V733" s="21" t="s">
        <v>109</v>
      </c>
      <c r="W733" s="21" t="s">
        <v>1</v>
      </c>
      <c r="X733" s="21"/>
      <c r="Z733" s="21"/>
      <c r="AA733" s="21"/>
      <c r="AB733" s="21"/>
      <c r="AC733" s="21">
        <v>53</v>
      </c>
      <c r="AD733" s="21"/>
      <c r="AE733" s="39"/>
      <c r="AF733" s="24" t="s">
        <v>2043</v>
      </c>
      <c r="AG733" s="21"/>
      <c r="AH733" s="25">
        <v>100533</v>
      </c>
      <c r="AI733" s="25" t="s">
        <v>264</v>
      </c>
      <c r="AK733" s="27" t="s">
        <v>373</v>
      </c>
      <c r="AL733" s="27"/>
      <c r="AX733" s="27"/>
      <c r="AY733" s="27"/>
      <c r="BK733" s="27"/>
      <c r="BL733" s="27"/>
      <c r="BX733" s="27"/>
      <c r="BY733" s="27"/>
      <c r="CH733" s="29"/>
    </row>
    <row r="734" spans="1:107" ht="12.75" customHeight="1" x14ac:dyDescent="0.2">
      <c r="A734" s="18">
        <v>10053</v>
      </c>
      <c r="B734" s="19">
        <v>4</v>
      </c>
      <c r="C734" s="19">
        <f t="shared" si="64"/>
        <v>100530004</v>
      </c>
      <c r="D734" s="23" t="s">
        <v>1347</v>
      </c>
      <c r="E734" s="20" t="s">
        <v>109</v>
      </c>
      <c r="I734" s="21" t="s">
        <v>206</v>
      </c>
      <c r="J734" s="21"/>
      <c r="K734" s="21"/>
      <c r="L734" s="21"/>
      <c r="M734" s="21"/>
      <c r="N734" s="21" t="s">
        <v>163</v>
      </c>
      <c r="O734" s="21" t="s">
        <v>163</v>
      </c>
      <c r="P734" s="114"/>
      <c r="Q734" s="114" t="s">
        <v>2041</v>
      </c>
      <c r="R734" s="114"/>
      <c r="S734" s="114"/>
      <c r="T734" s="114" t="s">
        <v>2307</v>
      </c>
      <c r="U734" s="117" t="s">
        <v>2567</v>
      </c>
      <c r="V734" s="21" t="s">
        <v>109</v>
      </c>
      <c r="W734" s="21" t="s">
        <v>1</v>
      </c>
      <c r="X734" s="21"/>
      <c r="Z734" s="21"/>
      <c r="AA734" s="21"/>
      <c r="AB734" s="21"/>
      <c r="AC734" s="21">
        <v>53</v>
      </c>
      <c r="AD734" s="21"/>
      <c r="AE734" s="39"/>
      <c r="AF734" s="24" t="s">
        <v>2043</v>
      </c>
      <c r="AG734" s="21"/>
      <c r="AH734" s="25">
        <v>100534</v>
      </c>
      <c r="AI734" s="25" t="s">
        <v>265</v>
      </c>
      <c r="AK734" s="27" t="s">
        <v>374</v>
      </c>
      <c r="AL734" s="27"/>
      <c r="AX734" s="27"/>
      <c r="AY734" s="27"/>
      <c r="BK734" s="27"/>
      <c r="BL734" s="27"/>
      <c r="BX734" s="27"/>
      <c r="BY734" s="27"/>
      <c r="CH734" s="29"/>
    </row>
    <row r="735" spans="1:107" x14ac:dyDescent="0.2">
      <c r="A735" s="18">
        <v>10053</v>
      </c>
      <c r="B735" s="19">
        <v>5</v>
      </c>
      <c r="C735" s="19">
        <f t="shared" si="64"/>
        <v>100530005</v>
      </c>
      <c r="D735" s="23" t="s">
        <v>1347</v>
      </c>
      <c r="E735" s="20" t="s">
        <v>109</v>
      </c>
      <c r="I735" s="21" t="s">
        <v>206</v>
      </c>
      <c r="J735" s="21"/>
      <c r="K735" s="21"/>
      <c r="L735" s="21"/>
      <c r="M735" s="21"/>
      <c r="N735" s="21" t="s">
        <v>163</v>
      </c>
      <c r="O735" s="21" t="s">
        <v>163</v>
      </c>
      <c r="P735" s="114"/>
      <c r="Q735" s="114" t="s">
        <v>2041</v>
      </c>
      <c r="R735" s="114"/>
      <c r="S735" s="114"/>
      <c r="T735" s="114" t="s">
        <v>2307</v>
      </c>
      <c r="U735" s="117" t="s">
        <v>2568</v>
      </c>
      <c r="V735" s="21" t="s">
        <v>109</v>
      </c>
      <c r="W735" s="21" t="s">
        <v>1</v>
      </c>
      <c r="X735" s="21"/>
      <c r="Z735" s="21"/>
      <c r="AA735" s="21"/>
      <c r="AB735" s="21"/>
      <c r="AC735" s="21">
        <v>53</v>
      </c>
      <c r="AD735" s="21"/>
      <c r="AE735" s="39"/>
      <c r="AF735" s="24" t="s">
        <v>2043</v>
      </c>
      <c r="AG735" s="21"/>
      <c r="AH735" s="25">
        <v>100535</v>
      </c>
      <c r="AI735" s="25" t="s">
        <v>266</v>
      </c>
      <c r="AK735" s="27" t="s">
        <v>375</v>
      </c>
      <c r="AL735" s="27"/>
      <c r="AX735" s="27"/>
      <c r="AY735" s="27"/>
      <c r="BK735" s="27"/>
      <c r="BL735" s="27"/>
      <c r="BX735" s="27"/>
      <c r="BY735" s="27"/>
      <c r="CH735" s="29"/>
    </row>
    <row r="736" spans="1:107" s="57" customFormat="1" x14ac:dyDescent="0.2">
      <c r="A736" s="55">
        <v>10054</v>
      </c>
      <c r="B736" s="56">
        <v>1</v>
      </c>
      <c r="C736" s="56">
        <f t="shared" si="64"/>
        <v>100540001</v>
      </c>
      <c r="D736" s="57" t="s">
        <v>1680</v>
      </c>
      <c r="E736" s="58" t="s">
        <v>109</v>
      </c>
      <c r="F736" s="58"/>
      <c r="G736" s="58"/>
      <c r="H736" s="58"/>
      <c r="I736" s="59" t="s">
        <v>206</v>
      </c>
      <c r="J736" s="59"/>
      <c r="K736" s="59"/>
      <c r="L736" s="59"/>
      <c r="M736" s="59"/>
      <c r="N736" s="59" t="s">
        <v>163</v>
      </c>
      <c r="O736" s="59" t="s">
        <v>163</v>
      </c>
      <c r="P736" s="59"/>
      <c r="Q736" s="59" t="s">
        <v>2041</v>
      </c>
      <c r="R736" s="59"/>
      <c r="S736" s="59"/>
      <c r="T736" s="59" t="s">
        <v>2307</v>
      </c>
      <c r="U736" s="122" t="s">
        <v>2569</v>
      </c>
      <c r="V736" s="59" t="s">
        <v>109</v>
      </c>
      <c r="W736" s="59" t="s">
        <v>1</v>
      </c>
      <c r="X736" s="59"/>
      <c r="Z736" s="59"/>
      <c r="AA736" s="59"/>
      <c r="AB736" s="59"/>
      <c r="AC736" s="59">
        <v>54</v>
      </c>
      <c r="AD736" s="59"/>
      <c r="AE736" s="60"/>
      <c r="AF736" s="24" t="s">
        <v>2043</v>
      </c>
      <c r="AG736" s="59"/>
      <c r="AH736" s="61"/>
      <c r="AI736" s="61" t="s">
        <v>176</v>
      </c>
      <c r="AJ736" s="61"/>
      <c r="AK736" s="62" t="s">
        <v>136</v>
      </c>
      <c r="AL736" s="62"/>
      <c r="AM736" s="63"/>
      <c r="AN736" s="63"/>
      <c r="AO736" s="63"/>
      <c r="AP736" s="63"/>
      <c r="AQ736" s="63"/>
      <c r="AR736" s="63"/>
      <c r="AS736" s="63"/>
      <c r="AT736" s="63"/>
      <c r="AU736" s="61"/>
      <c r="AV736" s="61"/>
      <c r="AW736" s="61"/>
      <c r="AX736" s="62"/>
      <c r="AY736" s="62"/>
      <c r="AZ736" s="63"/>
      <c r="BA736" s="63"/>
      <c r="BB736" s="63"/>
      <c r="BC736" s="63"/>
      <c r="BD736" s="63"/>
      <c r="BE736" s="63"/>
      <c r="BF736" s="63"/>
      <c r="BG736" s="63"/>
      <c r="BH736" s="61"/>
      <c r="BI736" s="61"/>
      <c r="BJ736" s="61"/>
      <c r="BK736" s="62"/>
      <c r="BL736" s="62"/>
      <c r="BM736" s="63"/>
      <c r="BN736" s="63"/>
      <c r="BO736" s="63"/>
      <c r="BP736" s="63"/>
      <c r="BQ736" s="63"/>
      <c r="BR736" s="63"/>
      <c r="BS736" s="63"/>
      <c r="BT736" s="63"/>
      <c r="BU736" s="61"/>
      <c r="BV736" s="61"/>
      <c r="BW736" s="61"/>
      <c r="BX736" s="62"/>
      <c r="BY736" s="62"/>
      <c r="BZ736" s="63"/>
      <c r="CA736" s="63"/>
      <c r="CB736" s="63"/>
      <c r="CC736" s="63"/>
      <c r="CD736" s="63"/>
      <c r="CE736" s="63"/>
      <c r="CF736" s="63"/>
      <c r="CG736" s="63"/>
      <c r="CH736" s="64"/>
      <c r="CJ736" s="63"/>
      <c r="CT736" s="65"/>
      <c r="CU736" s="65"/>
      <c r="CV736" s="65"/>
      <c r="CW736" s="65"/>
      <c r="CX736" s="65"/>
      <c r="CY736" s="65"/>
      <c r="CZ736" s="65"/>
      <c r="DA736" s="65"/>
      <c r="DB736" s="65"/>
      <c r="DC736" s="63"/>
    </row>
    <row r="737" spans="1:107" s="57" customFormat="1" x14ac:dyDescent="0.2">
      <c r="A737" s="55">
        <v>10054</v>
      </c>
      <c r="B737" s="56">
        <v>2</v>
      </c>
      <c r="C737" s="56">
        <f t="shared" si="64"/>
        <v>100540002</v>
      </c>
      <c r="D737" s="57" t="s">
        <v>1680</v>
      </c>
      <c r="E737" s="58" t="s">
        <v>109</v>
      </c>
      <c r="F737" s="58"/>
      <c r="G737" s="58"/>
      <c r="H737" s="58"/>
      <c r="I737" s="59" t="s">
        <v>206</v>
      </c>
      <c r="J737" s="59"/>
      <c r="K737" s="59"/>
      <c r="L737" s="59"/>
      <c r="M737" s="59"/>
      <c r="N737" s="59" t="s">
        <v>163</v>
      </c>
      <c r="O737" s="59" t="s">
        <v>163</v>
      </c>
      <c r="P737" s="59"/>
      <c r="Q737" s="59" t="s">
        <v>2041</v>
      </c>
      <c r="R737" s="59"/>
      <c r="S737" s="59"/>
      <c r="T737" s="59" t="s">
        <v>2307</v>
      </c>
      <c r="U737" s="122" t="s">
        <v>2570</v>
      </c>
      <c r="V737" s="59" t="s">
        <v>109</v>
      </c>
      <c r="W737" s="59" t="s">
        <v>1</v>
      </c>
      <c r="X737" s="59"/>
      <c r="Z737" s="59"/>
      <c r="AA737" s="59"/>
      <c r="AB737" s="59"/>
      <c r="AC737" s="59">
        <v>54</v>
      </c>
      <c r="AD737" s="59"/>
      <c r="AE737" s="60"/>
      <c r="AF737" s="24" t="s">
        <v>2043</v>
      </c>
      <c r="AG737" s="59"/>
      <c r="AH737" s="61"/>
      <c r="AI737" s="61" t="s">
        <v>260</v>
      </c>
      <c r="AJ737" s="61"/>
      <c r="AK737" s="62" t="s">
        <v>139</v>
      </c>
      <c r="AL737" s="62"/>
      <c r="AM737" s="63"/>
      <c r="AN737" s="63"/>
      <c r="AO737" s="63"/>
      <c r="AP737" s="63"/>
      <c r="AQ737" s="63"/>
      <c r="AR737" s="63"/>
      <c r="AS737" s="63"/>
      <c r="AT737" s="63"/>
      <c r="AU737" s="61"/>
      <c r="AV737" s="61"/>
      <c r="AW737" s="61"/>
      <c r="AX737" s="62"/>
      <c r="AY737" s="62"/>
      <c r="AZ737" s="63"/>
      <c r="BA737" s="63"/>
      <c r="BB737" s="63"/>
      <c r="BC737" s="63"/>
      <c r="BD737" s="63"/>
      <c r="BE737" s="63"/>
      <c r="BF737" s="63"/>
      <c r="BG737" s="63"/>
      <c r="BH737" s="61"/>
      <c r="BI737" s="61"/>
      <c r="BJ737" s="61"/>
      <c r="BK737" s="62"/>
      <c r="BL737" s="62"/>
      <c r="BM737" s="63"/>
      <c r="BN737" s="63"/>
      <c r="BO737" s="63"/>
      <c r="BP737" s="63"/>
      <c r="BQ737" s="63"/>
      <c r="BR737" s="63"/>
      <c r="BS737" s="63"/>
      <c r="BT737" s="63"/>
      <c r="BU737" s="61"/>
      <c r="BV737" s="61"/>
      <c r="BW737" s="61"/>
      <c r="BX737" s="62"/>
      <c r="BY737" s="62"/>
      <c r="BZ737" s="63"/>
      <c r="CA737" s="63"/>
      <c r="CB737" s="63"/>
      <c r="CC737" s="63"/>
      <c r="CD737" s="63"/>
      <c r="CE737" s="63"/>
      <c r="CF737" s="63"/>
      <c r="CG737" s="63"/>
      <c r="CH737" s="64"/>
      <c r="CJ737" s="63"/>
      <c r="CT737" s="65"/>
      <c r="CU737" s="65"/>
      <c r="CV737" s="65"/>
      <c r="CW737" s="65"/>
      <c r="CX737" s="65"/>
      <c r="CY737" s="65"/>
      <c r="CZ737" s="65"/>
      <c r="DA737" s="65"/>
      <c r="DB737" s="65"/>
      <c r="DC737" s="63"/>
    </row>
    <row r="738" spans="1:107" s="57" customFormat="1" x14ac:dyDescent="0.2">
      <c r="A738" s="55">
        <v>10054</v>
      </c>
      <c r="B738" s="56">
        <v>3</v>
      </c>
      <c r="C738" s="56">
        <f t="shared" si="64"/>
        <v>100540003</v>
      </c>
      <c r="D738" s="57" t="s">
        <v>1680</v>
      </c>
      <c r="E738" s="58" t="s">
        <v>109</v>
      </c>
      <c r="F738" s="58"/>
      <c r="G738" s="58"/>
      <c r="H738" s="58"/>
      <c r="I738" s="59" t="s">
        <v>206</v>
      </c>
      <c r="J738" s="59"/>
      <c r="K738" s="59"/>
      <c r="L738" s="59"/>
      <c r="M738" s="59"/>
      <c r="N738" s="59" t="s">
        <v>163</v>
      </c>
      <c r="O738" s="59" t="s">
        <v>163</v>
      </c>
      <c r="P738" s="59"/>
      <c r="Q738" s="59" t="s">
        <v>2041</v>
      </c>
      <c r="R738" s="59"/>
      <c r="S738" s="59"/>
      <c r="T738" s="59" t="s">
        <v>2307</v>
      </c>
      <c r="U738" s="122" t="s">
        <v>2571</v>
      </c>
      <c r="V738" s="59" t="s">
        <v>109</v>
      </c>
      <c r="W738" s="59" t="s">
        <v>1</v>
      </c>
      <c r="X738" s="59"/>
      <c r="Z738" s="59"/>
      <c r="AA738" s="59"/>
      <c r="AB738" s="59"/>
      <c r="AC738" s="59">
        <v>54</v>
      </c>
      <c r="AD738" s="59"/>
      <c r="AE738" s="60"/>
      <c r="AF738" s="24" t="s">
        <v>2043</v>
      </c>
      <c r="AG738" s="59"/>
      <c r="AH738" s="61">
        <v>100543</v>
      </c>
      <c r="AI738" s="61" t="s">
        <v>264</v>
      </c>
      <c r="AJ738" s="61"/>
      <c r="AK738" s="62" t="s">
        <v>373</v>
      </c>
      <c r="AL738" s="62"/>
      <c r="AM738" s="63"/>
      <c r="AN738" s="63"/>
      <c r="AO738" s="63"/>
      <c r="AP738" s="63"/>
      <c r="AQ738" s="63"/>
      <c r="AR738" s="63"/>
      <c r="AS738" s="63"/>
      <c r="AT738" s="63"/>
      <c r="AU738" s="61"/>
      <c r="AV738" s="61"/>
      <c r="AW738" s="61"/>
      <c r="AX738" s="62"/>
      <c r="AY738" s="62"/>
      <c r="AZ738" s="63"/>
      <c r="BA738" s="63"/>
      <c r="BB738" s="63"/>
      <c r="BC738" s="63"/>
      <c r="BD738" s="63"/>
      <c r="BE738" s="63"/>
      <c r="BF738" s="63"/>
      <c r="BG738" s="63"/>
      <c r="BH738" s="61"/>
      <c r="BI738" s="61"/>
      <c r="BJ738" s="61"/>
      <c r="BK738" s="62"/>
      <c r="BL738" s="62"/>
      <c r="BM738" s="63"/>
      <c r="BN738" s="63"/>
      <c r="BO738" s="63"/>
      <c r="BP738" s="63"/>
      <c r="BQ738" s="63"/>
      <c r="BR738" s="63"/>
      <c r="BS738" s="63"/>
      <c r="BT738" s="63"/>
      <c r="BU738" s="61"/>
      <c r="BV738" s="61"/>
      <c r="BW738" s="61"/>
      <c r="BX738" s="62"/>
      <c r="BY738" s="62"/>
      <c r="BZ738" s="63"/>
      <c r="CA738" s="63"/>
      <c r="CB738" s="63"/>
      <c r="CC738" s="63"/>
      <c r="CD738" s="63"/>
      <c r="CE738" s="63"/>
      <c r="CF738" s="63"/>
      <c r="CG738" s="63"/>
      <c r="CH738" s="64"/>
      <c r="CJ738" s="63"/>
      <c r="CT738" s="65"/>
      <c r="CU738" s="65"/>
      <c r="CV738" s="65"/>
      <c r="CW738" s="65"/>
      <c r="CX738" s="65"/>
      <c r="CY738" s="65"/>
      <c r="CZ738" s="65"/>
      <c r="DA738" s="65"/>
      <c r="DB738" s="65"/>
      <c r="DC738" s="63"/>
    </row>
    <row r="739" spans="1:107" s="57" customFormat="1" ht="12.75" customHeight="1" x14ac:dyDescent="0.2">
      <c r="A739" s="55">
        <v>10054</v>
      </c>
      <c r="B739" s="56">
        <v>4</v>
      </c>
      <c r="C739" s="56">
        <f t="shared" si="64"/>
        <v>100540004</v>
      </c>
      <c r="D739" s="57" t="s">
        <v>1680</v>
      </c>
      <c r="E739" s="58" t="s">
        <v>109</v>
      </c>
      <c r="F739" s="58"/>
      <c r="G739" s="58"/>
      <c r="H739" s="58"/>
      <c r="I739" s="59" t="s">
        <v>206</v>
      </c>
      <c r="J739" s="59"/>
      <c r="K739" s="59"/>
      <c r="L739" s="59"/>
      <c r="M739" s="59"/>
      <c r="N739" s="59" t="s">
        <v>163</v>
      </c>
      <c r="O739" s="59" t="s">
        <v>163</v>
      </c>
      <c r="P739" s="59"/>
      <c r="Q739" s="59" t="s">
        <v>2041</v>
      </c>
      <c r="R739" s="59"/>
      <c r="S739" s="59"/>
      <c r="T739" s="59" t="s">
        <v>2307</v>
      </c>
      <c r="U739" s="122" t="s">
        <v>2572</v>
      </c>
      <c r="V739" s="59" t="s">
        <v>109</v>
      </c>
      <c r="W739" s="59" t="s">
        <v>1</v>
      </c>
      <c r="X739" s="59"/>
      <c r="Z739" s="59"/>
      <c r="AA739" s="59"/>
      <c r="AB739" s="59"/>
      <c r="AC739" s="59">
        <v>54</v>
      </c>
      <c r="AD739" s="59"/>
      <c r="AE739" s="60"/>
      <c r="AF739" s="24" t="s">
        <v>2043</v>
      </c>
      <c r="AG739" s="59"/>
      <c r="AH739" s="61">
        <v>100544</v>
      </c>
      <c r="AI739" s="61" t="s">
        <v>265</v>
      </c>
      <c r="AJ739" s="61"/>
      <c r="AK739" s="62" t="s">
        <v>374</v>
      </c>
      <c r="AL739" s="62"/>
      <c r="AM739" s="63"/>
      <c r="AN739" s="63"/>
      <c r="AO739" s="63"/>
      <c r="AP739" s="63"/>
      <c r="AQ739" s="63"/>
      <c r="AR739" s="63"/>
      <c r="AS739" s="63"/>
      <c r="AT739" s="63"/>
      <c r="AU739" s="61"/>
      <c r="AV739" s="61"/>
      <c r="AW739" s="61"/>
      <c r="AX739" s="62"/>
      <c r="AY739" s="62"/>
      <c r="AZ739" s="63"/>
      <c r="BA739" s="63"/>
      <c r="BB739" s="63"/>
      <c r="BC739" s="63"/>
      <c r="BD739" s="63"/>
      <c r="BE739" s="63"/>
      <c r="BF739" s="63"/>
      <c r="BG739" s="63"/>
      <c r="BH739" s="61"/>
      <c r="BI739" s="61"/>
      <c r="BJ739" s="61"/>
      <c r="BK739" s="62"/>
      <c r="BL739" s="62"/>
      <c r="BM739" s="63"/>
      <c r="BN739" s="63"/>
      <c r="BO739" s="63"/>
      <c r="BP739" s="63"/>
      <c r="BQ739" s="63"/>
      <c r="BR739" s="63"/>
      <c r="BS739" s="63"/>
      <c r="BT739" s="63"/>
      <c r="BU739" s="61"/>
      <c r="BV739" s="61"/>
      <c r="BW739" s="61"/>
      <c r="BX739" s="62"/>
      <c r="BY739" s="62"/>
      <c r="BZ739" s="63"/>
      <c r="CA739" s="63"/>
      <c r="CB739" s="63"/>
      <c r="CC739" s="63"/>
      <c r="CD739" s="63"/>
      <c r="CE739" s="63"/>
      <c r="CF739" s="63"/>
      <c r="CG739" s="63"/>
      <c r="CH739" s="64"/>
      <c r="CJ739" s="63"/>
      <c r="CT739" s="65"/>
      <c r="CU739" s="65"/>
      <c r="CV739" s="65"/>
      <c r="CW739" s="65"/>
      <c r="CX739" s="65"/>
      <c r="CY739" s="65"/>
      <c r="CZ739" s="65"/>
      <c r="DA739" s="65"/>
      <c r="DB739" s="65"/>
      <c r="DC739" s="63"/>
    </row>
    <row r="740" spans="1:107" s="57" customFormat="1" x14ac:dyDescent="0.2">
      <c r="A740" s="55">
        <v>10054</v>
      </c>
      <c r="B740" s="56">
        <v>5</v>
      </c>
      <c r="C740" s="56">
        <f t="shared" si="64"/>
        <v>100540005</v>
      </c>
      <c r="D740" s="57" t="s">
        <v>1680</v>
      </c>
      <c r="E740" s="58" t="s">
        <v>109</v>
      </c>
      <c r="F740" s="58"/>
      <c r="G740" s="58"/>
      <c r="H740" s="58"/>
      <c r="I740" s="59" t="s">
        <v>206</v>
      </c>
      <c r="J740" s="59"/>
      <c r="K740" s="59"/>
      <c r="L740" s="59"/>
      <c r="M740" s="59"/>
      <c r="N740" s="59" t="s">
        <v>163</v>
      </c>
      <c r="O740" s="59" t="s">
        <v>163</v>
      </c>
      <c r="P740" s="59"/>
      <c r="Q740" s="59" t="s">
        <v>2041</v>
      </c>
      <c r="R740" s="59"/>
      <c r="S740" s="59"/>
      <c r="T740" s="59" t="s">
        <v>2307</v>
      </c>
      <c r="U740" s="122" t="s">
        <v>2573</v>
      </c>
      <c r="V740" s="59" t="s">
        <v>109</v>
      </c>
      <c r="W740" s="59" t="s">
        <v>1</v>
      </c>
      <c r="X740" s="59"/>
      <c r="Z740" s="59"/>
      <c r="AA740" s="59"/>
      <c r="AB740" s="59"/>
      <c r="AC740" s="59">
        <v>54</v>
      </c>
      <c r="AD740" s="59"/>
      <c r="AE740" s="60"/>
      <c r="AF740" s="24" t="s">
        <v>2043</v>
      </c>
      <c r="AG740" s="59"/>
      <c r="AH740" s="61">
        <v>100545</v>
      </c>
      <c r="AI740" s="61">
        <v>54</v>
      </c>
      <c r="AJ740" s="61"/>
      <c r="AK740" s="62" t="s">
        <v>375</v>
      </c>
      <c r="AL740" s="62"/>
      <c r="AM740" s="63"/>
      <c r="AN740" s="63"/>
      <c r="AO740" s="63"/>
      <c r="AP740" s="63"/>
      <c r="AQ740" s="63"/>
      <c r="AR740" s="63"/>
      <c r="AS740" s="63"/>
      <c r="AT740" s="63"/>
      <c r="AU740" s="61"/>
      <c r="AV740" s="61"/>
      <c r="AW740" s="61"/>
      <c r="AX740" s="62"/>
      <c r="AY740" s="62"/>
      <c r="AZ740" s="63"/>
      <c r="BA740" s="63"/>
      <c r="BB740" s="63"/>
      <c r="BC740" s="63"/>
      <c r="BD740" s="63"/>
      <c r="BE740" s="63"/>
      <c r="BF740" s="63"/>
      <c r="BG740" s="63"/>
      <c r="BH740" s="61"/>
      <c r="BI740" s="61"/>
      <c r="BJ740" s="61"/>
      <c r="BK740" s="62"/>
      <c r="BL740" s="62"/>
      <c r="BM740" s="63"/>
      <c r="BN740" s="63"/>
      <c r="BO740" s="63"/>
      <c r="BP740" s="63"/>
      <c r="BQ740" s="63"/>
      <c r="BR740" s="63"/>
      <c r="BS740" s="63"/>
      <c r="BT740" s="63"/>
      <c r="BU740" s="61"/>
      <c r="BV740" s="61"/>
      <c r="BW740" s="61"/>
      <c r="BX740" s="62"/>
      <c r="BY740" s="62"/>
      <c r="BZ740" s="63"/>
      <c r="CA740" s="63"/>
      <c r="CB740" s="63"/>
      <c r="CC740" s="63"/>
      <c r="CD740" s="63"/>
      <c r="CE740" s="63"/>
      <c r="CF740" s="63"/>
      <c r="CG740" s="63"/>
      <c r="CH740" s="64"/>
      <c r="CJ740" s="63"/>
      <c r="CT740" s="65"/>
      <c r="CU740" s="65"/>
      <c r="CV740" s="65"/>
      <c r="CW740" s="65"/>
      <c r="CX740" s="65"/>
      <c r="CY740" s="65"/>
      <c r="CZ740" s="65"/>
      <c r="DA740" s="65"/>
      <c r="DB740" s="65"/>
      <c r="DC740" s="63"/>
    </row>
    <row r="741" spans="1:107" s="57" customFormat="1" x14ac:dyDescent="0.2">
      <c r="A741" s="55">
        <v>10055</v>
      </c>
      <c r="B741" s="56">
        <v>1</v>
      </c>
      <c r="C741" s="56">
        <f t="shared" si="64"/>
        <v>100550001</v>
      </c>
      <c r="D741" s="57" t="s">
        <v>1565</v>
      </c>
      <c r="E741" s="58" t="s">
        <v>109</v>
      </c>
      <c r="F741" s="58"/>
      <c r="G741" s="58"/>
      <c r="H741" s="58"/>
      <c r="I741" s="59" t="s">
        <v>206</v>
      </c>
      <c r="J741" s="59"/>
      <c r="K741" s="59"/>
      <c r="L741" s="59"/>
      <c r="M741" s="59"/>
      <c r="N741" s="59" t="s">
        <v>163</v>
      </c>
      <c r="O741" s="59" t="s">
        <v>163</v>
      </c>
      <c r="P741" s="59"/>
      <c r="Q741" s="59" t="s">
        <v>2041</v>
      </c>
      <c r="R741" s="59"/>
      <c r="S741" s="59"/>
      <c r="T741" s="59" t="s">
        <v>2307</v>
      </c>
      <c r="U741" s="122" t="s">
        <v>2574</v>
      </c>
      <c r="V741" s="59" t="s">
        <v>109</v>
      </c>
      <c r="W741" s="59" t="s">
        <v>1</v>
      </c>
      <c r="X741" s="59"/>
      <c r="Z741" s="59"/>
      <c r="AA741" s="59"/>
      <c r="AB741" s="59"/>
      <c r="AC741" s="59">
        <v>55</v>
      </c>
      <c r="AD741" s="59"/>
      <c r="AE741" s="60"/>
      <c r="AF741" s="24" t="s">
        <v>2043</v>
      </c>
      <c r="AG741" s="59"/>
      <c r="AH741" s="61"/>
      <c r="AI741" s="61" t="s">
        <v>176</v>
      </c>
      <c r="AJ741" s="61"/>
      <c r="AK741" s="62" t="s">
        <v>136</v>
      </c>
      <c r="AL741" s="62"/>
      <c r="AM741" s="63"/>
      <c r="AN741" s="63"/>
      <c r="AO741" s="63"/>
      <c r="AP741" s="63"/>
      <c r="AQ741" s="63"/>
      <c r="AR741" s="63"/>
      <c r="AS741" s="63"/>
      <c r="AT741" s="63"/>
      <c r="AU741" s="61"/>
      <c r="AV741" s="61"/>
      <c r="AW741" s="61"/>
      <c r="AX741" s="62"/>
      <c r="AY741" s="62"/>
      <c r="AZ741" s="63"/>
      <c r="BA741" s="63"/>
      <c r="BB741" s="63"/>
      <c r="BC741" s="63"/>
      <c r="BD741" s="63"/>
      <c r="BE741" s="63"/>
      <c r="BF741" s="63"/>
      <c r="BG741" s="63"/>
      <c r="BH741" s="61"/>
      <c r="BI741" s="61"/>
      <c r="BJ741" s="61"/>
      <c r="BK741" s="62"/>
      <c r="BL741" s="62"/>
      <c r="BM741" s="63"/>
      <c r="BN741" s="63"/>
      <c r="BO741" s="63"/>
      <c r="BP741" s="63"/>
      <c r="BQ741" s="63"/>
      <c r="BR741" s="63"/>
      <c r="BS741" s="63"/>
      <c r="BT741" s="63"/>
      <c r="BU741" s="61"/>
      <c r="BV741" s="61"/>
      <c r="BW741" s="61"/>
      <c r="BX741" s="62"/>
      <c r="BY741" s="62"/>
      <c r="BZ741" s="63"/>
      <c r="CA741" s="63"/>
      <c r="CB741" s="63"/>
      <c r="CC741" s="63"/>
      <c r="CD741" s="63"/>
      <c r="CE741" s="63"/>
      <c r="CF741" s="63"/>
      <c r="CG741" s="63"/>
      <c r="CH741" s="64"/>
      <c r="CJ741" s="63"/>
      <c r="CT741" s="65"/>
      <c r="CU741" s="65"/>
      <c r="CV741" s="65"/>
      <c r="CW741" s="65"/>
      <c r="CX741" s="65"/>
      <c r="CY741" s="65"/>
      <c r="CZ741" s="65"/>
      <c r="DA741" s="65"/>
      <c r="DB741" s="65"/>
      <c r="DC741" s="63"/>
    </row>
    <row r="742" spans="1:107" s="57" customFormat="1" x14ac:dyDescent="0.2">
      <c r="A742" s="55">
        <v>10055</v>
      </c>
      <c r="B742" s="56">
        <v>2</v>
      </c>
      <c r="C742" s="56">
        <f t="shared" si="64"/>
        <v>100550002</v>
      </c>
      <c r="D742" s="57" t="s">
        <v>1565</v>
      </c>
      <c r="E742" s="58" t="s">
        <v>109</v>
      </c>
      <c r="F742" s="58"/>
      <c r="G742" s="58"/>
      <c r="H742" s="58"/>
      <c r="I742" s="59" t="s">
        <v>206</v>
      </c>
      <c r="J742" s="59"/>
      <c r="K742" s="59"/>
      <c r="L742" s="59"/>
      <c r="M742" s="59"/>
      <c r="N742" s="59" t="s">
        <v>163</v>
      </c>
      <c r="O742" s="59" t="s">
        <v>163</v>
      </c>
      <c r="P742" s="59"/>
      <c r="Q742" s="59" t="s">
        <v>2041</v>
      </c>
      <c r="R742" s="59"/>
      <c r="S742" s="59"/>
      <c r="T742" s="59" t="s">
        <v>2307</v>
      </c>
      <c r="U742" s="122" t="s">
        <v>2575</v>
      </c>
      <c r="V742" s="59" t="s">
        <v>109</v>
      </c>
      <c r="W742" s="59" t="s">
        <v>1</v>
      </c>
      <c r="X742" s="59"/>
      <c r="Z742" s="59"/>
      <c r="AA742" s="59"/>
      <c r="AB742" s="59"/>
      <c r="AC742" s="59">
        <v>55</v>
      </c>
      <c r="AD742" s="59"/>
      <c r="AE742" s="60"/>
      <c r="AF742" s="24" t="s">
        <v>2043</v>
      </c>
      <c r="AG742" s="59"/>
      <c r="AH742" s="61"/>
      <c r="AI742" s="61" t="s">
        <v>260</v>
      </c>
      <c r="AJ742" s="61"/>
      <c r="AK742" s="62" t="s">
        <v>139</v>
      </c>
      <c r="AL742" s="62"/>
      <c r="AM742" s="63"/>
      <c r="AN742" s="63"/>
      <c r="AO742" s="63"/>
      <c r="AP742" s="63"/>
      <c r="AQ742" s="63"/>
      <c r="AR742" s="63"/>
      <c r="AS742" s="63"/>
      <c r="AT742" s="63"/>
      <c r="AU742" s="61"/>
      <c r="AV742" s="61"/>
      <c r="AW742" s="61"/>
      <c r="AX742" s="62"/>
      <c r="AY742" s="62"/>
      <c r="AZ742" s="63"/>
      <c r="BA742" s="63"/>
      <c r="BB742" s="63"/>
      <c r="BC742" s="63"/>
      <c r="BD742" s="63"/>
      <c r="BE742" s="63"/>
      <c r="BF742" s="63"/>
      <c r="BG742" s="63"/>
      <c r="BH742" s="61"/>
      <c r="BI742" s="61"/>
      <c r="BJ742" s="61"/>
      <c r="BK742" s="62"/>
      <c r="BL742" s="62"/>
      <c r="BM742" s="63"/>
      <c r="BN742" s="63"/>
      <c r="BO742" s="63"/>
      <c r="BP742" s="63"/>
      <c r="BQ742" s="63"/>
      <c r="BR742" s="63"/>
      <c r="BS742" s="63"/>
      <c r="BT742" s="63"/>
      <c r="BU742" s="61"/>
      <c r="BV742" s="61"/>
      <c r="BW742" s="61"/>
      <c r="BX742" s="62"/>
      <c r="BY742" s="62"/>
      <c r="BZ742" s="63"/>
      <c r="CA742" s="63"/>
      <c r="CB742" s="63"/>
      <c r="CC742" s="63"/>
      <c r="CD742" s="63"/>
      <c r="CE742" s="63"/>
      <c r="CF742" s="63"/>
      <c r="CG742" s="63"/>
      <c r="CH742" s="64"/>
      <c r="CJ742" s="63"/>
      <c r="CT742" s="65"/>
      <c r="CU742" s="65"/>
      <c r="CV742" s="65"/>
      <c r="CW742" s="65"/>
      <c r="CX742" s="65"/>
      <c r="CY742" s="65"/>
      <c r="CZ742" s="65"/>
      <c r="DA742" s="65"/>
      <c r="DB742" s="65"/>
      <c r="DC742" s="63"/>
    </row>
    <row r="743" spans="1:107" s="57" customFormat="1" x14ac:dyDescent="0.2">
      <c r="A743" s="55">
        <v>10055</v>
      </c>
      <c r="B743" s="56">
        <v>3</v>
      </c>
      <c r="C743" s="56">
        <f t="shared" si="64"/>
        <v>100550003</v>
      </c>
      <c r="D743" s="57" t="s">
        <v>1565</v>
      </c>
      <c r="E743" s="58" t="s">
        <v>109</v>
      </c>
      <c r="F743" s="58"/>
      <c r="G743" s="58"/>
      <c r="H743" s="58"/>
      <c r="I743" s="59" t="s">
        <v>206</v>
      </c>
      <c r="J743" s="59"/>
      <c r="K743" s="59"/>
      <c r="L743" s="59"/>
      <c r="M743" s="59"/>
      <c r="N743" s="59" t="s">
        <v>163</v>
      </c>
      <c r="O743" s="59" t="s">
        <v>163</v>
      </c>
      <c r="P743" s="59"/>
      <c r="Q743" s="59" t="s">
        <v>2041</v>
      </c>
      <c r="R743" s="59"/>
      <c r="S743" s="59"/>
      <c r="T743" s="59" t="s">
        <v>2307</v>
      </c>
      <c r="U743" s="122" t="s">
        <v>2576</v>
      </c>
      <c r="V743" s="59" t="s">
        <v>109</v>
      </c>
      <c r="W743" s="59" t="s">
        <v>1</v>
      </c>
      <c r="X743" s="59"/>
      <c r="Z743" s="59"/>
      <c r="AA743" s="59"/>
      <c r="AB743" s="59"/>
      <c r="AC743" s="59">
        <v>55</v>
      </c>
      <c r="AD743" s="59"/>
      <c r="AE743" s="60"/>
      <c r="AF743" s="24" t="s">
        <v>2043</v>
      </c>
      <c r="AG743" s="59"/>
      <c r="AH743" s="61">
        <v>100553</v>
      </c>
      <c r="AI743" s="61" t="s">
        <v>264</v>
      </c>
      <c r="AJ743" s="61"/>
      <c r="AK743" s="62" t="s">
        <v>373</v>
      </c>
      <c r="AL743" s="62"/>
      <c r="AM743" s="63"/>
      <c r="AN743" s="63"/>
      <c r="AO743" s="63"/>
      <c r="AP743" s="63"/>
      <c r="AQ743" s="63"/>
      <c r="AR743" s="63"/>
      <c r="AS743" s="63"/>
      <c r="AT743" s="63"/>
      <c r="AU743" s="61"/>
      <c r="AV743" s="61"/>
      <c r="AW743" s="61"/>
      <c r="AX743" s="62"/>
      <c r="AY743" s="62"/>
      <c r="AZ743" s="63"/>
      <c r="BA743" s="63"/>
      <c r="BB743" s="63"/>
      <c r="BC743" s="63"/>
      <c r="BD743" s="63"/>
      <c r="BE743" s="63"/>
      <c r="BF743" s="63"/>
      <c r="BG743" s="63"/>
      <c r="BH743" s="61"/>
      <c r="BI743" s="61"/>
      <c r="BJ743" s="61"/>
      <c r="BK743" s="62"/>
      <c r="BL743" s="62"/>
      <c r="BM743" s="63"/>
      <c r="BN743" s="63"/>
      <c r="BO743" s="63"/>
      <c r="BP743" s="63"/>
      <c r="BQ743" s="63"/>
      <c r="BR743" s="63"/>
      <c r="BS743" s="63"/>
      <c r="BT743" s="63"/>
      <c r="BU743" s="61"/>
      <c r="BV743" s="61"/>
      <c r="BW743" s="61"/>
      <c r="BX743" s="62"/>
      <c r="BY743" s="62"/>
      <c r="BZ743" s="63"/>
      <c r="CA743" s="63"/>
      <c r="CB743" s="63"/>
      <c r="CC743" s="63"/>
      <c r="CD743" s="63"/>
      <c r="CE743" s="63"/>
      <c r="CF743" s="63"/>
      <c r="CG743" s="63"/>
      <c r="CH743" s="64"/>
      <c r="CJ743" s="63"/>
      <c r="CT743" s="65"/>
      <c r="CU743" s="65"/>
      <c r="CV743" s="65"/>
      <c r="CW743" s="65"/>
      <c r="CX743" s="65"/>
      <c r="CY743" s="65"/>
      <c r="CZ743" s="65"/>
      <c r="DA743" s="65"/>
      <c r="DB743" s="65"/>
      <c r="DC743" s="63"/>
    </row>
    <row r="744" spans="1:107" s="57" customFormat="1" ht="12.75" customHeight="1" x14ac:dyDescent="0.2">
      <c r="A744" s="55">
        <v>10055</v>
      </c>
      <c r="B744" s="56">
        <v>4</v>
      </c>
      <c r="C744" s="56">
        <f t="shared" si="64"/>
        <v>100550004</v>
      </c>
      <c r="D744" s="57" t="s">
        <v>1565</v>
      </c>
      <c r="E744" s="58" t="s">
        <v>109</v>
      </c>
      <c r="F744" s="58"/>
      <c r="G744" s="58"/>
      <c r="H744" s="58"/>
      <c r="I744" s="59" t="s">
        <v>206</v>
      </c>
      <c r="J744" s="59"/>
      <c r="K744" s="59"/>
      <c r="L744" s="59"/>
      <c r="M744" s="59"/>
      <c r="N744" s="59" t="s">
        <v>163</v>
      </c>
      <c r="O744" s="59" t="s">
        <v>163</v>
      </c>
      <c r="P744" s="59"/>
      <c r="Q744" s="59" t="s">
        <v>2041</v>
      </c>
      <c r="R744" s="59"/>
      <c r="S744" s="59"/>
      <c r="T744" s="59" t="s">
        <v>2307</v>
      </c>
      <c r="U744" s="122" t="s">
        <v>2577</v>
      </c>
      <c r="V744" s="59" t="s">
        <v>109</v>
      </c>
      <c r="W744" s="59" t="s">
        <v>1</v>
      </c>
      <c r="X744" s="59"/>
      <c r="Z744" s="59"/>
      <c r="AA744" s="59"/>
      <c r="AB744" s="59"/>
      <c r="AC744" s="59">
        <v>55</v>
      </c>
      <c r="AD744" s="59"/>
      <c r="AE744" s="60"/>
      <c r="AF744" s="24" t="s">
        <v>2043</v>
      </c>
      <c r="AG744" s="59"/>
      <c r="AH744" s="61">
        <v>100554</v>
      </c>
      <c r="AI744" s="61" t="s">
        <v>265</v>
      </c>
      <c r="AJ744" s="61"/>
      <c r="AK744" s="62" t="s">
        <v>374</v>
      </c>
      <c r="AL744" s="62"/>
      <c r="AM744" s="63"/>
      <c r="AN744" s="63"/>
      <c r="AO744" s="63"/>
      <c r="AP744" s="63"/>
      <c r="AQ744" s="63"/>
      <c r="AR744" s="63"/>
      <c r="AS744" s="63"/>
      <c r="AT744" s="63"/>
      <c r="AU744" s="61"/>
      <c r="AV744" s="61"/>
      <c r="AW744" s="61"/>
      <c r="AX744" s="62"/>
      <c r="AY744" s="62"/>
      <c r="AZ744" s="63"/>
      <c r="BA744" s="63"/>
      <c r="BB744" s="63"/>
      <c r="BC744" s="63"/>
      <c r="BD744" s="63"/>
      <c r="BE744" s="63"/>
      <c r="BF744" s="63"/>
      <c r="BG744" s="63"/>
      <c r="BH744" s="61"/>
      <c r="BI744" s="61"/>
      <c r="BJ744" s="61"/>
      <c r="BK744" s="62"/>
      <c r="BL744" s="62"/>
      <c r="BM744" s="63"/>
      <c r="BN744" s="63"/>
      <c r="BO744" s="63"/>
      <c r="BP744" s="63"/>
      <c r="BQ744" s="63"/>
      <c r="BR744" s="63"/>
      <c r="BS744" s="63"/>
      <c r="BT744" s="63"/>
      <c r="BU744" s="61"/>
      <c r="BV744" s="61"/>
      <c r="BW744" s="61"/>
      <c r="BX744" s="62"/>
      <c r="BY744" s="62"/>
      <c r="BZ744" s="63"/>
      <c r="CA744" s="63"/>
      <c r="CB744" s="63"/>
      <c r="CC744" s="63"/>
      <c r="CD744" s="63"/>
      <c r="CE744" s="63"/>
      <c r="CF744" s="63"/>
      <c r="CG744" s="63"/>
      <c r="CH744" s="64"/>
      <c r="CJ744" s="63"/>
      <c r="CT744" s="65"/>
      <c r="CU744" s="65"/>
      <c r="CV744" s="65"/>
      <c r="CW744" s="65"/>
      <c r="CX744" s="65"/>
      <c r="CY744" s="65"/>
      <c r="CZ744" s="65"/>
      <c r="DA744" s="65"/>
      <c r="DB744" s="65"/>
      <c r="DC744" s="63"/>
    </row>
    <row r="745" spans="1:107" s="57" customFormat="1" x14ac:dyDescent="0.2">
      <c r="A745" s="55">
        <v>10055</v>
      </c>
      <c r="B745" s="56">
        <v>5</v>
      </c>
      <c r="C745" s="56">
        <f t="shared" si="64"/>
        <v>100550005</v>
      </c>
      <c r="D745" s="57" t="s">
        <v>1565</v>
      </c>
      <c r="E745" s="58" t="s">
        <v>109</v>
      </c>
      <c r="F745" s="58"/>
      <c r="G745" s="58"/>
      <c r="H745" s="58"/>
      <c r="I745" s="59" t="s">
        <v>206</v>
      </c>
      <c r="J745" s="59"/>
      <c r="K745" s="59"/>
      <c r="L745" s="59"/>
      <c r="M745" s="59"/>
      <c r="N745" s="59" t="s">
        <v>163</v>
      </c>
      <c r="O745" s="59" t="s">
        <v>163</v>
      </c>
      <c r="P745" s="59"/>
      <c r="Q745" s="59" t="s">
        <v>2041</v>
      </c>
      <c r="R745" s="59"/>
      <c r="S745" s="59"/>
      <c r="T745" s="59" t="s">
        <v>2307</v>
      </c>
      <c r="U745" s="122" t="s">
        <v>2578</v>
      </c>
      <c r="V745" s="59" t="s">
        <v>109</v>
      </c>
      <c r="W745" s="59" t="s">
        <v>1</v>
      </c>
      <c r="X745" s="59"/>
      <c r="Z745" s="59"/>
      <c r="AA745" s="59"/>
      <c r="AB745" s="59"/>
      <c r="AC745" s="59">
        <v>55</v>
      </c>
      <c r="AD745" s="59"/>
      <c r="AE745" s="60"/>
      <c r="AF745" s="24" t="s">
        <v>2043</v>
      </c>
      <c r="AG745" s="59"/>
      <c r="AH745" s="61">
        <v>100555</v>
      </c>
      <c r="AI745" s="61" t="s">
        <v>266</v>
      </c>
      <c r="AJ745" s="61"/>
      <c r="AK745" s="62" t="s">
        <v>375</v>
      </c>
      <c r="AL745" s="62"/>
      <c r="AM745" s="63"/>
      <c r="AN745" s="63"/>
      <c r="AO745" s="63"/>
      <c r="AP745" s="63"/>
      <c r="AQ745" s="63"/>
      <c r="AR745" s="63"/>
      <c r="AS745" s="63"/>
      <c r="AT745" s="63"/>
      <c r="AU745" s="61"/>
      <c r="AV745" s="61"/>
      <c r="AW745" s="61"/>
      <c r="AX745" s="62"/>
      <c r="AY745" s="62"/>
      <c r="AZ745" s="63"/>
      <c r="BA745" s="63"/>
      <c r="BB745" s="63"/>
      <c r="BC745" s="63"/>
      <c r="BD745" s="63"/>
      <c r="BE745" s="63"/>
      <c r="BF745" s="63"/>
      <c r="BG745" s="63"/>
      <c r="BH745" s="61"/>
      <c r="BI745" s="61"/>
      <c r="BJ745" s="61"/>
      <c r="BK745" s="62"/>
      <c r="BL745" s="62"/>
      <c r="BM745" s="63"/>
      <c r="BN745" s="63"/>
      <c r="BO745" s="63"/>
      <c r="BP745" s="63"/>
      <c r="BQ745" s="63"/>
      <c r="BR745" s="63"/>
      <c r="BS745" s="63"/>
      <c r="BT745" s="63"/>
      <c r="BU745" s="61"/>
      <c r="BV745" s="61"/>
      <c r="BW745" s="61"/>
      <c r="BX745" s="62"/>
      <c r="BY745" s="62"/>
      <c r="BZ745" s="63"/>
      <c r="CA745" s="63"/>
      <c r="CB745" s="63"/>
      <c r="CC745" s="63"/>
      <c r="CD745" s="63"/>
      <c r="CE745" s="63"/>
      <c r="CF745" s="63"/>
      <c r="CG745" s="63"/>
      <c r="CH745" s="64"/>
      <c r="CJ745" s="63"/>
      <c r="CT745" s="65"/>
      <c r="CU745" s="65"/>
      <c r="CV745" s="65"/>
      <c r="CW745" s="65"/>
      <c r="CX745" s="65"/>
      <c r="CY745" s="65"/>
      <c r="CZ745" s="65"/>
      <c r="DA745" s="65"/>
      <c r="DB745" s="65"/>
      <c r="DC745" s="63"/>
    </row>
    <row r="746" spans="1:107" x14ac:dyDescent="0.2">
      <c r="A746" s="18">
        <v>10056</v>
      </c>
      <c r="B746" s="19">
        <v>1</v>
      </c>
      <c r="C746" s="19">
        <f t="shared" si="64"/>
        <v>100560001</v>
      </c>
      <c r="D746" s="23" t="s">
        <v>1546</v>
      </c>
      <c r="E746" s="20" t="s">
        <v>109</v>
      </c>
      <c r="I746" s="21" t="s">
        <v>206</v>
      </c>
      <c r="J746" s="21"/>
      <c r="K746" s="21"/>
      <c r="L746" s="21"/>
      <c r="M746" s="21"/>
      <c r="N746" s="21" t="s">
        <v>163</v>
      </c>
      <c r="O746" s="21" t="s">
        <v>163</v>
      </c>
      <c r="P746" s="114"/>
      <c r="Q746" s="114" t="s">
        <v>2041</v>
      </c>
      <c r="R746" s="114"/>
      <c r="S746" s="114"/>
      <c r="T746" s="114" t="s">
        <v>2307</v>
      </c>
      <c r="U746" s="117" t="s">
        <v>2579</v>
      </c>
      <c r="V746" s="21" t="s">
        <v>109</v>
      </c>
      <c r="W746" s="21" t="s">
        <v>1</v>
      </c>
      <c r="X746" s="21"/>
      <c r="Z746" s="21"/>
      <c r="AA746" s="21"/>
      <c r="AB746" s="21"/>
      <c r="AC746" s="21">
        <v>56</v>
      </c>
      <c r="AD746" s="21"/>
      <c r="AE746" s="39"/>
      <c r="AF746" s="24" t="s">
        <v>2043</v>
      </c>
      <c r="AG746" s="21"/>
      <c r="AI746" s="25" t="s">
        <v>176</v>
      </c>
      <c r="AK746" s="27" t="s">
        <v>136</v>
      </c>
      <c r="AL746" s="27"/>
      <c r="AX746" s="27"/>
      <c r="AY746" s="27"/>
      <c r="BK746" s="27"/>
      <c r="BL746" s="27"/>
      <c r="BX746" s="27"/>
      <c r="BY746" s="27"/>
      <c r="CH746" s="29"/>
    </row>
    <row r="747" spans="1:107" x14ac:dyDescent="0.2">
      <c r="A747" s="18">
        <v>10056</v>
      </c>
      <c r="B747" s="19">
        <v>2</v>
      </c>
      <c r="C747" s="19">
        <f t="shared" si="64"/>
        <v>100560002</v>
      </c>
      <c r="D747" s="23" t="s">
        <v>1546</v>
      </c>
      <c r="E747" s="20" t="s">
        <v>109</v>
      </c>
      <c r="I747" s="21" t="s">
        <v>206</v>
      </c>
      <c r="J747" s="21"/>
      <c r="K747" s="21"/>
      <c r="L747" s="21"/>
      <c r="M747" s="21"/>
      <c r="N747" s="21" t="s">
        <v>163</v>
      </c>
      <c r="O747" s="21" t="s">
        <v>163</v>
      </c>
      <c r="P747" s="114"/>
      <c r="Q747" s="114" t="s">
        <v>2041</v>
      </c>
      <c r="R747" s="114"/>
      <c r="S747" s="114"/>
      <c r="T747" s="114" t="s">
        <v>2307</v>
      </c>
      <c r="U747" s="117" t="s">
        <v>2580</v>
      </c>
      <c r="V747" s="21" t="s">
        <v>109</v>
      </c>
      <c r="W747" s="21" t="s">
        <v>1</v>
      </c>
      <c r="X747" s="21"/>
      <c r="Z747" s="21"/>
      <c r="AA747" s="21"/>
      <c r="AB747" s="21"/>
      <c r="AC747" s="21">
        <v>56</v>
      </c>
      <c r="AD747" s="21"/>
      <c r="AE747" s="39"/>
      <c r="AF747" s="24" t="s">
        <v>2043</v>
      </c>
      <c r="AG747" s="21"/>
      <c r="AI747" s="25" t="s">
        <v>260</v>
      </c>
      <c r="AK747" s="27" t="s">
        <v>139</v>
      </c>
      <c r="AL747" s="27"/>
      <c r="AX747" s="27"/>
      <c r="AY747" s="27"/>
      <c r="BK747" s="27"/>
      <c r="BL747" s="27"/>
      <c r="BX747" s="27"/>
      <c r="BY747" s="27"/>
      <c r="CH747" s="29"/>
    </row>
    <row r="748" spans="1:107" x14ac:dyDescent="0.2">
      <c r="A748" s="18">
        <v>10056</v>
      </c>
      <c r="B748" s="19">
        <v>3</v>
      </c>
      <c r="C748" s="19">
        <f t="shared" si="64"/>
        <v>100560003</v>
      </c>
      <c r="D748" s="23" t="s">
        <v>1546</v>
      </c>
      <c r="E748" s="20" t="s">
        <v>109</v>
      </c>
      <c r="I748" s="21" t="s">
        <v>206</v>
      </c>
      <c r="J748" s="21"/>
      <c r="K748" s="21"/>
      <c r="L748" s="21"/>
      <c r="M748" s="21"/>
      <c r="N748" s="21" t="s">
        <v>163</v>
      </c>
      <c r="O748" s="21" t="s">
        <v>163</v>
      </c>
      <c r="P748" s="114"/>
      <c r="Q748" s="114" t="s">
        <v>2041</v>
      </c>
      <c r="R748" s="114"/>
      <c r="S748" s="114"/>
      <c r="T748" s="114" t="s">
        <v>2307</v>
      </c>
      <c r="U748" s="117" t="s">
        <v>2581</v>
      </c>
      <c r="V748" s="21" t="s">
        <v>109</v>
      </c>
      <c r="W748" s="21" t="s">
        <v>1</v>
      </c>
      <c r="X748" s="21"/>
      <c r="Z748" s="21"/>
      <c r="AA748" s="21"/>
      <c r="AB748" s="21"/>
      <c r="AC748" s="21">
        <v>56</v>
      </c>
      <c r="AD748" s="21"/>
      <c r="AE748" s="39"/>
      <c r="AF748" s="24" t="s">
        <v>2043</v>
      </c>
      <c r="AG748" s="21"/>
      <c r="AH748" s="25">
        <v>100563</v>
      </c>
      <c r="AI748" s="25" t="s">
        <v>264</v>
      </c>
      <c r="AK748" s="27" t="s">
        <v>373</v>
      </c>
      <c r="AL748" s="27"/>
      <c r="AX748" s="27"/>
      <c r="AY748" s="27"/>
      <c r="BK748" s="27"/>
      <c r="BL748" s="27"/>
      <c r="BX748" s="27"/>
      <c r="BY748" s="27"/>
      <c r="CH748" s="29"/>
    </row>
    <row r="749" spans="1:107" ht="12.75" customHeight="1" x14ac:dyDescent="0.2">
      <c r="A749" s="18">
        <v>10056</v>
      </c>
      <c r="B749" s="19">
        <v>4</v>
      </c>
      <c r="C749" s="19">
        <f t="shared" si="64"/>
        <v>100560004</v>
      </c>
      <c r="D749" s="23" t="s">
        <v>1546</v>
      </c>
      <c r="E749" s="20" t="s">
        <v>109</v>
      </c>
      <c r="I749" s="21" t="s">
        <v>206</v>
      </c>
      <c r="J749" s="21"/>
      <c r="K749" s="21"/>
      <c r="L749" s="21"/>
      <c r="M749" s="21"/>
      <c r="N749" s="21" t="s">
        <v>163</v>
      </c>
      <c r="O749" s="21" t="s">
        <v>163</v>
      </c>
      <c r="P749" s="114"/>
      <c r="Q749" s="114" t="s">
        <v>2041</v>
      </c>
      <c r="R749" s="114"/>
      <c r="S749" s="114"/>
      <c r="T749" s="114" t="s">
        <v>2307</v>
      </c>
      <c r="U749" s="117" t="s">
        <v>2582</v>
      </c>
      <c r="V749" s="21" t="s">
        <v>109</v>
      </c>
      <c r="W749" s="21" t="s">
        <v>1</v>
      </c>
      <c r="X749" s="21"/>
      <c r="Z749" s="21"/>
      <c r="AA749" s="21"/>
      <c r="AB749" s="21"/>
      <c r="AC749" s="21">
        <v>56</v>
      </c>
      <c r="AD749" s="21"/>
      <c r="AE749" s="39"/>
      <c r="AF749" s="24" t="s">
        <v>2043</v>
      </c>
      <c r="AG749" s="21"/>
      <c r="AH749" s="25">
        <v>100564</v>
      </c>
      <c r="AI749" s="25" t="s">
        <v>265</v>
      </c>
      <c r="AK749" s="27" t="s">
        <v>374</v>
      </c>
      <c r="AL749" s="27"/>
      <c r="AX749" s="27"/>
      <c r="AY749" s="27"/>
      <c r="BK749" s="27"/>
      <c r="BL749" s="27"/>
      <c r="BX749" s="27"/>
      <c r="BY749" s="27"/>
      <c r="CH749" s="29"/>
    </row>
    <row r="750" spans="1:107" x14ac:dyDescent="0.2">
      <c r="A750" s="18">
        <v>10056</v>
      </c>
      <c r="B750" s="19">
        <v>5</v>
      </c>
      <c r="C750" s="19">
        <f t="shared" si="64"/>
        <v>100560005</v>
      </c>
      <c r="D750" s="23" t="s">
        <v>1546</v>
      </c>
      <c r="E750" s="20" t="s">
        <v>109</v>
      </c>
      <c r="I750" s="21" t="s">
        <v>206</v>
      </c>
      <c r="J750" s="21"/>
      <c r="K750" s="21"/>
      <c r="L750" s="21"/>
      <c r="M750" s="21"/>
      <c r="N750" s="21" t="s">
        <v>163</v>
      </c>
      <c r="O750" s="21" t="s">
        <v>163</v>
      </c>
      <c r="P750" s="114"/>
      <c r="Q750" s="114" t="s">
        <v>2041</v>
      </c>
      <c r="R750" s="114"/>
      <c r="S750" s="114"/>
      <c r="T750" s="114" t="s">
        <v>2307</v>
      </c>
      <c r="U750" s="117" t="s">
        <v>2583</v>
      </c>
      <c r="V750" s="21" t="s">
        <v>109</v>
      </c>
      <c r="W750" s="21" t="s">
        <v>1</v>
      </c>
      <c r="X750" s="21"/>
      <c r="Z750" s="21"/>
      <c r="AA750" s="21"/>
      <c r="AB750" s="21"/>
      <c r="AC750" s="21">
        <v>56</v>
      </c>
      <c r="AD750" s="21"/>
      <c r="AE750" s="39"/>
      <c r="AF750" s="24" t="s">
        <v>2043</v>
      </c>
      <c r="AG750" s="21"/>
      <c r="AH750" s="25">
        <v>100565</v>
      </c>
      <c r="AI750" s="25" t="s">
        <v>266</v>
      </c>
      <c r="AK750" s="27" t="s">
        <v>375</v>
      </c>
      <c r="AL750" s="27"/>
      <c r="AX750" s="27"/>
      <c r="AY750" s="27"/>
      <c r="BK750" s="27"/>
      <c r="BL750" s="27"/>
      <c r="BX750" s="27"/>
      <c r="BY750" s="27"/>
      <c r="CH750" s="29"/>
    </row>
    <row r="751" spans="1:107" s="46" customFormat="1" x14ac:dyDescent="0.2">
      <c r="A751" s="44">
        <v>10057</v>
      </c>
      <c r="B751" s="45">
        <v>1</v>
      </c>
      <c r="C751" s="45">
        <f t="shared" si="64"/>
        <v>100570001</v>
      </c>
      <c r="D751" s="46" t="s">
        <v>1396</v>
      </c>
      <c r="E751" s="47" t="s">
        <v>109</v>
      </c>
      <c r="F751" s="47"/>
      <c r="G751" s="47"/>
      <c r="H751" s="47"/>
      <c r="I751" s="48" t="s">
        <v>206</v>
      </c>
      <c r="J751" s="48"/>
      <c r="K751" s="48"/>
      <c r="L751" s="48"/>
      <c r="M751" s="48"/>
      <c r="N751" s="48" t="s">
        <v>163</v>
      </c>
      <c r="O751" s="48" t="s">
        <v>163</v>
      </c>
      <c r="P751" s="114"/>
      <c r="Q751" s="114" t="s">
        <v>2041</v>
      </c>
      <c r="R751" s="114"/>
      <c r="S751" s="114"/>
      <c r="T751" s="114" t="s">
        <v>2307</v>
      </c>
      <c r="U751" s="121" t="s">
        <v>2584</v>
      </c>
      <c r="V751" s="48" t="s">
        <v>109</v>
      </c>
      <c r="W751" s="48" t="s">
        <v>1</v>
      </c>
      <c r="X751" s="48"/>
      <c r="Z751" s="48"/>
      <c r="AA751" s="48"/>
      <c r="AB751" s="48"/>
      <c r="AC751" s="48">
        <v>57</v>
      </c>
      <c r="AD751" s="48"/>
      <c r="AE751" s="49"/>
      <c r="AF751" s="24" t="s">
        <v>2043</v>
      </c>
      <c r="AG751" s="48"/>
      <c r="AH751" s="50"/>
      <c r="AI751" s="50" t="s">
        <v>176</v>
      </c>
      <c r="AJ751" s="50"/>
      <c r="AK751" s="51" t="s">
        <v>136</v>
      </c>
      <c r="AL751" s="51"/>
      <c r="AM751" s="52"/>
      <c r="AN751" s="52"/>
      <c r="AO751" s="52"/>
      <c r="AP751" s="52"/>
      <c r="AQ751" s="52"/>
      <c r="AR751" s="52"/>
      <c r="AS751" s="52"/>
      <c r="AT751" s="52"/>
      <c r="AU751" s="50"/>
      <c r="AV751" s="50"/>
      <c r="AW751" s="50"/>
      <c r="AX751" s="51"/>
      <c r="AY751" s="51"/>
      <c r="AZ751" s="52"/>
      <c r="BA751" s="52"/>
      <c r="BB751" s="52"/>
      <c r="BC751" s="52"/>
      <c r="BD751" s="52"/>
      <c r="BE751" s="52"/>
      <c r="BF751" s="52"/>
      <c r="BG751" s="52"/>
      <c r="BH751" s="50"/>
      <c r="BI751" s="50"/>
      <c r="BJ751" s="50"/>
      <c r="BK751" s="51"/>
      <c r="BL751" s="51"/>
      <c r="BM751" s="52"/>
      <c r="BN751" s="52"/>
      <c r="BO751" s="52"/>
      <c r="BP751" s="52"/>
      <c r="BQ751" s="52"/>
      <c r="BR751" s="52"/>
      <c r="BS751" s="52"/>
      <c r="BT751" s="52"/>
      <c r="BU751" s="50"/>
      <c r="BV751" s="50"/>
      <c r="BW751" s="50"/>
      <c r="BX751" s="51"/>
      <c r="BY751" s="51"/>
      <c r="BZ751" s="52"/>
      <c r="CA751" s="52"/>
      <c r="CB751" s="52"/>
      <c r="CC751" s="52"/>
      <c r="CD751" s="52"/>
      <c r="CE751" s="52"/>
      <c r="CF751" s="52"/>
      <c r="CG751" s="52"/>
      <c r="CH751" s="53"/>
      <c r="CJ751" s="52"/>
      <c r="CT751" s="54"/>
      <c r="CU751" s="54"/>
      <c r="CV751" s="54"/>
      <c r="CW751" s="54"/>
      <c r="CX751" s="54"/>
      <c r="CY751" s="54"/>
      <c r="CZ751" s="54"/>
      <c r="DA751" s="54"/>
      <c r="DB751" s="54"/>
      <c r="DC751" s="52"/>
    </row>
    <row r="752" spans="1:107" s="46" customFormat="1" x14ac:dyDescent="0.2">
      <c r="A752" s="44">
        <v>10057</v>
      </c>
      <c r="B752" s="45">
        <v>2</v>
      </c>
      <c r="C752" s="45">
        <f t="shared" si="64"/>
        <v>100570002</v>
      </c>
      <c r="D752" s="46" t="s">
        <v>1396</v>
      </c>
      <c r="E752" s="47" t="s">
        <v>109</v>
      </c>
      <c r="F752" s="47"/>
      <c r="G752" s="47"/>
      <c r="H752" s="47"/>
      <c r="I752" s="48" t="s">
        <v>206</v>
      </c>
      <c r="J752" s="48"/>
      <c r="K752" s="48"/>
      <c r="L752" s="48"/>
      <c r="M752" s="48"/>
      <c r="N752" s="48" t="s">
        <v>163</v>
      </c>
      <c r="O752" s="48" t="s">
        <v>163</v>
      </c>
      <c r="P752" s="114"/>
      <c r="Q752" s="114" t="s">
        <v>2041</v>
      </c>
      <c r="R752" s="114"/>
      <c r="S752" s="114"/>
      <c r="T752" s="114" t="s">
        <v>2307</v>
      </c>
      <c r="U752" s="121" t="s">
        <v>2585</v>
      </c>
      <c r="V752" s="48" t="s">
        <v>109</v>
      </c>
      <c r="W752" s="48" t="s">
        <v>1</v>
      </c>
      <c r="X752" s="48"/>
      <c r="Z752" s="48"/>
      <c r="AA752" s="48"/>
      <c r="AB752" s="48"/>
      <c r="AC752" s="48">
        <v>57</v>
      </c>
      <c r="AD752" s="48"/>
      <c r="AE752" s="49"/>
      <c r="AF752" s="24" t="s">
        <v>2043</v>
      </c>
      <c r="AG752" s="48"/>
      <c r="AH752" s="50"/>
      <c r="AI752" s="50" t="s">
        <v>260</v>
      </c>
      <c r="AJ752" s="50"/>
      <c r="AK752" s="51" t="s">
        <v>139</v>
      </c>
      <c r="AL752" s="51"/>
      <c r="AM752" s="52"/>
      <c r="AN752" s="52"/>
      <c r="AO752" s="52"/>
      <c r="AP752" s="52"/>
      <c r="AQ752" s="52"/>
      <c r="AR752" s="52"/>
      <c r="AS752" s="52"/>
      <c r="AT752" s="52"/>
      <c r="AU752" s="50"/>
      <c r="AV752" s="50"/>
      <c r="AW752" s="50"/>
      <c r="AX752" s="51"/>
      <c r="AY752" s="51"/>
      <c r="AZ752" s="52"/>
      <c r="BA752" s="52"/>
      <c r="BB752" s="52"/>
      <c r="BC752" s="52"/>
      <c r="BD752" s="52"/>
      <c r="BE752" s="52"/>
      <c r="BF752" s="52"/>
      <c r="BG752" s="52"/>
      <c r="BH752" s="50"/>
      <c r="BI752" s="50"/>
      <c r="BJ752" s="50"/>
      <c r="BK752" s="51"/>
      <c r="BL752" s="51"/>
      <c r="BM752" s="52"/>
      <c r="BN752" s="52"/>
      <c r="BO752" s="52"/>
      <c r="BP752" s="52"/>
      <c r="BQ752" s="52"/>
      <c r="BR752" s="52"/>
      <c r="BS752" s="52"/>
      <c r="BT752" s="52"/>
      <c r="BU752" s="50"/>
      <c r="BV752" s="50"/>
      <c r="BW752" s="50"/>
      <c r="BX752" s="51"/>
      <c r="BY752" s="51"/>
      <c r="BZ752" s="52"/>
      <c r="CA752" s="52"/>
      <c r="CB752" s="52"/>
      <c r="CC752" s="52"/>
      <c r="CD752" s="52"/>
      <c r="CE752" s="52"/>
      <c r="CF752" s="52"/>
      <c r="CG752" s="52"/>
      <c r="CH752" s="53"/>
      <c r="CJ752" s="52"/>
      <c r="CT752" s="54"/>
      <c r="CU752" s="54"/>
      <c r="CV752" s="54"/>
      <c r="CW752" s="54"/>
      <c r="CX752" s="54"/>
      <c r="CY752" s="54"/>
      <c r="CZ752" s="54"/>
      <c r="DA752" s="54"/>
      <c r="DB752" s="54"/>
      <c r="DC752" s="52"/>
    </row>
    <row r="753" spans="1:107" s="46" customFormat="1" x14ac:dyDescent="0.2">
      <c r="A753" s="44">
        <v>10057</v>
      </c>
      <c r="B753" s="45">
        <v>3</v>
      </c>
      <c r="C753" s="45">
        <f t="shared" si="64"/>
        <v>100570003</v>
      </c>
      <c r="D753" s="46" t="s">
        <v>1396</v>
      </c>
      <c r="E753" s="47" t="s">
        <v>109</v>
      </c>
      <c r="F753" s="47"/>
      <c r="G753" s="47"/>
      <c r="H753" s="47"/>
      <c r="I753" s="48" t="s">
        <v>206</v>
      </c>
      <c r="J753" s="48"/>
      <c r="K753" s="48"/>
      <c r="L753" s="48"/>
      <c r="M753" s="48"/>
      <c r="N753" s="48" t="s">
        <v>163</v>
      </c>
      <c r="O753" s="48" t="s">
        <v>163</v>
      </c>
      <c r="P753" s="114"/>
      <c r="Q753" s="114" t="s">
        <v>2041</v>
      </c>
      <c r="R753" s="114"/>
      <c r="S753" s="114"/>
      <c r="T753" s="114" t="s">
        <v>2307</v>
      </c>
      <c r="U753" s="121" t="s">
        <v>2586</v>
      </c>
      <c r="V753" s="48" t="s">
        <v>109</v>
      </c>
      <c r="W753" s="48" t="s">
        <v>1</v>
      </c>
      <c r="X753" s="48"/>
      <c r="Z753" s="48"/>
      <c r="AA753" s="48"/>
      <c r="AB753" s="48"/>
      <c r="AC753" s="48">
        <v>57</v>
      </c>
      <c r="AD753" s="48"/>
      <c r="AE753" s="49"/>
      <c r="AF753" s="24" t="s">
        <v>2043</v>
      </c>
      <c r="AG753" s="48"/>
      <c r="AH753" s="50">
        <v>100573</v>
      </c>
      <c r="AI753" s="50" t="s">
        <v>264</v>
      </c>
      <c r="AJ753" s="50"/>
      <c r="AK753" s="51" t="s">
        <v>373</v>
      </c>
      <c r="AL753" s="51"/>
      <c r="AM753" s="52"/>
      <c r="AN753" s="52"/>
      <c r="AO753" s="52"/>
      <c r="AP753" s="52"/>
      <c r="AQ753" s="52"/>
      <c r="AR753" s="52"/>
      <c r="AS753" s="52"/>
      <c r="AT753" s="52"/>
      <c r="AU753" s="50"/>
      <c r="AV753" s="50"/>
      <c r="AW753" s="50"/>
      <c r="AX753" s="51"/>
      <c r="AY753" s="51"/>
      <c r="AZ753" s="52"/>
      <c r="BA753" s="52"/>
      <c r="BB753" s="52"/>
      <c r="BC753" s="52"/>
      <c r="BD753" s="52"/>
      <c r="BE753" s="52"/>
      <c r="BF753" s="52"/>
      <c r="BG753" s="52"/>
      <c r="BH753" s="50"/>
      <c r="BI753" s="50"/>
      <c r="BJ753" s="50"/>
      <c r="BK753" s="51"/>
      <c r="BL753" s="51"/>
      <c r="BM753" s="52"/>
      <c r="BN753" s="52"/>
      <c r="BO753" s="52"/>
      <c r="BP753" s="52"/>
      <c r="BQ753" s="52"/>
      <c r="BR753" s="52"/>
      <c r="BS753" s="52"/>
      <c r="BT753" s="52"/>
      <c r="BU753" s="50"/>
      <c r="BV753" s="50"/>
      <c r="BW753" s="50"/>
      <c r="BX753" s="51"/>
      <c r="BY753" s="51"/>
      <c r="BZ753" s="52"/>
      <c r="CA753" s="52"/>
      <c r="CB753" s="52"/>
      <c r="CC753" s="52"/>
      <c r="CD753" s="52"/>
      <c r="CE753" s="52"/>
      <c r="CF753" s="52"/>
      <c r="CG753" s="52"/>
      <c r="CH753" s="53"/>
      <c r="CJ753" s="52"/>
      <c r="CT753" s="54"/>
      <c r="CU753" s="54"/>
      <c r="CV753" s="54"/>
      <c r="CW753" s="54"/>
      <c r="CX753" s="54"/>
      <c r="CY753" s="54"/>
      <c r="CZ753" s="54"/>
      <c r="DA753" s="54"/>
      <c r="DB753" s="54"/>
      <c r="DC753" s="52"/>
    </row>
    <row r="754" spans="1:107" s="46" customFormat="1" ht="12.75" customHeight="1" x14ac:dyDescent="0.2">
      <c r="A754" s="44">
        <v>10057</v>
      </c>
      <c r="B754" s="45">
        <v>4</v>
      </c>
      <c r="C754" s="45">
        <f t="shared" si="64"/>
        <v>100570004</v>
      </c>
      <c r="D754" s="46" t="s">
        <v>1396</v>
      </c>
      <c r="E754" s="47" t="s">
        <v>109</v>
      </c>
      <c r="F754" s="47"/>
      <c r="G754" s="47"/>
      <c r="H754" s="47"/>
      <c r="I754" s="48" t="s">
        <v>206</v>
      </c>
      <c r="J754" s="48"/>
      <c r="K754" s="48"/>
      <c r="L754" s="48"/>
      <c r="M754" s="48"/>
      <c r="N754" s="48" t="s">
        <v>163</v>
      </c>
      <c r="O754" s="48" t="s">
        <v>163</v>
      </c>
      <c r="P754" s="114"/>
      <c r="Q754" s="114" t="s">
        <v>2041</v>
      </c>
      <c r="R754" s="114"/>
      <c r="S754" s="114"/>
      <c r="T754" s="114" t="s">
        <v>2307</v>
      </c>
      <c r="U754" s="121" t="s">
        <v>2587</v>
      </c>
      <c r="V754" s="48" t="s">
        <v>109</v>
      </c>
      <c r="W754" s="48" t="s">
        <v>1</v>
      </c>
      <c r="X754" s="48"/>
      <c r="Z754" s="48"/>
      <c r="AA754" s="48"/>
      <c r="AB754" s="48"/>
      <c r="AC754" s="48">
        <v>57</v>
      </c>
      <c r="AD754" s="48"/>
      <c r="AE754" s="49"/>
      <c r="AF754" s="24" t="s">
        <v>2043</v>
      </c>
      <c r="AG754" s="48"/>
      <c r="AH754" s="50">
        <v>100574</v>
      </c>
      <c r="AI754" s="50" t="s">
        <v>265</v>
      </c>
      <c r="AJ754" s="50"/>
      <c r="AK754" s="51" t="s">
        <v>374</v>
      </c>
      <c r="AL754" s="51"/>
      <c r="AM754" s="52"/>
      <c r="AN754" s="52"/>
      <c r="AO754" s="52"/>
      <c r="AP754" s="52"/>
      <c r="AQ754" s="52"/>
      <c r="AR754" s="52"/>
      <c r="AS754" s="52"/>
      <c r="AT754" s="52"/>
      <c r="AU754" s="50"/>
      <c r="AV754" s="50"/>
      <c r="AW754" s="50"/>
      <c r="AX754" s="51"/>
      <c r="AY754" s="51"/>
      <c r="AZ754" s="52"/>
      <c r="BA754" s="52"/>
      <c r="BB754" s="52"/>
      <c r="BC754" s="52"/>
      <c r="BD754" s="52"/>
      <c r="BE754" s="52"/>
      <c r="BF754" s="52"/>
      <c r="BG754" s="52"/>
      <c r="BH754" s="50"/>
      <c r="BI754" s="50"/>
      <c r="BJ754" s="50"/>
      <c r="BK754" s="51"/>
      <c r="BL754" s="51"/>
      <c r="BM754" s="52"/>
      <c r="BN754" s="52"/>
      <c r="BO754" s="52"/>
      <c r="BP754" s="52"/>
      <c r="BQ754" s="52"/>
      <c r="BR754" s="52"/>
      <c r="BS754" s="52"/>
      <c r="BT754" s="52"/>
      <c r="BU754" s="50"/>
      <c r="BV754" s="50"/>
      <c r="BW754" s="50"/>
      <c r="BX754" s="51"/>
      <c r="BY754" s="51"/>
      <c r="BZ754" s="52"/>
      <c r="CA754" s="52"/>
      <c r="CB754" s="52"/>
      <c r="CC754" s="52"/>
      <c r="CD754" s="52"/>
      <c r="CE754" s="52"/>
      <c r="CF754" s="52"/>
      <c r="CG754" s="52"/>
      <c r="CH754" s="53"/>
      <c r="CJ754" s="52"/>
      <c r="CT754" s="54"/>
      <c r="CU754" s="54"/>
      <c r="CV754" s="54"/>
      <c r="CW754" s="54"/>
      <c r="CX754" s="54"/>
      <c r="CY754" s="54"/>
      <c r="CZ754" s="54"/>
      <c r="DA754" s="54"/>
      <c r="DB754" s="54"/>
      <c r="DC754" s="52"/>
    </row>
    <row r="755" spans="1:107" s="46" customFormat="1" x14ac:dyDescent="0.2">
      <c r="A755" s="44">
        <v>10057</v>
      </c>
      <c r="B755" s="45">
        <v>5</v>
      </c>
      <c r="C755" s="45">
        <f t="shared" si="64"/>
        <v>100570005</v>
      </c>
      <c r="D755" s="46" t="s">
        <v>1396</v>
      </c>
      <c r="E755" s="47" t="s">
        <v>109</v>
      </c>
      <c r="F755" s="47"/>
      <c r="G755" s="47"/>
      <c r="H755" s="47"/>
      <c r="I755" s="48" t="s">
        <v>206</v>
      </c>
      <c r="J755" s="48"/>
      <c r="K755" s="48"/>
      <c r="L755" s="48"/>
      <c r="M755" s="48"/>
      <c r="N755" s="48" t="s">
        <v>163</v>
      </c>
      <c r="O755" s="48" t="s">
        <v>163</v>
      </c>
      <c r="P755" s="114"/>
      <c r="Q755" s="114" t="s">
        <v>2041</v>
      </c>
      <c r="R755" s="114"/>
      <c r="S755" s="114"/>
      <c r="T755" s="114" t="s">
        <v>2307</v>
      </c>
      <c r="U755" s="121" t="s">
        <v>2588</v>
      </c>
      <c r="V755" s="48" t="s">
        <v>109</v>
      </c>
      <c r="W755" s="48" t="s">
        <v>1</v>
      </c>
      <c r="X755" s="48"/>
      <c r="Z755" s="48"/>
      <c r="AA755" s="48"/>
      <c r="AB755" s="48"/>
      <c r="AC755" s="48">
        <v>57</v>
      </c>
      <c r="AD755" s="48"/>
      <c r="AE755" s="49"/>
      <c r="AF755" s="24" t="s">
        <v>2043</v>
      </c>
      <c r="AG755" s="48"/>
      <c r="AH755" s="50">
        <v>100575</v>
      </c>
      <c r="AI755" s="50" t="s">
        <v>266</v>
      </c>
      <c r="AJ755" s="50"/>
      <c r="AK755" s="51" t="s">
        <v>375</v>
      </c>
      <c r="AL755" s="51"/>
      <c r="AM755" s="52"/>
      <c r="AN755" s="52"/>
      <c r="AO755" s="52"/>
      <c r="AP755" s="52"/>
      <c r="AQ755" s="52"/>
      <c r="AR755" s="52"/>
      <c r="AS755" s="52"/>
      <c r="AT755" s="52"/>
      <c r="AU755" s="50"/>
      <c r="AV755" s="50"/>
      <c r="AW755" s="50"/>
      <c r="AX755" s="51"/>
      <c r="AY755" s="51"/>
      <c r="AZ755" s="52"/>
      <c r="BA755" s="52"/>
      <c r="BB755" s="52"/>
      <c r="BC755" s="52"/>
      <c r="BD755" s="52"/>
      <c r="BE755" s="52"/>
      <c r="BF755" s="52"/>
      <c r="BG755" s="52"/>
      <c r="BH755" s="50"/>
      <c r="BI755" s="50"/>
      <c r="BJ755" s="50"/>
      <c r="BK755" s="51"/>
      <c r="BL755" s="51"/>
      <c r="BM755" s="52"/>
      <c r="BN755" s="52"/>
      <c r="BO755" s="52"/>
      <c r="BP755" s="52"/>
      <c r="BQ755" s="52"/>
      <c r="BR755" s="52"/>
      <c r="BS755" s="52"/>
      <c r="BT755" s="52"/>
      <c r="BU755" s="50"/>
      <c r="BV755" s="50"/>
      <c r="BW755" s="50"/>
      <c r="BX755" s="51"/>
      <c r="BY755" s="51"/>
      <c r="BZ755" s="52"/>
      <c r="CA755" s="52"/>
      <c r="CB755" s="52"/>
      <c r="CC755" s="52"/>
      <c r="CD755" s="52"/>
      <c r="CE755" s="52"/>
      <c r="CF755" s="52"/>
      <c r="CG755" s="52"/>
      <c r="CH755" s="53"/>
      <c r="CJ755" s="52"/>
      <c r="CT755" s="54"/>
      <c r="CU755" s="54"/>
      <c r="CV755" s="54"/>
      <c r="CW755" s="54"/>
      <c r="CX755" s="54"/>
      <c r="CY755" s="54"/>
      <c r="CZ755" s="54"/>
      <c r="DA755" s="54"/>
      <c r="DB755" s="54"/>
      <c r="DC755" s="52"/>
    </row>
    <row r="756" spans="1:107" s="46" customFormat="1" x14ac:dyDescent="0.2">
      <c r="A756" s="44">
        <v>10058</v>
      </c>
      <c r="B756" s="45">
        <v>1</v>
      </c>
      <c r="C756" s="45">
        <f t="shared" si="64"/>
        <v>100580001</v>
      </c>
      <c r="D756" s="46" t="s">
        <v>1397</v>
      </c>
      <c r="E756" s="47" t="s">
        <v>109</v>
      </c>
      <c r="F756" s="47"/>
      <c r="G756" s="47"/>
      <c r="H756" s="47"/>
      <c r="I756" s="48" t="s">
        <v>206</v>
      </c>
      <c r="J756" s="48"/>
      <c r="K756" s="48"/>
      <c r="L756" s="48"/>
      <c r="M756" s="48"/>
      <c r="N756" s="48" t="s">
        <v>163</v>
      </c>
      <c r="O756" s="48" t="s">
        <v>163</v>
      </c>
      <c r="P756" s="114"/>
      <c r="Q756" s="114" t="s">
        <v>2041</v>
      </c>
      <c r="R756" s="114"/>
      <c r="S756" s="114"/>
      <c r="T756" s="114" t="s">
        <v>2307</v>
      </c>
      <c r="U756" s="121" t="s">
        <v>2589</v>
      </c>
      <c r="V756" s="48" t="s">
        <v>109</v>
      </c>
      <c r="W756" s="48" t="s">
        <v>1</v>
      </c>
      <c r="X756" s="48"/>
      <c r="Z756" s="48"/>
      <c r="AA756" s="48"/>
      <c r="AB756" s="48"/>
      <c r="AC756" s="48">
        <v>58</v>
      </c>
      <c r="AD756" s="48"/>
      <c r="AE756" s="49"/>
      <c r="AF756" s="24" t="s">
        <v>2043</v>
      </c>
      <c r="AG756" s="48"/>
      <c r="AH756" s="50"/>
      <c r="AI756" s="50" t="s">
        <v>176</v>
      </c>
      <c r="AJ756" s="50"/>
      <c r="AK756" s="51" t="s">
        <v>136</v>
      </c>
      <c r="AL756" s="51"/>
      <c r="AM756" s="52"/>
      <c r="AN756" s="52"/>
      <c r="AO756" s="52"/>
      <c r="AP756" s="52"/>
      <c r="AQ756" s="52"/>
      <c r="AR756" s="52"/>
      <c r="AS756" s="52"/>
      <c r="AT756" s="52"/>
      <c r="AU756" s="50"/>
      <c r="AV756" s="50"/>
      <c r="AW756" s="50"/>
      <c r="AX756" s="51"/>
      <c r="AY756" s="51"/>
      <c r="AZ756" s="52"/>
      <c r="BA756" s="52"/>
      <c r="BB756" s="52"/>
      <c r="BC756" s="52"/>
      <c r="BD756" s="52"/>
      <c r="BE756" s="52"/>
      <c r="BF756" s="52"/>
      <c r="BG756" s="52"/>
      <c r="BH756" s="50"/>
      <c r="BI756" s="50"/>
      <c r="BJ756" s="50"/>
      <c r="BK756" s="51"/>
      <c r="BL756" s="51"/>
      <c r="BM756" s="52"/>
      <c r="BN756" s="52"/>
      <c r="BO756" s="52"/>
      <c r="BP756" s="52"/>
      <c r="BQ756" s="52"/>
      <c r="BR756" s="52"/>
      <c r="BS756" s="52"/>
      <c r="BT756" s="52"/>
      <c r="BU756" s="50"/>
      <c r="BV756" s="50"/>
      <c r="BW756" s="50"/>
      <c r="BX756" s="51"/>
      <c r="BY756" s="51"/>
      <c r="BZ756" s="52"/>
      <c r="CA756" s="52"/>
      <c r="CB756" s="52"/>
      <c r="CC756" s="52"/>
      <c r="CD756" s="52"/>
      <c r="CE756" s="52"/>
      <c r="CF756" s="52"/>
      <c r="CG756" s="52"/>
      <c r="CH756" s="53"/>
      <c r="CJ756" s="52"/>
      <c r="CT756" s="54"/>
      <c r="CU756" s="54"/>
      <c r="CV756" s="54"/>
      <c r="CW756" s="54"/>
      <c r="CX756" s="54"/>
      <c r="CY756" s="54"/>
      <c r="CZ756" s="54"/>
      <c r="DA756" s="54"/>
      <c r="DB756" s="54"/>
      <c r="DC756" s="52"/>
    </row>
    <row r="757" spans="1:107" s="46" customFormat="1" x14ac:dyDescent="0.2">
      <c r="A757" s="44">
        <v>10058</v>
      </c>
      <c r="B757" s="45">
        <v>2</v>
      </c>
      <c r="C757" s="45">
        <f t="shared" si="64"/>
        <v>100580002</v>
      </c>
      <c r="D757" s="46" t="s">
        <v>1397</v>
      </c>
      <c r="E757" s="47" t="s">
        <v>109</v>
      </c>
      <c r="F757" s="47"/>
      <c r="G757" s="47"/>
      <c r="H757" s="47"/>
      <c r="I757" s="48" t="s">
        <v>206</v>
      </c>
      <c r="J757" s="48"/>
      <c r="K757" s="48"/>
      <c r="L757" s="48"/>
      <c r="M757" s="48"/>
      <c r="N757" s="48" t="s">
        <v>163</v>
      </c>
      <c r="O757" s="48" t="s">
        <v>163</v>
      </c>
      <c r="P757" s="114"/>
      <c r="Q757" s="114" t="s">
        <v>2041</v>
      </c>
      <c r="R757" s="114"/>
      <c r="S757" s="114"/>
      <c r="T757" s="114" t="s">
        <v>2307</v>
      </c>
      <c r="U757" s="121" t="s">
        <v>2590</v>
      </c>
      <c r="V757" s="48" t="s">
        <v>109</v>
      </c>
      <c r="W757" s="48" t="s">
        <v>1</v>
      </c>
      <c r="X757" s="48"/>
      <c r="Z757" s="48"/>
      <c r="AA757" s="48"/>
      <c r="AB757" s="48"/>
      <c r="AC757" s="48">
        <v>58</v>
      </c>
      <c r="AD757" s="48"/>
      <c r="AE757" s="49"/>
      <c r="AF757" s="24" t="s">
        <v>2043</v>
      </c>
      <c r="AG757" s="48"/>
      <c r="AH757" s="50"/>
      <c r="AI757" s="50" t="s">
        <v>260</v>
      </c>
      <c r="AJ757" s="50"/>
      <c r="AK757" s="51" t="s">
        <v>139</v>
      </c>
      <c r="AL757" s="51"/>
      <c r="AM757" s="52"/>
      <c r="AN757" s="52"/>
      <c r="AO757" s="52"/>
      <c r="AP757" s="52"/>
      <c r="AQ757" s="52"/>
      <c r="AR757" s="52"/>
      <c r="AS757" s="52"/>
      <c r="AT757" s="52"/>
      <c r="AU757" s="50"/>
      <c r="AV757" s="50"/>
      <c r="AW757" s="50"/>
      <c r="AX757" s="51"/>
      <c r="AY757" s="51"/>
      <c r="AZ757" s="52"/>
      <c r="BA757" s="52"/>
      <c r="BB757" s="52"/>
      <c r="BC757" s="52"/>
      <c r="BD757" s="52"/>
      <c r="BE757" s="52"/>
      <c r="BF757" s="52"/>
      <c r="BG757" s="52"/>
      <c r="BH757" s="50"/>
      <c r="BI757" s="50"/>
      <c r="BJ757" s="50"/>
      <c r="BK757" s="51"/>
      <c r="BL757" s="51"/>
      <c r="BM757" s="52"/>
      <c r="BN757" s="52"/>
      <c r="BO757" s="52"/>
      <c r="BP757" s="52"/>
      <c r="BQ757" s="52"/>
      <c r="BR757" s="52"/>
      <c r="BS757" s="52"/>
      <c r="BT757" s="52"/>
      <c r="BU757" s="50"/>
      <c r="BV757" s="50"/>
      <c r="BW757" s="50"/>
      <c r="BX757" s="51"/>
      <c r="BY757" s="51"/>
      <c r="BZ757" s="52"/>
      <c r="CA757" s="52"/>
      <c r="CB757" s="52"/>
      <c r="CC757" s="52"/>
      <c r="CD757" s="52"/>
      <c r="CE757" s="52"/>
      <c r="CF757" s="52"/>
      <c r="CG757" s="52"/>
      <c r="CH757" s="53"/>
      <c r="CJ757" s="52"/>
      <c r="CT757" s="54"/>
      <c r="CU757" s="54"/>
      <c r="CV757" s="54"/>
      <c r="CW757" s="54"/>
      <c r="CX757" s="54"/>
      <c r="CY757" s="54"/>
      <c r="CZ757" s="54"/>
      <c r="DA757" s="54"/>
      <c r="DB757" s="54"/>
      <c r="DC757" s="52"/>
    </row>
    <row r="758" spans="1:107" s="46" customFormat="1" x14ac:dyDescent="0.2">
      <c r="A758" s="44">
        <v>10058</v>
      </c>
      <c r="B758" s="45">
        <v>3</v>
      </c>
      <c r="C758" s="45">
        <f t="shared" si="64"/>
        <v>100580003</v>
      </c>
      <c r="D758" s="46" t="s">
        <v>1397</v>
      </c>
      <c r="E758" s="47" t="s">
        <v>109</v>
      </c>
      <c r="F758" s="47"/>
      <c r="G758" s="47"/>
      <c r="H758" s="47"/>
      <c r="I758" s="48" t="s">
        <v>206</v>
      </c>
      <c r="J758" s="48"/>
      <c r="K758" s="48"/>
      <c r="L758" s="48"/>
      <c r="M758" s="48"/>
      <c r="N758" s="48" t="s">
        <v>163</v>
      </c>
      <c r="O758" s="48" t="s">
        <v>163</v>
      </c>
      <c r="P758" s="114"/>
      <c r="Q758" s="114" t="s">
        <v>2041</v>
      </c>
      <c r="R758" s="114"/>
      <c r="S758" s="114"/>
      <c r="T758" s="114" t="s">
        <v>2307</v>
      </c>
      <c r="U758" s="121" t="s">
        <v>2591</v>
      </c>
      <c r="V758" s="48" t="s">
        <v>109</v>
      </c>
      <c r="W758" s="48" t="s">
        <v>1</v>
      </c>
      <c r="X758" s="48"/>
      <c r="Z758" s="48"/>
      <c r="AA758" s="48"/>
      <c r="AB758" s="48"/>
      <c r="AC758" s="48">
        <v>58</v>
      </c>
      <c r="AD758" s="48"/>
      <c r="AE758" s="49"/>
      <c r="AF758" s="24" t="s">
        <v>2043</v>
      </c>
      <c r="AG758" s="48"/>
      <c r="AH758" s="50">
        <v>100583</v>
      </c>
      <c r="AI758" s="50" t="s">
        <v>264</v>
      </c>
      <c r="AJ758" s="50"/>
      <c r="AK758" s="51" t="s">
        <v>373</v>
      </c>
      <c r="AL758" s="51"/>
      <c r="AM758" s="52"/>
      <c r="AN758" s="52"/>
      <c r="AO758" s="52"/>
      <c r="AP758" s="52"/>
      <c r="AQ758" s="52"/>
      <c r="AR758" s="52"/>
      <c r="AS758" s="52"/>
      <c r="AT758" s="52"/>
      <c r="AU758" s="50"/>
      <c r="AV758" s="50"/>
      <c r="AW758" s="50"/>
      <c r="AX758" s="51"/>
      <c r="AY758" s="51"/>
      <c r="AZ758" s="52"/>
      <c r="BA758" s="52"/>
      <c r="BB758" s="52"/>
      <c r="BC758" s="52"/>
      <c r="BD758" s="52"/>
      <c r="BE758" s="52"/>
      <c r="BF758" s="52"/>
      <c r="BG758" s="52"/>
      <c r="BH758" s="50"/>
      <c r="BI758" s="50"/>
      <c r="BJ758" s="50"/>
      <c r="BK758" s="51"/>
      <c r="BL758" s="51"/>
      <c r="BM758" s="52"/>
      <c r="BN758" s="52"/>
      <c r="BO758" s="52"/>
      <c r="BP758" s="52"/>
      <c r="BQ758" s="52"/>
      <c r="BR758" s="52"/>
      <c r="BS758" s="52"/>
      <c r="BT758" s="52"/>
      <c r="BU758" s="50"/>
      <c r="BV758" s="50"/>
      <c r="BW758" s="50"/>
      <c r="BX758" s="51"/>
      <c r="BY758" s="51"/>
      <c r="BZ758" s="52"/>
      <c r="CA758" s="52"/>
      <c r="CB758" s="52"/>
      <c r="CC758" s="52"/>
      <c r="CD758" s="52"/>
      <c r="CE758" s="52"/>
      <c r="CF758" s="52"/>
      <c r="CG758" s="52"/>
      <c r="CH758" s="53"/>
      <c r="CJ758" s="52"/>
      <c r="CT758" s="54"/>
      <c r="CU758" s="54"/>
      <c r="CV758" s="54"/>
      <c r="CW758" s="54"/>
      <c r="CX758" s="54"/>
      <c r="CY758" s="54"/>
      <c r="CZ758" s="54"/>
      <c r="DA758" s="54"/>
      <c r="DB758" s="54"/>
      <c r="DC758" s="52"/>
    </row>
    <row r="759" spans="1:107" s="46" customFormat="1" ht="12.75" customHeight="1" x14ac:dyDescent="0.2">
      <c r="A759" s="44">
        <v>10058</v>
      </c>
      <c r="B759" s="45">
        <v>4</v>
      </c>
      <c r="C759" s="45">
        <f t="shared" si="64"/>
        <v>100580004</v>
      </c>
      <c r="D759" s="46" t="s">
        <v>1397</v>
      </c>
      <c r="E759" s="47" t="s">
        <v>109</v>
      </c>
      <c r="F759" s="47"/>
      <c r="G759" s="47"/>
      <c r="H759" s="47"/>
      <c r="I759" s="48" t="s">
        <v>206</v>
      </c>
      <c r="J759" s="48"/>
      <c r="K759" s="48"/>
      <c r="L759" s="48"/>
      <c r="M759" s="48"/>
      <c r="N759" s="48" t="s">
        <v>163</v>
      </c>
      <c r="O759" s="48" t="s">
        <v>163</v>
      </c>
      <c r="P759" s="114"/>
      <c r="Q759" s="114" t="s">
        <v>2041</v>
      </c>
      <c r="R759" s="114"/>
      <c r="S759" s="114"/>
      <c r="T759" s="114" t="s">
        <v>2307</v>
      </c>
      <c r="U759" s="121" t="s">
        <v>2592</v>
      </c>
      <c r="V759" s="48" t="s">
        <v>109</v>
      </c>
      <c r="W759" s="48" t="s">
        <v>1</v>
      </c>
      <c r="X759" s="48"/>
      <c r="Z759" s="48"/>
      <c r="AA759" s="48"/>
      <c r="AB759" s="48"/>
      <c r="AC759" s="48">
        <v>58</v>
      </c>
      <c r="AD759" s="48"/>
      <c r="AE759" s="49"/>
      <c r="AF759" s="24" t="s">
        <v>2043</v>
      </c>
      <c r="AG759" s="48"/>
      <c r="AH759" s="50">
        <v>100584</v>
      </c>
      <c r="AI759" s="50" t="s">
        <v>265</v>
      </c>
      <c r="AJ759" s="50"/>
      <c r="AK759" s="51" t="s">
        <v>374</v>
      </c>
      <c r="AL759" s="51"/>
      <c r="AM759" s="52"/>
      <c r="AN759" s="52"/>
      <c r="AO759" s="52"/>
      <c r="AP759" s="52"/>
      <c r="AQ759" s="52"/>
      <c r="AR759" s="52"/>
      <c r="AS759" s="52"/>
      <c r="AT759" s="52"/>
      <c r="AU759" s="50"/>
      <c r="AV759" s="50"/>
      <c r="AW759" s="50"/>
      <c r="AX759" s="51"/>
      <c r="AY759" s="51"/>
      <c r="AZ759" s="52"/>
      <c r="BA759" s="52"/>
      <c r="BB759" s="52"/>
      <c r="BC759" s="52"/>
      <c r="BD759" s="52"/>
      <c r="BE759" s="52"/>
      <c r="BF759" s="52"/>
      <c r="BG759" s="52"/>
      <c r="BH759" s="50"/>
      <c r="BI759" s="50"/>
      <c r="BJ759" s="50"/>
      <c r="BK759" s="51"/>
      <c r="BL759" s="51"/>
      <c r="BM759" s="52"/>
      <c r="BN759" s="52"/>
      <c r="BO759" s="52"/>
      <c r="BP759" s="52"/>
      <c r="BQ759" s="52"/>
      <c r="BR759" s="52"/>
      <c r="BS759" s="52"/>
      <c r="BT759" s="52"/>
      <c r="BU759" s="50"/>
      <c r="BV759" s="50"/>
      <c r="BW759" s="50"/>
      <c r="BX759" s="51"/>
      <c r="BY759" s="51"/>
      <c r="BZ759" s="52"/>
      <c r="CA759" s="52"/>
      <c r="CB759" s="52"/>
      <c r="CC759" s="52"/>
      <c r="CD759" s="52"/>
      <c r="CE759" s="52"/>
      <c r="CF759" s="52"/>
      <c r="CG759" s="52"/>
      <c r="CH759" s="53"/>
      <c r="CJ759" s="52"/>
      <c r="CT759" s="54"/>
      <c r="CU759" s="54"/>
      <c r="CV759" s="54"/>
      <c r="CW759" s="54"/>
      <c r="CX759" s="54"/>
      <c r="CY759" s="54"/>
      <c r="CZ759" s="54"/>
      <c r="DA759" s="54"/>
      <c r="DB759" s="54"/>
      <c r="DC759" s="52"/>
    </row>
    <row r="760" spans="1:107" s="46" customFormat="1" x14ac:dyDescent="0.2">
      <c r="A760" s="44">
        <v>10058</v>
      </c>
      <c r="B760" s="45">
        <v>5</v>
      </c>
      <c r="C760" s="45">
        <f t="shared" si="64"/>
        <v>100580005</v>
      </c>
      <c r="D760" s="46" t="s">
        <v>1397</v>
      </c>
      <c r="E760" s="47" t="s">
        <v>109</v>
      </c>
      <c r="F760" s="47"/>
      <c r="G760" s="47"/>
      <c r="H760" s="47"/>
      <c r="I760" s="48" t="s">
        <v>206</v>
      </c>
      <c r="J760" s="48"/>
      <c r="K760" s="48"/>
      <c r="L760" s="48"/>
      <c r="M760" s="48"/>
      <c r="N760" s="48" t="s">
        <v>163</v>
      </c>
      <c r="O760" s="48" t="s">
        <v>163</v>
      </c>
      <c r="P760" s="114"/>
      <c r="Q760" s="114" t="s">
        <v>2041</v>
      </c>
      <c r="R760" s="114"/>
      <c r="S760" s="114"/>
      <c r="T760" s="114" t="s">
        <v>2307</v>
      </c>
      <c r="U760" s="121" t="s">
        <v>2593</v>
      </c>
      <c r="V760" s="48" t="s">
        <v>109</v>
      </c>
      <c r="W760" s="48" t="s">
        <v>1</v>
      </c>
      <c r="X760" s="48"/>
      <c r="Z760" s="48"/>
      <c r="AA760" s="48"/>
      <c r="AB760" s="48"/>
      <c r="AC760" s="48">
        <v>58</v>
      </c>
      <c r="AD760" s="48"/>
      <c r="AE760" s="49"/>
      <c r="AF760" s="24" t="s">
        <v>2043</v>
      </c>
      <c r="AG760" s="48"/>
      <c r="AH760" s="50">
        <v>100585</v>
      </c>
      <c r="AI760" s="50" t="s">
        <v>266</v>
      </c>
      <c r="AJ760" s="50"/>
      <c r="AK760" s="51" t="s">
        <v>375</v>
      </c>
      <c r="AL760" s="51"/>
      <c r="AM760" s="52"/>
      <c r="AN760" s="52"/>
      <c r="AO760" s="52"/>
      <c r="AP760" s="52"/>
      <c r="AQ760" s="52"/>
      <c r="AR760" s="52"/>
      <c r="AS760" s="52"/>
      <c r="AT760" s="52"/>
      <c r="AU760" s="50"/>
      <c r="AV760" s="50"/>
      <c r="AW760" s="50"/>
      <c r="AX760" s="51"/>
      <c r="AY760" s="51"/>
      <c r="AZ760" s="52"/>
      <c r="BA760" s="52"/>
      <c r="BB760" s="52"/>
      <c r="BC760" s="52"/>
      <c r="BD760" s="52"/>
      <c r="BE760" s="52"/>
      <c r="BF760" s="52"/>
      <c r="BG760" s="52"/>
      <c r="BH760" s="50"/>
      <c r="BI760" s="50"/>
      <c r="BJ760" s="50"/>
      <c r="BK760" s="51"/>
      <c r="BL760" s="51"/>
      <c r="BM760" s="52"/>
      <c r="BN760" s="52"/>
      <c r="BO760" s="52"/>
      <c r="BP760" s="52"/>
      <c r="BQ760" s="52"/>
      <c r="BR760" s="52"/>
      <c r="BS760" s="52"/>
      <c r="BT760" s="52"/>
      <c r="BU760" s="50"/>
      <c r="BV760" s="50"/>
      <c r="BW760" s="50"/>
      <c r="BX760" s="51"/>
      <c r="BY760" s="51"/>
      <c r="BZ760" s="52"/>
      <c r="CA760" s="52"/>
      <c r="CB760" s="52"/>
      <c r="CC760" s="52"/>
      <c r="CD760" s="52"/>
      <c r="CE760" s="52"/>
      <c r="CF760" s="52"/>
      <c r="CG760" s="52"/>
      <c r="CH760" s="53"/>
      <c r="CJ760" s="52"/>
      <c r="CT760" s="54"/>
      <c r="CU760" s="54"/>
      <c r="CV760" s="54"/>
      <c r="CW760" s="54"/>
      <c r="CX760" s="54"/>
      <c r="CY760" s="54"/>
      <c r="CZ760" s="54"/>
      <c r="DA760" s="54"/>
      <c r="DB760" s="54"/>
      <c r="DC760" s="52"/>
    </row>
    <row r="761" spans="1:107" s="57" customFormat="1" x14ac:dyDescent="0.2">
      <c r="A761" s="55">
        <v>10059</v>
      </c>
      <c r="B761" s="56">
        <v>1</v>
      </c>
      <c r="C761" s="56">
        <f t="shared" si="64"/>
        <v>100590001</v>
      </c>
      <c r="D761" s="57" t="s">
        <v>1579</v>
      </c>
      <c r="E761" s="58" t="s">
        <v>109</v>
      </c>
      <c r="F761" s="58"/>
      <c r="G761" s="58"/>
      <c r="H761" s="58"/>
      <c r="I761" s="59" t="s">
        <v>206</v>
      </c>
      <c r="J761" s="59"/>
      <c r="K761" s="59"/>
      <c r="L761" s="59"/>
      <c r="M761" s="59"/>
      <c r="N761" s="59" t="s">
        <v>163</v>
      </c>
      <c r="O761" s="59" t="s">
        <v>163</v>
      </c>
      <c r="P761" s="59"/>
      <c r="Q761" s="59" t="s">
        <v>2041</v>
      </c>
      <c r="R761" s="59"/>
      <c r="S761" s="59"/>
      <c r="T761" s="59" t="s">
        <v>2307</v>
      </c>
      <c r="U761" s="122" t="s">
        <v>2594</v>
      </c>
      <c r="V761" s="59" t="s">
        <v>109</v>
      </c>
      <c r="W761" s="59" t="s">
        <v>1</v>
      </c>
      <c r="X761" s="59"/>
      <c r="Z761" s="59"/>
      <c r="AA761" s="59"/>
      <c r="AB761" s="59"/>
      <c r="AC761" s="59" t="s">
        <v>1581</v>
      </c>
      <c r="AD761" s="59"/>
      <c r="AE761" s="60"/>
      <c r="AF761" s="24" t="s">
        <v>2043</v>
      </c>
      <c r="AG761" s="59"/>
      <c r="AH761" s="61"/>
      <c r="AI761" s="61" t="s">
        <v>176</v>
      </c>
      <c r="AJ761" s="61"/>
      <c r="AK761" s="62" t="s">
        <v>136</v>
      </c>
      <c r="AL761" s="62"/>
      <c r="AM761" s="63"/>
      <c r="AN761" s="63"/>
      <c r="AO761" s="63"/>
      <c r="AP761" s="63"/>
      <c r="AQ761" s="63"/>
      <c r="AR761" s="63"/>
      <c r="AS761" s="63"/>
      <c r="AT761" s="63"/>
      <c r="AU761" s="61"/>
      <c r="AV761" s="61"/>
      <c r="AW761" s="61"/>
      <c r="AX761" s="62"/>
      <c r="AY761" s="62"/>
      <c r="AZ761" s="63"/>
      <c r="BA761" s="63"/>
      <c r="BB761" s="63"/>
      <c r="BC761" s="63"/>
      <c r="BD761" s="63"/>
      <c r="BE761" s="63"/>
      <c r="BF761" s="63"/>
      <c r="BG761" s="63"/>
      <c r="BH761" s="61"/>
      <c r="BI761" s="61"/>
      <c r="BJ761" s="61"/>
      <c r="BK761" s="62"/>
      <c r="BL761" s="62"/>
      <c r="BM761" s="63"/>
      <c r="BN761" s="63"/>
      <c r="BO761" s="63"/>
      <c r="BP761" s="63"/>
      <c r="BQ761" s="63"/>
      <c r="BR761" s="63"/>
      <c r="BS761" s="63"/>
      <c r="BT761" s="63"/>
      <c r="BU761" s="61"/>
      <c r="BV761" s="61"/>
      <c r="BW761" s="61"/>
      <c r="BX761" s="62"/>
      <c r="BY761" s="62"/>
      <c r="BZ761" s="63"/>
      <c r="CA761" s="63"/>
      <c r="CB761" s="63"/>
      <c r="CC761" s="63"/>
      <c r="CD761" s="63"/>
      <c r="CE761" s="63"/>
      <c r="CF761" s="63"/>
      <c r="CG761" s="63"/>
      <c r="CH761" s="64"/>
      <c r="CJ761" s="63"/>
      <c r="CT761" s="65"/>
      <c r="CU761" s="65"/>
      <c r="CV761" s="65"/>
      <c r="CW761" s="65"/>
      <c r="CX761" s="65"/>
      <c r="CY761" s="65"/>
      <c r="CZ761" s="65"/>
      <c r="DA761" s="65"/>
      <c r="DB761" s="65"/>
      <c r="DC761" s="63"/>
    </row>
    <row r="762" spans="1:107" s="57" customFormat="1" x14ac:dyDescent="0.2">
      <c r="A762" s="55">
        <v>10059</v>
      </c>
      <c r="B762" s="56">
        <v>2</v>
      </c>
      <c r="C762" s="56">
        <f t="shared" si="64"/>
        <v>100590002</v>
      </c>
      <c r="D762" s="57" t="s">
        <v>1579</v>
      </c>
      <c r="E762" s="58" t="s">
        <v>109</v>
      </c>
      <c r="F762" s="58"/>
      <c r="G762" s="58"/>
      <c r="H762" s="58"/>
      <c r="I762" s="59" t="s">
        <v>206</v>
      </c>
      <c r="J762" s="59"/>
      <c r="K762" s="59"/>
      <c r="L762" s="59"/>
      <c r="M762" s="59"/>
      <c r="N762" s="59" t="s">
        <v>163</v>
      </c>
      <c r="O762" s="59" t="s">
        <v>163</v>
      </c>
      <c r="P762" s="59"/>
      <c r="Q762" s="59" t="s">
        <v>2041</v>
      </c>
      <c r="R762" s="59"/>
      <c r="S762" s="59"/>
      <c r="T762" s="59" t="s">
        <v>2307</v>
      </c>
      <c r="U762" s="122" t="s">
        <v>2595</v>
      </c>
      <c r="V762" s="59" t="s">
        <v>109</v>
      </c>
      <c r="W762" s="59" t="s">
        <v>1</v>
      </c>
      <c r="X762" s="59"/>
      <c r="Z762" s="59"/>
      <c r="AA762" s="59"/>
      <c r="AB762" s="59"/>
      <c r="AC762" s="59" t="s">
        <v>1581</v>
      </c>
      <c r="AD762" s="59"/>
      <c r="AE762" s="60"/>
      <c r="AF762" s="24" t="s">
        <v>2043</v>
      </c>
      <c r="AG762" s="59"/>
      <c r="AH762" s="61"/>
      <c r="AI762" s="61" t="s">
        <v>260</v>
      </c>
      <c r="AJ762" s="61"/>
      <c r="AK762" s="62" t="s">
        <v>139</v>
      </c>
      <c r="AL762" s="62"/>
      <c r="AM762" s="63"/>
      <c r="AN762" s="63"/>
      <c r="AO762" s="63"/>
      <c r="AP762" s="63"/>
      <c r="AQ762" s="63"/>
      <c r="AR762" s="63"/>
      <c r="AS762" s="63"/>
      <c r="AT762" s="63"/>
      <c r="AU762" s="61"/>
      <c r="AV762" s="61"/>
      <c r="AW762" s="61"/>
      <c r="AX762" s="62"/>
      <c r="AY762" s="62"/>
      <c r="AZ762" s="63"/>
      <c r="BA762" s="63"/>
      <c r="BB762" s="63"/>
      <c r="BC762" s="63"/>
      <c r="BD762" s="63"/>
      <c r="BE762" s="63"/>
      <c r="BF762" s="63"/>
      <c r="BG762" s="63"/>
      <c r="BH762" s="61"/>
      <c r="BI762" s="61"/>
      <c r="BJ762" s="61"/>
      <c r="BK762" s="62"/>
      <c r="BL762" s="62"/>
      <c r="BM762" s="63"/>
      <c r="BN762" s="63"/>
      <c r="BO762" s="63"/>
      <c r="BP762" s="63"/>
      <c r="BQ762" s="63"/>
      <c r="BR762" s="63"/>
      <c r="BS762" s="63"/>
      <c r="BT762" s="63"/>
      <c r="BU762" s="61"/>
      <c r="BV762" s="61"/>
      <c r="BW762" s="61"/>
      <c r="BX762" s="62"/>
      <c r="BY762" s="62"/>
      <c r="BZ762" s="63"/>
      <c r="CA762" s="63"/>
      <c r="CB762" s="63"/>
      <c r="CC762" s="63"/>
      <c r="CD762" s="63"/>
      <c r="CE762" s="63"/>
      <c r="CF762" s="63"/>
      <c r="CG762" s="63"/>
      <c r="CH762" s="64"/>
      <c r="CJ762" s="63"/>
      <c r="CT762" s="65"/>
      <c r="CU762" s="65"/>
      <c r="CV762" s="65"/>
      <c r="CW762" s="65"/>
      <c r="CX762" s="65"/>
      <c r="CY762" s="65"/>
      <c r="CZ762" s="65"/>
      <c r="DA762" s="65"/>
      <c r="DB762" s="65"/>
      <c r="DC762" s="63"/>
    </row>
    <row r="763" spans="1:107" s="57" customFormat="1" x14ac:dyDescent="0.2">
      <c r="A763" s="55">
        <v>10059</v>
      </c>
      <c r="B763" s="56">
        <v>3</v>
      </c>
      <c r="C763" s="56">
        <f t="shared" si="64"/>
        <v>100590003</v>
      </c>
      <c r="D763" s="57" t="s">
        <v>1579</v>
      </c>
      <c r="E763" s="58" t="s">
        <v>109</v>
      </c>
      <c r="F763" s="58"/>
      <c r="G763" s="58"/>
      <c r="H763" s="58"/>
      <c r="I763" s="59" t="s">
        <v>206</v>
      </c>
      <c r="J763" s="59"/>
      <c r="K763" s="59"/>
      <c r="L763" s="59"/>
      <c r="M763" s="59"/>
      <c r="N763" s="59" t="s">
        <v>163</v>
      </c>
      <c r="O763" s="59" t="s">
        <v>163</v>
      </c>
      <c r="P763" s="59"/>
      <c r="Q763" s="59" t="s">
        <v>2041</v>
      </c>
      <c r="R763" s="59"/>
      <c r="S763" s="59"/>
      <c r="T763" s="59" t="s">
        <v>2307</v>
      </c>
      <c r="U763" s="122" t="s">
        <v>2596</v>
      </c>
      <c r="V763" s="59" t="s">
        <v>109</v>
      </c>
      <c r="W763" s="59" t="s">
        <v>1</v>
      </c>
      <c r="X763" s="59"/>
      <c r="Z763" s="59"/>
      <c r="AA763" s="59"/>
      <c r="AB763" s="59"/>
      <c r="AC763" s="59" t="s">
        <v>1581</v>
      </c>
      <c r="AD763" s="59"/>
      <c r="AE763" s="60"/>
      <c r="AF763" s="24" t="s">
        <v>2043</v>
      </c>
      <c r="AG763" s="59"/>
      <c r="AH763" s="61" t="s">
        <v>1582</v>
      </c>
      <c r="AI763" s="61" t="s">
        <v>264</v>
      </c>
      <c r="AJ763" s="61"/>
      <c r="AK763" s="62" t="s">
        <v>373</v>
      </c>
      <c r="AL763" s="62"/>
      <c r="AM763" s="63"/>
      <c r="AN763" s="63"/>
      <c r="AO763" s="63"/>
      <c r="AP763" s="63"/>
      <c r="AQ763" s="63"/>
      <c r="AR763" s="63"/>
      <c r="AS763" s="63"/>
      <c r="AT763" s="63"/>
      <c r="AU763" s="61"/>
      <c r="AV763" s="61"/>
      <c r="AW763" s="61"/>
      <c r="AX763" s="62"/>
      <c r="AY763" s="62"/>
      <c r="AZ763" s="63"/>
      <c r="BA763" s="63"/>
      <c r="BB763" s="63"/>
      <c r="BC763" s="63"/>
      <c r="BD763" s="63"/>
      <c r="BE763" s="63"/>
      <c r="BF763" s="63"/>
      <c r="BG763" s="63"/>
      <c r="BH763" s="61"/>
      <c r="BI763" s="61"/>
      <c r="BJ763" s="61"/>
      <c r="BK763" s="62"/>
      <c r="BL763" s="62"/>
      <c r="BM763" s="63"/>
      <c r="BN763" s="63"/>
      <c r="BO763" s="63"/>
      <c r="BP763" s="63"/>
      <c r="BQ763" s="63"/>
      <c r="BR763" s="63"/>
      <c r="BS763" s="63"/>
      <c r="BT763" s="63"/>
      <c r="BU763" s="61"/>
      <c r="BV763" s="61"/>
      <c r="BW763" s="61"/>
      <c r="BX763" s="62"/>
      <c r="BY763" s="62"/>
      <c r="BZ763" s="63"/>
      <c r="CA763" s="63"/>
      <c r="CB763" s="63"/>
      <c r="CC763" s="63"/>
      <c r="CD763" s="63"/>
      <c r="CE763" s="63"/>
      <c r="CF763" s="63"/>
      <c r="CG763" s="63"/>
      <c r="CH763" s="64"/>
      <c r="CJ763" s="63"/>
      <c r="CT763" s="65"/>
      <c r="CU763" s="65"/>
      <c r="CV763" s="65"/>
      <c r="CW763" s="65"/>
      <c r="CX763" s="65"/>
      <c r="CY763" s="65"/>
      <c r="CZ763" s="65"/>
      <c r="DA763" s="65"/>
      <c r="DB763" s="65"/>
      <c r="DC763" s="63"/>
    </row>
    <row r="764" spans="1:107" s="57" customFormat="1" ht="12.75" customHeight="1" x14ac:dyDescent="0.2">
      <c r="A764" s="55">
        <v>10059</v>
      </c>
      <c r="B764" s="56">
        <v>4</v>
      </c>
      <c r="C764" s="56">
        <f t="shared" si="64"/>
        <v>100590004</v>
      </c>
      <c r="D764" s="57" t="s">
        <v>1579</v>
      </c>
      <c r="E764" s="58" t="s">
        <v>109</v>
      </c>
      <c r="F764" s="58"/>
      <c r="G764" s="58"/>
      <c r="H764" s="58"/>
      <c r="I764" s="59" t="s">
        <v>206</v>
      </c>
      <c r="J764" s="59"/>
      <c r="K764" s="59"/>
      <c r="L764" s="59"/>
      <c r="M764" s="59"/>
      <c r="N764" s="59" t="s">
        <v>163</v>
      </c>
      <c r="O764" s="59" t="s">
        <v>163</v>
      </c>
      <c r="P764" s="59"/>
      <c r="Q764" s="59" t="s">
        <v>2041</v>
      </c>
      <c r="R764" s="59"/>
      <c r="S764" s="59"/>
      <c r="T764" s="59" t="s">
        <v>2307</v>
      </c>
      <c r="U764" s="122" t="s">
        <v>2597</v>
      </c>
      <c r="V764" s="59" t="s">
        <v>109</v>
      </c>
      <c r="W764" s="59" t="s">
        <v>1</v>
      </c>
      <c r="X764" s="59"/>
      <c r="Z764" s="59"/>
      <c r="AA764" s="59"/>
      <c r="AB764" s="59"/>
      <c r="AC764" s="59" t="s">
        <v>1581</v>
      </c>
      <c r="AD764" s="59"/>
      <c r="AE764" s="60"/>
      <c r="AF764" s="24" t="s">
        <v>2043</v>
      </c>
      <c r="AG764" s="59"/>
      <c r="AH764" s="61" t="s">
        <v>1583</v>
      </c>
      <c r="AI764" s="61" t="s">
        <v>265</v>
      </c>
      <c r="AJ764" s="61"/>
      <c r="AK764" s="62" t="s">
        <v>374</v>
      </c>
      <c r="AL764" s="62"/>
      <c r="AM764" s="63"/>
      <c r="AN764" s="63"/>
      <c r="AO764" s="63"/>
      <c r="AP764" s="63"/>
      <c r="AQ764" s="63"/>
      <c r="AR764" s="63"/>
      <c r="AS764" s="63"/>
      <c r="AT764" s="63"/>
      <c r="AU764" s="61"/>
      <c r="AV764" s="61"/>
      <c r="AW764" s="61"/>
      <c r="AX764" s="62"/>
      <c r="AY764" s="62"/>
      <c r="AZ764" s="63"/>
      <c r="BA764" s="63"/>
      <c r="BB764" s="63"/>
      <c r="BC764" s="63"/>
      <c r="BD764" s="63"/>
      <c r="BE764" s="63"/>
      <c r="BF764" s="63"/>
      <c r="BG764" s="63"/>
      <c r="BH764" s="61"/>
      <c r="BI764" s="61"/>
      <c r="BJ764" s="61"/>
      <c r="BK764" s="62"/>
      <c r="BL764" s="62"/>
      <c r="BM764" s="63"/>
      <c r="BN764" s="63"/>
      <c r="BO764" s="63"/>
      <c r="BP764" s="63"/>
      <c r="BQ764" s="63"/>
      <c r="BR764" s="63"/>
      <c r="BS764" s="63"/>
      <c r="BT764" s="63"/>
      <c r="BU764" s="61"/>
      <c r="BV764" s="61"/>
      <c r="BW764" s="61"/>
      <c r="BX764" s="62"/>
      <c r="BY764" s="62"/>
      <c r="BZ764" s="63"/>
      <c r="CA764" s="63"/>
      <c r="CB764" s="63"/>
      <c r="CC764" s="63"/>
      <c r="CD764" s="63"/>
      <c r="CE764" s="63"/>
      <c r="CF764" s="63"/>
      <c r="CG764" s="63"/>
      <c r="CH764" s="64"/>
      <c r="CJ764" s="63"/>
      <c r="CT764" s="65"/>
      <c r="CU764" s="65"/>
      <c r="CV764" s="65"/>
      <c r="CW764" s="65"/>
      <c r="CX764" s="65"/>
      <c r="CY764" s="65"/>
      <c r="CZ764" s="65"/>
      <c r="DA764" s="65"/>
      <c r="DB764" s="65"/>
      <c r="DC764" s="63"/>
    </row>
    <row r="765" spans="1:107" s="57" customFormat="1" x14ac:dyDescent="0.2">
      <c r="A765" s="55">
        <v>10059</v>
      </c>
      <c r="B765" s="56">
        <v>5</v>
      </c>
      <c r="C765" s="56">
        <f t="shared" si="64"/>
        <v>100590005</v>
      </c>
      <c r="D765" s="57" t="s">
        <v>1579</v>
      </c>
      <c r="E765" s="58" t="s">
        <v>109</v>
      </c>
      <c r="F765" s="58"/>
      <c r="G765" s="58"/>
      <c r="H765" s="58"/>
      <c r="I765" s="59" t="s">
        <v>206</v>
      </c>
      <c r="J765" s="59"/>
      <c r="K765" s="59"/>
      <c r="L765" s="59"/>
      <c r="M765" s="59"/>
      <c r="N765" s="59" t="s">
        <v>163</v>
      </c>
      <c r="O765" s="59" t="s">
        <v>163</v>
      </c>
      <c r="P765" s="59"/>
      <c r="Q765" s="59" t="s">
        <v>2041</v>
      </c>
      <c r="R765" s="59"/>
      <c r="S765" s="59"/>
      <c r="T765" s="59" t="s">
        <v>2307</v>
      </c>
      <c r="U765" s="122" t="s">
        <v>2598</v>
      </c>
      <c r="V765" s="59" t="s">
        <v>109</v>
      </c>
      <c r="W765" s="59" t="s">
        <v>1</v>
      </c>
      <c r="X765" s="59"/>
      <c r="Z765" s="59"/>
      <c r="AA765" s="59"/>
      <c r="AB765" s="59"/>
      <c r="AC765" s="59" t="s">
        <v>1581</v>
      </c>
      <c r="AD765" s="59"/>
      <c r="AE765" s="60"/>
      <c r="AF765" s="24" t="s">
        <v>2043</v>
      </c>
      <c r="AG765" s="59"/>
      <c r="AH765" s="61" t="s">
        <v>1584</v>
      </c>
      <c r="AI765" s="61" t="s">
        <v>266</v>
      </c>
      <c r="AJ765" s="61"/>
      <c r="AK765" s="62" t="s">
        <v>375</v>
      </c>
      <c r="AL765" s="62"/>
      <c r="AM765" s="63"/>
      <c r="AN765" s="63"/>
      <c r="AO765" s="63"/>
      <c r="AP765" s="63"/>
      <c r="AQ765" s="63"/>
      <c r="AR765" s="63"/>
      <c r="AS765" s="63"/>
      <c r="AT765" s="63"/>
      <c r="AU765" s="61"/>
      <c r="AV765" s="61"/>
      <c r="AW765" s="61"/>
      <c r="AX765" s="62"/>
      <c r="AY765" s="62"/>
      <c r="AZ765" s="63"/>
      <c r="BA765" s="63"/>
      <c r="BB765" s="63"/>
      <c r="BC765" s="63"/>
      <c r="BD765" s="63"/>
      <c r="BE765" s="63"/>
      <c r="BF765" s="63"/>
      <c r="BG765" s="63"/>
      <c r="BH765" s="61"/>
      <c r="BI765" s="61"/>
      <c r="BJ765" s="61"/>
      <c r="BK765" s="62"/>
      <c r="BL765" s="62"/>
      <c r="BM765" s="63"/>
      <c r="BN765" s="63"/>
      <c r="BO765" s="63"/>
      <c r="BP765" s="63"/>
      <c r="BQ765" s="63"/>
      <c r="BR765" s="63"/>
      <c r="BS765" s="63"/>
      <c r="BT765" s="63"/>
      <c r="BU765" s="61"/>
      <c r="BV765" s="61"/>
      <c r="BW765" s="61"/>
      <c r="BX765" s="62"/>
      <c r="BY765" s="62"/>
      <c r="BZ765" s="63"/>
      <c r="CA765" s="63"/>
      <c r="CB765" s="63"/>
      <c r="CC765" s="63"/>
      <c r="CD765" s="63"/>
      <c r="CE765" s="63"/>
      <c r="CF765" s="63"/>
      <c r="CG765" s="63"/>
      <c r="CH765" s="64"/>
      <c r="CJ765" s="63"/>
      <c r="CT765" s="65"/>
      <c r="CU765" s="65"/>
      <c r="CV765" s="65"/>
      <c r="CW765" s="65"/>
      <c r="CX765" s="65"/>
      <c r="CY765" s="65"/>
      <c r="CZ765" s="65"/>
      <c r="DA765" s="65"/>
      <c r="DB765" s="65"/>
      <c r="DC765" s="63"/>
    </row>
    <row r="766" spans="1:107" x14ac:dyDescent="0.2">
      <c r="A766" s="18">
        <v>10060</v>
      </c>
      <c r="B766" s="19">
        <v>1</v>
      </c>
      <c r="C766" s="19">
        <f t="shared" si="64"/>
        <v>100600001</v>
      </c>
      <c r="D766" s="23" t="s">
        <v>1580</v>
      </c>
      <c r="E766" s="20" t="s">
        <v>109</v>
      </c>
      <c r="I766" s="22" t="s">
        <v>206</v>
      </c>
      <c r="J766" s="22"/>
      <c r="K766" s="22"/>
      <c r="L766" s="22"/>
      <c r="M766" s="22"/>
      <c r="N766" s="22" t="s">
        <v>163</v>
      </c>
      <c r="O766" s="22" t="s">
        <v>163</v>
      </c>
      <c r="P766" s="22"/>
      <c r="Q766" s="22" t="s">
        <v>2041</v>
      </c>
      <c r="R766" s="22"/>
      <c r="S766" s="22"/>
      <c r="T766" s="22" t="s">
        <v>2307</v>
      </c>
      <c r="U766" s="116" t="s">
        <v>2599</v>
      </c>
      <c r="V766" s="22" t="s">
        <v>109</v>
      </c>
      <c r="W766" s="22" t="s">
        <v>1</v>
      </c>
      <c r="X766" s="22"/>
      <c r="Z766" s="22"/>
      <c r="AA766" s="22"/>
      <c r="AB766" s="22"/>
      <c r="AC766" s="22" t="s">
        <v>267</v>
      </c>
      <c r="AD766" s="22"/>
      <c r="AE766" s="24"/>
      <c r="AF766" s="24" t="s">
        <v>2043</v>
      </c>
      <c r="AG766" s="22"/>
      <c r="AI766" s="25" t="s">
        <v>176</v>
      </c>
      <c r="AK766" s="40" t="s">
        <v>136</v>
      </c>
      <c r="AL766" s="40"/>
      <c r="AX766" s="27"/>
      <c r="AY766" s="27"/>
      <c r="BK766" s="27"/>
      <c r="BL766" s="27"/>
      <c r="BX766" s="27"/>
      <c r="BY766" s="27"/>
      <c r="CH766" s="29"/>
    </row>
    <row r="767" spans="1:107" x14ac:dyDescent="0.2">
      <c r="A767" s="18">
        <v>10060</v>
      </c>
      <c r="B767" s="19">
        <v>2</v>
      </c>
      <c r="C767" s="19">
        <f t="shared" si="64"/>
        <v>100600002</v>
      </c>
      <c r="D767" s="23" t="s">
        <v>1580</v>
      </c>
      <c r="E767" s="20" t="s">
        <v>109</v>
      </c>
      <c r="I767" s="22" t="s">
        <v>206</v>
      </c>
      <c r="J767" s="22"/>
      <c r="K767" s="22"/>
      <c r="L767" s="22"/>
      <c r="M767" s="22"/>
      <c r="N767" s="22" t="s">
        <v>163</v>
      </c>
      <c r="O767" s="22" t="s">
        <v>163</v>
      </c>
      <c r="P767" s="22"/>
      <c r="Q767" s="22" t="s">
        <v>2041</v>
      </c>
      <c r="R767" s="22"/>
      <c r="S767" s="22"/>
      <c r="T767" s="22" t="s">
        <v>2307</v>
      </c>
      <c r="U767" s="116" t="s">
        <v>2600</v>
      </c>
      <c r="V767" s="22" t="s">
        <v>109</v>
      </c>
      <c r="W767" s="22" t="s">
        <v>1</v>
      </c>
      <c r="X767" s="22"/>
      <c r="Z767" s="22"/>
      <c r="AA767" s="22"/>
      <c r="AB767" s="22"/>
      <c r="AC767" s="22" t="s">
        <v>267</v>
      </c>
      <c r="AD767" s="22"/>
      <c r="AE767" s="24"/>
      <c r="AF767" s="24" t="s">
        <v>2043</v>
      </c>
      <c r="AG767" s="22"/>
      <c r="AI767" s="25" t="s">
        <v>260</v>
      </c>
      <c r="AK767" s="40" t="s">
        <v>139</v>
      </c>
      <c r="AL767" s="40"/>
      <c r="AX767" s="27"/>
      <c r="AY767" s="27"/>
      <c r="BK767" s="27"/>
      <c r="BL767" s="27"/>
      <c r="BX767" s="27"/>
      <c r="BY767" s="27"/>
      <c r="CH767" s="29"/>
    </row>
    <row r="768" spans="1:107" x14ac:dyDescent="0.2">
      <c r="A768" s="18">
        <v>10060</v>
      </c>
      <c r="B768" s="19">
        <v>3</v>
      </c>
      <c r="C768" s="19">
        <f t="shared" si="64"/>
        <v>100600003</v>
      </c>
      <c r="D768" s="23" t="s">
        <v>1580</v>
      </c>
      <c r="E768" s="20" t="s">
        <v>109</v>
      </c>
      <c r="I768" s="22" t="s">
        <v>206</v>
      </c>
      <c r="J768" s="22"/>
      <c r="K768" s="22"/>
      <c r="L768" s="22"/>
      <c r="M768" s="22"/>
      <c r="N768" s="22" t="s">
        <v>163</v>
      </c>
      <c r="O768" s="22" t="s">
        <v>163</v>
      </c>
      <c r="P768" s="22"/>
      <c r="Q768" s="22" t="s">
        <v>2041</v>
      </c>
      <c r="R768" s="22"/>
      <c r="S768" s="22"/>
      <c r="T768" s="22" t="s">
        <v>2307</v>
      </c>
      <c r="U768" s="116" t="s">
        <v>2601</v>
      </c>
      <c r="V768" s="22" t="s">
        <v>109</v>
      </c>
      <c r="W768" s="22" t="s">
        <v>1</v>
      </c>
      <c r="X768" s="22"/>
      <c r="Z768" s="22"/>
      <c r="AA768" s="22"/>
      <c r="AB768" s="22"/>
      <c r="AC768" s="22" t="s">
        <v>267</v>
      </c>
      <c r="AD768" s="22"/>
      <c r="AE768" s="24"/>
      <c r="AF768" s="24" t="s">
        <v>2043</v>
      </c>
      <c r="AG768" s="22"/>
      <c r="AH768" s="25" t="s">
        <v>1585</v>
      </c>
      <c r="AI768" s="25" t="s">
        <v>264</v>
      </c>
      <c r="AK768" s="40" t="s">
        <v>373</v>
      </c>
      <c r="AL768" s="40"/>
      <c r="AX768" s="27"/>
      <c r="AY768" s="27"/>
      <c r="BK768" s="27"/>
      <c r="BL768" s="27"/>
      <c r="BX768" s="27"/>
      <c r="BY768" s="27"/>
      <c r="CH768" s="29"/>
    </row>
    <row r="769" spans="1:107" ht="12.75" customHeight="1" x14ac:dyDescent="0.2">
      <c r="A769" s="18">
        <v>10060</v>
      </c>
      <c r="B769" s="19">
        <v>4</v>
      </c>
      <c r="C769" s="19">
        <f t="shared" si="64"/>
        <v>100600004</v>
      </c>
      <c r="D769" s="23" t="s">
        <v>1580</v>
      </c>
      <c r="E769" s="20" t="s">
        <v>109</v>
      </c>
      <c r="I769" s="22" t="s">
        <v>206</v>
      </c>
      <c r="J769" s="22"/>
      <c r="K769" s="22"/>
      <c r="L769" s="22"/>
      <c r="M769" s="22"/>
      <c r="N769" s="22" t="s">
        <v>163</v>
      </c>
      <c r="O769" s="22" t="s">
        <v>163</v>
      </c>
      <c r="P769" s="22"/>
      <c r="Q769" s="22" t="s">
        <v>2041</v>
      </c>
      <c r="R769" s="22"/>
      <c r="S769" s="22"/>
      <c r="T769" s="22" t="s">
        <v>2307</v>
      </c>
      <c r="U769" s="116" t="s">
        <v>2602</v>
      </c>
      <c r="V769" s="22" t="s">
        <v>109</v>
      </c>
      <c r="W769" s="22" t="s">
        <v>1</v>
      </c>
      <c r="X769" s="22"/>
      <c r="Z769" s="22"/>
      <c r="AA769" s="22"/>
      <c r="AB769" s="22"/>
      <c r="AC769" s="22" t="s">
        <v>267</v>
      </c>
      <c r="AD769" s="22"/>
      <c r="AE769" s="24"/>
      <c r="AF769" s="24" t="s">
        <v>2043</v>
      </c>
      <c r="AG769" s="22"/>
      <c r="AH769" s="25" t="s">
        <v>1586</v>
      </c>
      <c r="AI769" s="25" t="s">
        <v>265</v>
      </c>
      <c r="AK769" s="40" t="s">
        <v>374</v>
      </c>
      <c r="AL769" s="40"/>
      <c r="AX769" s="27"/>
      <c r="AY769" s="27"/>
      <c r="BK769" s="27"/>
      <c r="BL769" s="27"/>
      <c r="BX769" s="27"/>
      <c r="BY769" s="27"/>
      <c r="CH769" s="29"/>
    </row>
    <row r="770" spans="1:107" x14ac:dyDescent="0.2">
      <c r="A770" s="18">
        <v>10060</v>
      </c>
      <c r="B770" s="19">
        <v>5</v>
      </c>
      <c r="C770" s="19">
        <f t="shared" ref="C770:C853" si="66">A770*10000+B770</f>
        <v>100600005</v>
      </c>
      <c r="D770" s="23" t="s">
        <v>1580</v>
      </c>
      <c r="E770" s="20" t="s">
        <v>109</v>
      </c>
      <c r="I770" s="22" t="s">
        <v>206</v>
      </c>
      <c r="J770" s="22"/>
      <c r="K770" s="22"/>
      <c r="L770" s="22"/>
      <c r="M770" s="22"/>
      <c r="N770" s="22" t="s">
        <v>163</v>
      </c>
      <c r="O770" s="22" t="s">
        <v>163</v>
      </c>
      <c r="P770" s="22"/>
      <c r="Q770" s="22" t="s">
        <v>2041</v>
      </c>
      <c r="R770" s="22"/>
      <c r="S770" s="22"/>
      <c r="T770" s="22" t="s">
        <v>2307</v>
      </c>
      <c r="U770" s="116" t="s">
        <v>2603</v>
      </c>
      <c r="V770" s="22" t="s">
        <v>109</v>
      </c>
      <c r="W770" s="22" t="s">
        <v>1</v>
      </c>
      <c r="X770" s="22"/>
      <c r="Z770" s="22"/>
      <c r="AA770" s="22"/>
      <c r="AB770" s="22"/>
      <c r="AC770" s="22" t="s">
        <v>267</v>
      </c>
      <c r="AD770" s="22"/>
      <c r="AE770" s="24"/>
      <c r="AF770" s="24" t="s">
        <v>2043</v>
      </c>
      <c r="AG770" s="22"/>
      <c r="AH770" s="25" t="s">
        <v>1587</v>
      </c>
      <c r="AI770" s="25" t="s">
        <v>266</v>
      </c>
      <c r="AK770" s="40" t="s">
        <v>375</v>
      </c>
      <c r="AL770" s="40"/>
      <c r="AX770" s="27"/>
      <c r="AY770" s="27"/>
      <c r="BK770" s="27"/>
      <c r="BL770" s="27"/>
      <c r="BX770" s="27"/>
      <c r="BY770" s="27"/>
      <c r="CH770" s="29"/>
    </row>
    <row r="771" spans="1:107" s="57" customFormat="1" x14ac:dyDescent="0.2">
      <c r="A771" s="55">
        <v>10061</v>
      </c>
      <c r="B771" s="56">
        <v>1</v>
      </c>
      <c r="C771" s="56">
        <f t="shared" si="66"/>
        <v>100610001</v>
      </c>
      <c r="D771" s="57" t="s">
        <v>1547</v>
      </c>
      <c r="E771" s="58" t="s">
        <v>109</v>
      </c>
      <c r="F771" s="58"/>
      <c r="G771" s="58"/>
      <c r="H771" s="58"/>
      <c r="I771" s="59" t="s">
        <v>206</v>
      </c>
      <c r="J771" s="59"/>
      <c r="K771" s="59"/>
      <c r="L771" s="59"/>
      <c r="M771" s="59"/>
      <c r="N771" s="59" t="s">
        <v>163</v>
      </c>
      <c r="O771" s="59" t="s">
        <v>163</v>
      </c>
      <c r="P771" s="59"/>
      <c r="Q771" s="59" t="s">
        <v>2041</v>
      </c>
      <c r="R771" s="59"/>
      <c r="S771" s="59"/>
      <c r="T771" s="59" t="s">
        <v>2307</v>
      </c>
      <c r="U771" s="122" t="s">
        <v>2604</v>
      </c>
      <c r="V771" s="59" t="s">
        <v>109</v>
      </c>
      <c r="W771" s="59" t="s">
        <v>1</v>
      </c>
      <c r="X771" s="59"/>
      <c r="Z771" s="59"/>
      <c r="AA771" s="59"/>
      <c r="AB771" s="59"/>
      <c r="AC771" s="59">
        <v>61</v>
      </c>
      <c r="AD771" s="59"/>
      <c r="AE771" s="60"/>
      <c r="AF771" s="24" t="s">
        <v>2043</v>
      </c>
      <c r="AG771" s="59"/>
      <c r="AH771" s="61"/>
      <c r="AI771" s="61" t="s">
        <v>176</v>
      </c>
      <c r="AJ771" s="61"/>
      <c r="AK771" s="62" t="s">
        <v>136</v>
      </c>
      <c r="AL771" s="62"/>
      <c r="AM771" s="63"/>
      <c r="AN771" s="63"/>
      <c r="AO771" s="63"/>
      <c r="AP771" s="63"/>
      <c r="AQ771" s="63"/>
      <c r="AR771" s="63"/>
      <c r="AS771" s="63"/>
      <c r="AT771" s="63"/>
      <c r="AU771" s="61"/>
      <c r="AV771" s="61"/>
      <c r="AW771" s="61"/>
      <c r="AX771" s="62"/>
      <c r="AY771" s="62"/>
      <c r="AZ771" s="63"/>
      <c r="BA771" s="63"/>
      <c r="BB771" s="63"/>
      <c r="BC771" s="63"/>
      <c r="BD771" s="63"/>
      <c r="BE771" s="63"/>
      <c r="BF771" s="63"/>
      <c r="BG771" s="63"/>
      <c r="BH771" s="61"/>
      <c r="BI771" s="61"/>
      <c r="BJ771" s="61"/>
      <c r="BK771" s="62"/>
      <c r="BL771" s="62"/>
      <c r="BM771" s="63"/>
      <c r="BN771" s="63"/>
      <c r="BO771" s="63"/>
      <c r="BP771" s="63"/>
      <c r="BQ771" s="63"/>
      <c r="BR771" s="63"/>
      <c r="BS771" s="63"/>
      <c r="BT771" s="63"/>
      <c r="BU771" s="61"/>
      <c r="BV771" s="61"/>
      <c r="BW771" s="61"/>
      <c r="BX771" s="62"/>
      <c r="BY771" s="62"/>
      <c r="BZ771" s="63"/>
      <c r="CA771" s="63"/>
      <c r="CB771" s="63"/>
      <c r="CC771" s="63"/>
      <c r="CD771" s="63"/>
      <c r="CE771" s="63"/>
      <c r="CF771" s="63"/>
      <c r="CG771" s="63"/>
      <c r="CH771" s="64"/>
      <c r="CJ771" s="63"/>
      <c r="CT771" s="65"/>
      <c r="CU771" s="65"/>
      <c r="CV771" s="65"/>
      <c r="CW771" s="65"/>
      <c r="CX771" s="65"/>
      <c r="CY771" s="65"/>
      <c r="CZ771" s="65"/>
      <c r="DA771" s="65"/>
      <c r="DB771" s="65"/>
      <c r="DC771" s="63"/>
    </row>
    <row r="772" spans="1:107" s="57" customFormat="1" x14ac:dyDescent="0.2">
      <c r="A772" s="55">
        <v>10061</v>
      </c>
      <c r="B772" s="56">
        <v>2</v>
      </c>
      <c r="C772" s="56">
        <f t="shared" si="66"/>
        <v>100610002</v>
      </c>
      <c r="D772" s="57" t="s">
        <v>1547</v>
      </c>
      <c r="E772" s="58" t="s">
        <v>109</v>
      </c>
      <c r="F772" s="58"/>
      <c r="G772" s="58"/>
      <c r="H772" s="58"/>
      <c r="I772" s="59" t="s">
        <v>206</v>
      </c>
      <c r="J772" s="59"/>
      <c r="K772" s="59"/>
      <c r="L772" s="59"/>
      <c r="M772" s="59"/>
      <c r="N772" s="59" t="s">
        <v>163</v>
      </c>
      <c r="O772" s="59" t="s">
        <v>163</v>
      </c>
      <c r="P772" s="59"/>
      <c r="Q772" s="59" t="s">
        <v>2041</v>
      </c>
      <c r="R772" s="59"/>
      <c r="S772" s="59"/>
      <c r="T772" s="59" t="s">
        <v>2307</v>
      </c>
      <c r="U772" s="122" t="s">
        <v>2605</v>
      </c>
      <c r="V772" s="59" t="s">
        <v>109</v>
      </c>
      <c r="W772" s="59" t="s">
        <v>1</v>
      </c>
      <c r="X772" s="59"/>
      <c r="Z772" s="59"/>
      <c r="AA772" s="59"/>
      <c r="AB772" s="59"/>
      <c r="AC772" s="59">
        <v>61</v>
      </c>
      <c r="AD772" s="59"/>
      <c r="AE772" s="60"/>
      <c r="AF772" s="24" t="s">
        <v>2043</v>
      </c>
      <c r="AG772" s="59"/>
      <c r="AH772" s="61"/>
      <c r="AI772" s="61" t="s">
        <v>260</v>
      </c>
      <c r="AJ772" s="61"/>
      <c r="AK772" s="62" t="s">
        <v>139</v>
      </c>
      <c r="AL772" s="62"/>
      <c r="AM772" s="63"/>
      <c r="AN772" s="63"/>
      <c r="AO772" s="63"/>
      <c r="AP772" s="63"/>
      <c r="AQ772" s="63"/>
      <c r="AR772" s="63"/>
      <c r="AS772" s="63"/>
      <c r="AT772" s="63"/>
      <c r="AU772" s="61"/>
      <c r="AV772" s="61"/>
      <c r="AW772" s="61"/>
      <c r="AX772" s="62"/>
      <c r="AY772" s="62"/>
      <c r="AZ772" s="63"/>
      <c r="BA772" s="63"/>
      <c r="BB772" s="63"/>
      <c r="BC772" s="63"/>
      <c r="BD772" s="63"/>
      <c r="BE772" s="63"/>
      <c r="BF772" s="63"/>
      <c r="BG772" s="63"/>
      <c r="BH772" s="61"/>
      <c r="BI772" s="61"/>
      <c r="BJ772" s="61"/>
      <c r="BK772" s="62"/>
      <c r="BL772" s="62"/>
      <c r="BM772" s="63"/>
      <c r="BN772" s="63"/>
      <c r="BO772" s="63"/>
      <c r="BP772" s="63"/>
      <c r="BQ772" s="63"/>
      <c r="BR772" s="63"/>
      <c r="BS772" s="63"/>
      <c r="BT772" s="63"/>
      <c r="BU772" s="61"/>
      <c r="BV772" s="61"/>
      <c r="BW772" s="61"/>
      <c r="BX772" s="62"/>
      <c r="BY772" s="62"/>
      <c r="BZ772" s="63"/>
      <c r="CA772" s="63"/>
      <c r="CB772" s="63"/>
      <c r="CC772" s="63"/>
      <c r="CD772" s="63"/>
      <c r="CE772" s="63"/>
      <c r="CF772" s="63"/>
      <c r="CG772" s="63"/>
      <c r="CH772" s="64"/>
      <c r="CJ772" s="63"/>
      <c r="CT772" s="65"/>
      <c r="CU772" s="65"/>
      <c r="CV772" s="65"/>
      <c r="CW772" s="65"/>
      <c r="CX772" s="65"/>
      <c r="CY772" s="65"/>
      <c r="CZ772" s="65"/>
      <c r="DA772" s="65"/>
      <c r="DB772" s="65"/>
      <c r="DC772" s="63"/>
    </row>
    <row r="773" spans="1:107" s="57" customFormat="1" x14ac:dyDescent="0.2">
      <c r="A773" s="55">
        <v>10061</v>
      </c>
      <c r="B773" s="56">
        <v>3</v>
      </c>
      <c r="C773" s="56">
        <f t="shared" si="66"/>
        <v>100610003</v>
      </c>
      <c r="D773" s="57" t="s">
        <v>1547</v>
      </c>
      <c r="E773" s="58" t="s">
        <v>109</v>
      </c>
      <c r="F773" s="58"/>
      <c r="G773" s="58"/>
      <c r="H773" s="58"/>
      <c r="I773" s="59" t="s">
        <v>206</v>
      </c>
      <c r="J773" s="59"/>
      <c r="K773" s="59"/>
      <c r="L773" s="59"/>
      <c r="M773" s="59"/>
      <c r="N773" s="59" t="s">
        <v>163</v>
      </c>
      <c r="O773" s="59" t="s">
        <v>163</v>
      </c>
      <c r="P773" s="59"/>
      <c r="Q773" s="59" t="s">
        <v>2041</v>
      </c>
      <c r="R773" s="59"/>
      <c r="S773" s="59"/>
      <c r="T773" s="59" t="s">
        <v>2307</v>
      </c>
      <c r="U773" s="122" t="s">
        <v>2606</v>
      </c>
      <c r="V773" s="59" t="s">
        <v>109</v>
      </c>
      <c r="W773" s="59" t="s">
        <v>1</v>
      </c>
      <c r="X773" s="59"/>
      <c r="Z773" s="59"/>
      <c r="AA773" s="59"/>
      <c r="AB773" s="59"/>
      <c r="AC773" s="59">
        <v>61</v>
      </c>
      <c r="AD773" s="59"/>
      <c r="AE773" s="60"/>
      <c r="AF773" s="24" t="s">
        <v>2043</v>
      </c>
      <c r="AG773" s="59"/>
      <c r="AH773" s="61">
        <v>100613</v>
      </c>
      <c r="AI773" s="61" t="s">
        <v>264</v>
      </c>
      <c r="AJ773" s="61"/>
      <c r="AK773" s="62" t="s">
        <v>373</v>
      </c>
      <c r="AL773" s="62"/>
      <c r="AM773" s="63"/>
      <c r="AN773" s="63"/>
      <c r="AO773" s="63"/>
      <c r="AP773" s="63"/>
      <c r="AQ773" s="63"/>
      <c r="AR773" s="63"/>
      <c r="AS773" s="63"/>
      <c r="AT773" s="63"/>
      <c r="AU773" s="61"/>
      <c r="AV773" s="61"/>
      <c r="AW773" s="61"/>
      <c r="AX773" s="62"/>
      <c r="AY773" s="62"/>
      <c r="AZ773" s="63"/>
      <c r="BA773" s="63"/>
      <c r="BB773" s="63"/>
      <c r="BC773" s="63"/>
      <c r="BD773" s="63"/>
      <c r="BE773" s="63"/>
      <c r="BF773" s="63"/>
      <c r="BG773" s="63"/>
      <c r="BH773" s="61"/>
      <c r="BI773" s="61"/>
      <c r="BJ773" s="61"/>
      <c r="BK773" s="62"/>
      <c r="BL773" s="62"/>
      <c r="BM773" s="63"/>
      <c r="BN773" s="63"/>
      <c r="BO773" s="63"/>
      <c r="BP773" s="63"/>
      <c r="BQ773" s="63"/>
      <c r="BR773" s="63"/>
      <c r="BS773" s="63"/>
      <c r="BT773" s="63"/>
      <c r="BU773" s="61"/>
      <c r="BV773" s="61"/>
      <c r="BW773" s="61"/>
      <c r="BX773" s="62"/>
      <c r="BY773" s="62"/>
      <c r="BZ773" s="63"/>
      <c r="CA773" s="63"/>
      <c r="CB773" s="63"/>
      <c r="CC773" s="63"/>
      <c r="CD773" s="63"/>
      <c r="CE773" s="63"/>
      <c r="CF773" s="63"/>
      <c r="CG773" s="63"/>
      <c r="CH773" s="64"/>
      <c r="CJ773" s="63"/>
      <c r="CT773" s="65"/>
      <c r="CU773" s="65"/>
      <c r="CV773" s="65"/>
      <c r="CW773" s="65"/>
      <c r="CX773" s="65"/>
      <c r="CY773" s="65"/>
      <c r="CZ773" s="65"/>
      <c r="DA773" s="65"/>
      <c r="DB773" s="65"/>
      <c r="DC773" s="63"/>
    </row>
    <row r="774" spans="1:107" s="57" customFormat="1" ht="12.75" customHeight="1" x14ac:dyDescent="0.2">
      <c r="A774" s="55">
        <v>10061</v>
      </c>
      <c r="B774" s="56">
        <v>4</v>
      </c>
      <c r="C774" s="56">
        <f t="shared" si="66"/>
        <v>100610004</v>
      </c>
      <c r="D774" s="57" t="s">
        <v>1547</v>
      </c>
      <c r="E774" s="58" t="s">
        <v>109</v>
      </c>
      <c r="F774" s="58"/>
      <c r="G774" s="58"/>
      <c r="H774" s="58"/>
      <c r="I774" s="59" t="s">
        <v>206</v>
      </c>
      <c r="J774" s="59"/>
      <c r="K774" s="59"/>
      <c r="L774" s="59"/>
      <c r="M774" s="59"/>
      <c r="N774" s="59" t="s">
        <v>163</v>
      </c>
      <c r="O774" s="59" t="s">
        <v>163</v>
      </c>
      <c r="P774" s="59"/>
      <c r="Q774" s="59" t="s">
        <v>2041</v>
      </c>
      <c r="R774" s="59"/>
      <c r="S774" s="59"/>
      <c r="T774" s="59" t="s">
        <v>2307</v>
      </c>
      <c r="U774" s="122" t="s">
        <v>2607</v>
      </c>
      <c r="V774" s="59" t="s">
        <v>109</v>
      </c>
      <c r="W774" s="59" t="s">
        <v>1</v>
      </c>
      <c r="X774" s="59"/>
      <c r="Z774" s="59"/>
      <c r="AA774" s="59"/>
      <c r="AB774" s="59"/>
      <c r="AC774" s="59">
        <v>61</v>
      </c>
      <c r="AD774" s="59"/>
      <c r="AE774" s="60"/>
      <c r="AF774" s="24" t="s">
        <v>2043</v>
      </c>
      <c r="AG774" s="59"/>
      <c r="AH774" s="61">
        <v>100614</v>
      </c>
      <c r="AI774" s="61" t="s">
        <v>265</v>
      </c>
      <c r="AJ774" s="61"/>
      <c r="AK774" s="62" t="s">
        <v>374</v>
      </c>
      <c r="AL774" s="62"/>
      <c r="AM774" s="63"/>
      <c r="AN774" s="63"/>
      <c r="AO774" s="63"/>
      <c r="AP774" s="63"/>
      <c r="AQ774" s="63"/>
      <c r="AR774" s="63"/>
      <c r="AS774" s="63"/>
      <c r="AT774" s="63"/>
      <c r="AU774" s="61"/>
      <c r="AV774" s="61"/>
      <c r="AW774" s="61"/>
      <c r="AX774" s="62"/>
      <c r="AY774" s="62"/>
      <c r="AZ774" s="63"/>
      <c r="BA774" s="63"/>
      <c r="BB774" s="63"/>
      <c r="BC774" s="63"/>
      <c r="BD774" s="63"/>
      <c r="BE774" s="63"/>
      <c r="BF774" s="63"/>
      <c r="BG774" s="63"/>
      <c r="BH774" s="61"/>
      <c r="BI774" s="61"/>
      <c r="BJ774" s="61"/>
      <c r="BK774" s="62"/>
      <c r="BL774" s="62"/>
      <c r="BM774" s="63"/>
      <c r="BN774" s="63"/>
      <c r="BO774" s="63"/>
      <c r="BP774" s="63"/>
      <c r="BQ774" s="63"/>
      <c r="BR774" s="63"/>
      <c r="BS774" s="63"/>
      <c r="BT774" s="63"/>
      <c r="BU774" s="61"/>
      <c r="BV774" s="61"/>
      <c r="BW774" s="61"/>
      <c r="BX774" s="62"/>
      <c r="BY774" s="62"/>
      <c r="BZ774" s="63"/>
      <c r="CA774" s="63"/>
      <c r="CB774" s="63"/>
      <c r="CC774" s="63"/>
      <c r="CD774" s="63"/>
      <c r="CE774" s="63"/>
      <c r="CF774" s="63"/>
      <c r="CG774" s="63"/>
      <c r="CH774" s="64"/>
      <c r="CJ774" s="63"/>
      <c r="CT774" s="65"/>
      <c r="CU774" s="65"/>
      <c r="CV774" s="65"/>
      <c r="CW774" s="65"/>
      <c r="CX774" s="65"/>
      <c r="CY774" s="65"/>
      <c r="CZ774" s="65"/>
      <c r="DA774" s="65"/>
      <c r="DB774" s="65"/>
      <c r="DC774" s="63"/>
    </row>
    <row r="775" spans="1:107" s="57" customFormat="1" x14ac:dyDescent="0.2">
      <c r="A775" s="55">
        <v>10061</v>
      </c>
      <c r="B775" s="56">
        <v>5</v>
      </c>
      <c r="C775" s="56">
        <f t="shared" si="66"/>
        <v>100610005</v>
      </c>
      <c r="D775" s="57" t="s">
        <v>1547</v>
      </c>
      <c r="E775" s="58" t="s">
        <v>109</v>
      </c>
      <c r="F775" s="58"/>
      <c r="G775" s="58"/>
      <c r="H775" s="58"/>
      <c r="I775" s="59" t="s">
        <v>206</v>
      </c>
      <c r="J775" s="59"/>
      <c r="K775" s="59"/>
      <c r="L775" s="59"/>
      <c r="M775" s="59"/>
      <c r="N775" s="59" t="s">
        <v>163</v>
      </c>
      <c r="O775" s="59" t="s">
        <v>163</v>
      </c>
      <c r="P775" s="59"/>
      <c r="Q775" s="59" t="s">
        <v>2041</v>
      </c>
      <c r="R775" s="59"/>
      <c r="S775" s="59"/>
      <c r="T775" s="59" t="s">
        <v>2307</v>
      </c>
      <c r="U775" s="122" t="s">
        <v>2608</v>
      </c>
      <c r="V775" s="59" t="s">
        <v>109</v>
      </c>
      <c r="W775" s="59" t="s">
        <v>1</v>
      </c>
      <c r="X775" s="59"/>
      <c r="Z775" s="59"/>
      <c r="AA775" s="59"/>
      <c r="AB775" s="59"/>
      <c r="AC775" s="59">
        <v>61</v>
      </c>
      <c r="AD775" s="59"/>
      <c r="AE775" s="60"/>
      <c r="AF775" s="24" t="s">
        <v>2043</v>
      </c>
      <c r="AG775" s="59"/>
      <c r="AH775" s="61">
        <v>100615</v>
      </c>
      <c r="AI775" s="61" t="s">
        <v>266</v>
      </c>
      <c r="AJ775" s="61"/>
      <c r="AK775" s="62" t="s">
        <v>375</v>
      </c>
      <c r="AL775" s="62"/>
      <c r="AM775" s="63"/>
      <c r="AN775" s="63"/>
      <c r="AO775" s="63"/>
      <c r="AP775" s="63"/>
      <c r="AQ775" s="63"/>
      <c r="AR775" s="63"/>
      <c r="AS775" s="63"/>
      <c r="AT775" s="63"/>
      <c r="AU775" s="61"/>
      <c r="AV775" s="61"/>
      <c r="AW775" s="61"/>
      <c r="AX775" s="62"/>
      <c r="AY775" s="62"/>
      <c r="AZ775" s="63"/>
      <c r="BA775" s="63"/>
      <c r="BB775" s="63"/>
      <c r="BC775" s="63"/>
      <c r="BD775" s="63"/>
      <c r="BE775" s="63"/>
      <c r="BF775" s="63"/>
      <c r="BG775" s="63"/>
      <c r="BH775" s="61"/>
      <c r="BI775" s="61"/>
      <c r="BJ775" s="61"/>
      <c r="BK775" s="62"/>
      <c r="BL775" s="62"/>
      <c r="BM775" s="63"/>
      <c r="BN775" s="63"/>
      <c r="BO775" s="63"/>
      <c r="BP775" s="63"/>
      <c r="BQ775" s="63"/>
      <c r="BR775" s="63"/>
      <c r="BS775" s="63"/>
      <c r="BT775" s="63"/>
      <c r="BU775" s="61"/>
      <c r="BV775" s="61"/>
      <c r="BW775" s="61"/>
      <c r="BX775" s="62"/>
      <c r="BY775" s="62"/>
      <c r="BZ775" s="63"/>
      <c r="CA775" s="63"/>
      <c r="CB775" s="63"/>
      <c r="CC775" s="63"/>
      <c r="CD775" s="63"/>
      <c r="CE775" s="63"/>
      <c r="CF775" s="63"/>
      <c r="CG775" s="63"/>
      <c r="CH775" s="64"/>
      <c r="CJ775" s="63"/>
      <c r="CT775" s="65"/>
      <c r="CU775" s="65"/>
      <c r="CV775" s="65"/>
      <c r="CW775" s="65"/>
      <c r="CX775" s="65"/>
      <c r="CY775" s="65"/>
      <c r="CZ775" s="65"/>
      <c r="DA775" s="65"/>
      <c r="DB775" s="65"/>
      <c r="DC775" s="63"/>
    </row>
    <row r="776" spans="1:107" x14ac:dyDescent="0.2">
      <c r="A776" s="18">
        <v>10062</v>
      </c>
      <c r="B776" s="19">
        <v>1</v>
      </c>
      <c r="C776" s="19">
        <f t="shared" si="66"/>
        <v>100620001</v>
      </c>
      <c r="D776" s="23" t="s">
        <v>953</v>
      </c>
      <c r="E776" s="20" t="s">
        <v>109</v>
      </c>
      <c r="I776" s="22" t="s">
        <v>206</v>
      </c>
      <c r="J776" s="22"/>
      <c r="K776" s="22"/>
      <c r="L776" s="22"/>
      <c r="M776" s="22"/>
      <c r="N776" s="22" t="s">
        <v>163</v>
      </c>
      <c r="O776" s="22" t="s">
        <v>163</v>
      </c>
      <c r="P776" s="22"/>
      <c r="Q776" s="22" t="s">
        <v>2041</v>
      </c>
      <c r="R776" s="22"/>
      <c r="S776" s="22"/>
      <c r="T776" s="22" t="s">
        <v>2307</v>
      </c>
      <c r="U776" s="116" t="s">
        <v>2609</v>
      </c>
      <c r="V776" s="22" t="s">
        <v>109</v>
      </c>
      <c r="W776" s="22" t="s">
        <v>1</v>
      </c>
      <c r="X776" s="22"/>
      <c r="Z776" s="22"/>
      <c r="AA776" s="22"/>
      <c r="AB776" s="22"/>
      <c r="AC776" s="22" t="s">
        <v>955</v>
      </c>
      <c r="AD776" s="22"/>
      <c r="AE776" s="24"/>
      <c r="AF776" s="24" t="s">
        <v>2043</v>
      </c>
      <c r="AG776" s="22"/>
      <c r="AI776" s="25" t="s">
        <v>176</v>
      </c>
      <c r="AK776" s="40" t="s">
        <v>136</v>
      </c>
      <c r="AL776" s="40"/>
      <c r="AX776" s="27"/>
      <c r="AY776" s="27"/>
      <c r="BK776" s="27"/>
      <c r="BL776" s="27"/>
      <c r="BX776" s="27"/>
      <c r="BY776" s="27"/>
      <c r="CH776" s="29"/>
    </row>
    <row r="777" spans="1:107" x14ac:dyDescent="0.2">
      <c r="A777" s="18">
        <v>10062</v>
      </c>
      <c r="B777" s="19">
        <v>2</v>
      </c>
      <c r="C777" s="19">
        <f t="shared" si="66"/>
        <v>100620002</v>
      </c>
      <c r="D777" s="23" t="s">
        <v>953</v>
      </c>
      <c r="E777" s="20" t="s">
        <v>109</v>
      </c>
      <c r="I777" s="22" t="s">
        <v>206</v>
      </c>
      <c r="J777" s="22"/>
      <c r="K777" s="22"/>
      <c r="L777" s="22"/>
      <c r="M777" s="22"/>
      <c r="N777" s="22" t="s">
        <v>163</v>
      </c>
      <c r="O777" s="22" t="s">
        <v>163</v>
      </c>
      <c r="P777" s="22"/>
      <c r="Q777" s="22" t="s">
        <v>2041</v>
      </c>
      <c r="R777" s="22"/>
      <c r="S777" s="22"/>
      <c r="T777" s="22" t="s">
        <v>2307</v>
      </c>
      <c r="U777" s="116" t="s">
        <v>2610</v>
      </c>
      <c r="V777" s="22" t="s">
        <v>109</v>
      </c>
      <c r="W777" s="22" t="s">
        <v>1</v>
      </c>
      <c r="X777" s="22"/>
      <c r="Z777" s="22"/>
      <c r="AA777" s="22"/>
      <c r="AB777" s="22"/>
      <c r="AC777" s="22" t="s">
        <v>955</v>
      </c>
      <c r="AD777" s="22"/>
      <c r="AE777" s="24"/>
      <c r="AF777" s="24" t="s">
        <v>2043</v>
      </c>
      <c r="AG777" s="22"/>
      <c r="AI777" s="25" t="s">
        <v>260</v>
      </c>
      <c r="AK777" s="40" t="s">
        <v>139</v>
      </c>
      <c r="AL777" s="40"/>
      <c r="AX777" s="27"/>
      <c r="AY777" s="27"/>
      <c r="BK777" s="27"/>
      <c r="BL777" s="27"/>
      <c r="BX777" s="27"/>
      <c r="BY777" s="27"/>
      <c r="CH777" s="29"/>
    </row>
    <row r="778" spans="1:107" x14ac:dyDescent="0.2">
      <c r="A778" s="18">
        <v>10062</v>
      </c>
      <c r="B778" s="19">
        <v>3</v>
      </c>
      <c r="C778" s="19">
        <f t="shared" si="66"/>
        <v>100620003</v>
      </c>
      <c r="D778" s="23" t="s">
        <v>953</v>
      </c>
      <c r="E778" s="20" t="s">
        <v>109</v>
      </c>
      <c r="I778" s="22" t="s">
        <v>206</v>
      </c>
      <c r="J778" s="22"/>
      <c r="K778" s="22"/>
      <c r="L778" s="22"/>
      <c r="M778" s="22"/>
      <c r="N778" s="22" t="s">
        <v>163</v>
      </c>
      <c r="O778" s="22" t="s">
        <v>163</v>
      </c>
      <c r="P778" s="22"/>
      <c r="Q778" s="22" t="s">
        <v>2041</v>
      </c>
      <c r="R778" s="22"/>
      <c r="S778" s="22"/>
      <c r="T778" s="22" t="s">
        <v>2307</v>
      </c>
      <c r="U778" s="116" t="s">
        <v>2611</v>
      </c>
      <c r="V778" s="22" t="s">
        <v>109</v>
      </c>
      <c r="W778" s="22" t="s">
        <v>1</v>
      </c>
      <c r="X778" s="22"/>
      <c r="Z778" s="22"/>
      <c r="AA778" s="22"/>
      <c r="AB778" s="22"/>
      <c r="AC778" s="22" t="s">
        <v>955</v>
      </c>
      <c r="AD778" s="22"/>
      <c r="AE778" s="24"/>
      <c r="AF778" s="24" t="s">
        <v>2043</v>
      </c>
      <c r="AG778" s="22"/>
      <c r="AH778" s="25" t="s">
        <v>965</v>
      </c>
      <c r="AI778" s="25" t="s">
        <v>264</v>
      </c>
      <c r="AK778" s="40" t="s">
        <v>373</v>
      </c>
      <c r="AL778" s="40"/>
      <c r="AX778" s="27"/>
      <c r="AY778" s="27"/>
      <c r="BK778" s="27"/>
      <c r="BL778" s="27"/>
      <c r="BX778" s="27"/>
      <c r="BY778" s="27"/>
      <c r="CH778" s="29"/>
    </row>
    <row r="779" spans="1:107" ht="12.75" customHeight="1" x14ac:dyDescent="0.2">
      <c r="A779" s="18">
        <v>10062</v>
      </c>
      <c r="B779" s="19">
        <v>4</v>
      </c>
      <c r="C779" s="19">
        <f t="shared" si="66"/>
        <v>100620004</v>
      </c>
      <c r="D779" s="23" t="s">
        <v>953</v>
      </c>
      <c r="E779" s="20" t="s">
        <v>109</v>
      </c>
      <c r="I779" s="22" t="s">
        <v>206</v>
      </c>
      <c r="J779" s="22"/>
      <c r="K779" s="22"/>
      <c r="L779" s="22"/>
      <c r="M779" s="22"/>
      <c r="N779" s="22" t="s">
        <v>163</v>
      </c>
      <c r="O779" s="22" t="s">
        <v>163</v>
      </c>
      <c r="P779" s="22"/>
      <c r="Q779" s="22" t="s">
        <v>2041</v>
      </c>
      <c r="R779" s="22"/>
      <c r="S779" s="22"/>
      <c r="T779" s="22" t="s">
        <v>2307</v>
      </c>
      <c r="U779" s="116" t="s">
        <v>2612</v>
      </c>
      <c r="V779" s="22" t="s">
        <v>109</v>
      </c>
      <c r="W779" s="22" t="s">
        <v>1</v>
      </c>
      <c r="X779" s="22"/>
      <c r="Z779" s="22"/>
      <c r="AA779" s="22"/>
      <c r="AB779" s="22"/>
      <c r="AC779" s="22" t="s">
        <v>955</v>
      </c>
      <c r="AD779" s="22"/>
      <c r="AE779" s="24"/>
      <c r="AF779" s="24" t="s">
        <v>2043</v>
      </c>
      <c r="AG779" s="22"/>
      <c r="AH779" s="25" t="s">
        <v>966</v>
      </c>
      <c r="AI779" s="25" t="s">
        <v>265</v>
      </c>
      <c r="AK779" s="40" t="s">
        <v>374</v>
      </c>
      <c r="AL779" s="40"/>
      <c r="AX779" s="27"/>
      <c r="AY779" s="27"/>
      <c r="BK779" s="27"/>
      <c r="BL779" s="27"/>
      <c r="BX779" s="27"/>
      <c r="BY779" s="27"/>
      <c r="CH779" s="29"/>
    </row>
    <row r="780" spans="1:107" x14ac:dyDescent="0.2">
      <c r="A780" s="18">
        <v>10062</v>
      </c>
      <c r="B780" s="19">
        <v>5</v>
      </c>
      <c r="C780" s="19">
        <f t="shared" si="66"/>
        <v>100620005</v>
      </c>
      <c r="D780" s="23" t="s">
        <v>953</v>
      </c>
      <c r="E780" s="20" t="s">
        <v>109</v>
      </c>
      <c r="I780" s="22" t="s">
        <v>206</v>
      </c>
      <c r="J780" s="22"/>
      <c r="K780" s="22"/>
      <c r="L780" s="22"/>
      <c r="M780" s="22"/>
      <c r="N780" s="22" t="s">
        <v>163</v>
      </c>
      <c r="O780" s="22" t="s">
        <v>163</v>
      </c>
      <c r="P780" s="22"/>
      <c r="Q780" s="22" t="s">
        <v>2041</v>
      </c>
      <c r="R780" s="22"/>
      <c r="S780" s="22"/>
      <c r="T780" s="22" t="s">
        <v>2307</v>
      </c>
      <c r="U780" s="116" t="s">
        <v>2613</v>
      </c>
      <c r="V780" s="22" t="s">
        <v>109</v>
      </c>
      <c r="W780" s="22" t="s">
        <v>1</v>
      </c>
      <c r="X780" s="22"/>
      <c r="Z780" s="22"/>
      <c r="AA780" s="22"/>
      <c r="AB780" s="22"/>
      <c r="AC780" s="22" t="s">
        <v>955</v>
      </c>
      <c r="AD780" s="22"/>
      <c r="AE780" s="24"/>
      <c r="AF780" s="24" t="s">
        <v>2043</v>
      </c>
      <c r="AG780" s="22"/>
      <c r="AH780" s="25" t="s">
        <v>967</v>
      </c>
      <c r="AI780" s="25" t="s">
        <v>266</v>
      </c>
      <c r="AK780" s="40" t="s">
        <v>375</v>
      </c>
      <c r="AL780" s="40"/>
      <c r="AX780" s="27"/>
      <c r="AY780" s="27"/>
      <c r="BK780" s="27"/>
      <c r="BL780" s="27"/>
      <c r="BX780" s="27"/>
      <c r="BY780" s="27"/>
      <c r="CH780" s="29"/>
    </row>
    <row r="781" spans="1:107" x14ac:dyDescent="0.2">
      <c r="A781" s="18">
        <v>10063</v>
      </c>
      <c r="B781" s="19">
        <v>1</v>
      </c>
      <c r="C781" s="19">
        <f t="shared" si="66"/>
        <v>100630001</v>
      </c>
      <c r="D781" s="23" t="s">
        <v>954</v>
      </c>
      <c r="E781" s="20" t="s">
        <v>109</v>
      </c>
      <c r="I781" s="22" t="s">
        <v>206</v>
      </c>
      <c r="J781" s="22"/>
      <c r="K781" s="22"/>
      <c r="L781" s="22"/>
      <c r="M781" s="22"/>
      <c r="N781" s="22" t="s">
        <v>163</v>
      </c>
      <c r="O781" s="22" t="s">
        <v>163</v>
      </c>
      <c r="P781" s="22"/>
      <c r="Q781" s="22" t="s">
        <v>2041</v>
      </c>
      <c r="R781" s="22"/>
      <c r="S781" s="22"/>
      <c r="T781" s="22" t="s">
        <v>2307</v>
      </c>
      <c r="U781" s="116" t="s">
        <v>2614</v>
      </c>
      <c r="V781" s="22" t="s">
        <v>109</v>
      </c>
      <c r="W781" s="22" t="s">
        <v>1</v>
      </c>
      <c r="X781" s="22"/>
      <c r="Z781" s="22"/>
      <c r="AA781" s="22"/>
      <c r="AB781" s="22"/>
      <c r="AC781" s="22" t="s">
        <v>956</v>
      </c>
      <c r="AD781" s="22"/>
      <c r="AE781" s="24"/>
      <c r="AF781" s="24" t="s">
        <v>2043</v>
      </c>
      <c r="AG781" s="22"/>
      <c r="AI781" s="25" t="s">
        <v>176</v>
      </c>
      <c r="AK781" s="40" t="s">
        <v>136</v>
      </c>
      <c r="AL781" s="40"/>
      <c r="AX781" s="27"/>
      <c r="AY781" s="27"/>
      <c r="BK781" s="27"/>
      <c r="BL781" s="27"/>
      <c r="BX781" s="27"/>
      <c r="BY781" s="27"/>
      <c r="CH781" s="29"/>
    </row>
    <row r="782" spans="1:107" x14ac:dyDescent="0.2">
      <c r="A782" s="18">
        <v>10063</v>
      </c>
      <c r="B782" s="19">
        <v>2</v>
      </c>
      <c r="C782" s="19">
        <f t="shared" si="66"/>
        <v>100630002</v>
      </c>
      <c r="D782" s="23" t="s">
        <v>954</v>
      </c>
      <c r="E782" s="20" t="s">
        <v>109</v>
      </c>
      <c r="I782" s="22" t="s">
        <v>206</v>
      </c>
      <c r="J782" s="22"/>
      <c r="K782" s="22"/>
      <c r="L782" s="22"/>
      <c r="M782" s="22"/>
      <c r="N782" s="22" t="s">
        <v>163</v>
      </c>
      <c r="O782" s="22" t="s">
        <v>163</v>
      </c>
      <c r="P782" s="22"/>
      <c r="Q782" s="22" t="s">
        <v>2041</v>
      </c>
      <c r="R782" s="22"/>
      <c r="S782" s="22"/>
      <c r="T782" s="22" t="s">
        <v>2307</v>
      </c>
      <c r="U782" s="116" t="s">
        <v>2615</v>
      </c>
      <c r="V782" s="22" t="s">
        <v>109</v>
      </c>
      <c r="W782" s="22" t="s">
        <v>1</v>
      </c>
      <c r="X782" s="22"/>
      <c r="Z782" s="22"/>
      <c r="AA782" s="22"/>
      <c r="AB782" s="22"/>
      <c r="AC782" s="22" t="s">
        <v>956</v>
      </c>
      <c r="AD782" s="22"/>
      <c r="AE782" s="24"/>
      <c r="AF782" s="24" t="s">
        <v>2043</v>
      </c>
      <c r="AG782" s="22"/>
      <c r="AI782" s="25" t="s">
        <v>260</v>
      </c>
      <c r="AK782" s="40" t="s">
        <v>139</v>
      </c>
      <c r="AL782" s="40"/>
      <c r="AX782" s="27"/>
      <c r="AY782" s="27"/>
      <c r="BK782" s="27"/>
      <c r="BL782" s="27"/>
      <c r="BX782" s="27"/>
      <c r="BY782" s="27"/>
      <c r="CH782" s="29"/>
    </row>
    <row r="783" spans="1:107" x14ac:dyDescent="0.2">
      <c r="A783" s="18">
        <v>10063</v>
      </c>
      <c r="B783" s="19">
        <v>3</v>
      </c>
      <c r="C783" s="19">
        <f t="shared" si="66"/>
        <v>100630003</v>
      </c>
      <c r="D783" s="23" t="s">
        <v>954</v>
      </c>
      <c r="E783" s="20" t="s">
        <v>109</v>
      </c>
      <c r="I783" s="22" t="s">
        <v>206</v>
      </c>
      <c r="J783" s="22"/>
      <c r="K783" s="22"/>
      <c r="L783" s="22"/>
      <c r="M783" s="22"/>
      <c r="N783" s="22" t="s">
        <v>163</v>
      </c>
      <c r="O783" s="22" t="s">
        <v>163</v>
      </c>
      <c r="P783" s="22"/>
      <c r="Q783" s="22" t="s">
        <v>2041</v>
      </c>
      <c r="R783" s="22"/>
      <c r="S783" s="22"/>
      <c r="T783" s="22" t="s">
        <v>2307</v>
      </c>
      <c r="U783" s="116" t="s">
        <v>2616</v>
      </c>
      <c r="V783" s="22" t="s">
        <v>109</v>
      </c>
      <c r="W783" s="22" t="s">
        <v>1</v>
      </c>
      <c r="X783" s="22"/>
      <c r="Z783" s="22"/>
      <c r="AA783" s="22"/>
      <c r="AB783" s="22"/>
      <c r="AC783" s="22" t="s">
        <v>956</v>
      </c>
      <c r="AD783" s="22"/>
      <c r="AE783" s="24"/>
      <c r="AF783" s="24" t="s">
        <v>2043</v>
      </c>
      <c r="AG783" s="22"/>
      <c r="AH783" s="25" t="s">
        <v>968</v>
      </c>
      <c r="AI783" s="25" t="s">
        <v>264</v>
      </c>
      <c r="AK783" s="40" t="s">
        <v>373</v>
      </c>
      <c r="AL783" s="40"/>
      <c r="AX783" s="27"/>
      <c r="AY783" s="27"/>
      <c r="BK783" s="27"/>
      <c r="BL783" s="27"/>
      <c r="BX783" s="27"/>
      <c r="BY783" s="27"/>
      <c r="CH783" s="29"/>
    </row>
    <row r="784" spans="1:107" ht="12.75" customHeight="1" x14ac:dyDescent="0.2">
      <c r="A784" s="18">
        <v>10063</v>
      </c>
      <c r="B784" s="19">
        <v>4</v>
      </c>
      <c r="C784" s="19">
        <f t="shared" si="66"/>
        <v>100630004</v>
      </c>
      <c r="D784" s="23" t="s">
        <v>954</v>
      </c>
      <c r="E784" s="20" t="s">
        <v>109</v>
      </c>
      <c r="I784" s="22" t="s">
        <v>206</v>
      </c>
      <c r="J784" s="22"/>
      <c r="K784" s="22"/>
      <c r="L784" s="22"/>
      <c r="M784" s="22"/>
      <c r="N784" s="22" t="s">
        <v>163</v>
      </c>
      <c r="O784" s="22" t="s">
        <v>163</v>
      </c>
      <c r="P784" s="22"/>
      <c r="Q784" s="22" t="s">
        <v>2041</v>
      </c>
      <c r="R784" s="22"/>
      <c r="S784" s="22"/>
      <c r="T784" s="22" t="s">
        <v>2307</v>
      </c>
      <c r="U784" s="116" t="s">
        <v>2617</v>
      </c>
      <c r="V784" s="22" t="s">
        <v>109</v>
      </c>
      <c r="W784" s="22" t="s">
        <v>1</v>
      </c>
      <c r="X784" s="22"/>
      <c r="Z784" s="22"/>
      <c r="AA784" s="22"/>
      <c r="AB784" s="22"/>
      <c r="AC784" s="22" t="s">
        <v>956</v>
      </c>
      <c r="AD784" s="22"/>
      <c r="AE784" s="24"/>
      <c r="AF784" s="24" t="s">
        <v>2043</v>
      </c>
      <c r="AG784" s="22"/>
      <c r="AH784" s="25" t="s">
        <v>969</v>
      </c>
      <c r="AI784" s="25" t="s">
        <v>265</v>
      </c>
      <c r="AK784" s="40" t="s">
        <v>374</v>
      </c>
      <c r="AL784" s="40"/>
      <c r="AX784" s="27"/>
      <c r="AY784" s="27"/>
      <c r="BK784" s="27"/>
      <c r="BL784" s="27"/>
      <c r="BX784" s="27"/>
      <c r="BY784" s="27"/>
      <c r="CH784" s="29"/>
    </row>
    <row r="785" spans="1:86" x14ac:dyDescent="0.2">
      <c r="A785" s="18">
        <v>10063</v>
      </c>
      <c r="B785" s="19">
        <v>5</v>
      </c>
      <c r="C785" s="19">
        <f t="shared" si="66"/>
        <v>100630005</v>
      </c>
      <c r="D785" s="23" t="s">
        <v>954</v>
      </c>
      <c r="E785" s="20" t="s">
        <v>109</v>
      </c>
      <c r="I785" s="22" t="s">
        <v>206</v>
      </c>
      <c r="J785" s="22"/>
      <c r="K785" s="22"/>
      <c r="L785" s="22"/>
      <c r="M785" s="22"/>
      <c r="N785" s="22" t="s">
        <v>163</v>
      </c>
      <c r="O785" s="22" t="s">
        <v>163</v>
      </c>
      <c r="P785" s="22"/>
      <c r="Q785" s="22" t="s">
        <v>2041</v>
      </c>
      <c r="R785" s="22"/>
      <c r="S785" s="22"/>
      <c r="T785" s="22" t="s">
        <v>2307</v>
      </c>
      <c r="U785" s="116" t="s">
        <v>2618</v>
      </c>
      <c r="V785" s="22" t="s">
        <v>109</v>
      </c>
      <c r="W785" s="22" t="s">
        <v>1</v>
      </c>
      <c r="X785" s="22"/>
      <c r="Z785" s="22"/>
      <c r="AA785" s="22"/>
      <c r="AB785" s="22"/>
      <c r="AC785" s="22" t="s">
        <v>956</v>
      </c>
      <c r="AD785" s="22"/>
      <c r="AE785" s="24"/>
      <c r="AF785" s="24" t="s">
        <v>2043</v>
      </c>
      <c r="AG785" s="22"/>
      <c r="AH785" s="25" t="s">
        <v>970</v>
      </c>
      <c r="AI785" s="25" t="s">
        <v>266</v>
      </c>
      <c r="AK785" s="40" t="s">
        <v>375</v>
      </c>
      <c r="AL785" s="40"/>
      <c r="AX785" s="27"/>
      <c r="AY785" s="27"/>
      <c r="BK785" s="27"/>
      <c r="BL785" s="27"/>
      <c r="BX785" s="27"/>
      <c r="BY785" s="27"/>
      <c r="CH785" s="29"/>
    </row>
    <row r="786" spans="1:86" x14ac:dyDescent="0.2">
      <c r="A786" s="18">
        <v>10064</v>
      </c>
      <c r="B786" s="19">
        <v>1</v>
      </c>
      <c r="C786" s="19">
        <f t="shared" si="66"/>
        <v>100640001</v>
      </c>
      <c r="D786" s="23" t="s">
        <v>897</v>
      </c>
      <c r="E786" s="20" t="s">
        <v>109</v>
      </c>
      <c r="I786" s="22" t="s">
        <v>206</v>
      </c>
      <c r="J786" s="22"/>
      <c r="K786" s="22"/>
      <c r="L786" s="22"/>
      <c r="M786" s="22"/>
      <c r="N786" s="22" t="s">
        <v>163</v>
      </c>
      <c r="O786" s="22" t="s">
        <v>163</v>
      </c>
      <c r="P786" s="22"/>
      <c r="Q786" s="22" t="s">
        <v>2041</v>
      </c>
      <c r="R786" s="22"/>
      <c r="S786" s="22"/>
      <c r="T786" s="22" t="s">
        <v>2307</v>
      </c>
      <c r="U786" s="116" t="s">
        <v>2619</v>
      </c>
      <c r="V786" s="22" t="s">
        <v>109</v>
      </c>
      <c r="W786" s="22" t="s">
        <v>1</v>
      </c>
      <c r="X786" s="22"/>
      <c r="Z786" s="22"/>
      <c r="AA786" s="22"/>
      <c r="AB786" s="22"/>
      <c r="AC786" s="22" t="s">
        <v>898</v>
      </c>
      <c r="AD786" s="22"/>
      <c r="AE786" s="24"/>
      <c r="AF786" s="24" t="s">
        <v>2043</v>
      </c>
      <c r="AG786" s="22"/>
      <c r="AI786" s="25" t="s">
        <v>176</v>
      </c>
      <c r="AK786" s="40" t="s">
        <v>136</v>
      </c>
      <c r="AL786" s="40"/>
      <c r="AX786" s="27"/>
      <c r="AY786" s="27"/>
      <c r="BK786" s="27"/>
      <c r="BL786" s="27"/>
      <c r="BX786" s="27"/>
      <c r="BY786" s="27"/>
      <c r="CH786" s="29"/>
    </row>
    <row r="787" spans="1:86" x14ac:dyDescent="0.2">
      <c r="A787" s="18">
        <v>10064</v>
      </c>
      <c r="B787" s="19">
        <v>2</v>
      </c>
      <c r="C787" s="19">
        <f t="shared" si="66"/>
        <v>100640002</v>
      </c>
      <c r="D787" s="23" t="s">
        <v>897</v>
      </c>
      <c r="E787" s="20" t="s">
        <v>109</v>
      </c>
      <c r="I787" s="22" t="s">
        <v>206</v>
      </c>
      <c r="J787" s="22"/>
      <c r="K787" s="22"/>
      <c r="L787" s="22"/>
      <c r="M787" s="22"/>
      <c r="N787" s="22" t="s">
        <v>163</v>
      </c>
      <c r="O787" s="22" t="s">
        <v>163</v>
      </c>
      <c r="P787" s="22"/>
      <c r="Q787" s="22" t="s">
        <v>2041</v>
      </c>
      <c r="R787" s="22"/>
      <c r="S787" s="22"/>
      <c r="T787" s="22" t="s">
        <v>2307</v>
      </c>
      <c r="U787" s="116" t="s">
        <v>2620</v>
      </c>
      <c r="V787" s="22" t="s">
        <v>109</v>
      </c>
      <c r="W787" s="22" t="s">
        <v>1</v>
      </c>
      <c r="X787" s="22"/>
      <c r="Z787" s="22"/>
      <c r="AA787" s="22"/>
      <c r="AB787" s="22"/>
      <c r="AC787" s="22" t="s">
        <v>898</v>
      </c>
      <c r="AD787" s="22"/>
      <c r="AE787" s="24"/>
      <c r="AF787" s="24" t="s">
        <v>2043</v>
      </c>
      <c r="AG787" s="22"/>
      <c r="AI787" s="25" t="s">
        <v>260</v>
      </c>
      <c r="AK787" s="40" t="s">
        <v>139</v>
      </c>
      <c r="AL787" s="40"/>
      <c r="AX787" s="27"/>
      <c r="AY787" s="27"/>
      <c r="BK787" s="27"/>
      <c r="BL787" s="27"/>
      <c r="BX787" s="27"/>
      <c r="BY787" s="27"/>
      <c r="CH787" s="29"/>
    </row>
    <row r="788" spans="1:86" x14ac:dyDescent="0.2">
      <c r="A788" s="18">
        <v>10064</v>
      </c>
      <c r="B788" s="19">
        <v>3</v>
      </c>
      <c r="C788" s="19">
        <f t="shared" si="66"/>
        <v>100640003</v>
      </c>
      <c r="D788" s="23" t="s">
        <v>897</v>
      </c>
      <c r="E788" s="20" t="s">
        <v>109</v>
      </c>
      <c r="I788" s="22" t="s">
        <v>206</v>
      </c>
      <c r="J788" s="22"/>
      <c r="K788" s="22"/>
      <c r="L788" s="22"/>
      <c r="M788" s="22"/>
      <c r="N788" s="22" t="s">
        <v>163</v>
      </c>
      <c r="O788" s="22" t="s">
        <v>163</v>
      </c>
      <c r="P788" s="22"/>
      <c r="Q788" s="22" t="s">
        <v>2041</v>
      </c>
      <c r="R788" s="22"/>
      <c r="S788" s="22"/>
      <c r="T788" s="22" t="s">
        <v>2307</v>
      </c>
      <c r="U788" s="116" t="s">
        <v>2621</v>
      </c>
      <c r="V788" s="22" t="s">
        <v>109</v>
      </c>
      <c r="W788" s="22" t="s">
        <v>1</v>
      </c>
      <c r="X788" s="22"/>
      <c r="Z788" s="22"/>
      <c r="AA788" s="22"/>
      <c r="AB788" s="22"/>
      <c r="AC788" s="22" t="s">
        <v>898</v>
      </c>
      <c r="AD788" s="22"/>
      <c r="AE788" s="24"/>
      <c r="AF788" s="24" t="s">
        <v>2043</v>
      </c>
      <c r="AG788" s="22"/>
      <c r="AH788" s="25" t="s">
        <v>899</v>
      </c>
      <c r="AI788" s="25" t="s">
        <v>264</v>
      </c>
      <c r="AK788" s="40" t="s">
        <v>373</v>
      </c>
      <c r="AL788" s="40"/>
      <c r="AX788" s="27"/>
      <c r="AY788" s="27"/>
      <c r="BK788" s="27"/>
      <c r="BL788" s="27"/>
      <c r="BX788" s="27"/>
      <c r="BY788" s="27"/>
      <c r="CH788" s="29"/>
    </row>
    <row r="789" spans="1:86" ht="12.75" customHeight="1" x14ac:dyDescent="0.2">
      <c r="A789" s="18">
        <v>10064</v>
      </c>
      <c r="B789" s="19">
        <v>4</v>
      </c>
      <c r="C789" s="19">
        <f t="shared" si="66"/>
        <v>100640004</v>
      </c>
      <c r="D789" s="23" t="s">
        <v>897</v>
      </c>
      <c r="E789" s="20" t="s">
        <v>109</v>
      </c>
      <c r="I789" s="22" t="s">
        <v>206</v>
      </c>
      <c r="J789" s="22"/>
      <c r="K789" s="22"/>
      <c r="L789" s="22"/>
      <c r="M789" s="22"/>
      <c r="N789" s="22" t="s">
        <v>163</v>
      </c>
      <c r="O789" s="22" t="s">
        <v>163</v>
      </c>
      <c r="P789" s="22"/>
      <c r="Q789" s="22" t="s">
        <v>2041</v>
      </c>
      <c r="R789" s="22"/>
      <c r="S789" s="22"/>
      <c r="T789" s="22" t="s">
        <v>2307</v>
      </c>
      <c r="U789" s="116" t="s">
        <v>2622</v>
      </c>
      <c r="V789" s="22" t="s">
        <v>109</v>
      </c>
      <c r="W789" s="22" t="s">
        <v>1</v>
      </c>
      <c r="X789" s="22"/>
      <c r="Z789" s="22"/>
      <c r="AA789" s="22"/>
      <c r="AB789" s="22"/>
      <c r="AC789" s="22" t="s">
        <v>898</v>
      </c>
      <c r="AD789" s="22"/>
      <c r="AE789" s="24"/>
      <c r="AF789" s="24" t="s">
        <v>2043</v>
      </c>
      <c r="AG789" s="22"/>
      <c r="AH789" s="25" t="s">
        <v>900</v>
      </c>
      <c r="AI789" s="25" t="s">
        <v>265</v>
      </c>
      <c r="AK789" s="40" t="s">
        <v>374</v>
      </c>
      <c r="AL789" s="40"/>
      <c r="AX789" s="27"/>
      <c r="AY789" s="27"/>
      <c r="BK789" s="27"/>
      <c r="BL789" s="27"/>
      <c r="BX789" s="27"/>
      <c r="BY789" s="27"/>
      <c r="CH789" s="29"/>
    </row>
    <row r="790" spans="1:86" x14ac:dyDescent="0.2">
      <c r="A790" s="18">
        <v>10064</v>
      </c>
      <c r="B790" s="19">
        <v>5</v>
      </c>
      <c r="C790" s="19">
        <f t="shared" si="66"/>
        <v>100640005</v>
      </c>
      <c r="D790" s="23" t="s">
        <v>897</v>
      </c>
      <c r="E790" s="20" t="s">
        <v>109</v>
      </c>
      <c r="I790" s="22" t="s">
        <v>206</v>
      </c>
      <c r="J790" s="22"/>
      <c r="K790" s="22"/>
      <c r="L790" s="22"/>
      <c r="M790" s="22"/>
      <c r="N790" s="22" t="s">
        <v>163</v>
      </c>
      <c r="O790" s="22" t="s">
        <v>163</v>
      </c>
      <c r="P790" s="22"/>
      <c r="Q790" s="22" t="s">
        <v>2041</v>
      </c>
      <c r="R790" s="22"/>
      <c r="S790" s="22"/>
      <c r="T790" s="22" t="s">
        <v>2307</v>
      </c>
      <c r="U790" s="116" t="s">
        <v>2623</v>
      </c>
      <c r="V790" s="22" t="s">
        <v>109</v>
      </c>
      <c r="W790" s="22" t="s">
        <v>1</v>
      </c>
      <c r="X790" s="22"/>
      <c r="Z790" s="22"/>
      <c r="AA790" s="22"/>
      <c r="AB790" s="22"/>
      <c r="AC790" s="22" t="s">
        <v>898</v>
      </c>
      <c r="AD790" s="22"/>
      <c r="AE790" s="24"/>
      <c r="AF790" s="24" t="s">
        <v>2043</v>
      </c>
      <c r="AG790" s="22"/>
      <c r="AH790" s="25" t="s">
        <v>901</v>
      </c>
      <c r="AI790" s="25" t="s">
        <v>266</v>
      </c>
      <c r="AK790" s="40" t="s">
        <v>375</v>
      </c>
      <c r="AL790" s="40"/>
      <c r="AX790" s="27"/>
      <c r="AY790" s="27"/>
      <c r="BK790" s="27"/>
      <c r="BL790" s="27"/>
      <c r="BX790" s="27"/>
      <c r="BY790" s="27"/>
      <c r="CH790" s="29"/>
    </row>
    <row r="791" spans="1:86" x14ac:dyDescent="0.2">
      <c r="A791" s="18">
        <v>10065</v>
      </c>
      <c r="B791" s="19">
        <v>1</v>
      </c>
      <c r="C791" s="19">
        <f t="shared" si="66"/>
        <v>100650001</v>
      </c>
      <c r="D791" s="23" t="s">
        <v>964</v>
      </c>
      <c r="E791" s="20" t="s">
        <v>109</v>
      </c>
      <c r="I791" s="22" t="s">
        <v>206</v>
      </c>
      <c r="J791" s="22"/>
      <c r="K791" s="22"/>
      <c r="L791" s="22"/>
      <c r="M791" s="22"/>
      <c r="N791" s="22" t="s">
        <v>163</v>
      </c>
      <c r="O791" s="22" t="s">
        <v>163</v>
      </c>
      <c r="P791" s="22"/>
      <c r="Q791" s="22" t="s">
        <v>2041</v>
      </c>
      <c r="R791" s="22"/>
      <c r="S791" s="22"/>
      <c r="T791" s="22" t="s">
        <v>2307</v>
      </c>
      <c r="U791" s="116" t="s">
        <v>2624</v>
      </c>
      <c r="V791" s="22" t="s">
        <v>109</v>
      </c>
      <c r="W791" s="22" t="s">
        <v>1</v>
      </c>
      <c r="X791" s="22"/>
      <c r="Z791" s="22"/>
      <c r="AA791" s="22"/>
      <c r="AB791" s="22"/>
      <c r="AC791" s="22" t="s">
        <v>945</v>
      </c>
      <c r="AD791" s="22"/>
      <c r="AE791" s="24"/>
      <c r="AF791" s="24" t="s">
        <v>2043</v>
      </c>
      <c r="AG791" s="22"/>
      <c r="AI791" s="25" t="s">
        <v>176</v>
      </c>
      <c r="AK791" s="40" t="s">
        <v>136</v>
      </c>
      <c r="AL791" s="40"/>
      <c r="AX791" s="27"/>
      <c r="AY791" s="27"/>
      <c r="BK791" s="27"/>
      <c r="BL791" s="27"/>
      <c r="BX791" s="27"/>
      <c r="BY791" s="27"/>
      <c r="CH791" s="29"/>
    </row>
    <row r="792" spans="1:86" x14ac:dyDescent="0.2">
      <c r="A792" s="18">
        <v>10065</v>
      </c>
      <c r="B792" s="19">
        <v>2</v>
      </c>
      <c r="C792" s="19">
        <f t="shared" si="66"/>
        <v>100650002</v>
      </c>
      <c r="D792" s="23" t="s">
        <v>964</v>
      </c>
      <c r="E792" s="20" t="s">
        <v>109</v>
      </c>
      <c r="I792" s="22" t="s">
        <v>206</v>
      </c>
      <c r="J792" s="22"/>
      <c r="K792" s="22"/>
      <c r="L792" s="22"/>
      <c r="M792" s="22"/>
      <c r="N792" s="22" t="s">
        <v>163</v>
      </c>
      <c r="O792" s="22" t="s">
        <v>163</v>
      </c>
      <c r="P792" s="22"/>
      <c r="Q792" s="22" t="s">
        <v>2041</v>
      </c>
      <c r="R792" s="22"/>
      <c r="S792" s="22"/>
      <c r="T792" s="22" t="s">
        <v>2307</v>
      </c>
      <c r="U792" s="116" t="s">
        <v>2625</v>
      </c>
      <c r="V792" s="22" t="s">
        <v>109</v>
      </c>
      <c r="W792" s="22" t="s">
        <v>1</v>
      </c>
      <c r="X792" s="22"/>
      <c r="Z792" s="22"/>
      <c r="AA792" s="22"/>
      <c r="AB792" s="22"/>
      <c r="AC792" s="22" t="s">
        <v>945</v>
      </c>
      <c r="AD792" s="22"/>
      <c r="AE792" s="24"/>
      <c r="AF792" s="24" t="s">
        <v>2043</v>
      </c>
      <c r="AG792" s="22"/>
      <c r="AI792" s="25" t="s">
        <v>260</v>
      </c>
      <c r="AK792" s="40" t="s">
        <v>139</v>
      </c>
      <c r="AL792" s="40"/>
      <c r="AX792" s="27"/>
      <c r="AY792" s="27"/>
      <c r="BK792" s="27"/>
      <c r="BL792" s="27"/>
      <c r="BX792" s="27"/>
      <c r="BY792" s="27"/>
      <c r="CH792" s="29"/>
    </row>
    <row r="793" spans="1:86" x14ac:dyDescent="0.2">
      <c r="A793" s="18">
        <v>10065</v>
      </c>
      <c r="B793" s="19">
        <v>3</v>
      </c>
      <c r="C793" s="19">
        <f t="shared" si="66"/>
        <v>100650003</v>
      </c>
      <c r="D793" s="23" t="s">
        <v>964</v>
      </c>
      <c r="E793" s="20" t="s">
        <v>109</v>
      </c>
      <c r="I793" s="22" t="s">
        <v>206</v>
      </c>
      <c r="J793" s="22"/>
      <c r="K793" s="22"/>
      <c r="L793" s="22"/>
      <c r="M793" s="22"/>
      <c r="N793" s="22" t="s">
        <v>163</v>
      </c>
      <c r="O793" s="22" t="s">
        <v>163</v>
      </c>
      <c r="P793" s="22"/>
      <c r="Q793" s="22" t="s">
        <v>2041</v>
      </c>
      <c r="R793" s="22"/>
      <c r="S793" s="22"/>
      <c r="T793" s="22" t="s">
        <v>2307</v>
      </c>
      <c r="U793" s="116" t="s">
        <v>2626</v>
      </c>
      <c r="V793" s="22" t="s">
        <v>109</v>
      </c>
      <c r="W793" s="22" t="s">
        <v>1</v>
      </c>
      <c r="X793" s="22"/>
      <c r="Z793" s="22"/>
      <c r="AA793" s="22"/>
      <c r="AB793" s="22"/>
      <c r="AC793" s="22" t="s">
        <v>945</v>
      </c>
      <c r="AD793" s="22"/>
      <c r="AE793" s="24"/>
      <c r="AF793" s="24" t="s">
        <v>2043</v>
      </c>
      <c r="AG793" s="22"/>
      <c r="AH793" s="25" t="s">
        <v>972</v>
      </c>
      <c r="AI793" s="25" t="s">
        <v>264</v>
      </c>
      <c r="AK793" s="40" t="s">
        <v>373</v>
      </c>
      <c r="AL793" s="40"/>
      <c r="AX793" s="27"/>
      <c r="AY793" s="27"/>
      <c r="BK793" s="27"/>
      <c r="BL793" s="27"/>
      <c r="BX793" s="27"/>
      <c r="BY793" s="27"/>
      <c r="CH793" s="29"/>
    </row>
    <row r="794" spans="1:86" ht="12.75" customHeight="1" x14ac:dyDescent="0.2">
      <c r="A794" s="18">
        <v>10065</v>
      </c>
      <c r="B794" s="19">
        <v>4</v>
      </c>
      <c r="C794" s="19">
        <f t="shared" si="66"/>
        <v>100650004</v>
      </c>
      <c r="D794" s="23" t="s">
        <v>964</v>
      </c>
      <c r="E794" s="20" t="s">
        <v>109</v>
      </c>
      <c r="I794" s="22" t="s">
        <v>206</v>
      </c>
      <c r="J794" s="22"/>
      <c r="K794" s="22"/>
      <c r="L794" s="22"/>
      <c r="M794" s="22"/>
      <c r="N794" s="22" t="s">
        <v>163</v>
      </c>
      <c r="O794" s="22" t="s">
        <v>163</v>
      </c>
      <c r="P794" s="22"/>
      <c r="Q794" s="22" t="s">
        <v>2041</v>
      </c>
      <c r="R794" s="22"/>
      <c r="S794" s="22"/>
      <c r="T794" s="22" t="s">
        <v>2307</v>
      </c>
      <c r="U794" s="116" t="s">
        <v>2627</v>
      </c>
      <c r="V794" s="22" t="s">
        <v>109</v>
      </c>
      <c r="W794" s="22" t="s">
        <v>1</v>
      </c>
      <c r="X794" s="22"/>
      <c r="Z794" s="22"/>
      <c r="AA794" s="22"/>
      <c r="AB794" s="22"/>
      <c r="AC794" s="22" t="s">
        <v>945</v>
      </c>
      <c r="AD794" s="22"/>
      <c r="AE794" s="24"/>
      <c r="AF794" s="24" t="s">
        <v>2043</v>
      </c>
      <c r="AG794" s="22"/>
      <c r="AH794" s="25" t="s">
        <v>971</v>
      </c>
      <c r="AI794" s="25" t="s">
        <v>265</v>
      </c>
      <c r="AK794" s="40" t="s">
        <v>374</v>
      </c>
      <c r="AL794" s="40"/>
      <c r="AX794" s="27"/>
      <c r="AY794" s="27"/>
      <c r="BK794" s="27"/>
      <c r="BL794" s="27"/>
      <c r="BX794" s="27"/>
      <c r="BY794" s="27"/>
      <c r="CH794" s="29"/>
    </row>
    <row r="795" spans="1:86" x14ac:dyDescent="0.2">
      <c r="A795" s="18">
        <v>10065</v>
      </c>
      <c r="B795" s="19">
        <v>5</v>
      </c>
      <c r="C795" s="19">
        <f t="shared" si="66"/>
        <v>100650005</v>
      </c>
      <c r="D795" s="23" t="s">
        <v>964</v>
      </c>
      <c r="E795" s="20" t="s">
        <v>109</v>
      </c>
      <c r="I795" s="22" t="s">
        <v>206</v>
      </c>
      <c r="J795" s="22"/>
      <c r="K795" s="22"/>
      <c r="L795" s="22"/>
      <c r="M795" s="22"/>
      <c r="N795" s="22" t="s">
        <v>163</v>
      </c>
      <c r="O795" s="22" t="s">
        <v>163</v>
      </c>
      <c r="P795" s="22"/>
      <c r="Q795" s="22" t="s">
        <v>2041</v>
      </c>
      <c r="R795" s="22"/>
      <c r="S795" s="22"/>
      <c r="T795" s="22" t="s">
        <v>2307</v>
      </c>
      <c r="U795" s="116" t="s">
        <v>2628</v>
      </c>
      <c r="V795" s="22" t="s">
        <v>109</v>
      </c>
      <c r="W795" s="22" t="s">
        <v>1</v>
      </c>
      <c r="X795" s="22"/>
      <c r="Z795" s="22"/>
      <c r="AA795" s="22"/>
      <c r="AB795" s="22"/>
      <c r="AC795" s="22" t="s">
        <v>945</v>
      </c>
      <c r="AD795" s="22"/>
      <c r="AE795" s="24"/>
      <c r="AF795" s="24" t="s">
        <v>2043</v>
      </c>
      <c r="AG795" s="22"/>
      <c r="AH795" s="25" t="s">
        <v>973</v>
      </c>
      <c r="AI795" s="25" t="s">
        <v>266</v>
      </c>
      <c r="AK795" s="40" t="s">
        <v>375</v>
      </c>
      <c r="AL795" s="40"/>
      <c r="AX795" s="27"/>
      <c r="AY795" s="27"/>
      <c r="BK795" s="27"/>
      <c r="BL795" s="27"/>
      <c r="BX795" s="27"/>
      <c r="BY795" s="27"/>
      <c r="CH795" s="29"/>
    </row>
    <row r="796" spans="1:86" x14ac:dyDescent="0.2">
      <c r="A796" s="18">
        <v>10066</v>
      </c>
      <c r="B796" s="19">
        <v>1</v>
      </c>
      <c r="C796" s="19">
        <f t="shared" si="66"/>
        <v>100660001</v>
      </c>
      <c r="D796" s="23" t="s">
        <v>1138</v>
      </c>
      <c r="E796" s="20" t="s">
        <v>109</v>
      </c>
      <c r="I796" s="21" t="s">
        <v>206</v>
      </c>
      <c r="J796" s="21"/>
      <c r="K796" s="21"/>
      <c r="L796" s="21"/>
      <c r="M796" s="21"/>
      <c r="N796" s="21" t="s">
        <v>163</v>
      </c>
      <c r="O796" s="21" t="s">
        <v>163</v>
      </c>
      <c r="P796" s="114"/>
      <c r="Q796" s="114" t="s">
        <v>2041</v>
      </c>
      <c r="R796" s="114"/>
      <c r="S796" s="114"/>
      <c r="T796" s="114" t="s">
        <v>2307</v>
      </c>
      <c r="U796" s="117" t="s">
        <v>2629</v>
      </c>
      <c r="V796" s="21" t="s">
        <v>109</v>
      </c>
      <c r="W796" s="21" t="s">
        <v>1</v>
      </c>
      <c r="X796" s="21"/>
      <c r="Z796" s="21"/>
      <c r="AA796" s="21"/>
      <c r="AB796" s="21"/>
      <c r="AC796" s="21">
        <v>66</v>
      </c>
      <c r="AD796" s="21"/>
      <c r="AE796" s="39"/>
      <c r="AF796" s="24" t="s">
        <v>2043</v>
      </c>
      <c r="AG796" s="21"/>
      <c r="AI796" s="25" t="s">
        <v>176</v>
      </c>
      <c r="AK796" s="27" t="s">
        <v>136</v>
      </c>
      <c r="AL796" s="27"/>
      <c r="AX796" s="27"/>
      <c r="AY796" s="27"/>
      <c r="BK796" s="27"/>
      <c r="BL796" s="27"/>
      <c r="BX796" s="27"/>
      <c r="BY796" s="27"/>
      <c r="CH796" s="29"/>
    </row>
    <row r="797" spans="1:86" x14ac:dyDescent="0.2">
      <c r="A797" s="18">
        <v>10066</v>
      </c>
      <c r="B797" s="19">
        <v>2</v>
      </c>
      <c r="C797" s="19">
        <f t="shared" si="66"/>
        <v>100660002</v>
      </c>
      <c r="D797" s="23" t="s">
        <v>1138</v>
      </c>
      <c r="E797" s="20" t="s">
        <v>109</v>
      </c>
      <c r="I797" s="21" t="s">
        <v>206</v>
      </c>
      <c r="J797" s="21"/>
      <c r="K797" s="21"/>
      <c r="L797" s="21"/>
      <c r="M797" s="21"/>
      <c r="N797" s="21" t="s">
        <v>163</v>
      </c>
      <c r="O797" s="21" t="s">
        <v>163</v>
      </c>
      <c r="P797" s="114"/>
      <c r="Q797" s="114" t="s">
        <v>2041</v>
      </c>
      <c r="R797" s="114"/>
      <c r="S797" s="114"/>
      <c r="T797" s="114" t="s">
        <v>2307</v>
      </c>
      <c r="U797" s="117" t="s">
        <v>2630</v>
      </c>
      <c r="V797" s="21" t="s">
        <v>109</v>
      </c>
      <c r="W797" s="21" t="s">
        <v>1</v>
      </c>
      <c r="X797" s="21"/>
      <c r="Z797" s="21"/>
      <c r="AA797" s="21"/>
      <c r="AB797" s="21"/>
      <c r="AC797" s="21">
        <v>66</v>
      </c>
      <c r="AD797" s="21"/>
      <c r="AE797" s="39"/>
      <c r="AF797" s="24" t="s">
        <v>2043</v>
      </c>
      <c r="AG797" s="21"/>
      <c r="AI797" s="25" t="s">
        <v>260</v>
      </c>
      <c r="AK797" s="27" t="s">
        <v>139</v>
      </c>
      <c r="AL797" s="27"/>
      <c r="AX797" s="27"/>
      <c r="AY797" s="27"/>
      <c r="BK797" s="27"/>
      <c r="BL797" s="27"/>
      <c r="BX797" s="27"/>
      <c r="BY797" s="27"/>
      <c r="CH797" s="29"/>
    </row>
    <row r="798" spans="1:86" x14ac:dyDescent="0.2">
      <c r="A798" s="18">
        <v>10066</v>
      </c>
      <c r="B798" s="19">
        <v>3</v>
      </c>
      <c r="C798" s="19">
        <f t="shared" si="66"/>
        <v>100660003</v>
      </c>
      <c r="D798" s="23" t="s">
        <v>1138</v>
      </c>
      <c r="E798" s="20" t="s">
        <v>109</v>
      </c>
      <c r="I798" s="21" t="s">
        <v>206</v>
      </c>
      <c r="J798" s="21"/>
      <c r="K798" s="21"/>
      <c r="L798" s="21"/>
      <c r="M798" s="21"/>
      <c r="N798" s="21" t="s">
        <v>163</v>
      </c>
      <c r="O798" s="21" t="s">
        <v>163</v>
      </c>
      <c r="P798" s="114"/>
      <c r="Q798" s="114" t="s">
        <v>2041</v>
      </c>
      <c r="R798" s="114"/>
      <c r="S798" s="114"/>
      <c r="T798" s="114" t="s">
        <v>2307</v>
      </c>
      <c r="U798" s="117" t="s">
        <v>2631</v>
      </c>
      <c r="V798" s="21" t="s">
        <v>109</v>
      </c>
      <c r="W798" s="21" t="s">
        <v>1</v>
      </c>
      <c r="X798" s="21"/>
      <c r="Z798" s="21"/>
      <c r="AA798" s="21"/>
      <c r="AB798" s="21"/>
      <c r="AC798" s="21">
        <v>66</v>
      </c>
      <c r="AD798" s="21"/>
      <c r="AE798" s="39"/>
      <c r="AF798" s="24" t="s">
        <v>2043</v>
      </c>
      <c r="AG798" s="21"/>
      <c r="AH798" s="25">
        <v>100663</v>
      </c>
      <c r="AI798" s="25" t="s">
        <v>264</v>
      </c>
      <c r="AK798" s="27" t="s">
        <v>373</v>
      </c>
      <c r="AL798" s="27"/>
      <c r="AX798" s="27"/>
      <c r="AY798" s="27"/>
      <c r="BK798" s="27"/>
      <c r="BL798" s="27"/>
      <c r="BX798" s="27"/>
      <c r="BY798" s="27"/>
      <c r="CH798" s="29"/>
    </row>
    <row r="799" spans="1:86" ht="12.75" customHeight="1" x14ac:dyDescent="0.2">
      <c r="A799" s="18">
        <v>10066</v>
      </c>
      <c r="B799" s="19">
        <v>4</v>
      </c>
      <c r="C799" s="19">
        <f t="shared" si="66"/>
        <v>100660004</v>
      </c>
      <c r="D799" s="23" t="s">
        <v>1138</v>
      </c>
      <c r="E799" s="20" t="s">
        <v>109</v>
      </c>
      <c r="I799" s="21" t="s">
        <v>206</v>
      </c>
      <c r="J799" s="21"/>
      <c r="K799" s="21"/>
      <c r="L799" s="21"/>
      <c r="M799" s="21"/>
      <c r="N799" s="21" t="s">
        <v>163</v>
      </c>
      <c r="O799" s="21" t="s">
        <v>163</v>
      </c>
      <c r="P799" s="114"/>
      <c r="Q799" s="114" t="s">
        <v>2041</v>
      </c>
      <c r="R799" s="114"/>
      <c r="S799" s="114"/>
      <c r="T799" s="114" t="s">
        <v>2307</v>
      </c>
      <c r="U799" s="117" t="s">
        <v>2632</v>
      </c>
      <c r="V799" s="21" t="s">
        <v>109</v>
      </c>
      <c r="W799" s="21" t="s">
        <v>1</v>
      </c>
      <c r="X799" s="21"/>
      <c r="Z799" s="21"/>
      <c r="AA799" s="21"/>
      <c r="AB799" s="21"/>
      <c r="AC799" s="21">
        <v>66</v>
      </c>
      <c r="AD799" s="21"/>
      <c r="AE799" s="39"/>
      <c r="AF799" s="24" t="s">
        <v>2043</v>
      </c>
      <c r="AG799" s="21"/>
      <c r="AH799" s="25">
        <v>100664</v>
      </c>
      <c r="AI799" s="25" t="s">
        <v>265</v>
      </c>
      <c r="AK799" s="27" t="s">
        <v>374</v>
      </c>
      <c r="AL799" s="27"/>
      <c r="AX799" s="27"/>
      <c r="AY799" s="27"/>
      <c r="BK799" s="27"/>
      <c r="BL799" s="27"/>
      <c r="BX799" s="27"/>
      <c r="BY799" s="27"/>
      <c r="CH799" s="29"/>
    </row>
    <row r="800" spans="1:86" x14ac:dyDescent="0.2">
      <c r="A800" s="18">
        <v>10066</v>
      </c>
      <c r="B800" s="19">
        <v>5</v>
      </c>
      <c r="C800" s="19">
        <f t="shared" si="66"/>
        <v>100660005</v>
      </c>
      <c r="D800" s="23" t="s">
        <v>1138</v>
      </c>
      <c r="E800" s="20" t="s">
        <v>109</v>
      </c>
      <c r="I800" s="21" t="s">
        <v>206</v>
      </c>
      <c r="J800" s="21"/>
      <c r="K800" s="21"/>
      <c r="L800" s="21"/>
      <c r="M800" s="21"/>
      <c r="N800" s="21" t="s">
        <v>163</v>
      </c>
      <c r="O800" s="21" t="s">
        <v>163</v>
      </c>
      <c r="P800" s="114"/>
      <c r="Q800" s="114" t="s">
        <v>2041</v>
      </c>
      <c r="R800" s="114"/>
      <c r="S800" s="114"/>
      <c r="T800" s="114" t="s">
        <v>2307</v>
      </c>
      <c r="U800" s="117" t="s">
        <v>2633</v>
      </c>
      <c r="V800" s="21" t="s">
        <v>109</v>
      </c>
      <c r="W800" s="21" t="s">
        <v>1</v>
      </c>
      <c r="X800" s="21"/>
      <c r="Z800" s="21"/>
      <c r="AA800" s="21"/>
      <c r="AB800" s="21"/>
      <c r="AC800" s="21">
        <v>66</v>
      </c>
      <c r="AD800" s="21"/>
      <c r="AE800" s="39"/>
      <c r="AF800" s="24" t="s">
        <v>2043</v>
      </c>
      <c r="AG800" s="21"/>
      <c r="AH800" s="25">
        <v>100665</v>
      </c>
      <c r="AI800" s="25" t="s">
        <v>266</v>
      </c>
      <c r="AK800" s="27" t="s">
        <v>375</v>
      </c>
      <c r="AL800" s="27"/>
      <c r="AX800" s="27"/>
      <c r="AY800" s="27"/>
      <c r="BK800" s="27"/>
      <c r="BL800" s="27"/>
      <c r="BX800" s="27"/>
      <c r="BY800" s="27"/>
      <c r="CH800" s="29"/>
    </row>
    <row r="801" spans="1:107" x14ac:dyDescent="0.2">
      <c r="A801" s="18">
        <v>10067</v>
      </c>
      <c r="B801" s="19">
        <v>1</v>
      </c>
      <c r="C801" s="19">
        <f t="shared" si="66"/>
        <v>100670001</v>
      </c>
      <c r="D801" s="23" t="s">
        <v>1348</v>
      </c>
      <c r="E801" s="20" t="s">
        <v>109</v>
      </c>
      <c r="I801" s="21" t="s">
        <v>206</v>
      </c>
      <c r="J801" s="21"/>
      <c r="K801" s="21"/>
      <c r="L801" s="21"/>
      <c r="M801" s="21"/>
      <c r="N801" s="21" t="s">
        <v>163</v>
      </c>
      <c r="O801" s="21" t="s">
        <v>163</v>
      </c>
      <c r="P801" s="114"/>
      <c r="Q801" s="114" t="s">
        <v>2041</v>
      </c>
      <c r="R801" s="114"/>
      <c r="S801" s="114"/>
      <c r="T801" s="114" t="s">
        <v>2307</v>
      </c>
      <c r="U801" s="117" t="s">
        <v>2634</v>
      </c>
      <c r="V801" s="21" t="s">
        <v>109</v>
      </c>
      <c r="W801" s="21" t="s">
        <v>1</v>
      </c>
      <c r="X801" s="21"/>
      <c r="Z801" s="21"/>
      <c r="AA801" s="21"/>
      <c r="AB801" s="21"/>
      <c r="AC801" s="21">
        <v>67</v>
      </c>
      <c r="AD801" s="21"/>
      <c r="AE801" s="39"/>
      <c r="AF801" s="24" t="s">
        <v>2043</v>
      </c>
      <c r="AG801" s="21"/>
      <c r="AI801" s="25" t="s">
        <v>176</v>
      </c>
      <c r="AK801" s="27" t="s">
        <v>136</v>
      </c>
      <c r="AL801" s="27"/>
      <c r="AX801" s="27"/>
      <c r="AY801" s="27"/>
      <c r="BK801" s="27"/>
      <c r="BL801" s="27"/>
      <c r="BX801" s="27"/>
      <c r="BY801" s="27"/>
      <c r="CH801" s="29"/>
    </row>
    <row r="802" spans="1:107" x14ac:dyDescent="0.2">
      <c r="A802" s="18">
        <v>10067</v>
      </c>
      <c r="B802" s="19">
        <v>2</v>
      </c>
      <c r="C802" s="19">
        <f t="shared" si="66"/>
        <v>100670002</v>
      </c>
      <c r="D802" s="23" t="s">
        <v>1348</v>
      </c>
      <c r="E802" s="20" t="s">
        <v>109</v>
      </c>
      <c r="I802" s="21" t="s">
        <v>206</v>
      </c>
      <c r="J802" s="21"/>
      <c r="K802" s="21"/>
      <c r="L802" s="21"/>
      <c r="M802" s="21"/>
      <c r="N802" s="21" t="s">
        <v>163</v>
      </c>
      <c r="O802" s="21" t="s">
        <v>163</v>
      </c>
      <c r="P802" s="114"/>
      <c r="Q802" s="114" t="s">
        <v>2041</v>
      </c>
      <c r="R802" s="114"/>
      <c r="S802" s="114"/>
      <c r="T802" s="114" t="s">
        <v>2307</v>
      </c>
      <c r="U802" s="117" t="s">
        <v>2635</v>
      </c>
      <c r="V802" s="21" t="s">
        <v>109</v>
      </c>
      <c r="W802" s="21" t="s">
        <v>1</v>
      </c>
      <c r="X802" s="21"/>
      <c r="Z802" s="21"/>
      <c r="AA802" s="21"/>
      <c r="AB802" s="21"/>
      <c r="AC802" s="21">
        <v>67</v>
      </c>
      <c r="AD802" s="21"/>
      <c r="AE802" s="39"/>
      <c r="AF802" s="24" t="s">
        <v>2043</v>
      </c>
      <c r="AG802" s="21"/>
      <c r="AI802" s="25" t="s">
        <v>260</v>
      </c>
      <c r="AK802" s="27" t="s">
        <v>139</v>
      </c>
      <c r="AL802" s="27"/>
      <c r="AX802" s="27"/>
      <c r="AY802" s="27"/>
      <c r="BK802" s="27"/>
      <c r="BL802" s="27"/>
      <c r="BX802" s="27"/>
      <c r="BY802" s="27"/>
      <c r="CH802" s="29"/>
    </row>
    <row r="803" spans="1:107" x14ac:dyDescent="0.2">
      <c r="A803" s="18">
        <v>10067</v>
      </c>
      <c r="B803" s="19">
        <v>3</v>
      </c>
      <c r="C803" s="19">
        <f t="shared" si="66"/>
        <v>100670003</v>
      </c>
      <c r="D803" s="23" t="s">
        <v>1348</v>
      </c>
      <c r="E803" s="20" t="s">
        <v>109</v>
      </c>
      <c r="I803" s="21" t="s">
        <v>206</v>
      </c>
      <c r="J803" s="21"/>
      <c r="K803" s="21"/>
      <c r="L803" s="21"/>
      <c r="M803" s="21"/>
      <c r="N803" s="21" t="s">
        <v>163</v>
      </c>
      <c r="O803" s="21" t="s">
        <v>163</v>
      </c>
      <c r="P803" s="114"/>
      <c r="Q803" s="114" t="s">
        <v>2041</v>
      </c>
      <c r="R803" s="114"/>
      <c r="S803" s="114"/>
      <c r="T803" s="114" t="s">
        <v>2307</v>
      </c>
      <c r="U803" s="117" t="s">
        <v>2636</v>
      </c>
      <c r="V803" s="21" t="s">
        <v>109</v>
      </c>
      <c r="W803" s="21" t="s">
        <v>1</v>
      </c>
      <c r="X803" s="21"/>
      <c r="Z803" s="21"/>
      <c r="AA803" s="21"/>
      <c r="AB803" s="21"/>
      <c r="AC803" s="21">
        <v>67</v>
      </c>
      <c r="AD803" s="21"/>
      <c r="AE803" s="39"/>
      <c r="AF803" s="24" t="s">
        <v>2043</v>
      </c>
      <c r="AG803" s="21"/>
      <c r="AH803" s="25">
        <v>100673</v>
      </c>
      <c r="AI803" s="25" t="s">
        <v>264</v>
      </c>
      <c r="AK803" s="27" t="s">
        <v>373</v>
      </c>
      <c r="AL803" s="27"/>
      <c r="AX803" s="27"/>
      <c r="AY803" s="27"/>
      <c r="BK803" s="27"/>
      <c r="BL803" s="27"/>
      <c r="BX803" s="27"/>
      <c r="BY803" s="27"/>
      <c r="CH803" s="29"/>
    </row>
    <row r="804" spans="1:107" ht="12.75" customHeight="1" x14ac:dyDescent="0.2">
      <c r="A804" s="18">
        <v>10067</v>
      </c>
      <c r="B804" s="19">
        <v>4</v>
      </c>
      <c r="C804" s="19">
        <f t="shared" si="66"/>
        <v>100670004</v>
      </c>
      <c r="D804" s="23" t="s">
        <v>1348</v>
      </c>
      <c r="E804" s="20" t="s">
        <v>109</v>
      </c>
      <c r="I804" s="21" t="s">
        <v>206</v>
      </c>
      <c r="J804" s="21"/>
      <c r="K804" s="21"/>
      <c r="L804" s="21"/>
      <c r="M804" s="21"/>
      <c r="N804" s="21" t="s">
        <v>163</v>
      </c>
      <c r="O804" s="21" t="s">
        <v>163</v>
      </c>
      <c r="P804" s="114"/>
      <c r="Q804" s="114" t="s">
        <v>2041</v>
      </c>
      <c r="R804" s="114"/>
      <c r="S804" s="114"/>
      <c r="T804" s="114" t="s">
        <v>2307</v>
      </c>
      <c r="U804" s="117" t="s">
        <v>2637</v>
      </c>
      <c r="V804" s="21" t="s">
        <v>109</v>
      </c>
      <c r="W804" s="21" t="s">
        <v>1</v>
      </c>
      <c r="X804" s="21"/>
      <c r="Z804" s="21"/>
      <c r="AA804" s="21"/>
      <c r="AB804" s="21"/>
      <c r="AC804" s="21">
        <v>67</v>
      </c>
      <c r="AD804" s="21"/>
      <c r="AE804" s="39"/>
      <c r="AF804" s="24" t="s">
        <v>2043</v>
      </c>
      <c r="AG804" s="21"/>
      <c r="AH804" s="25">
        <v>100674</v>
      </c>
      <c r="AI804" s="25" t="s">
        <v>265</v>
      </c>
      <c r="AK804" s="27" t="s">
        <v>374</v>
      </c>
      <c r="AL804" s="27"/>
      <c r="AX804" s="27"/>
      <c r="AY804" s="27"/>
      <c r="BK804" s="27"/>
      <c r="BL804" s="27"/>
      <c r="BX804" s="27"/>
      <c r="BY804" s="27"/>
      <c r="CH804" s="29"/>
    </row>
    <row r="805" spans="1:107" x14ac:dyDescent="0.2">
      <c r="A805" s="18">
        <v>10067</v>
      </c>
      <c r="B805" s="19">
        <v>5</v>
      </c>
      <c r="C805" s="19">
        <f t="shared" si="66"/>
        <v>100670005</v>
      </c>
      <c r="D805" s="23" t="s">
        <v>1348</v>
      </c>
      <c r="E805" s="20" t="s">
        <v>109</v>
      </c>
      <c r="I805" s="21" t="s">
        <v>206</v>
      </c>
      <c r="J805" s="21"/>
      <c r="K805" s="21"/>
      <c r="L805" s="21"/>
      <c r="M805" s="21"/>
      <c r="N805" s="21" t="s">
        <v>163</v>
      </c>
      <c r="O805" s="21" t="s">
        <v>163</v>
      </c>
      <c r="P805" s="114"/>
      <c r="Q805" s="114" t="s">
        <v>2041</v>
      </c>
      <c r="R805" s="114"/>
      <c r="S805" s="114"/>
      <c r="T805" s="114" t="s">
        <v>2307</v>
      </c>
      <c r="U805" s="117" t="s">
        <v>2638</v>
      </c>
      <c r="V805" s="21" t="s">
        <v>109</v>
      </c>
      <c r="W805" s="21" t="s">
        <v>1</v>
      </c>
      <c r="X805" s="21"/>
      <c r="Z805" s="21"/>
      <c r="AA805" s="21"/>
      <c r="AB805" s="21"/>
      <c r="AC805" s="21">
        <v>67</v>
      </c>
      <c r="AD805" s="21"/>
      <c r="AE805" s="39"/>
      <c r="AF805" s="24" t="s">
        <v>2043</v>
      </c>
      <c r="AG805" s="21"/>
      <c r="AH805" s="25">
        <v>100675</v>
      </c>
      <c r="AI805" s="25" t="s">
        <v>266</v>
      </c>
      <c r="AK805" s="27" t="s">
        <v>375</v>
      </c>
      <c r="AL805" s="27"/>
      <c r="AX805" s="27"/>
      <c r="AY805" s="27"/>
      <c r="BK805" s="27"/>
      <c r="BL805" s="27"/>
      <c r="BX805" s="27"/>
      <c r="BY805" s="27"/>
      <c r="CH805" s="29"/>
    </row>
    <row r="806" spans="1:107" s="128" customFormat="1" x14ac:dyDescent="0.2">
      <c r="A806" s="184">
        <v>10068</v>
      </c>
      <c r="B806" s="185">
        <v>1</v>
      </c>
      <c r="C806" s="185">
        <f t="shared" si="66"/>
        <v>100680001</v>
      </c>
      <c r="D806" s="128" t="s">
        <v>1665</v>
      </c>
      <c r="E806" s="129" t="s">
        <v>109</v>
      </c>
      <c r="F806" s="129"/>
      <c r="G806" s="129"/>
      <c r="H806" s="129"/>
      <c r="I806" s="114" t="s">
        <v>206</v>
      </c>
      <c r="J806" s="114"/>
      <c r="K806" s="114"/>
      <c r="L806" s="114"/>
      <c r="M806" s="114"/>
      <c r="N806" s="114" t="s">
        <v>163</v>
      </c>
      <c r="O806" s="114" t="s">
        <v>163</v>
      </c>
      <c r="P806" s="114"/>
      <c r="Q806" s="114" t="s">
        <v>2041</v>
      </c>
      <c r="R806" s="114"/>
      <c r="S806" s="114"/>
      <c r="T806" s="114" t="s">
        <v>2307</v>
      </c>
      <c r="U806" s="117" t="s">
        <v>2639</v>
      </c>
      <c r="V806" s="114" t="s">
        <v>109</v>
      </c>
      <c r="W806" s="114" t="s">
        <v>1</v>
      </c>
      <c r="X806" s="114"/>
      <c r="Z806" s="114"/>
      <c r="AA806" s="114"/>
      <c r="AB806" s="114"/>
      <c r="AC806" s="114">
        <v>68</v>
      </c>
      <c r="AD806" s="114"/>
      <c r="AE806" s="130"/>
      <c r="AF806" s="130" t="s">
        <v>2043</v>
      </c>
      <c r="AG806" s="114"/>
      <c r="AH806" s="131"/>
      <c r="AI806" s="131" t="s">
        <v>176</v>
      </c>
      <c r="AJ806" s="131"/>
      <c r="AK806" s="132" t="s">
        <v>136</v>
      </c>
      <c r="AL806" s="132"/>
      <c r="AM806" s="134"/>
      <c r="AN806" s="134"/>
      <c r="AO806" s="134"/>
      <c r="AP806" s="134"/>
      <c r="AQ806" s="134"/>
      <c r="AR806" s="134"/>
      <c r="AS806" s="134"/>
      <c r="AT806" s="134"/>
      <c r="AU806" s="131"/>
      <c r="AV806" s="131"/>
      <c r="AW806" s="131"/>
      <c r="AX806" s="132"/>
      <c r="AY806" s="132"/>
      <c r="AZ806" s="134"/>
      <c r="BA806" s="134"/>
      <c r="BB806" s="134"/>
      <c r="BC806" s="134"/>
      <c r="BD806" s="134"/>
      <c r="BE806" s="134"/>
      <c r="BF806" s="134"/>
      <c r="BG806" s="134"/>
      <c r="BH806" s="131"/>
      <c r="BI806" s="131"/>
      <c r="BJ806" s="131"/>
      <c r="BK806" s="132"/>
      <c r="BL806" s="132"/>
      <c r="BM806" s="134"/>
      <c r="BN806" s="134"/>
      <c r="BO806" s="134"/>
      <c r="BP806" s="134"/>
      <c r="BQ806" s="134"/>
      <c r="BR806" s="134"/>
      <c r="BS806" s="134"/>
      <c r="BT806" s="134"/>
      <c r="BU806" s="131"/>
      <c r="BV806" s="131"/>
      <c r="BW806" s="131"/>
      <c r="BX806" s="132"/>
      <c r="BY806" s="132"/>
      <c r="BZ806" s="134"/>
      <c r="CA806" s="134"/>
      <c r="CB806" s="134"/>
      <c r="CC806" s="134"/>
      <c r="CD806" s="134"/>
      <c r="CE806" s="134"/>
      <c r="CF806" s="134"/>
      <c r="CG806" s="134"/>
      <c r="CH806" s="127"/>
      <c r="CJ806" s="134"/>
      <c r="CT806" s="135"/>
      <c r="CU806" s="135"/>
      <c r="CV806" s="135"/>
      <c r="CW806" s="135"/>
      <c r="CX806" s="135"/>
      <c r="CY806" s="135"/>
      <c r="CZ806" s="135"/>
      <c r="DA806" s="135"/>
      <c r="DB806" s="135"/>
      <c r="DC806" s="134"/>
    </row>
    <row r="807" spans="1:107" s="128" customFormat="1" x14ac:dyDescent="0.2">
      <c r="A807" s="184">
        <v>10068</v>
      </c>
      <c r="B807" s="185">
        <v>2</v>
      </c>
      <c r="C807" s="185">
        <f t="shared" si="66"/>
        <v>100680002</v>
      </c>
      <c r="D807" s="128" t="s">
        <v>1665</v>
      </c>
      <c r="E807" s="129" t="s">
        <v>109</v>
      </c>
      <c r="F807" s="129"/>
      <c r="G807" s="129"/>
      <c r="H807" s="129"/>
      <c r="I807" s="114" t="s">
        <v>206</v>
      </c>
      <c r="J807" s="114"/>
      <c r="K807" s="114"/>
      <c r="L807" s="114"/>
      <c r="M807" s="114"/>
      <c r="N807" s="114" t="s">
        <v>163</v>
      </c>
      <c r="O807" s="114" t="s">
        <v>163</v>
      </c>
      <c r="P807" s="114"/>
      <c r="Q807" s="114" t="s">
        <v>2041</v>
      </c>
      <c r="R807" s="114"/>
      <c r="S807" s="114"/>
      <c r="T807" s="114" t="s">
        <v>2307</v>
      </c>
      <c r="U807" s="117" t="s">
        <v>2640</v>
      </c>
      <c r="V807" s="114" t="s">
        <v>109</v>
      </c>
      <c r="W807" s="114" t="s">
        <v>1</v>
      </c>
      <c r="X807" s="114"/>
      <c r="Z807" s="114"/>
      <c r="AA807" s="114"/>
      <c r="AB807" s="114"/>
      <c r="AC807" s="114">
        <v>68</v>
      </c>
      <c r="AD807" s="114"/>
      <c r="AE807" s="130"/>
      <c r="AF807" s="130" t="s">
        <v>2043</v>
      </c>
      <c r="AG807" s="114"/>
      <c r="AH807" s="131"/>
      <c r="AI807" s="131" t="s">
        <v>260</v>
      </c>
      <c r="AJ807" s="131"/>
      <c r="AK807" s="132" t="s">
        <v>139</v>
      </c>
      <c r="AL807" s="132"/>
      <c r="AM807" s="134"/>
      <c r="AN807" s="134"/>
      <c r="AO807" s="134"/>
      <c r="AP807" s="134"/>
      <c r="AQ807" s="134"/>
      <c r="AR807" s="134"/>
      <c r="AS807" s="134"/>
      <c r="AT807" s="134"/>
      <c r="AU807" s="131"/>
      <c r="AV807" s="131"/>
      <c r="AW807" s="131"/>
      <c r="AX807" s="132"/>
      <c r="AY807" s="132"/>
      <c r="AZ807" s="134"/>
      <c r="BA807" s="134"/>
      <c r="BB807" s="134"/>
      <c r="BC807" s="134"/>
      <c r="BD807" s="134"/>
      <c r="BE807" s="134"/>
      <c r="BF807" s="134"/>
      <c r="BG807" s="134"/>
      <c r="BH807" s="131"/>
      <c r="BI807" s="131"/>
      <c r="BJ807" s="131"/>
      <c r="BK807" s="132"/>
      <c r="BL807" s="132"/>
      <c r="BM807" s="134"/>
      <c r="BN807" s="134"/>
      <c r="BO807" s="134"/>
      <c r="BP807" s="134"/>
      <c r="BQ807" s="134"/>
      <c r="BR807" s="134"/>
      <c r="BS807" s="134"/>
      <c r="BT807" s="134"/>
      <c r="BU807" s="131"/>
      <c r="BV807" s="131"/>
      <c r="BW807" s="131"/>
      <c r="BX807" s="132"/>
      <c r="BY807" s="132"/>
      <c r="BZ807" s="134"/>
      <c r="CA807" s="134"/>
      <c r="CB807" s="134"/>
      <c r="CC807" s="134"/>
      <c r="CD807" s="134"/>
      <c r="CE807" s="134"/>
      <c r="CF807" s="134"/>
      <c r="CG807" s="134"/>
      <c r="CH807" s="127"/>
      <c r="CJ807" s="134"/>
      <c r="CT807" s="135"/>
      <c r="CU807" s="135"/>
      <c r="CV807" s="135"/>
      <c r="CW807" s="135"/>
      <c r="CX807" s="135"/>
      <c r="CY807" s="135"/>
      <c r="CZ807" s="135"/>
      <c r="DA807" s="135"/>
      <c r="DB807" s="135"/>
      <c r="DC807" s="134"/>
    </row>
    <row r="808" spans="1:107" s="128" customFormat="1" x14ac:dyDescent="0.2">
      <c r="A808" s="184">
        <v>10068</v>
      </c>
      <c r="B808" s="185">
        <v>3</v>
      </c>
      <c r="C808" s="185">
        <f t="shared" si="66"/>
        <v>100680003</v>
      </c>
      <c r="D808" s="128" t="s">
        <v>1665</v>
      </c>
      <c r="E808" s="129" t="s">
        <v>109</v>
      </c>
      <c r="F808" s="129"/>
      <c r="G808" s="129"/>
      <c r="H808" s="129"/>
      <c r="I808" s="114" t="s">
        <v>206</v>
      </c>
      <c r="J808" s="114"/>
      <c r="K808" s="114"/>
      <c r="L808" s="114"/>
      <c r="M808" s="114"/>
      <c r="N808" s="114" t="s">
        <v>163</v>
      </c>
      <c r="O808" s="114" t="s">
        <v>163</v>
      </c>
      <c r="P808" s="114"/>
      <c r="Q808" s="114" t="s">
        <v>2041</v>
      </c>
      <c r="R808" s="114"/>
      <c r="S808" s="114"/>
      <c r="T808" s="114" t="s">
        <v>2307</v>
      </c>
      <c r="U808" s="117" t="s">
        <v>2641</v>
      </c>
      <c r="V808" s="114" t="s">
        <v>109</v>
      </c>
      <c r="W808" s="114" t="s">
        <v>1</v>
      </c>
      <c r="X808" s="114"/>
      <c r="Z808" s="114"/>
      <c r="AA808" s="114"/>
      <c r="AB808" s="114"/>
      <c r="AC808" s="114">
        <v>68</v>
      </c>
      <c r="AD808" s="114"/>
      <c r="AE808" s="130"/>
      <c r="AF808" s="130" t="s">
        <v>2043</v>
      </c>
      <c r="AG808" s="114"/>
      <c r="AH808" s="131">
        <v>100683</v>
      </c>
      <c r="AI808" s="131" t="s">
        <v>264</v>
      </c>
      <c r="AJ808" s="131"/>
      <c r="AK808" s="132" t="s">
        <v>373</v>
      </c>
      <c r="AL808" s="132"/>
      <c r="AM808" s="134"/>
      <c r="AN808" s="134"/>
      <c r="AO808" s="134"/>
      <c r="AP808" s="134"/>
      <c r="AQ808" s="134"/>
      <c r="AR808" s="134"/>
      <c r="AS808" s="134"/>
      <c r="AT808" s="134"/>
      <c r="AU808" s="131"/>
      <c r="AV808" s="131"/>
      <c r="AW808" s="131"/>
      <c r="AX808" s="132"/>
      <c r="AY808" s="132"/>
      <c r="AZ808" s="134"/>
      <c r="BA808" s="134"/>
      <c r="BB808" s="134"/>
      <c r="BC808" s="134"/>
      <c r="BD808" s="134"/>
      <c r="BE808" s="134"/>
      <c r="BF808" s="134"/>
      <c r="BG808" s="134"/>
      <c r="BH808" s="131"/>
      <c r="BI808" s="131"/>
      <c r="BJ808" s="131"/>
      <c r="BK808" s="132"/>
      <c r="BL808" s="132"/>
      <c r="BM808" s="134"/>
      <c r="BN808" s="134"/>
      <c r="BO808" s="134"/>
      <c r="BP808" s="134"/>
      <c r="BQ808" s="134"/>
      <c r="BR808" s="134"/>
      <c r="BS808" s="134"/>
      <c r="BT808" s="134"/>
      <c r="BU808" s="131"/>
      <c r="BV808" s="131"/>
      <c r="BW808" s="131"/>
      <c r="BX808" s="132"/>
      <c r="BY808" s="132"/>
      <c r="BZ808" s="134"/>
      <c r="CA808" s="134"/>
      <c r="CB808" s="134"/>
      <c r="CC808" s="134"/>
      <c r="CD808" s="134"/>
      <c r="CE808" s="134"/>
      <c r="CF808" s="134"/>
      <c r="CG808" s="134"/>
      <c r="CH808" s="127"/>
      <c r="CJ808" s="134"/>
      <c r="CT808" s="135"/>
      <c r="CU808" s="135"/>
      <c r="CV808" s="135"/>
      <c r="CW808" s="135"/>
      <c r="CX808" s="135"/>
      <c r="CY808" s="135"/>
      <c r="CZ808" s="135"/>
      <c r="DA808" s="135"/>
      <c r="DB808" s="135"/>
      <c r="DC808" s="134"/>
    </row>
    <row r="809" spans="1:107" s="128" customFormat="1" ht="12.75" customHeight="1" x14ac:dyDescent="0.2">
      <c r="A809" s="184">
        <v>10068</v>
      </c>
      <c r="B809" s="185">
        <v>4</v>
      </c>
      <c r="C809" s="185">
        <f t="shared" si="66"/>
        <v>100680004</v>
      </c>
      <c r="D809" s="128" t="s">
        <v>1665</v>
      </c>
      <c r="E809" s="129" t="s">
        <v>109</v>
      </c>
      <c r="F809" s="129"/>
      <c r="G809" s="129"/>
      <c r="H809" s="129"/>
      <c r="I809" s="114" t="s">
        <v>206</v>
      </c>
      <c r="J809" s="114"/>
      <c r="K809" s="114"/>
      <c r="L809" s="114"/>
      <c r="M809" s="114"/>
      <c r="N809" s="114" t="s">
        <v>163</v>
      </c>
      <c r="O809" s="114" t="s">
        <v>163</v>
      </c>
      <c r="P809" s="114"/>
      <c r="Q809" s="114" t="s">
        <v>2041</v>
      </c>
      <c r="R809" s="114"/>
      <c r="S809" s="114"/>
      <c r="T809" s="114" t="s">
        <v>2307</v>
      </c>
      <c r="U809" s="117" t="s">
        <v>2642</v>
      </c>
      <c r="V809" s="114" t="s">
        <v>109</v>
      </c>
      <c r="W809" s="114" t="s">
        <v>1</v>
      </c>
      <c r="X809" s="114"/>
      <c r="Z809" s="114"/>
      <c r="AA809" s="114"/>
      <c r="AB809" s="114"/>
      <c r="AC809" s="114">
        <v>68</v>
      </c>
      <c r="AD809" s="114"/>
      <c r="AE809" s="130"/>
      <c r="AF809" s="130" t="s">
        <v>2043</v>
      </c>
      <c r="AG809" s="114"/>
      <c r="AH809" s="131">
        <v>100684</v>
      </c>
      <c r="AI809" s="131" t="s">
        <v>265</v>
      </c>
      <c r="AJ809" s="131"/>
      <c r="AK809" s="132" t="s">
        <v>374</v>
      </c>
      <c r="AL809" s="132"/>
      <c r="AM809" s="134"/>
      <c r="AN809" s="134"/>
      <c r="AO809" s="134"/>
      <c r="AP809" s="134"/>
      <c r="AQ809" s="134"/>
      <c r="AR809" s="134"/>
      <c r="AS809" s="134"/>
      <c r="AT809" s="134"/>
      <c r="AU809" s="131"/>
      <c r="AV809" s="131"/>
      <c r="AW809" s="131"/>
      <c r="AX809" s="132"/>
      <c r="AY809" s="132"/>
      <c r="AZ809" s="134"/>
      <c r="BA809" s="134"/>
      <c r="BB809" s="134"/>
      <c r="BC809" s="134"/>
      <c r="BD809" s="134"/>
      <c r="BE809" s="134"/>
      <c r="BF809" s="134"/>
      <c r="BG809" s="134"/>
      <c r="BH809" s="131"/>
      <c r="BI809" s="131"/>
      <c r="BJ809" s="131"/>
      <c r="BK809" s="132"/>
      <c r="BL809" s="132"/>
      <c r="BM809" s="134"/>
      <c r="BN809" s="134"/>
      <c r="BO809" s="134"/>
      <c r="BP809" s="134"/>
      <c r="BQ809" s="134"/>
      <c r="BR809" s="134"/>
      <c r="BS809" s="134"/>
      <c r="BT809" s="134"/>
      <c r="BU809" s="131"/>
      <c r="BV809" s="131"/>
      <c r="BW809" s="131"/>
      <c r="BX809" s="132"/>
      <c r="BY809" s="132"/>
      <c r="BZ809" s="134"/>
      <c r="CA809" s="134"/>
      <c r="CB809" s="134"/>
      <c r="CC809" s="134"/>
      <c r="CD809" s="134"/>
      <c r="CE809" s="134"/>
      <c r="CF809" s="134"/>
      <c r="CG809" s="134"/>
      <c r="CH809" s="127"/>
      <c r="CJ809" s="134"/>
      <c r="CT809" s="135"/>
      <c r="CU809" s="135"/>
      <c r="CV809" s="135"/>
      <c r="CW809" s="135"/>
      <c r="CX809" s="135"/>
      <c r="CY809" s="135"/>
      <c r="CZ809" s="135"/>
      <c r="DA809" s="135"/>
      <c r="DB809" s="135"/>
      <c r="DC809" s="134"/>
    </row>
    <row r="810" spans="1:107" s="128" customFormat="1" x14ac:dyDescent="0.2">
      <c r="A810" s="184">
        <v>10068</v>
      </c>
      <c r="B810" s="185">
        <v>5</v>
      </c>
      <c r="C810" s="185">
        <f t="shared" si="66"/>
        <v>100680005</v>
      </c>
      <c r="D810" s="128" t="s">
        <v>1665</v>
      </c>
      <c r="E810" s="129" t="s">
        <v>109</v>
      </c>
      <c r="F810" s="129"/>
      <c r="G810" s="129"/>
      <c r="H810" s="129"/>
      <c r="I810" s="114" t="s">
        <v>206</v>
      </c>
      <c r="J810" s="114"/>
      <c r="K810" s="114"/>
      <c r="L810" s="114"/>
      <c r="M810" s="114"/>
      <c r="N810" s="114" t="s">
        <v>163</v>
      </c>
      <c r="O810" s="114" t="s">
        <v>163</v>
      </c>
      <c r="P810" s="114"/>
      <c r="Q810" s="114" t="s">
        <v>2041</v>
      </c>
      <c r="R810" s="114"/>
      <c r="S810" s="114"/>
      <c r="T810" s="114" t="s">
        <v>2307</v>
      </c>
      <c r="U810" s="117" t="s">
        <v>2643</v>
      </c>
      <c r="V810" s="114" t="s">
        <v>109</v>
      </c>
      <c r="W810" s="114" t="s">
        <v>1</v>
      </c>
      <c r="X810" s="114"/>
      <c r="Z810" s="114"/>
      <c r="AA810" s="114"/>
      <c r="AB810" s="114"/>
      <c r="AC810" s="114">
        <v>68</v>
      </c>
      <c r="AD810" s="114"/>
      <c r="AE810" s="130"/>
      <c r="AF810" s="130" t="s">
        <v>2043</v>
      </c>
      <c r="AG810" s="114"/>
      <c r="AH810" s="131">
        <v>100685</v>
      </c>
      <c r="AI810" s="131" t="s">
        <v>266</v>
      </c>
      <c r="AJ810" s="131"/>
      <c r="AK810" s="132" t="s">
        <v>375</v>
      </c>
      <c r="AL810" s="132"/>
      <c r="AM810" s="134"/>
      <c r="AN810" s="134"/>
      <c r="AO810" s="134"/>
      <c r="AP810" s="134"/>
      <c r="AQ810" s="134"/>
      <c r="AR810" s="134"/>
      <c r="AS810" s="134"/>
      <c r="AT810" s="134"/>
      <c r="AU810" s="131"/>
      <c r="AV810" s="131"/>
      <c r="AW810" s="131"/>
      <c r="AX810" s="132"/>
      <c r="AY810" s="132"/>
      <c r="AZ810" s="134"/>
      <c r="BA810" s="134"/>
      <c r="BB810" s="134"/>
      <c r="BC810" s="134"/>
      <c r="BD810" s="134"/>
      <c r="BE810" s="134"/>
      <c r="BF810" s="134"/>
      <c r="BG810" s="134"/>
      <c r="BH810" s="131"/>
      <c r="BI810" s="131"/>
      <c r="BJ810" s="131"/>
      <c r="BK810" s="132"/>
      <c r="BL810" s="132"/>
      <c r="BM810" s="134"/>
      <c r="BN810" s="134"/>
      <c r="BO810" s="134"/>
      <c r="BP810" s="134"/>
      <c r="BQ810" s="134"/>
      <c r="BR810" s="134"/>
      <c r="BS810" s="134"/>
      <c r="BT810" s="134"/>
      <c r="BU810" s="131"/>
      <c r="BV810" s="131"/>
      <c r="BW810" s="131"/>
      <c r="BX810" s="132"/>
      <c r="BY810" s="132"/>
      <c r="BZ810" s="134"/>
      <c r="CA810" s="134"/>
      <c r="CB810" s="134"/>
      <c r="CC810" s="134"/>
      <c r="CD810" s="134"/>
      <c r="CE810" s="134"/>
      <c r="CF810" s="134"/>
      <c r="CG810" s="134"/>
      <c r="CH810" s="127"/>
      <c r="CJ810" s="134"/>
      <c r="CT810" s="135"/>
      <c r="CU810" s="135"/>
      <c r="CV810" s="135"/>
      <c r="CW810" s="135"/>
      <c r="CX810" s="135"/>
      <c r="CY810" s="135"/>
      <c r="CZ810" s="135"/>
      <c r="DA810" s="135"/>
      <c r="DB810" s="135"/>
      <c r="DC810" s="134"/>
    </row>
    <row r="811" spans="1:107" s="128" customFormat="1" x14ac:dyDescent="0.2">
      <c r="A811" s="184">
        <v>10069</v>
      </c>
      <c r="B811" s="185">
        <v>1</v>
      </c>
      <c r="C811" s="185">
        <f t="shared" si="66"/>
        <v>100690001</v>
      </c>
      <c r="D811" s="128" t="s">
        <v>1681</v>
      </c>
      <c r="E811" s="129" t="s">
        <v>109</v>
      </c>
      <c r="F811" s="129"/>
      <c r="G811" s="129"/>
      <c r="H811" s="129"/>
      <c r="I811" s="114" t="s">
        <v>206</v>
      </c>
      <c r="J811" s="114"/>
      <c r="K811" s="114"/>
      <c r="L811" s="114"/>
      <c r="M811" s="114"/>
      <c r="N811" s="114" t="s">
        <v>163</v>
      </c>
      <c r="O811" s="114" t="s">
        <v>163</v>
      </c>
      <c r="P811" s="114"/>
      <c r="Q811" s="114" t="s">
        <v>2041</v>
      </c>
      <c r="R811" s="114"/>
      <c r="S811" s="114"/>
      <c r="T811" s="114" t="s">
        <v>2307</v>
      </c>
      <c r="U811" s="117" t="s">
        <v>2644</v>
      </c>
      <c r="V811" s="114" t="s">
        <v>109</v>
      </c>
      <c r="W811" s="114" t="s">
        <v>1</v>
      </c>
      <c r="X811" s="114"/>
      <c r="Z811" s="114"/>
      <c r="AA811" s="114"/>
      <c r="AB811" s="114"/>
      <c r="AC811" s="114">
        <v>69</v>
      </c>
      <c r="AD811" s="114"/>
      <c r="AE811" s="130"/>
      <c r="AF811" s="130" t="s">
        <v>2043</v>
      </c>
      <c r="AG811" s="114"/>
      <c r="AH811" s="131"/>
      <c r="AI811" s="131" t="s">
        <v>176</v>
      </c>
      <c r="AJ811" s="131"/>
      <c r="AK811" s="132" t="s">
        <v>136</v>
      </c>
      <c r="AL811" s="132"/>
      <c r="AM811" s="134"/>
      <c r="AN811" s="134"/>
      <c r="AO811" s="134"/>
      <c r="AP811" s="134"/>
      <c r="AQ811" s="134"/>
      <c r="AR811" s="134"/>
      <c r="AS811" s="134"/>
      <c r="AT811" s="134"/>
      <c r="AU811" s="131"/>
      <c r="AV811" s="131"/>
      <c r="AW811" s="131"/>
      <c r="AX811" s="132"/>
      <c r="AY811" s="132"/>
      <c r="AZ811" s="134"/>
      <c r="BA811" s="134"/>
      <c r="BB811" s="134"/>
      <c r="BC811" s="134"/>
      <c r="BD811" s="134"/>
      <c r="BE811" s="134"/>
      <c r="BF811" s="134"/>
      <c r="BG811" s="134"/>
      <c r="BH811" s="131"/>
      <c r="BI811" s="131"/>
      <c r="BJ811" s="131"/>
      <c r="BK811" s="132"/>
      <c r="BL811" s="132"/>
      <c r="BM811" s="134"/>
      <c r="BN811" s="134"/>
      <c r="BO811" s="134"/>
      <c r="BP811" s="134"/>
      <c r="BQ811" s="134"/>
      <c r="BR811" s="134"/>
      <c r="BS811" s="134"/>
      <c r="BT811" s="134"/>
      <c r="BU811" s="131"/>
      <c r="BV811" s="131"/>
      <c r="BW811" s="131"/>
      <c r="BX811" s="132"/>
      <c r="BY811" s="132"/>
      <c r="BZ811" s="134"/>
      <c r="CA811" s="134"/>
      <c r="CB811" s="134"/>
      <c r="CC811" s="134"/>
      <c r="CD811" s="134"/>
      <c r="CE811" s="134"/>
      <c r="CF811" s="134"/>
      <c r="CG811" s="134"/>
      <c r="CH811" s="127"/>
      <c r="CJ811" s="134"/>
      <c r="CT811" s="135"/>
      <c r="CU811" s="135"/>
      <c r="CV811" s="135"/>
      <c r="CW811" s="135"/>
      <c r="CX811" s="135"/>
      <c r="CY811" s="135"/>
      <c r="CZ811" s="135"/>
      <c r="DA811" s="135"/>
      <c r="DB811" s="135"/>
      <c r="DC811" s="134"/>
    </row>
    <row r="812" spans="1:107" s="128" customFormat="1" x14ac:dyDescent="0.2">
      <c r="A812" s="184">
        <v>10069</v>
      </c>
      <c r="B812" s="185">
        <v>2</v>
      </c>
      <c r="C812" s="185">
        <f t="shared" si="66"/>
        <v>100690002</v>
      </c>
      <c r="D812" s="128" t="s">
        <v>1681</v>
      </c>
      <c r="E812" s="129" t="s">
        <v>109</v>
      </c>
      <c r="F812" s="129"/>
      <c r="G812" s="129"/>
      <c r="H812" s="129"/>
      <c r="I812" s="114" t="s">
        <v>206</v>
      </c>
      <c r="J812" s="114"/>
      <c r="K812" s="114"/>
      <c r="L812" s="114"/>
      <c r="M812" s="114"/>
      <c r="N812" s="114" t="s">
        <v>163</v>
      </c>
      <c r="O812" s="114" t="s">
        <v>163</v>
      </c>
      <c r="P812" s="114"/>
      <c r="Q812" s="114" t="s">
        <v>2041</v>
      </c>
      <c r="R812" s="114"/>
      <c r="S812" s="114"/>
      <c r="T812" s="114" t="s">
        <v>2307</v>
      </c>
      <c r="U812" s="117" t="s">
        <v>2645</v>
      </c>
      <c r="V812" s="114" t="s">
        <v>109</v>
      </c>
      <c r="W812" s="114" t="s">
        <v>1</v>
      </c>
      <c r="X812" s="114"/>
      <c r="Z812" s="114"/>
      <c r="AA812" s="114"/>
      <c r="AB812" s="114"/>
      <c r="AC812" s="114">
        <v>69</v>
      </c>
      <c r="AD812" s="114"/>
      <c r="AE812" s="130"/>
      <c r="AF812" s="130" t="s">
        <v>2043</v>
      </c>
      <c r="AG812" s="114"/>
      <c r="AH812" s="131"/>
      <c r="AI812" s="131" t="s">
        <v>260</v>
      </c>
      <c r="AJ812" s="131"/>
      <c r="AK812" s="132" t="s">
        <v>139</v>
      </c>
      <c r="AL812" s="132"/>
      <c r="AM812" s="134"/>
      <c r="AN812" s="134"/>
      <c r="AO812" s="134"/>
      <c r="AP812" s="134"/>
      <c r="AQ812" s="134"/>
      <c r="AR812" s="134"/>
      <c r="AS812" s="134"/>
      <c r="AT812" s="134"/>
      <c r="AU812" s="131"/>
      <c r="AV812" s="131"/>
      <c r="AW812" s="131"/>
      <c r="AX812" s="132"/>
      <c r="AY812" s="132"/>
      <c r="AZ812" s="134"/>
      <c r="BA812" s="134"/>
      <c r="BB812" s="134"/>
      <c r="BC812" s="134"/>
      <c r="BD812" s="134"/>
      <c r="BE812" s="134"/>
      <c r="BF812" s="134"/>
      <c r="BG812" s="134"/>
      <c r="BH812" s="131"/>
      <c r="BI812" s="131"/>
      <c r="BJ812" s="131"/>
      <c r="BK812" s="132"/>
      <c r="BL812" s="132"/>
      <c r="BM812" s="134"/>
      <c r="BN812" s="134"/>
      <c r="BO812" s="134"/>
      <c r="BP812" s="134"/>
      <c r="BQ812" s="134"/>
      <c r="BR812" s="134"/>
      <c r="BS812" s="134"/>
      <c r="BT812" s="134"/>
      <c r="BU812" s="131"/>
      <c r="BV812" s="131"/>
      <c r="BW812" s="131"/>
      <c r="BX812" s="132"/>
      <c r="BY812" s="132"/>
      <c r="BZ812" s="134"/>
      <c r="CA812" s="134"/>
      <c r="CB812" s="134"/>
      <c r="CC812" s="134"/>
      <c r="CD812" s="134"/>
      <c r="CE812" s="134"/>
      <c r="CF812" s="134"/>
      <c r="CG812" s="134"/>
      <c r="CH812" s="127"/>
      <c r="CJ812" s="134"/>
      <c r="CT812" s="135"/>
      <c r="CU812" s="135"/>
      <c r="CV812" s="135"/>
      <c r="CW812" s="135"/>
      <c r="CX812" s="135"/>
      <c r="CY812" s="135"/>
      <c r="CZ812" s="135"/>
      <c r="DA812" s="135"/>
      <c r="DB812" s="135"/>
      <c r="DC812" s="134"/>
    </row>
    <row r="813" spans="1:107" s="128" customFormat="1" x14ac:dyDescent="0.2">
      <c r="A813" s="184">
        <v>10069</v>
      </c>
      <c r="B813" s="185">
        <v>3</v>
      </c>
      <c r="C813" s="185">
        <f t="shared" si="66"/>
        <v>100690003</v>
      </c>
      <c r="D813" s="128" t="s">
        <v>1681</v>
      </c>
      <c r="E813" s="129" t="s">
        <v>109</v>
      </c>
      <c r="F813" s="129"/>
      <c r="G813" s="129"/>
      <c r="H813" s="129"/>
      <c r="I813" s="114" t="s">
        <v>206</v>
      </c>
      <c r="J813" s="114"/>
      <c r="K813" s="114"/>
      <c r="L813" s="114"/>
      <c r="M813" s="114"/>
      <c r="N813" s="114" t="s">
        <v>163</v>
      </c>
      <c r="O813" s="114" t="s">
        <v>163</v>
      </c>
      <c r="P813" s="114"/>
      <c r="Q813" s="114" t="s">
        <v>2041</v>
      </c>
      <c r="R813" s="114"/>
      <c r="S813" s="114"/>
      <c r="T813" s="114" t="s">
        <v>2307</v>
      </c>
      <c r="U813" s="117" t="s">
        <v>2646</v>
      </c>
      <c r="V813" s="114" t="s">
        <v>109</v>
      </c>
      <c r="W813" s="114" t="s">
        <v>1</v>
      </c>
      <c r="X813" s="114"/>
      <c r="Z813" s="114"/>
      <c r="AA813" s="114"/>
      <c r="AB813" s="114"/>
      <c r="AC813" s="114">
        <v>69</v>
      </c>
      <c r="AD813" s="114"/>
      <c r="AE813" s="130"/>
      <c r="AF813" s="130" t="s">
        <v>2043</v>
      </c>
      <c r="AG813" s="114"/>
      <c r="AH813" s="131">
        <v>100693</v>
      </c>
      <c r="AI813" s="131" t="s">
        <v>264</v>
      </c>
      <c r="AJ813" s="131"/>
      <c r="AK813" s="132" t="s">
        <v>373</v>
      </c>
      <c r="AL813" s="132"/>
      <c r="AM813" s="134"/>
      <c r="AN813" s="134"/>
      <c r="AO813" s="134"/>
      <c r="AP813" s="134"/>
      <c r="AQ813" s="134"/>
      <c r="AR813" s="134"/>
      <c r="AS813" s="134"/>
      <c r="AT813" s="134"/>
      <c r="AU813" s="131"/>
      <c r="AV813" s="131"/>
      <c r="AW813" s="131"/>
      <c r="AX813" s="132"/>
      <c r="AY813" s="132"/>
      <c r="AZ813" s="134"/>
      <c r="BA813" s="134"/>
      <c r="BB813" s="134"/>
      <c r="BC813" s="134"/>
      <c r="BD813" s="134"/>
      <c r="BE813" s="134"/>
      <c r="BF813" s="134"/>
      <c r="BG813" s="134"/>
      <c r="BH813" s="131"/>
      <c r="BI813" s="131"/>
      <c r="BJ813" s="131"/>
      <c r="BK813" s="132"/>
      <c r="BL813" s="132"/>
      <c r="BM813" s="134"/>
      <c r="BN813" s="134"/>
      <c r="BO813" s="134"/>
      <c r="BP813" s="134"/>
      <c r="BQ813" s="134"/>
      <c r="BR813" s="134"/>
      <c r="BS813" s="134"/>
      <c r="BT813" s="134"/>
      <c r="BU813" s="131"/>
      <c r="BV813" s="131"/>
      <c r="BW813" s="131"/>
      <c r="BX813" s="132"/>
      <c r="BY813" s="132"/>
      <c r="BZ813" s="134"/>
      <c r="CA813" s="134"/>
      <c r="CB813" s="134"/>
      <c r="CC813" s="134"/>
      <c r="CD813" s="134"/>
      <c r="CE813" s="134"/>
      <c r="CF813" s="134"/>
      <c r="CG813" s="134"/>
      <c r="CH813" s="127"/>
      <c r="CJ813" s="134"/>
      <c r="CT813" s="135"/>
      <c r="CU813" s="135"/>
      <c r="CV813" s="135"/>
      <c r="CW813" s="135"/>
      <c r="CX813" s="135"/>
      <c r="CY813" s="135"/>
      <c r="CZ813" s="135"/>
      <c r="DA813" s="135"/>
      <c r="DB813" s="135"/>
      <c r="DC813" s="134"/>
    </row>
    <row r="814" spans="1:107" s="128" customFormat="1" ht="12.75" customHeight="1" x14ac:dyDescent="0.2">
      <c r="A814" s="184">
        <v>10069</v>
      </c>
      <c r="B814" s="185">
        <v>4</v>
      </c>
      <c r="C814" s="185">
        <f t="shared" si="66"/>
        <v>100690004</v>
      </c>
      <c r="D814" s="128" t="s">
        <v>1681</v>
      </c>
      <c r="E814" s="129" t="s">
        <v>109</v>
      </c>
      <c r="F814" s="129"/>
      <c r="G814" s="129"/>
      <c r="H814" s="129"/>
      <c r="I814" s="114" t="s">
        <v>206</v>
      </c>
      <c r="J814" s="114"/>
      <c r="K814" s="114"/>
      <c r="L814" s="114"/>
      <c r="M814" s="114"/>
      <c r="N814" s="114" t="s">
        <v>163</v>
      </c>
      <c r="O814" s="114" t="s">
        <v>163</v>
      </c>
      <c r="P814" s="114"/>
      <c r="Q814" s="114" t="s">
        <v>2041</v>
      </c>
      <c r="R814" s="114"/>
      <c r="S814" s="114"/>
      <c r="T814" s="114" t="s">
        <v>2307</v>
      </c>
      <c r="U814" s="117" t="s">
        <v>2647</v>
      </c>
      <c r="V814" s="114" t="s">
        <v>109</v>
      </c>
      <c r="W814" s="114" t="s">
        <v>1</v>
      </c>
      <c r="X814" s="114"/>
      <c r="Z814" s="114"/>
      <c r="AA814" s="114"/>
      <c r="AB814" s="114"/>
      <c r="AC814" s="114">
        <v>69</v>
      </c>
      <c r="AD814" s="114"/>
      <c r="AE814" s="130"/>
      <c r="AF814" s="130" t="s">
        <v>2043</v>
      </c>
      <c r="AG814" s="114"/>
      <c r="AH814" s="131">
        <v>100694</v>
      </c>
      <c r="AI814" s="131" t="s">
        <v>265</v>
      </c>
      <c r="AJ814" s="131"/>
      <c r="AK814" s="132" t="s">
        <v>374</v>
      </c>
      <c r="AL814" s="132"/>
      <c r="AM814" s="134"/>
      <c r="AN814" s="134"/>
      <c r="AO814" s="134"/>
      <c r="AP814" s="134"/>
      <c r="AQ814" s="134"/>
      <c r="AR814" s="134"/>
      <c r="AS814" s="134"/>
      <c r="AT814" s="134"/>
      <c r="AU814" s="131"/>
      <c r="AV814" s="131"/>
      <c r="AW814" s="131"/>
      <c r="AX814" s="132"/>
      <c r="AY814" s="132"/>
      <c r="AZ814" s="134"/>
      <c r="BA814" s="134"/>
      <c r="BB814" s="134"/>
      <c r="BC814" s="134"/>
      <c r="BD814" s="134"/>
      <c r="BE814" s="134"/>
      <c r="BF814" s="134"/>
      <c r="BG814" s="134"/>
      <c r="BH814" s="131"/>
      <c r="BI814" s="131"/>
      <c r="BJ814" s="131"/>
      <c r="BK814" s="132"/>
      <c r="BL814" s="132"/>
      <c r="BM814" s="134"/>
      <c r="BN814" s="134"/>
      <c r="BO814" s="134"/>
      <c r="BP814" s="134"/>
      <c r="BQ814" s="134"/>
      <c r="BR814" s="134"/>
      <c r="BS814" s="134"/>
      <c r="BT814" s="134"/>
      <c r="BU814" s="131"/>
      <c r="BV814" s="131"/>
      <c r="BW814" s="131"/>
      <c r="BX814" s="132"/>
      <c r="BY814" s="132"/>
      <c r="BZ814" s="134"/>
      <c r="CA814" s="134"/>
      <c r="CB814" s="134"/>
      <c r="CC814" s="134"/>
      <c r="CD814" s="134"/>
      <c r="CE814" s="134"/>
      <c r="CF814" s="134"/>
      <c r="CG814" s="134"/>
      <c r="CH814" s="127"/>
      <c r="CJ814" s="134"/>
      <c r="CT814" s="135"/>
      <c r="CU814" s="135"/>
      <c r="CV814" s="135"/>
      <c r="CW814" s="135"/>
      <c r="CX814" s="135"/>
      <c r="CY814" s="135"/>
      <c r="CZ814" s="135"/>
      <c r="DA814" s="135"/>
      <c r="DB814" s="135"/>
      <c r="DC814" s="134"/>
    </row>
    <row r="815" spans="1:107" s="128" customFormat="1" x14ac:dyDescent="0.2">
      <c r="A815" s="184">
        <v>10069</v>
      </c>
      <c r="B815" s="185">
        <v>5</v>
      </c>
      <c r="C815" s="185">
        <f t="shared" si="66"/>
        <v>100690005</v>
      </c>
      <c r="D815" s="128" t="s">
        <v>1681</v>
      </c>
      <c r="E815" s="129" t="s">
        <v>109</v>
      </c>
      <c r="F815" s="129"/>
      <c r="G815" s="129"/>
      <c r="H815" s="129"/>
      <c r="I815" s="114" t="s">
        <v>206</v>
      </c>
      <c r="J815" s="114"/>
      <c r="K815" s="114"/>
      <c r="L815" s="114"/>
      <c r="M815" s="114"/>
      <c r="N815" s="114" t="s">
        <v>163</v>
      </c>
      <c r="O815" s="114" t="s">
        <v>163</v>
      </c>
      <c r="P815" s="114"/>
      <c r="Q815" s="114" t="s">
        <v>2041</v>
      </c>
      <c r="R815" s="114"/>
      <c r="S815" s="114"/>
      <c r="T815" s="114" t="s">
        <v>2307</v>
      </c>
      <c r="U815" s="117" t="s">
        <v>2648</v>
      </c>
      <c r="V815" s="114" t="s">
        <v>109</v>
      </c>
      <c r="W815" s="114" t="s">
        <v>1</v>
      </c>
      <c r="X815" s="114"/>
      <c r="Z815" s="114"/>
      <c r="AA815" s="114"/>
      <c r="AB815" s="114"/>
      <c r="AC815" s="114">
        <v>69</v>
      </c>
      <c r="AD815" s="114"/>
      <c r="AE815" s="130"/>
      <c r="AF815" s="130" t="s">
        <v>2043</v>
      </c>
      <c r="AG815" s="114"/>
      <c r="AH815" s="131">
        <v>100695</v>
      </c>
      <c r="AI815" s="131" t="s">
        <v>266</v>
      </c>
      <c r="AJ815" s="131"/>
      <c r="AK815" s="132" t="s">
        <v>375</v>
      </c>
      <c r="AL815" s="132"/>
      <c r="AM815" s="134"/>
      <c r="AN815" s="134"/>
      <c r="AO815" s="134"/>
      <c r="AP815" s="134"/>
      <c r="AQ815" s="134"/>
      <c r="AR815" s="134"/>
      <c r="AS815" s="134"/>
      <c r="AT815" s="134"/>
      <c r="AU815" s="131"/>
      <c r="AV815" s="131"/>
      <c r="AW815" s="131"/>
      <c r="AX815" s="132"/>
      <c r="AY815" s="132"/>
      <c r="AZ815" s="134"/>
      <c r="BA815" s="134"/>
      <c r="BB815" s="134"/>
      <c r="BC815" s="134"/>
      <c r="BD815" s="134"/>
      <c r="BE815" s="134"/>
      <c r="BF815" s="134"/>
      <c r="BG815" s="134"/>
      <c r="BH815" s="131"/>
      <c r="BI815" s="131"/>
      <c r="BJ815" s="131"/>
      <c r="BK815" s="132"/>
      <c r="BL815" s="132"/>
      <c r="BM815" s="134"/>
      <c r="BN815" s="134"/>
      <c r="BO815" s="134"/>
      <c r="BP815" s="134"/>
      <c r="BQ815" s="134"/>
      <c r="BR815" s="134"/>
      <c r="BS815" s="134"/>
      <c r="BT815" s="134"/>
      <c r="BU815" s="131"/>
      <c r="BV815" s="131"/>
      <c r="BW815" s="131"/>
      <c r="BX815" s="132"/>
      <c r="BY815" s="132"/>
      <c r="BZ815" s="134"/>
      <c r="CA815" s="134"/>
      <c r="CB815" s="134"/>
      <c r="CC815" s="134"/>
      <c r="CD815" s="134"/>
      <c r="CE815" s="134"/>
      <c r="CF815" s="134"/>
      <c r="CG815" s="134"/>
      <c r="CH815" s="127"/>
      <c r="CJ815" s="134"/>
      <c r="CT815" s="135"/>
      <c r="CU815" s="135"/>
      <c r="CV815" s="135"/>
      <c r="CW815" s="135"/>
      <c r="CX815" s="135"/>
      <c r="CY815" s="135"/>
      <c r="CZ815" s="135"/>
      <c r="DA815" s="135"/>
      <c r="DB815" s="135"/>
      <c r="DC815" s="134"/>
    </row>
    <row r="816" spans="1:107" s="128" customFormat="1" x14ac:dyDescent="0.2">
      <c r="A816" s="184">
        <v>10070</v>
      </c>
      <c r="B816" s="185">
        <v>1</v>
      </c>
      <c r="C816" s="185">
        <f t="shared" si="66"/>
        <v>100700001</v>
      </c>
      <c r="D816" s="128" t="s">
        <v>1944</v>
      </c>
      <c r="E816" s="129" t="s">
        <v>109</v>
      </c>
      <c r="F816" s="129"/>
      <c r="G816" s="129"/>
      <c r="H816" s="129"/>
      <c r="I816" s="114" t="s">
        <v>206</v>
      </c>
      <c r="J816" s="114"/>
      <c r="K816" s="114"/>
      <c r="L816" s="114"/>
      <c r="M816" s="114"/>
      <c r="N816" s="114" t="s">
        <v>163</v>
      </c>
      <c r="O816" s="114" t="s">
        <v>163</v>
      </c>
      <c r="P816" s="114"/>
      <c r="Q816" s="114" t="s">
        <v>2041</v>
      </c>
      <c r="R816" s="114"/>
      <c r="S816" s="114"/>
      <c r="T816" s="114" t="s">
        <v>2307</v>
      </c>
      <c r="U816" s="117" t="s">
        <v>2649</v>
      </c>
      <c r="V816" s="114" t="s">
        <v>109</v>
      </c>
      <c r="W816" s="114" t="s">
        <v>1</v>
      </c>
      <c r="X816" s="114"/>
      <c r="Z816" s="114"/>
      <c r="AA816" s="114"/>
      <c r="AB816" s="114"/>
      <c r="AC816" s="114">
        <v>70</v>
      </c>
      <c r="AD816" s="114"/>
      <c r="AE816" s="130"/>
      <c r="AF816" s="130" t="s">
        <v>2043</v>
      </c>
      <c r="AG816" s="114"/>
      <c r="AH816" s="131"/>
      <c r="AI816" s="131" t="s">
        <v>176</v>
      </c>
      <c r="AJ816" s="131"/>
      <c r="AK816" s="132" t="s">
        <v>136</v>
      </c>
      <c r="AL816" s="132"/>
      <c r="AM816" s="134"/>
      <c r="AN816" s="134"/>
      <c r="AO816" s="134"/>
      <c r="AP816" s="134"/>
      <c r="AQ816" s="134"/>
      <c r="AR816" s="134"/>
      <c r="AS816" s="134"/>
      <c r="AT816" s="134"/>
      <c r="AU816" s="131"/>
      <c r="AV816" s="131"/>
      <c r="AW816" s="131"/>
      <c r="AX816" s="132"/>
      <c r="AY816" s="132"/>
      <c r="AZ816" s="134"/>
      <c r="BA816" s="134"/>
      <c r="BB816" s="134"/>
      <c r="BC816" s="134"/>
      <c r="BD816" s="134"/>
      <c r="BE816" s="134"/>
      <c r="BF816" s="134"/>
      <c r="BG816" s="134"/>
      <c r="BH816" s="131"/>
      <c r="BI816" s="131"/>
      <c r="BJ816" s="131"/>
      <c r="BK816" s="132"/>
      <c r="BL816" s="132"/>
      <c r="BM816" s="134"/>
      <c r="BN816" s="134"/>
      <c r="BO816" s="134"/>
      <c r="BP816" s="134"/>
      <c r="BQ816" s="134"/>
      <c r="BR816" s="134"/>
      <c r="BS816" s="134"/>
      <c r="BT816" s="134"/>
      <c r="BU816" s="131"/>
      <c r="BV816" s="131"/>
      <c r="BW816" s="131"/>
      <c r="BX816" s="132"/>
      <c r="BY816" s="132"/>
      <c r="BZ816" s="134"/>
      <c r="CA816" s="134"/>
      <c r="CB816" s="134"/>
      <c r="CC816" s="134"/>
      <c r="CD816" s="134"/>
      <c r="CE816" s="134"/>
      <c r="CF816" s="134"/>
      <c r="CG816" s="134"/>
      <c r="CH816" s="127"/>
      <c r="CJ816" s="134"/>
      <c r="CT816" s="135"/>
      <c r="CU816" s="135"/>
      <c r="CV816" s="135"/>
      <c r="CW816" s="135"/>
      <c r="CX816" s="135"/>
      <c r="CY816" s="135"/>
      <c r="CZ816" s="135"/>
      <c r="DA816" s="135"/>
      <c r="DB816" s="135"/>
      <c r="DC816" s="134"/>
    </row>
    <row r="817" spans="1:107" s="128" customFormat="1" x14ac:dyDescent="0.2">
      <c r="A817" s="184">
        <v>10070</v>
      </c>
      <c r="B817" s="185">
        <v>2</v>
      </c>
      <c r="C817" s="185">
        <f t="shared" si="66"/>
        <v>100700002</v>
      </c>
      <c r="D817" s="128" t="s">
        <v>1944</v>
      </c>
      <c r="E817" s="129" t="s">
        <v>109</v>
      </c>
      <c r="F817" s="129"/>
      <c r="G817" s="129"/>
      <c r="H817" s="129"/>
      <c r="I817" s="114" t="s">
        <v>206</v>
      </c>
      <c r="J817" s="114"/>
      <c r="K817" s="114"/>
      <c r="L817" s="114"/>
      <c r="M817" s="114"/>
      <c r="N817" s="114" t="s">
        <v>163</v>
      </c>
      <c r="O817" s="114" t="s">
        <v>163</v>
      </c>
      <c r="P817" s="114"/>
      <c r="Q817" s="114" t="s">
        <v>2041</v>
      </c>
      <c r="R817" s="114"/>
      <c r="S817" s="114"/>
      <c r="T817" s="114" t="s">
        <v>2307</v>
      </c>
      <c r="U817" s="117" t="s">
        <v>2650</v>
      </c>
      <c r="V817" s="114" t="s">
        <v>109</v>
      </c>
      <c r="W817" s="114" t="s">
        <v>1</v>
      </c>
      <c r="X817" s="114"/>
      <c r="Z817" s="114"/>
      <c r="AA817" s="114"/>
      <c r="AB817" s="114"/>
      <c r="AC817" s="114">
        <v>70</v>
      </c>
      <c r="AD817" s="114"/>
      <c r="AE817" s="130"/>
      <c r="AF817" s="130" t="s">
        <v>2043</v>
      </c>
      <c r="AG817" s="114"/>
      <c r="AH817" s="131"/>
      <c r="AI817" s="131" t="s">
        <v>260</v>
      </c>
      <c r="AJ817" s="131"/>
      <c r="AK817" s="132" t="s">
        <v>139</v>
      </c>
      <c r="AL817" s="132"/>
      <c r="AM817" s="134"/>
      <c r="AN817" s="134"/>
      <c r="AO817" s="134"/>
      <c r="AP817" s="134"/>
      <c r="AQ817" s="134"/>
      <c r="AR817" s="134"/>
      <c r="AS817" s="134"/>
      <c r="AT817" s="134"/>
      <c r="AU817" s="131"/>
      <c r="AV817" s="131"/>
      <c r="AW817" s="131"/>
      <c r="AX817" s="132"/>
      <c r="AY817" s="132"/>
      <c r="AZ817" s="134"/>
      <c r="BA817" s="134"/>
      <c r="BB817" s="134"/>
      <c r="BC817" s="134"/>
      <c r="BD817" s="134"/>
      <c r="BE817" s="134"/>
      <c r="BF817" s="134"/>
      <c r="BG817" s="134"/>
      <c r="BH817" s="131"/>
      <c r="BI817" s="131"/>
      <c r="BJ817" s="131"/>
      <c r="BK817" s="132"/>
      <c r="BL817" s="132"/>
      <c r="BM817" s="134"/>
      <c r="BN817" s="134"/>
      <c r="BO817" s="134"/>
      <c r="BP817" s="134"/>
      <c r="BQ817" s="134"/>
      <c r="BR817" s="134"/>
      <c r="BS817" s="134"/>
      <c r="BT817" s="134"/>
      <c r="BU817" s="131"/>
      <c r="BV817" s="131"/>
      <c r="BW817" s="131"/>
      <c r="BX817" s="132"/>
      <c r="BY817" s="132"/>
      <c r="BZ817" s="134"/>
      <c r="CA817" s="134"/>
      <c r="CB817" s="134"/>
      <c r="CC817" s="134"/>
      <c r="CD817" s="134"/>
      <c r="CE817" s="134"/>
      <c r="CF817" s="134"/>
      <c r="CG817" s="134"/>
      <c r="CH817" s="127"/>
      <c r="CJ817" s="134"/>
      <c r="CT817" s="135"/>
      <c r="CU817" s="135"/>
      <c r="CV817" s="135"/>
      <c r="CW817" s="135"/>
      <c r="CX817" s="135"/>
      <c r="CY817" s="135"/>
      <c r="CZ817" s="135"/>
      <c r="DA817" s="135"/>
      <c r="DB817" s="135"/>
      <c r="DC817" s="134"/>
    </row>
    <row r="818" spans="1:107" s="128" customFormat="1" x14ac:dyDescent="0.2">
      <c r="A818" s="184">
        <v>10070</v>
      </c>
      <c r="B818" s="185">
        <v>3</v>
      </c>
      <c r="C818" s="185">
        <f t="shared" si="66"/>
        <v>100700003</v>
      </c>
      <c r="D818" s="128" t="s">
        <v>1944</v>
      </c>
      <c r="E818" s="129" t="s">
        <v>109</v>
      </c>
      <c r="F818" s="129"/>
      <c r="G818" s="129"/>
      <c r="H818" s="129"/>
      <c r="I818" s="114" t="s">
        <v>206</v>
      </c>
      <c r="J818" s="114"/>
      <c r="K818" s="114"/>
      <c r="L818" s="114"/>
      <c r="M818" s="114"/>
      <c r="N818" s="114" t="s">
        <v>163</v>
      </c>
      <c r="O818" s="114" t="s">
        <v>163</v>
      </c>
      <c r="P818" s="114"/>
      <c r="Q818" s="114" t="s">
        <v>2041</v>
      </c>
      <c r="R818" s="114"/>
      <c r="S818" s="114"/>
      <c r="T818" s="114" t="s">
        <v>2307</v>
      </c>
      <c r="U818" s="117" t="s">
        <v>2651</v>
      </c>
      <c r="V818" s="114" t="s">
        <v>109</v>
      </c>
      <c r="W818" s="114" t="s">
        <v>1</v>
      </c>
      <c r="X818" s="114"/>
      <c r="Z818" s="114"/>
      <c r="AA818" s="114"/>
      <c r="AB818" s="114"/>
      <c r="AC818" s="114">
        <v>70</v>
      </c>
      <c r="AD818" s="114"/>
      <c r="AE818" s="130"/>
      <c r="AF818" s="130" t="s">
        <v>2043</v>
      </c>
      <c r="AG818" s="114"/>
      <c r="AH818" s="131">
        <v>100703</v>
      </c>
      <c r="AI818" s="131" t="s">
        <v>264</v>
      </c>
      <c r="AJ818" s="131"/>
      <c r="AK818" s="132" t="s">
        <v>373</v>
      </c>
      <c r="AL818" s="132"/>
      <c r="AM818" s="134"/>
      <c r="AN818" s="134"/>
      <c r="AO818" s="134"/>
      <c r="AP818" s="134"/>
      <c r="AQ818" s="134"/>
      <c r="AR818" s="134"/>
      <c r="AS818" s="134"/>
      <c r="AT818" s="134"/>
      <c r="AU818" s="131"/>
      <c r="AV818" s="131"/>
      <c r="AW818" s="131"/>
      <c r="AX818" s="132"/>
      <c r="AY818" s="132"/>
      <c r="AZ818" s="134"/>
      <c r="BA818" s="134"/>
      <c r="BB818" s="134"/>
      <c r="BC818" s="134"/>
      <c r="BD818" s="134"/>
      <c r="BE818" s="134"/>
      <c r="BF818" s="134"/>
      <c r="BG818" s="134"/>
      <c r="BH818" s="131"/>
      <c r="BI818" s="131"/>
      <c r="BJ818" s="131"/>
      <c r="BK818" s="132"/>
      <c r="BL818" s="132"/>
      <c r="BM818" s="134"/>
      <c r="BN818" s="134"/>
      <c r="BO818" s="134"/>
      <c r="BP818" s="134"/>
      <c r="BQ818" s="134"/>
      <c r="BR818" s="134"/>
      <c r="BS818" s="134"/>
      <c r="BT818" s="134"/>
      <c r="BU818" s="131"/>
      <c r="BV818" s="131"/>
      <c r="BW818" s="131"/>
      <c r="BX818" s="132"/>
      <c r="BY818" s="132"/>
      <c r="BZ818" s="134"/>
      <c r="CA818" s="134"/>
      <c r="CB818" s="134"/>
      <c r="CC818" s="134"/>
      <c r="CD818" s="134"/>
      <c r="CE818" s="134"/>
      <c r="CF818" s="134"/>
      <c r="CG818" s="134"/>
      <c r="CH818" s="127"/>
      <c r="CJ818" s="134"/>
      <c r="CT818" s="135"/>
      <c r="CU818" s="135"/>
      <c r="CV818" s="135"/>
      <c r="CW818" s="135"/>
      <c r="CX818" s="135"/>
      <c r="CY818" s="135"/>
      <c r="CZ818" s="135"/>
      <c r="DA818" s="135"/>
      <c r="DB818" s="135"/>
      <c r="DC818" s="134"/>
    </row>
    <row r="819" spans="1:107" s="128" customFormat="1" ht="12.75" customHeight="1" x14ac:dyDescent="0.2">
      <c r="A819" s="184">
        <v>10070</v>
      </c>
      <c r="B819" s="185">
        <v>4</v>
      </c>
      <c r="C819" s="185">
        <f t="shared" si="66"/>
        <v>100700004</v>
      </c>
      <c r="D819" s="128" t="s">
        <v>1944</v>
      </c>
      <c r="E819" s="129" t="s">
        <v>109</v>
      </c>
      <c r="F819" s="129"/>
      <c r="G819" s="129"/>
      <c r="H819" s="129"/>
      <c r="I819" s="114" t="s">
        <v>206</v>
      </c>
      <c r="J819" s="114"/>
      <c r="K819" s="114"/>
      <c r="L819" s="114"/>
      <c r="M819" s="114"/>
      <c r="N819" s="114" t="s">
        <v>163</v>
      </c>
      <c r="O819" s="114" t="s">
        <v>163</v>
      </c>
      <c r="P819" s="114"/>
      <c r="Q819" s="114" t="s">
        <v>2041</v>
      </c>
      <c r="R819" s="114"/>
      <c r="S819" s="114"/>
      <c r="T819" s="114" t="s">
        <v>2307</v>
      </c>
      <c r="U819" s="117" t="s">
        <v>2652</v>
      </c>
      <c r="V819" s="114" t="s">
        <v>109</v>
      </c>
      <c r="W819" s="114" t="s">
        <v>1</v>
      </c>
      <c r="X819" s="114"/>
      <c r="Z819" s="114"/>
      <c r="AA819" s="114"/>
      <c r="AB819" s="114"/>
      <c r="AC819" s="114">
        <v>70</v>
      </c>
      <c r="AD819" s="114"/>
      <c r="AE819" s="130"/>
      <c r="AF819" s="130" t="s">
        <v>2043</v>
      </c>
      <c r="AG819" s="114"/>
      <c r="AH819" s="131">
        <v>100704</v>
      </c>
      <c r="AI819" s="131" t="s">
        <v>265</v>
      </c>
      <c r="AJ819" s="131"/>
      <c r="AK819" s="132" t="s">
        <v>374</v>
      </c>
      <c r="AL819" s="132"/>
      <c r="AM819" s="134"/>
      <c r="AN819" s="134"/>
      <c r="AO819" s="134"/>
      <c r="AP819" s="134"/>
      <c r="AQ819" s="134"/>
      <c r="AR819" s="134"/>
      <c r="AS819" s="134"/>
      <c r="AT819" s="134"/>
      <c r="AU819" s="131"/>
      <c r="AV819" s="131"/>
      <c r="AW819" s="131"/>
      <c r="AX819" s="132"/>
      <c r="AY819" s="132"/>
      <c r="AZ819" s="134"/>
      <c r="BA819" s="134"/>
      <c r="BB819" s="134"/>
      <c r="BC819" s="134"/>
      <c r="BD819" s="134"/>
      <c r="BE819" s="134"/>
      <c r="BF819" s="134"/>
      <c r="BG819" s="134"/>
      <c r="BH819" s="131"/>
      <c r="BI819" s="131"/>
      <c r="BJ819" s="131"/>
      <c r="BK819" s="132"/>
      <c r="BL819" s="132"/>
      <c r="BM819" s="134"/>
      <c r="BN819" s="134"/>
      <c r="BO819" s="134"/>
      <c r="BP819" s="134"/>
      <c r="BQ819" s="134"/>
      <c r="BR819" s="134"/>
      <c r="BS819" s="134"/>
      <c r="BT819" s="134"/>
      <c r="BU819" s="131"/>
      <c r="BV819" s="131"/>
      <c r="BW819" s="131"/>
      <c r="BX819" s="132"/>
      <c r="BY819" s="132"/>
      <c r="BZ819" s="134"/>
      <c r="CA819" s="134"/>
      <c r="CB819" s="134"/>
      <c r="CC819" s="134"/>
      <c r="CD819" s="134"/>
      <c r="CE819" s="134"/>
      <c r="CF819" s="134"/>
      <c r="CG819" s="134"/>
      <c r="CH819" s="127"/>
      <c r="CJ819" s="134"/>
      <c r="CT819" s="135"/>
      <c r="CU819" s="135"/>
      <c r="CV819" s="135"/>
      <c r="CW819" s="135"/>
      <c r="CX819" s="135"/>
      <c r="CY819" s="135"/>
      <c r="CZ819" s="135"/>
      <c r="DA819" s="135"/>
      <c r="DB819" s="135"/>
      <c r="DC819" s="134"/>
    </row>
    <row r="820" spans="1:107" s="128" customFormat="1" x14ac:dyDescent="0.2">
      <c r="A820" s="184">
        <v>10070</v>
      </c>
      <c r="B820" s="185">
        <v>5</v>
      </c>
      <c r="C820" s="185">
        <f t="shared" si="66"/>
        <v>100700005</v>
      </c>
      <c r="D820" s="128" t="s">
        <v>1944</v>
      </c>
      <c r="E820" s="129" t="s">
        <v>109</v>
      </c>
      <c r="F820" s="129"/>
      <c r="G820" s="129"/>
      <c r="H820" s="129"/>
      <c r="I820" s="114" t="s">
        <v>206</v>
      </c>
      <c r="J820" s="114"/>
      <c r="K820" s="114"/>
      <c r="L820" s="114"/>
      <c r="M820" s="114"/>
      <c r="N820" s="114" t="s">
        <v>163</v>
      </c>
      <c r="O820" s="114" t="s">
        <v>163</v>
      </c>
      <c r="P820" s="114"/>
      <c r="Q820" s="114" t="s">
        <v>2041</v>
      </c>
      <c r="R820" s="114"/>
      <c r="S820" s="114"/>
      <c r="T820" s="114" t="s">
        <v>2307</v>
      </c>
      <c r="U820" s="117" t="s">
        <v>2653</v>
      </c>
      <c r="V820" s="114" t="s">
        <v>109</v>
      </c>
      <c r="W820" s="114" t="s">
        <v>1</v>
      </c>
      <c r="X820" s="114"/>
      <c r="Z820" s="114"/>
      <c r="AA820" s="114"/>
      <c r="AB820" s="114"/>
      <c r="AC820" s="114">
        <v>70</v>
      </c>
      <c r="AD820" s="114"/>
      <c r="AE820" s="130"/>
      <c r="AF820" s="130" t="s">
        <v>2043</v>
      </c>
      <c r="AG820" s="114"/>
      <c r="AH820" s="131">
        <v>100705</v>
      </c>
      <c r="AI820" s="131" t="s">
        <v>266</v>
      </c>
      <c r="AJ820" s="131"/>
      <c r="AK820" s="132" t="s">
        <v>375</v>
      </c>
      <c r="AL820" s="132"/>
      <c r="AM820" s="134"/>
      <c r="AN820" s="134"/>
      <c r="AO820" s="134"/>
      <c r="AP820" s="134"/>
      <c r="AQ820" s="134"/>
      <c r="AR820" s="134"/>
      <c r="AS820" s="134"/>
      <c r="AT820" s="134"/>
      <c r="AU820" s="131"/>
      <c r="AV820" s="131"/>
      <c r="AW820" s="131"/>
      <c r="AX820" s="132"/>
      <c r="AY820" s="132"/>
      <c r="AZ820" s="134"/>
      <c r="BA820" s="134"/>
      <c r="BB820" s="134"/>
      <c r="BC820" s="134"/>
      <c r="BD820" s="134"/>
      <c r="BE820" s="134"/>
      <c r="BF820" s="134"/>
      <c r="BG820" s="134"/>
      <c r="BH820" s="131"/>
      <c r="BI820" s="131"/>
      <c r="BJ820" s="131"/>
      <c r="BK820" s="132"/>
      <c r="BL820" s="132"/>
      <c r="BM820" s="134"/>
      <c r="BN820" s="134"/>
      <c r="BO820" s="134"/>
      <c r="BP820" s="134"/>
      <c r="BQ820" s="134"/>
      <c r="BR820" s="134"/>
      <c r="BS820" s="134"/>
      <c r="BT820" s="134"/>
      <c r="BU820" s="131"/>
      <c r="BV820" s="131"/>
      <c r="BW820" s="131"/>
      <c r="BX820" s="132"/>
      <c r="BY820" s="132"/>
      <c r="BZ820" s="134"/>
      <c r="CA820" s="134"/>
      <c r="CB820" s="134"/>
      <c r="CC820" s="134"/>
      <c r="CD820" s="134"/>
      <c r="CE820" s="134"/>
      <c r="CF820" s="134"/>
      <c r="CG820" s="134"/>
      <c r="CH820" s="127"/>
      <c r="CJ820" s="134"/>
      <c r="CT820" s="135"/>
      <c r="CU820" s="135"/>
      <c r="CV820" s="135"/>
      <c r="CW820" s="135"/>
      <c r="CX820" s="135"/>
      <c r="CY820" s="135"/>
      <c r="CZ820" s="135"/>
      <c r="DA820" s="135"/>
      <c r="DB820" s="135"/>
      <c r="DC820" s="134"/>
    </row>
    <row r="821" spans="1:107" s="128" customFormat="1" x14ac:dyDescent="0.2">
      <c r="A821" s="184">
        <v>10072</v>
      </c>
      <c r="B821" s="185">
        <v>1</v>
      </c>
      <c r="C821" s="185">
        <f t="shared" si="66"/>
        <v>100720001</v>
      </c>
      <c r="D821" s="128" t="s">
        <v>3544</v>
      </c>
      <c r="E821" s="129" t="s">
        <v>109</v>
      </c>
      <c r="F821" s="129"/>
      <c r="G821" s="129"/>
      <c r="H821" s="129"/>
      <c r="I821" s="114" t="s">
        <v>206</v>
      </c>
      <c r="J821" s="114"/>
      <c r="K821" s="114"/>
      <c r="L821" s="114"/>
      <c r="M821" s="114"/>
      <c r="N821" s="114" t="s">
        <v>163</v>
      </c>
      <c r="O821" s="114" t="s">
        <v>163</v>
      </c>
      <c r="P821" s="114"/>
      <c r="Q821" s="114" t="s">
        <v>2041</v>
      </c>
      <c r="R821" s="114"/>
      <c r="S821" s="114"/>
      <c r="T821" s="114" t="s">
        <v>2307</v>
      </c>
      <c r="U821" s="117" t="s">
        <v>3545</v>
      </c>
      <c r="V821" s="114" t="s">
        <v>109</v>
      </c>
      <c r="W821" s="114" t="s">
        <v>1</v>
      </c>
      <c r="X821" s="114"/>
      <c r="Z821" s="114"/>
      <c r="AA821" s="114"/>
      <c r="AB821" s="114"/>
      <c r="AC821" s="114">
        <v>72</v>
      </c>
      <c r="AD821" s="114"/>
      <c r="AE821" s="130"/>
      <c r="AF821" s="130" t="s">
        <v>2043</v>
      </c>
      <c r="AG821" s="114"/>
      <c r="AH821" s="131"/>
      <c r="AI821" s="131" t="s">
        <v>176</v>
      </c>
      <c r="AJ821" s="131"/>
      <c r="AK821" s="132" t="s">
        <v>136</v>
      </c>
      <c r="AL821" s="132"/>
      <c r="AM821" s="134"/>
      <c r="AN821" s="134"/>
      <c r="AO821" s="134"/>
      <c r="AP821" s="134"/>
      <c r="AQ821" s="134"/>
      <c r="AR821" s="134"/>
      <c r="AS821" s="134"/>
      <c r="AT821" s="134"/>
      <c r="AU821" s="131"/>
      <c r="AV821" s="131"/>
      <c r="AW821" s="131"/>
      <c r="AX821" s="132"/>
      <c r="AY821" s="132"/>
      <c r="AZ821" s="134"/>
      <c r="BA821" s="134"/>
      <c r="BB821" s="134"/>
      <c r="BC821" s="134"/>
      <c r="BD821" s="134"/>
      <c r="BE821" s="134"/>
      <c r="BF821" s="134"/>
      <c r="BG821" s="134"/>
      <c r="BH821" s="131"/>
      <c r="BI821" s="131"/>
      <c r="BJ821" s="131"/>
      <c r="BK821" s="132"/>
      <c r="BL821" s="132"/>
      <c r="BM821" s="134"/>
      <c r="BN821" s="134"/>
      <c r="BO821" s="134"/>
      <c r="BP821" s="134"/>
      <c r="BQ821" s="134"/>
      <c r="BR821" s="134"/>
      <c r="BS821" s="134"/>
      <c r="BT821" s="134"/>
      <c r="BU821" s="131"/>
      <c r="BV821" s="131"/>
      <c r="BW821" s="131"/>
      <c r="BX821" s="132"/>
      <c r="BY821" s="132"/>
      <c r="BZ821" s="134"/>
      <c r="CA821" s="134"/>
      <c r="CB821" s="134"/>
      <c r="CC821" s="134"/>
      <c r="CD821" s="134"/>
      <c r="CE821" s="134"/>
      <c r="CF821" s="134"/>
      <c r="CG821" s="134"/>
      <c r="CH821" s="127"/>
      <c r="CJ821" s="134"/>
      <c r="CT821" s="135"/>
      <c r="CU821" s="135"/>
      <c r="CV821" s="135"/>
      <c r="CW821" s="135"/>
      <c r="CX821" s="135"/>
      <c r="CY821" s="135"/>
      <c r="CZ821" s="135"/>
      <c r="DA821" s="135"/>
      <c r="DB821" s="135"/>
      <c r="DC821" s="134"/>
    </row>
    <row r="822" spans="1:107" s="128" customFormat="1" x14ac:dyDescent="0.2">
      <c r="A822" s="184">
        <v>10072</v>
      </c>
      <c r="B822" s="185">
        <v>2</v>
      </c>
      <c r="C822" s="185">
        <f t="shared" si="66"/>
        <v>100720002</v>
      </c>
      <c r="D822" s="128" t="s">
        <v>3544</v>
      </c>
      <c r="E822" s="129" t="s">
        <v>109</v>
      </c>
      <c r="F822" s="129"/>
      <c r="G822" s="129"/>
      <c r="H822" s="129"/>
      <c r="I822" s="114" t="s">
        <v>206</v>
      </c>
      <c r="J822" s="114"/>
      <c r="K822" s="114"/>
      <c r="L822" s="114"/>
      <c r="M822" s="114"/>
      <c r="N822" s="114" t="s">
        <v>163</v>
      </c>
      <c r="O822" s="114" t="s">
        <v>163</v>
      </c>
      <c r="P822" s="114"/>
      <c r="Q822" s="114" t="s">
        <v>2041</v>
      </c>
      <c r="R822" s="114"/>
      <c r="S822" s="114"/>
      <c r="T822" s="114" t="s">
        <v>2307</v>
      </c>
      <c r="U822" s="117" t="s">
        <v>3546</v>
      </c>
      <c r="V822" s="114" t="s">
        <v>109</v>
      </c>
      <c r="W822" s="114" t="s">
        <v>1</v>
      </c>
      <c r="X822" s="114"/>
      <c r="Z822" s="114"/>
      <c r="AA822" s="114"/>
      <c r="AB822" s="114"/>
      <c r="AC822" s="114">
        <v>72</v>
      </c>
      <c r="AD822" s="114"/>
      <c r="AE822" s="130"/>
      <c r="AF822" s="130" t="s">
        <v>2043</v>
      </c>
      <c r="AG822" s="114"/>
      <c r="AH822" s="131"/>
      <c r="AI822" s="131" t="s">
        <v>260</v>
      </c>
      <c r="AJ822" s="131"/>
      <c r="AK822" s="132" t="s">
        <v>139</v>
      </c>
      <c r="AL822" s="132"/>
      <c r="AM822" s="134"/>
      <c r="AN822" s="134"/>
      <c r="AO822" s="134"/>
      <c r="AP822" s="134"/>
      <c r="AQ822" s="134"/>
      <c r="AR822" s="134"/>
      <c r="AS822" s="134"/>
      <c r="AT822" s="134"/>
      <c r="AU822" s="131"/>
      <c r="AV822" s="131"/>
      <c r="AW822" s="131"/>
      <c r="AX822" s="132"/>
      <c r="AY822" s="132"/>
      <c r="AZ822" s="134"/>
      <c r="BA822" s="134"/>
      <c r="BB822" s="134"/>
      <c r="BC822" s="134"/>
      <c r="BD822" s="134"/>
      <c r="BE822" s="134"/>
      <c r="BF822" s="134"/>
      <c r="BG822" s="134"/>
      <c r="BH822" s="131"/>
      <c r="BI822" s="131"/>
      <c r="BJ822" s="131"/>
      <c r="BK822" s="132"/>
      <c r="BL822" s="132"/>
      <c r="BM822" s="134"/>
      <c r="BN822" s="134"/>
      <c r="BO822" s="134"/>
      <c r="BP822" s="134"/>
      <c r="BQ822" s="134"/>
      <c r="BR822" s="134"/>
      <c r="BS822" s="134"/>
      <c r="BT822" s="134"/>
      <c r="BU822" s="131"/>
      <c r="BV822" s="131"/>
      <c r="BW822" s="131"/>
      <c r="BX822" s="132"/>
      <c r="BY822" s="132"/>
      <c r="BZ822" s="134"/>
      <c r="CA822" s="134"/>
      <c r="CB822" s="134"/>
      <c r="CC822" s="134"/>
      <c r="CD822" s="134"/>
      <c r="CE822" s="134"/>
      <c r="CF822" s="134"/>
      <c r="CG822" s="134"/>
      <c r="CH822" s="127"/>
      <c r="CJ822" s="134"/>
      <c r="CT822" s="135"/>
      <c r="CU822" s="135"/>
      <c r="CV822" s="135"/>
      <c r="CW822" s="135"/>
      <c r="CX822" s="135"/>
      <c r="CY822" s="135"/>
      <c r="CZ822" s="135"/>
      <c r="DA822" s="135"/>
      <c r="DB822" s="135"/>
      <c r="DC822" s="134"/>
    </row>
    <row r="823" spans="1:107" s="128" customFormat="1" x14ac:dyDescent="0.2">
      <c r="A823" s="184">
        <v>10072</v>
      </c>
      <c r="B823" s="185">
        <v>3</v>
      </c>
      <c r="C823" s="185">
        <f t="shared" si="66"/>
        <v>100720003</v>
      </c>
      <c r="D823" s="128" t="s">
        <v>3544</v>
      </c>
      <c r="E823" s="129" t="s">
        <v>109</v>
      </c>
      <c r="F823" s="129"/>
      <c r="G823" s="129"/>
      <c r="H823" s="129"/>
      <c r="I823" s="114" t="s">
        <v>206</v>
      </c>
      <c r="J823" s="114"/>
      <c r="K823" s="114"/>
      <c r="L823" s="114"/>
      <c r="M823" s="114"/>
      <c r="N823" s="114" t="s">
        <v>163</v>
      </c>
      <c r="O823" s="114" t="s">
        <v>163</v>
      </c>
      <c r="P823" s="114"/>
      <c r="Q823" s="114" t="s">
        <v>2041</v>
      </c>
      <c r="R823" s="114"/>
      <c r="S823" s="114"/>
      <c r="T823" s="114" t="s">
        <v>2307</v>
      </c>
      <c r="U823" s="117" t="s">
        <v>3547</v>
      </c>
      <c r="V823" s="114" t="s">
        <v>109</v>
      </c>
      <c r="W823" s="114" t="s">
        <v>1</v>
      </c>
      <c r="X823" s="114"/>
      <c r="Z823" s="114"/>
      <c r="AA823" s="114"/>
      <c r="AB823" s="114"/>
      <c r="AC823" s="114">
        <v>72</v>
      </c>
      <c r="AD823" s="114"/>
      <c r="AE823" s="130"/>
      <c r="AF823" s="130" t="s">
        <v>2043</v>
      </c>
      <c r="AG823" s="114"/>
      <c r="AH823" s="131">
        <v>100723</v>
      </c>
      <c r="AI823" s="131" t="s">
        <v>264</v>
      </c>
      <c r="AJ823" s="131"/>
      <c r="AK823" s="132" t="s">
        <v>373</v>
      </c>
      <c r="AL823" s="132"/>
      <c r="AM823" s="134"/>
      <c r="AN823" s="134"/>
      <c r="AO823" s="134"/>
      <c r="AP823" s="134"/>
      <c r="AQ823" s="134"/>
      <c r="AR823" s="134"/>
      <c r="AS823" s="134"/>
      <c r="AT823" s="134"/>
      <c r="AU823" s="131"/>
      <c r="AV823" s="131"/>
      <c r="AW823" s="131"/>
      <c r="AX823" s="132"/>
      <c r="AY823" s="132"/>
      <c r="AZ823" s="134"/>
      <c r="BA823" s="134"/>
      <c r="BB823" s="134"/>
      <c r="BC823" s="134"/>
      <c r="BD823" s="134"/>
      <c r="BE823" s="134"/>
      <c r="BF823" s="134"/>
      <c r="BG823" s="134"/>
      <c r="BH823" s="131"/>
      <c r="BI823" s="131"/>
      <c r="BJ823" s="131"/>
      <c r="BK823" s="132"/>
      <c r="BL823" s="132"/>
      <c r="BM823" s="134"/>
      <c r="BN823" s="134"/>
      <c r="BO823" s="134"/>
      <c r="BP823" s="134"/>
      <c r="BQ823" s="134"/>
      <c r="BR823" s="134"/>
      <c r="BS823" s="134"/>
      <c r="BT823" s="134"/>
      <c r="BU823" s="131"/>
      <c r="BV823" s="131"/>
      <c r="BW823" s="131"/>
      <c r="BX823" s="132"/>
      <c r="BY823" s="132"/>
      <c r="BZ823" s="134"/>
      <c r="CA823" s="134"/>
      <c r="CB823" s="134"/>
      <c r="CC823" s="134"/>
      <c r="CD823" s="134"/>
      <c r="CE823" s="134"/>
      <c r="CF823" s="134"/>
      <c r="CG823" s="134"/>
      <c r="CH823" s="127"/>
      <c r="CJ823" s="134"/>
      <c r="CT823" s="135"/>
      <c r="CU823" s="135"/>
      <c r="CV823" s="135"/>
      <c r="CW823" s="135"/>
      <c r="CX823" s="135"/>
      <c r="CY823" s="135"/>
      <c r="CZ823" s="135"/>
      <c r="DA823" s="135"/>
      <c r="DB823" s="135"/>
      <c r="DC823" s="134"/>
    </row>
    <row r="824" spans="1:107" s="128" customFormat="1" ht="12.75" customHeight="1" x14ac:dyDescent="0.2">
      <c r="A824" s="184">
        <v>10072</v>
      </c>
      <c r="B824" s="185">
        <v>4</v>
      </c>
      <c r="C824" s="185">
        <f t="shared" si="66"/>
        <v>100720004</v>
      </c>
      <c r="D824" s="128" t="s">
        <v>3544</v>
      </c>
      <c r="E824" s="129" t="s">
        <v>109</v>
      </c>
      <c r="F824" s="129"/>
      <c r="G824" s="129"/>
      <c r="H824" s="129"/>
      <c r="I824" s="114" t="s">
        <v>206</v>
      </c>
      <c r="J824" s="114"/>
      <c r="K824" s="114"/>
      <c r="L824" s="114"/>
      <c r="M824" s="114"/>
      <c r="N824" s="114" t="s">
        <v>163</v>
      </c>
      <c r="O824" s="114" t="s">
        <v>163</v>
      </c>
      <c r="P824" s="114"/>
      <c r="Q824" s="114" t="s">
        <v>2041</v>
      </c>
      <c r="R824" s="114"/>
      <c r="S824" s="114"/>
      <c r="T824" s="114" t="s">
        <v>2307</v>
      </c>
      <c r="U824" s="117" t="s">
        <v>3548</v>
      </c>
      <c r="V824" s="114" t="s">
        <v>109</v>
      </c>
      <c r="W824" s="114" t="s">
        <v>1</v>
      </c>
      <c r="X824" s="114"/>
      <c r="Z824" s="114"/>
      <c r="AA824" s="114"/>
      <c r="AB824" s="114"/>
      <c r="AC824" s="114">
        <v>72</v>
      </c>
      <c r="AD824" s="114"/>
      <c r="AE824" s="130"/>
      <c r="AF824" s="130" t="s">
        <v>2043</v>
      </c>
      <c r="AG824" s="114"/>
      <c r="AH824" s="131">
        <v>100724</v>
      </c>
      <c r="AI824" s="131" t="s">
        <v>265</v>
      </c>
      <c r="AJ824" s="131"/>
      <c r="AK824" s="132">
        <v>1272</v>
      </c>
      <c r="AL824" s="132"/>
      <c r="AM824" s="134"/>
      <c r="AN824" s="134"/>
      <c r="AO824" s="134"/>
      <c r="AP824" s="134"/>
      <c r="AQ824" s="134"/>
      <c r="AR824" s="134"/>
      <c r="AS824" s="134"/>
      <c r="AT824" s="134"/>
      <c r="AU824" s="131"/>
      <c r="AV824" s="131"/>
      <c r="AW824" s="131"/>
      <c r="AX824" s="132"/>
      <c r="AY824" s="132"/>
      <c r="AZ824" s="134"/>
      <c r="BA824" s="134"/>
      <c r="BB824" s="134"/>
      <c r="BC824" s="134"/>
      <c r="BD824" s="134"/>
      <c r="BE824" s="134"/>
      <c r="BF824" s="134"/>
      <c r="BG824" s="134"/>
      <c r="BH824" s="131"/>
      <c r="BI824" s="131"/>
      <c r="BJ824" s="131"/>
      <c r="BK824" s="132"/>
      <c r="BL824" s="132"/>
      <c r="BM824" s="134"/>
      <c r="BN824" s="134"/>
      <c r="BO824" s="134"/>
      <c r="BP824" s="134"/>
      <c r="BQ824" s="134"/>
      <c r="BR824" s="134"/>
      <c r="BS824" s="134"/>
      <c r="BT824" s="134"/>
      <c r="BU824" s="131"/>
      <c r="BV824" s="131"/>
      <c r="BW824" s="131"/>
      <c r="BX824" s="132"/>
      <c r="BY824" s="132"/>
      <c r="BZ824" s="134"/>
      <c r="CA824" s="134"/>
      <c r="CB824" s="134"/>
      <c r="CC824" s="134"/>
      <c r="CD824" s="134"/>
      <c r="CE824" s="134"/>
      <c r="CF824" s="134"/>
      <c r="CG824" s="134"/>
      <c r="CH824" s="127"/>
      <c r="CJ824" s="134"/>
      <c r="CT824" s="135"/>
      <c r="CU824" s="135"/>
      <c r="CV824" s="135"/>
      <c r="CW824" s="135"/>
      <c r="CX824" s="135"/>
      <c r="CY824" s="135"/>
      <c r="CZ824" s="135"/>
      <c r="DA824" s="135"/>
      <c r="DB824" s="135"/>
      <c r="DC824" s="134"/>
    </row>
    <row r="825" spans="1:107" s="128" customFormat="1" x14ac:dyDescent="0.2">
      <c r="A825" s="184">
        <v>10072</v>
      </c>
      <c r="B825" s="185">
        <v>5</v>
      </c>
      <c r="C825" s="185">
        <f t="shared" si="66"/>
        <v>100720005</v>
      </c>
      <c r="D825" s="128" t="s">
        <v>3544</v>
      </c>
      <c r="E825" s="129" t="s">
        <v>109</v>
      </c>
      <c r="F825" s="129"/>
      <c r="G825" s="129"/>
      <c r="H825" s="129"/>
      <c r="I825" s="114" t="s">
        <v>206</v>
      </c>
      <c r="J825" s="114"/>
      <c r="K825" s="114"/>
      <c r="L825" s="114"/>
      <c r="M825" s="114"/>
      <c r="N825" s="114" t="s">
        <v>163</v>
      </c>
      <c r="O825" s="114" t="s">
        <v>163</v>
      </c>
      <c r="P825" s="114"/>
      <c r="Q825" s="114" t="s">
        <v>2041</v>
      </c>
      <c r="R825" s="114"/>
      <c r="S825" s="114"/>
      <c r="T825" s="114" t="s">
        <v>2307</v>
      </c>
      <c r="U825" s="117" t="s">
        <v>3549</v>
      </c>
      <c r="V825" s="114" t="s">
        <v>109</v>
      </c>
      <c r="W825" s="114" t="s">
        <v>1</v>
      </c>
      <c r="X825" s="114"/>
      <c r="Z825" s="114"/>
      <c r="AA825" s="114"/>
      <c r="AB825" s="114"/>
      <c r="AC825" s="114">
        <v>72</v>
      </c>
      <c r="AD825" s="114"/>
      <c r="AE825" s="130"/>
      <c r="AF825" s="130" t="s">
        <v>2043</v>
      </c>
      <c r="AG825" s="114"/>
      <c r="AH825" s="131">
        <v>100725</v>
      </c>
      <c r="AI825" s="131" t="s">
        <v>266</v>
      </c>
      <c r="AJ825" s="131"/>
      <c r="AK825" s="132" t="s">
        <v>375</v>
      </c>
      <c r="AL825" s="132"/>
      <c r="AM825" s="134"/>
      <c r="AN825" s="134"/>
      <c r="AO825" s="134"/>
      <c r="AP825" s="134"/>
      <c r="AQ825" s="134"/>
      <c r="AR825" s="134"/>
      <c r="AS825" s="134"/>
      <c r="AT825" s="134"/>
      <c r="AU825" s="131"/>
      <c r="AV825" s="131"/>
      <c r="AW825" s="131"/>
      <c r="AX825" s="132"/>
      <c r="AY825" s="132"/>
      <c r="AZ825" s="134"/>
      <c r="BA825" s="134"/>
      <c r="BB825" s="134"/>
      <c r="BC825" s="134"/>
      <c r="BD825" s="134"/>
      <c r="BE825" s="134"/>
      <c r="BF825" s="134"/>
      <c r="BG825" s="134"/>
      <c r="BH825" s="131"/>
      <c r="BI825" s="131"/>
      <c r="BJ825" s="131"/>
      <c r="BK825" s="132"/>
      <c r="BL825" s="132"/>
      <c r="BM825" s="134"/>
      <c r="BN825" s="134"/>
      <c r="BO825" s="134"/>
      <c r="BP825" s="134"/>
      <c r="BQ825" s="134"/>
      <c r="BR825" s="134"/>
      <c r="BS825" s="134"/>
      <c r="BT825" s="134"/>
      <c r="BU825" s="131"/>
      <c r="BV825" s="131"/>
      <c r="BW825" s="131"/>
      <c r="BX825" s="132"/>
      <c r="BY825" s="132"/>
      <c r="BZ825" s="134"/>
      <c r="CA825" s="134"/>
      <c r="CB825" s="134"/>
      <c r="CC825" s="134"/>
      <c r="CD825" s="134"/>
      <c r="CE825" s="134"/>
      <c r="CF825" s="134"/>
      <c r="CG825" s="134"/>
      <c r="CH825" s="127"/>
      <c r="CJ825" s="134"/>
      <c r="CT825" s="135"/>
      <c r="CU825" s="135"/>
      <c r="CV825" s="135"/>
      <c r="CW825" s="135"/>
      <c r="CX825" s="135"/>
      <c r="CY825" s="135"/>
      <c r="CZ825" s="135"/>
      <c r="DA825" s="135"/>
      <c r="DB825" s="135"/>
      <c r="DC825" s="134"/>
    </row>
    <row r="826" spans="1:107" s="128" customFormat="1" x14ac:dyDescent="0.2">
      <c r="A826" s="184">
        <v>10073</v>
      </c>
      <c r="B826" s="185">
        <v>1</v>
      </c>
      <c r="C826" s="185">
        <f t="shared" si="66"/>
        <v>100730001</v>
      </c>
      <c r="D826" s="128" t="s">
        <v>1349</v>
      </c>
      <c r="E826" s="129" t="s">
        <v>109</v>
      </c>
      <c r="F826" s="129"/>
      <c r="G826" s="129"/>
      <c r="H826" s="129"/>
      <c r="I826" s="114" t="s">
        <v>206</v>
      </c>
      <c r="J826" s="114"/>
      <c r="K826" s="114"/>
      <c r="L826" s="114"/>
      <c r="M826" s="114"/>
      <c r="N826" s="114" t="s">
        <v>163</v>
      </c>
      <c r="O826" s="114" t="s">
        <v>163</v>
      </c>
      <c r="P826" s="114"/>
      <c r="Q826" s="114" t="s">
        <v>2041</v>
      </c>
      <c r="R826" s="114"/>
      <c r="S826" s="114"/>
      <c r="T826" s="114" t="s">
        <v>2307</v>
      </c>
      <c r="U826" s="117" t="s">
        <v>2654</v>
      </c>
      <c r="V826" s="114" t="s">
        <v>109</v>
      </c>
      <c r="W826" s="114" t="s">
        <v>1</v>
      </c>
      <c r="X826" s="114"/>
      <c r="Z826" s="114"/>
      <c r="AA826" s="114"/>
      <c r="AB826" s="114"/>
      <c r="AC826" s="114">
        <v>73</v>
      </c>
      <c r="AD826" s="114"/>
      <c r="AE826" s="130"/>
      <c r="AF826" s="130" t="s">
        <v>2043</v>
      </c>
      <c r="AG826" s="114"/>
      <c r="AH826" s="131"/>
      <c r="AI826" s="131" t="s">
        <v>176</v>
      </c>
      <c r="AJ826" s="131"/>
      <c r="AK826" s="132" t="s">
        <v>136</v>
      </c>
      <c r="AL826" s="132"/>
      <c r="AM826" s="134"/>
      <c r="AN826" s="134"/>
      <c r="AO826" s="134"/>
      <c r="AP826" s="134"/>
      <c r="AQ826" s="134"/>
      <c r="AR826" s="134"/>
      <c r="AS826" s="134"/>
      <c r="AT826" s="134"/>
      <c r="AU826" s="131"/>
      <c r="AV826" s="131"/>
      <c r="AW826" s="131"/>
      <c r="AX826" s="132"/>
      <c r="AY826" s="132"/>
      <c r="AZ826" s="134"/>
      <c r="BA826" s="134"/>
      <c r="BB826" s="134"/>
      <c r="BC826" s="134"/>
      <c r="BD826" s="134"/>
      <c r="BE826" s="134"/>
      <c r="BF826" s="134"/>
      <c r="BG826" s="134"/>
      <c r="BH826" s="131"/>
      <c r="BI826" s="131"/>
      <c r="BJ826" s="131"/>
      <c r="BK826" s="132"/>
      <c r="BL826" s="132"/>
      <c r="BM826" s="134"/>
      <c r="BN826" s="134"/>
      <c r="BO826" s="134"/>
      <c r="BP826" s="134"/>
      <c r="BQ826" s="134"/>
      <c r="BR826" s="134"/>
      <c r="BS826" s="134"/>
      <c r="BT826" s="134"/>
      <c r="BU826" s="131"/>
      <c r="BV826" s="131"/>
      <c r="BW826" s="131"/>
      <c r="BX826" s="132"/>
      <c r="BY826" s="132"/>
      <c r="BZ826" s="134"/>
      <c r="CA826" s="134"/>
      <c r="CB826" s="134"/>
      <c r="CC826" s="134"/>
      <c r="CD826" s="134"/>
      <c r="CE826" s="134"/>
      <c r="CF826" s="134"/>
      <c r="CG826" s="134"/>
      <c r="CH826" s="127"/>
      <c r="CJ826" s="134"/>
      <c r="CT826" s="135"/>
      <c r="CU826" s="135"/>
      <c r="CV826" s="135"/>
      <c r="CW826" s="135"/>
      <c r="CX826" s="135"/>
      <c r="CY826" s="135"/>
      <c r="CZ826" s="135"/>
      <c r="DA826" s="135"/>
      <c r="DB826" s="135"/>
      <c r="DC826" s="134"/>
    </row>
    <row r="827" spans="1:107" s="128" customFormat="1" x14ac:dyDescent="0.2">
      <c r="A827" s="184">
        <v>10073</v>
      </c>
      <c r="B827" s="185">
        <v>2</v>
      </c>
      <c r="C827" s="185">
        <f t="shared" si="66"/>
        <v>100730002</v>
      </c>
      <c r="D827" s="128" t="s">
        <v>1349</v>
      </c>
      <c r="E827" s="129" t="s">
        <v>109</v>
      </c>
      <c r="F827" s="129"/>
      <c r="G827" s="129"/>
      <c r="H827" s="129"/>
      <c r="I827" s="114" t="s">
        <v>206</v>
      </c>
      <c r="J827" s="114"/>
      <c r="K827" s="114"/>
      <c r="L827" s="114"/>
      <c r="M827" s="114"/>
      <c r="N827" s="114" t="s">
        <v>163</v>
      </c>
      <c r="O827" s="114" t="s">
        <v>163</v>
      </c>
      <c r="P827" s="114"/>
      <c r="Q827" s="114" t="s">
        <v>2041</v>
      </c>
      <c r="R827" s="114"/>
      <c r="S827" s="114"/>
      <c r="T827" s="114" t="s">
        <v>2307</v>
      </c>
      <c r="U827" s="117" t="s">
        <v>2655</v>
      </c>
      <c r="V827" s="114" t="s">
        <v>109</v>
      </c>
      <c r="W827" s="114" t="s">
        <v>1</v>
      </c>
      <c r="X827" s="114"/>
      <c r="Z827" s="114"/>
      <c r="AA827" s="114"/>
      <c r="AB827" s="114"/>
      <c r="AC827" s="114">
        <v>73</v>
      </c>
      <c r="AD827" s="114"/>
      <c r="AE827" s="130"/>
      <c r="AF827" s="130" t="s">
        <v>2043</v>
      </c>
      <c r="AG827" s="114"/>
      <c r="AH827" s="131"/>
      <c r="AI827" s="131" t="s">
        <v>260</v>
      </c>
      <c r="AJ827" s="131"/>
      <c r="AK827" s="132" t="s">
        <v>139</v>
      </c>
      <c r="AL827" s="132"/>
      <c r="AM827" s="134"/>
      <c r="AN827" s="134"/>
      <c r="AO827" s="134"/>
      <c r="AP827" s="134"/>
      <c r="AQ827" s="134"/>
      <c r="AR827" s="134"/>
      <c r="AS827" s="134"/>
      <c r="AT827" s="134"/>
      <c r="AU827" s="131"/>
      <c r="AV827" s="131"/>
      <c r="AW827" s="131"/>
      <c r="AX827" s="132"/>
      <c r="AY827" s="132"/>
      <c r="AZ827" s="134"/>
      <c r="BA827" s="134"/>
      <c r="BB827" s="134"/>
      <c r="BC827" s="134"/>
      <c r="BD827" s="134"/>
      <c r="BE827" s="134"/>
      <c r="BF827" s="134"/>
      <c r="BG827" s="134"/>
      <c r="BH827" s="131"/>
      <c r="BI827" s="131"/>
      <c r="BJ827" s="131"/>
      <c r="BK827" s="132"/>
      <c r="BL827" s="132"/>
      <c r="BM827" s="134"/>
      <c r="BN827" s="134"/>
      <c r="BO827" s="134"/>
      <c r="BP827" s="134"/>
      <c r="BQ827" s="134"/>
      <c r="BR827" s="134"/>
      <c r="BS827" s="134"/>
      <c r="BT827" s="134"/>
      <c r="BU827" s="131"/>
      <c r="BV827" s="131"/>
      <c r="BW827" s="131"/>
      <c r="BX827" s="132"/>
      <c r="BY827" s="132"/>
      <c r="BZ827" s="134"/>
      <c r="CA827" s="134"/>
      <c r="CB827" s="134"/>
      <c r="CC827" s="134"/>
      <c r="CD827" s="134"/>
      <c r="CE827" s="134"/>
      <c r="CF827" s="134"/>
      <c r="CG827" s="134"/>
      <c r="CH827" s="127"/>
      <c r="CJ827" s="134"/>
      <c r="CT827" s="135"/>
      <c r="CU827" s="135"/>
      <c r="CV827" s="135"/>
      <c r="CW827" s="135"/>
      <c r="CX827" s="135"/>
      <c r="CY827" s="135"/>
      <c r="CZ827" s="135"/>
      <c r="DA827" s="135"/>
      <c r="DB827" s="135"/>
      <c r="DC827" s="134"/>
    </row>
    <row r="828" spans="1:107" s="128" customFormat="1" x14ac:dyDescent="0.2">
      <c r="A828" s="184">
        <v>10073</v>
      </c>
      <c r="B828" s="185">
        <v>3</v>
      </c>
      <c r="C828" s="185">
        <f t="shared" si="66"/>
        <v>100730003</v>
      </c>
      <c r="D828" s="128" t="s">
        <v>1349</v>
      </c>
      <c r="E828" s="129" t="s">
        <v>109</v>
      </c>
      <c r="F828" s="129"/>
      <c r="G828" s="129"/>
      <c r="H828" s="129"/>
      <c r="I828" s="114" t="s">
        <v>206</v>
      </c>
      <c r="J828" s="114"/>
      <c r="K828" s="114"/>
      <c r="L828" s="114"/>
      <c r="M828" s="114"/>
      <c r="N828" s="114" t="s">
        <v>163</v>
      </c>
      <c r="O828" s="114" t="s">
        <v>163</v>
      </c>
      <c r="P828" s="114"/>
      <c r="Q828" s="114" t="s">
        <v>2041</v>
      </c>
      <c r="R828" s="114"/>
      <c r="S828" s="114"/>
      <c r="T828" s="114" t="s">
        <v>2307</v>
      </c>
      <c r="U828" s="117" t="s">
        <v>2656</v>
      </c>
      <c r="V828" s="114" t="s">
        <v>109</v>
      </c>
      <c r="W828" s="114" t="s">
        <v>1</v>
      </c>
      <c r="X828" s="114"/>
      <c r="Z828" s="114"/>
      <c r="AA828" s="114"/>
      <c r="AB828" s="114"/>
      <c r="AC828" s="114">
        <v>73</v>
      </c>
      <c r="AD828" s="114"/>
      <c r="AE828" s="130"/>
      <c r="AF828" s="130" t="s">
        <v>2043</v>
      </c>
      <c r="AG828" s="114"/>
      <c r="AH828" s="131">
        <v>100733</v>
      </c>
      <c r="AI828" s="131" t="s">
        <v>264</v>
      </c>
      <c r="AJ828" s="131"/>
      <c r="AK828" s="132" t="s">
        <v>373</v>
      </c>
      <c r="AL828" s="132"/>
      <c r="AM828" s="134"/>
      <c r="AN828" s="134"/>
      <c r="AO828" s="134"/>
      <c r="AP828" s="134"/>
      <c r="AQ828" s="134"/>
      <c r="AR828" s="134"/>
      <c r="AS828" s="134"/>
      <c r="AT828" s="134"/>
      <c r="AU828" s="131"/>
      <c r="AV828" s="131"/>
      <c r="AW828" s="131"/>
      <c r="AX828" s="132"/>
      <c r="AY828" s="132"/>
      <c r="AZ828" s="134"/>
      <c r="BA828" s="134"/>
      <c r="BB828" s="134"/>
      <c r="BC828" s="134"/>
      <c r="BD828" s="134"/>
      <c r="BE828" s="134"/>
      <c r="BF828" s="134"/>
      <c r="BG828" s="134"/>
      <c r="BH828" s="131"/>
      <c r="BI828" s="131"/>
      <c r="BJ828" s="131"/>
      <c r="BK828" s="132"/>
      <c r="BL828" s="132"/>
      <c r="BM828" s="134"/>
      <c r="BN828" s="134"/>
      <c r="BO828" s="134"/>
      <c r="BP828" s="134"/>
      <c r="BQ828" s="134"/>
      <c r="BR828" s="134"/>
      <c r="BS828" s="134"/>
      <c r="BT828" s="134"/>
      <c r="BU828" s="131"/>
      <c r="BV828" s="131"/>
      <c r="BW828" s="131"/>
      <c r="BX828" s="132"/>
      <c r="BY828" s="132"/>
      <c r="BZ828" s="134"/>
      <c r="CA828" s="134"/>
      <c r="CB828" s="134"/>
      <c r="CC828" s="134"/>
      <c r="CD828" s="134"/>
      <c r="CE828" s="134"/>
      <c r="CF828" s="134"/>
      <c r="CG828" s="134"/>
      <c r="CH828" s="127"/>
      <c r="CJ828" s="134"/>
      <c r="CT828" s="135"/>
      <c r="CU828" s="135"/>
      <c r="CV828" s="135"/>
      <c r="CW828" s="135"/>
      <c r="CX828" s="135"/>
      <c r="CY828" s="135"/>
      <c r="CZ828" s="135"/>
      <c r="DA828" s="135"/>
      <c r="DB828" s="135"/>
      <c r="DC828" s="134"/>
    </row>
    <row r="829" spans="1:107" s="128" customFormat="1" ht="12.75" customHeight="1" x14ac:dyDescent="0.2">
      <c r="A829" s="184">
        <v>10073</v>
      </c>
      <c r="B829" s="185">
        <v>4</v>
      </c>
      <c r="C829" s="185">
        <f t="shared" si="66"/>
        <v>100730004</v>
      </c>
      <c r="D829" s="128" t="s">
        <v>1349</v>
      </c>
      <c r="E829" s="129" t="s">
        <v>109</v>
      </c>
      <c r="F829" s="129"/>
      <c r="G829" s="129"/>
      <c r="H829" s="129"/>
      <c r="I829" s="114" t="s">
        <v>206</v>
      </c>
      <c r="J829" s="114"/>
      <c r="K829" s="114"/>
      <c r="L829" s="114"/>
      <c r="M829" s="114"/>
      <c r="N829" s="114" t="s">
        <v>163</v>
      </c>
      <c r="O829" s="114" t="s">
        <v>163</v>
      </c>
      <c r="P829" s="114"/>
      <c r="Q829" s="114" t="s">
        <v>2041</v>
      </c>
      <c r="R829" s="114"/>
      <c r="S829" s="114"/>
      <c r="T829" s="114" t="s">
        <v>2307</v>
      </c>
      <c r="U829" s="117" t="s">
        <v>2657</v>
      </c>
      <c r="V829" s="114" t="s">
        <v>109</v>
      </c>
      <c r="W829" s="114" t="s">
        <v>1</v>
      </c>
      <c r="X829" s="114"/>
      <c r="Z829" s="114"/>
      <c r="AA829" s="114"/>
      <c r="AB829" s="114"/>
      <c r="AC829" s="114">
        <v>73</v>
      </c>
      <c r="AD829" s="114"/>
      <c r="AE829" s="130"/>
      <c r="AF829" s="130" t="s">
        <v>2043</v>
      </c>
      <c r="AG829" s="114"/>
      <c r="AH829" s="131">
        <v>100734</v>
      </c>
      <c r="AI829" s="131" t="s">
        <v>265</v>
      </c>
      <c r="AJ829" s="131"/>
      <c r="AK829" s="132" t="s">
        <v>374</v>
      </c>
      <c r="AL829" s="132"/>
      <c r="AM829" s="134"/>
      <c r="AN829" s="134"/>
      <c r="AO829" s="134"/>
      <c r="AP829" s="134"/>
      <c r="AQ829" s="134"/>
      <c r="AR829" s="134"/>
      <c r="AS829" s="134"/>
      <c r="AT829" s="134"/>
      <c r="AU829" s="131"/>
      <c r="AV829" s="131"/>
      <c r="AW829" s="131"/>
      <c r="AX829" s="132"/>
      <c r="AY829" s="132"/>
      <c r="AZ829" s="134"/>
      <c r="BA829" s="134"/>
      <c r="BB829" s="134"/>
      <c r="BC829" s="134"/>
      <c r="BD829" s="134"/>
      <c r="BE829" s="134"/>
      <c r="BF829" s="134"/>
      <c r="BG829" s="134"/>
      <c r="BH829" s="131"/>
      <c r="BI829" s="131"/>
      <c r="BJ829" s="131"/>
      <c r="BK829" s="132"/>
      <c r="BL829" s="132"/>
      <c r="BM829" s="134"/>
      <c r="BN829" s="134"/>
      <c r="BO829" s="134"/>
      <c r="BP829" s="134"/>
      <c r="BQ829" s="134"/>
      <c r="BR829" s="134"/>
      <c r="BS829" s="134"/>
      <c r="BT829" s="134"/>
      <c r="BU829" s="131"/>
      <c r="BV829" s="131"/>
      <c r="BW829" s="131"/>
      <c r="BX829" s="132"/>
      <c r="BY829" s="132"/>
      <c r="BZ829" s="134"/>
      <c r="CA829" s="134"/>
      <c r="CB829" s="134"/>
      <c r="CC829" s="134"/>
      <c r="CD829" s="134"/>
      <c r="CE829" s="134"/>
      <c r="CF829" s="134"/>
      <c r="CG829" s="134"/>
      <c r="CH829" s="127"/>
      <c r="CJ829" s="134"/>
      <c r="CT829" s="135"/>
      <c r="CU829" s="135"/>
      <c r="CV829" s="135"/>
      <c r="CW829" s="135"/>
      <c r="CX829" s="135"/>
      <c r="CY829" s="135"/>
      <c r="CZ829" s="135"/>
      <c r="DA829" s="135"/>
      <c r="DB829" s="135"/>
      <c r="DC829" s="134"/>
    </row>
    <row r="830" spans="1:107" s="128" customFormat="1" x14ac:dyDescent="0.2">
      <c r="A830" s="184">
        <v>10073</v>
      </c>
      <c r="B830" s="185">
        <v>5</v>
      </c>
      <c r="C830" s="185">
        <f t="shared" si="66"/>
        <v>100730005</v>
      </c>
      <c r="D830" s="128" t="s">
        <v>1349</v>
      </c>
      <c r="E830" s="129" t="s">
        <v>109</v>
      </c>
      <c r="F830" s="129"/>
      <c r="G830" s="129"/>
      <c r="H830" s="129"/>
      <c r="I830" s="114" t="s">
        <v>206</v>
      </c>
      <c r="J830" s="114"/>
      <c r="K830" s="114"/>
      <c r="L830" s="114"/>
      <c r="M830" s="114"/>
      <c r="N830" s="114" t="s">
        <v>163</v>
      </c>
      <c r="O830" s="114" t="s">
        <v>163</v>
      </c>
      <c r="P830" s="114"/>
      <c r="Q830" s="114" t="s">
        <v>2041</v>
      </c>
      <c r="R830" s="114"/>
      <c r="S830" s="114"/>
      <c r="T830" s="114" t="s">
        <v>2307</v>
      </c>
      <c r="U830" s="117" t="s">
        <v>2658</v>
      </c>
      <c r="V830" s="114" t="s">
        <v>109</v>
      </c>
      <c r="W830" s="114" t="s">
        <v>1</v>
      </c>
      <c r="X830" s="114"/>
      <c r="Z830" s="114"/>
      <c r="AA830" s="114"/>
      <c r="AB830" s="114"/>
      <c r="AC830" s="114">
        <v>73</v>
      </c>
      <c r="AD830" s="114"/>
      <c r="AE830" s="130"/>
      <c r="AF830" s="130" t="s">
        <v>2043</v>
      </c>
      <c r="AG830" s="114"/>
      <c r="AH830" s="131">
        <v>100735</v>
      </c>
      <c r="AI830" s="131" t="s">
        <v>266</v>
      </c>
      <c r="AJ830" s="131"/>
      <c r="AK830" s="132" t="s">
        <v>375</v>
      </c>
      <c r="AL830" s="132"/>
      <c r="AM830" s="134"/>
      <c r="AN830" s="134"/>
      <c r="AO830" s="134"/>
      <c r="AP830" s="134"/>
      <c r="AQ830" s="134"/>
      <c r="AR830" s="134"/>
      <c r="AS830" s="134"/>
      <c r="AT830" s="134"/>
      <c r="AU830" s="131"/>
      <c r="AV830" s="131"/>
      <c r="AW830" s="131"/>
      <c r="AX830" s="132"/>
      <c r="AY830" s="132"/>
      <c r="AZ830" s="134"/>
      <c r="BA830" s="134"/>
      <c r="BB830" s="134"/>
      <c r="BC830" s="134"/>
      <c r="BD830" s="134"/>
      <c r="BE830" s="134"/>
      <c r="BF830" s="134"/>
      <c r="BG830" s="134"/>
      <c r="BH830" s="131"/>
      <c r="BI830" s="131"/>
      <c r="BJ830" s="131"/>
      <c r="BK830" s="132"/>
      <c r="BL830" s="132"/>
      <c r="BM830" s="134"/>
      <c r="BN830" s="134"/>
      <c r="BO830" s="134"/>
      <c r="BP830" s="134"/>
      <c r="BQ830" s="134"/>
      <c r="BR830" s="134"/>
      <c r="BS830" s="134"/>
      <c r="BT830" s="134"/>
      <c r="BU830" s="131"/>
      <c r="BV830" s="131"/>
      <c r="BW830" s="131"/>
      <c r="BX830" s="132"/>
      <c r="BY830" s="132"/>
      <c r="BZ830" s="134"/>
      <c r="CA830" s="134"/>
      <c r="CB830" s="134"/>
      <c r="CC830" s="134"/>
      <c r="CD830" s="134"/>
      <c r="CE830" s="134"/>
      <c r="CF830" s="134"/>
      <c r="CG830" s="134"/>
      <c r="CH830" s="127"/>
      <c r="CJ830" s="134"/>
      <c r="CT830" s="135"/>
      <c r="CU830" s="135"/>
      <c r="CV830" s="135"/>
      <c r="CW830" s="135"/>
      <c r="CX830" s="135"/>
      <c r="CY830" s="135"/>
      <c r="CZ830" s="135"/>
      <c r="DA830" s="135"/>
      <c r="DB830" s="135"/>
      <c r="DC830" s="134"/>
    </row>
    <row r="831" spans="1:107" s="128" customFormat="1" x14ac:dyDescent="0.2">
      <c r="A831" s="184">
        <v>10074</v>
      </c>
      <c r="B831" s="185">
        <v>1</v>
      </c>
      <c r="C831" s="185">
        <f t="shared" ref="C831:C835" si="67">A831*10000+B831</f>
        <v>100740001</v>
      </c>
      <c r="D831" s="128" t="s">
        <v>3591</v>
      </c>
      <c r="E831" s="129" t="s">
        <v>109</v>
      </c>
      <c r="F831" s="129"/>
      <c r="G831" s="129"/>
      <c r="H831" s="129"/>
      <c r="I831" s="114" t="s">
        <v>206</v>
      </c>
      <c r="J831" s="114"/>
      <c r="K831" s="114"/>
      <c r="L831" s="114"/>
      <c r="M831" s="114"/>
      <c r="N831" s="114" t="s">
        <v>163</v>
      </c>
      <c r="O831" s="114" t="s">
        <v>163</v>
      </c>
      <c r="P831" s="114"/>
      <c r="Q831" s="114" t="s">
        <v>2041</v>
      </c>
      <c r="R831" s="114"/>
      <c r="S831" s="114"/>
      <c r="T831" s="114" t="s">
        <v>2307</v>
      </c>
      <c r="U831" s="117" t="s">
        <v>3592</v>
      </c>
      <c r="V831" s="114" t="s">
        <v>109</v>
      </c>
      <c r="W831" s="114" t="s">
        <v>1</v>
      </c>
      <c r="X831" s="114"/>
      <c r="Z831" s="114"/>
      <c r="AA831" s="114"/>
      <c r="AB831" s="114"/>
      <c r="AC831" s="114" t="s">
        <v>3602</v>
      </c>
      <c r="AD831" s="114"/>
      <c r="AE831" s="130"/>
      <c r="AF831" s="130" t="s">
        <v>2043</v>
      </c>
      <c r="AG831" s="114"/>
      <c r="AH831" s="131"/>
      <c r="AI831" s="131" t="s">
        <v>176</v>
      </c>
      <c r="AJ831" s="131"/>
      <c r="AK831" s="132" t="s">
        <v>136</v>
      </c>
      <c r="AL831" s="132"/>
      <c r="AM831" s="134"/>
      <c r="AN831" s="134"/>
      <c r="AO831" s="134"/>
      <c r="AP831" s="134"/>
      <c r="AQ831" s="134"/>
      <c r="AR831" s="134"/>
      <c r="AS831" s="134"/>
      <c r="AT831" s="134"/>
      <c r="AU831" s="131"/>
      <c r="AV831" s="131"/>
      <c r="AW831" s="131"/>
      <c r="AX831" s="132"/>
      <c r="AY831" s="132"/>
      <c r="AZ831" s="134"/>
      <c r="BA831" s="134"/>
      <c r="BB831" s="134"/>
      <c r="BC831" s="134"/>
      <c r="BD831" s="134"/>
      <c r="BE831" s="134"/>
      <c r="BF831" s="134"/>
      <c r="BG831" s="134"/>
      <c r="BH831" s="131"/>
      <c r="BI831" s="131"/>
      <c r="BJ831" s="131"/>
      <c r="BK831" s="132"/>
      <c r="BL831" s="132"/>
      <c r="BM831" s="134"/>
      <c r="BN831" s="134"/>
      <c r="BO831" s="134"/>
      <c r="BP831" s="134"/>
      <c r="BQ831" s="134"/>
      <c r="BR831" s="134"/>
      <c r="BS831" s="134"/>
      <c r="BT831" s="134"/>
      <c r="BU831" s="131"/>
      <c r="BV831" s="131"/>
      <c r="BW831" s="131"/>
      <c r="BX831" s="132"/>
      <c r="BY831" s="132"/>
      <c r="BZ831" s="134"/>
      <c r="CA831" s="134"/>
      <c r="CB831" s="134"/>
      <c r="CC831" s="134"/>
      <c r="CD831" s="134"/>
      <c r="CE831" s="134"/>
      <c r="CF831" s="134"/>
      <c r="CG831" s="134"/>
      <c r="CH831" s="127"/>
      <c r="CJ831" s="134"/>
      <c r="CT831" s="135"/>
      <c r="CU831" s="135"/>
      <c r="CV831" s="135"/>
      <c r="CW831" s="135"/>
      <c r="CX831" s="135"/>
      <c r="CY831" s="135"/>
      <c r="CZ831" s="135"/>
      <c r="DA831" s="135"/>
      <c r="DB831" s="135"/>
      <c r="DC831" s="134"/>
    </row>
    <row r="832" spans="1:107" s="128" customFormat="1" x14ac:dyDescent="0.2">
      <c r="A832" s="184">
        <v>10074</v>
      </c>
      <c r="B832" s="185">
        <v>2</v>
      </c>
      <c r="C832" s="185">
        <f t="shared" si="67"/>
        <v>100740002</v>
      </c>
      <c r="D832" s="128" t="s">
        <v>3591</v>
      </c>
      <c r="E832" s="129" t="s">
        <v>109</v>
      </c>
      <c r="F832" s="129"/>
      <c r="G832" s="129"/>
      <c r="H832" s="129"/>
      <c r="I832" s="114" t="s">
        <v>206</v>
      </c>
      <c r="J832" s="114"/>
      <c r="K832" s="114"/>
      <c r="L832" s="114"/>
      <c r="M832" s="114"/>
      <c r="N832" s="114" t="s">
        <v>163</v>
      </c>
      <c r="O832" s="114" t="s">
        <v>163</v>
      </c>
      <c r="P832" s="114"/>
      <c r="Q832" s="114" t="s">
        <v>2041</v>
      </c>
      <c r="R832" s="114"/>
      <c r="S832" s="114"/>
      <c r="T832" s="114" t="s">
        <v>2307</v>
      </c>
      <c r="U832" s="117" t="s">
        <v>3593</v>
      </c>
      <c r="V832" s="114" t="s">
        <v>109</v>
      </c>
      <c r="W832" s="114" t="s">
        <v>1</v>
      </c>
      <c r="X832" s="114"/>
      <c r="Z832" s="114"/>
      <c r="AA832" s="114"/>
      <c r="AB832" s="114"/>
      <c r="AC832" s="114" t="s">
        <v>3602</v>
      </c>
      <c r="AD832" s="114"/>
      <c r="AE832" s="130"/>
      <c r="AF832" s="130" t="s">
        <v>2043</v>
      </c>
      <c r="AG832" s="114"/>
      <c r="AH832" s="131"/>
      <c r="AI832" s="131" t="s">
        <v>260</v>
      </c>
      <c r="AJ832" s="131"/>
      <c r="AK832" s="132" t="s">
        <v>139</v>
      </c>
      <c r="AL832" s="132"/>
      <c r="AM832" s="134"/>
      <c r="AN832" s="134"/>
      <c r="AO832" s="134"/>
      <c r="AP832" s="134"/>
      <c r="AQ832" s="134"/>
      <c r="AR832" s="134"/>
      <c r="AS832" s="134"/>
      <c r="AT832" s="134"/>
      <c r="AU832" s="131"/>
      <c r="AV832" s="131"/>
      <c r="AW832" s="131"/>
      <c r="AX832" s="132"/>
      <c r="AY832" s="132"/>
      <c r="AZ832" s="134"/>
      <c r="BA832" s="134"/>
      <c r="BB832" s="134"/>
      <c r="BC832" s="134"/>
      <c r="BD832" s="134"/>
      <c r="BE832" s="134"/>
      <c r="BF832" s="134"/>
      <c r="BG832" s="134"/>
      <c r="BH832" s="131"/>
      <c r="BI832" s="131"/>
      <c r="BJ832" s="131"/>
      <c r="BK832" s="132"/>
      <c r="BL832" s="132"/>
      <c r="BM832" s="134"/>
      <c r="BN832" s="134"/>
      <c r="BO832" s="134"/>
      <c r="BP832" s="134"/>
      <c r="BQ832" s="134"/>
      <c r="BR832" s="134"/>
      <c r="BS832" s="134"/>
      <c r="BT832" s="134"/>
      <c r="BU832" s="131"/>
      <c r="BV832" s="131"/>
      <c r="BW832" s="131"/>
      <c r="BX832" s="132"/>
      <c r="BY832" s="132"/>
      <c r="BZ832" s="134"/>
      <c r="CA832" s="134"/>
      <c r="CB832" s="134"/>
      <c r="CC832" s="134"/>
      <c r="CD832" s="134"/>
      <c r="CE832" s="134"/>
      <c r="CF832" s="134"/>
      <c r="CG832" s="134"/>
      <c r="CH832" s="127"/>
      <c r="CJ832" s="134"/>
      <c r="CT832" s="135"/>
      <c r="CU832" s="135"/>
      <c r="CV832" s="135"/>
      <c r="CW832" s="135"/>
      <c r="CX832" s="135"/>
      <c r="CY832" s="135"/>
      <c r="CZ832" s="135"/>
      <c r="DA832" s="135"/>
      <c r="DB832" s="135"/>
      <c r="DC832" s="134"/>
    </row>
    <row r="833" spans="1:107" s="128" customFormat="1" x14ac:dyDescent="0.2">
      <c r="A833" s="184">
        <v>10074</v>
      </c>
      <c r="B833" s="185">
        <v>3</v>
      </c>
      <c r="C833" s="185">
        <f t="shared" si="67"/>
        <v>100740003</v>
      </c>
      <c r="D833" s="128" t="s">
        <v>3591</v>
      </c>
      <c r="E833" s="129" t="s">
        <v>109</v>
      </c>
      <c r="F833" s="129"/>
      <c r="G833" s="129"/>
      <c r="H833" s="129"/>
      <c r="I833" s="114" t="s">
        <v>206</v>
      </c>
      <c r="J833" s="114"/>
      <c r="K833" s="114"/>
      <c r="L833" s="114"/>
      <c r="M833" s="114"/>
      <c r="N833" s="114" t="s">
        <v>163</v>
      </c>
      <c r="O833" s="114" t="s">
        <v>163</v>
      </c>
      <c r="P833" s="114"/>
      <c r="Q833" s="114" t="s">
        <v>2041</v>
      </c>
      <c r="R833" s="114"/>
      <c r="S833" s="114"/>
      <c r="T833" s="114" t="s">
        <v>2307</v>
      </c>
      <c r="U833" s="117" t="s">
        <v>3594</v>
      </c>
      <c r="V833" s="114" t="s">
        <v>109</v>
      </c>
      <c r="W833" s="114" t="s">
        <v>1</v>
      </c>
      <c r="X833" s="114"/>
      <c r="Z833" s="114"/>
      <c r="AA833" s="114"/>
      <c r="AB833" s="114"/>
      <c r="AC833" s="114" t="s">
        <v>3602</v>
      </c>
      <c r="AD833" s="114"/>
      <c r="AE833" s="130"/>
      <c r="AF833" s="130" t="s">
        <v>2043</v>
      </c>
      <c r="AG833" s="114"/>
      <c r="AH833" s="131">
        <v>100743</v>
      </c>
      <c r="AI833" s="131" t="s">
        <v>264</v>
      </c>
      <c r="AJ833" s="131"/>
      <c r="AK833" s="132" t="s">
        <v>373</v>
      </c>
      <c r="AL833" s="132"/>
      <c r="AM833" s="134"/>
      <c r="AN833" s="134"/>
      <c r="AO833" s="134"/>
      <c r="AP833" s="134"/>
      <c r="AQ833" s="134"/>
      <c r="AR833" s="134"/>
      <c r="AS833" s="134"/>
      <c r="AT833" s="134"/>
      <c r="AU833" s="131"/>
      <c r="AV833" s="131"/>
      <c r="AW833" s="131"/>
      <c r="AX833" s="132"/>
      <c r="AY833" s="132"/>
      <c r="AZ833" s="134"/>
      <c r="BA833" s="134"/>
      <c r="BB833" s="134"/>
      <c r="BC833" s="134"/>
      <c r="BD833" s="134"/>
      <c r="BE833" s="134"/>
      <c r="BF833" s="134"/>
      <c r="BG833" s="134"/>
      <c r="BH833" s="131"/>
      <c r="BI833" s="131"/>
      <c r="BJ833" s="131"/>
      <c r="BK833" s="132"/>
      <c r="BL833" s="132"/>
      <c r="BM833" s="134"/>
      <c r="BN833" s="134"/>
      <c r="BO833" s="134"/>
      <c r="BP833" s="134"/>
      <c r="BQ833" s="134"/>
      <c r="BR833" s="134"/>
      <c r="BS833" s="134"/>
      <c r="BT833" s="134"/>
      <c r="BU833" s="131"/>
      <c r="BV833" s="131"/>
      <c r="BW833" s="131"/>
      <c r="BX833" s="132"/>
      <c r="BY833" s="132"/>
      <c r="BZ833" s="134"/>
      <c r="CA833" s="134"/>
      <c r="CB833" s="134"/>
      <c r="CC833" s="134"/>
      <c r="CD833" s="134"/>
      <c r="CE833" s="134"/>
      <c r="CF833" s="134"/>
      <c r="CG833" s="134"/>
      <c r="CH833" s="127"/>
      <c r="CJ833" s="134"/>
      <c r="CT833" s="135"/>
      <c r="CU833" s="135"/>
      <c r="CV833" s="135"/>
      <c r="CW833" s="135"/>
      <c r="CX833" s="135"/>
      <c r="CY833" s="135"/>
      <c r="CZ833" s="135"/>
      <c r="DA833" s="135"/>
      <c r="DB833" s="135"/>
      <c r="DC833" s="134"/>
    </row>
    <row r="834" spans="1:107" s="128" customFormat="1" ht="12.75" customHeight="1" x14ac:dyDescent="0.2">
      <c r="A834" s="184">
        <v>10074</v>
      </c>
      <c r="B834" s="185">
        <v>4</v>
      </c>
      <c r="C834" s="185">
        <f t="shared" si="67"/>
        <v>100740004</v>
      </c>
      <c r="D834" s="128" t="s">
        <v>3591</v>
      </c>
      <c r="E834" s="129" t="s">
        <v>109</v>
      </c>
      <c r="F834" s="129"/>
      <c r="G834" s="129"/>
      <c r="H834" s="129"/>
      <c r="I834" s="114" t="s">
        <v>206</v>
      </c>
      <c r="J834" s="114"/>
      <c r="K834" s="114"/>
      <c r="L834" s="114"/>
      <c r="M834" s="114"/>
      <c r="N834" s="114" t="s">
        <v>163</v>
      </c>
      <c r="O834" s="114" t="s">
        <v>163</v>
      </c>
      <c r="P834" s="114"/>
      <c r="Q834" s="114" t="s">
        <v>2041</v>
      </c>
      <c r="R834" s="114"/>
      <c r="S834" s="114"/>
      <c r="T834" s="114" t="s">
        <v>2307</v>
      </c>
      <c r="U834" s="117" t="s">
        <v>3595</v>
      </c>
      <c r="V834" s="114" t="s">
        <v>109</v>
      </c>
      <c r="W834" s="114" t="s">
        <v>1</v>
      </c>
      <c r="X834" s="114"/>
      <c r="Z834" s="114"/>
      <c r="AA834" s="114"/>
      <c r="AB834" s="114"/>
      <c r="AC834" s="114" t="s">
        <v>3602</v>
      </c>
      <c r="AD834" s="114"/>
      <c r="AE834" s="130"/>
      <c r="AF834" s="130" t="s">
        <v>2043</v>
      </c>
      <c r="AG834" s="114"/>
      <c r="AH834" s="131">
        <v>100744</v>
      </c>
      <c r="AI834" s="131" t="s">
        <v>265</v>
      </c>
      <c r="AJ834" s="131"/>
      <c r="AK834" s="132" t="s">
        <v>374</v>
      </c>
      <c r="AL834" s="132"/>
      <c r="AM834" s="134"/>
      <c r="AN834" s="134"/>
      <c r="AO834" s="134"/>
      <c r="AP834" s="134"/>
      <c r="AQ834" s="134"/>
      <c r="AR834" s="134"/>
      <c r="AS834" s="134"/>
      <c r="AT834" s="134"/>
      <c r="AU834" s="131"/>
      <c r="AV834" s="131"/>
      <c r="AW834" s="131"/>
      <c r="AX834" s="132"/>
      <c r="AY834" s="132"/>
      <c r="AZ834" s="134"/>
      <c r="BA834" s="134"/>
      <c r="BB834" s="134"/>
      <c r="BC834" s="134"/>
      <c r="BD834" s="134"/>
      <c r="BE834" s="134"/>
      <c r="BF834" s="134"/>
      <c r="BG834" s="134"/>
      <c r="BH834" s="131"/>
      <c r="BI834" s="131"/>
      <c r="BJ834" s="131"/>
      <c r="BK834" s="132"/>
      <c r="BL834" s="132"/>
      <c r="BM834" s="134"/>
      <c r="BN834" s="134"/>
      <c r="BO834" s="134"/>
      <c r="BP834" s="134"/>
      <c r="BQ834" s="134"/>
      <c r="BR834" s="134"/>
      <c r="BS834" s="134"/>
      <c r="BT834" s="134"/>
      <c r="BU834" s="131"/>
      <c r="BV834" s="131"/>
      <c r="BW834" s="131"/>
      <c r="BX834" s="132"/>
      <c r="BY834" s="132"/>
      <c r="BZ834" s="134"/>
      <c r="CA834" s="134"/>
      <c r="CB834" s="134"/>
      <c r="CC834" s="134"/>
      <c r="CD834" s="134"/>
      <c r="CE834" s="134"/>
      <c r="CF834" s="134"/>
      <c r="CG834" s="134"/>
      <c r="CH834" s="127"/>
      <c r="CJ834" s="134"/>
      <c r="CT834" s="135"/>
      <c r="CU834" s="135"/>
      <c r="CV834" s="135"/>
      <c r="CW834" s="135"/>
      <c r="CX834" s="135"/>
      <c r="CY834" s="135"/>
      <c r="CZ834" s="135"/>
      <c r="DA834" s="135"/>
      <c r="DB834" s="135"/>
      <c r="DC834" s="134"/>
    </row>
    <row r="835" spans="1:107" s="128" customFormat="1" x14ac:dyDescent="0.2">
      <c r="A835" s="184">
        <v>10074</v>
      </c>
      <c r="B835" s="185">
        <v>5</v>
      </c>
      <c r="C835" s="185">
        <f t="shared" si="67"/>
        <v>100740005</v>
      </c>
      <c r="D835" s="128" t="s">
        <v>3591</v>
      </c>
      <c r="E835" s="129" t="s">
        <v>109</v>
      </c>
      <c r="F835" s="129"/>
      <c r="G835" s="129"/>
      <c r="H835" s="129"/>
      <c r="I835" s="114" t="s">
        <v>206</v>
      </c>
      <c r="J835" s="114"/>
      <c r="K835" s="114"/>
      <c r="L835" s="114"/>
      <c r="M835" s="114"/>
      <c r="N835" s="114" t="s">
        <v>163</v>
      </c>
      <c r="O835" s="114" t="s">
        <v>163</v>
      </c>
      <c r="P835" s="114"/>
      <c r="Q835" s="114" t="s">
        <v>2041</v>
      </c>
      <c r="R835" s="114"/>
      <c r="S835" s="114"/>
      <c r="T835" s="114" t="s">
        <v>2307</v>
      </c>
      <c r="U835" s="117" t="s">
        <v>3596</v>
      </c>
      <c r="V835" s="114" t="s">
        <v>109</v>
      </c>
      <c r="W835" s="114" t="s">
        <v>1</v>
      </c>
      <c r="X835" s="114"/>
      <c r="Z835" s="114"/>
      <c r="AA835" s="114"/>
      <c r="AB835" s="114"/>
      <c r="AC835" s="114" t="s">
        <v>3602</v>
      </c>
      <c r="AD835" s="114"/>
      <c r="AE835" s="130"/>
      <c r="AF835" s="130" t="s">
        <v>2043</v>
      </c>
      <c r="AG835" s="114"/>
      <c r="AH835" s="131">
        <v>100745</v>
      </c>
      <c r="AI835" s="131" t="s">
        <v>266</v>
      </c>
      <c r="AJ835" s="131"/>
      <c r="AK835" s="132" t="s">
        <v>375</v>
      </c>
      <c r="AL835" s="132"/>
      <c r="AM835" s="134"/>
      <c r="AN835" s="134"/>
      <c r="AO835" s="134"/>
      <c r="AP835" s="134"/>
      <c r="AQ835" s="134"/>
      <c r="AR835" s="134"/>
      <c r="AS835" s="134"/>
      <c r="AT835" s="134"/>
      <c r="AU835" s="131"/>
      <c r="AV835" s="131"/>
      <c r="AW835" s="131"/>
      <c r="AX835" s="132"/>
      <c r="AY835" s="132"/>
      <c r="AZ835" s="134"/>
      <c r="BA835" s="134"/>
      <c r="BB835" s="134"/>
      <c r="BC835" s="134"/>
      <c r="BD835" s="134"/>
      <c r="BE835" s="134"/>
      <c r="BF835" s="134"/>
      <c r="BG835" s="134"/>
      <c r="BH835" s="131"/>
      <c r="BI835" s="131"/>
      <c r="BJ835" s="131"/>
      <c r="BK835" s="132"/>
      <c r="BL835" s="132"/>
      <c r="BM835" s="134"/>
      <c r="BN835" s="134"/>
      <c r="BO835" s="134"/>
      <c r="BP835" s="134"/>
      <c r="BQ835" s="134"/>
      <c r="BR835" s="134"/>
      <c r="BS835" s="134"/>
      <c r="BT835" s="134"/>
      <c r="BU835" s="131"/>
      <c r="BV835" s="131"/>
      <c r="BW835" s="131"/>
      <c r="BX835" s="132"/>
      <c r="BY835" s="132"/>
      <c r="BZ835" s="134"/>
      <c r="CA835" s="134"/>
      <c r="CB835" s="134"/>
      <c r="CC835" s="134"/>
      <c r="CD835" s="134"/>
      <c r="CE835" s="134"/>
      <c r="CF835" s="134"/>
      <c r="CG835" s="134"/>
      <c r="CH835" s="127"/>
      <c r="CJ835" s="134"/>
      <c r="CT835" s="135"/>
      <c r="CU835" s="135"/>
      <c r="CV835" s="135"/>
      <c r="CW835" s="135"/>
      <c r="CX835" s="135"/>
      <c r="CY835" s="135"/>
      <c r="CZ835" s="135"/>
      <c r="DA835" s="135"/>
      <c r="DB835" s="135"/>
      <c r="DC835" s="134"/>
    </row>
    <row r="836" spans="1:107" s="128" customFormat="1" x14ac:dyDescent="0.2">
      <c r="A836" s="184">
        <v>10075</v>
      </c>
      <c r="B836" s="185">
        <v>1</v>
      </c>
      <c r="C836" s="185">
        <f t="shared" si="66"/>
        <v>100750001</v>
      </c>
      <c r="D836" s="128" t="s">
        <v>2062</v>
      </c>
      <c r="E836" s="129" t="s">
        <v>109</v>
      </c>
      <c r="F836" s="129"/>
      <c r="G836" s="129"/>
      <c r="H836" s="129"/>
      <c r="I836" s="114" t="s">
        <v>206</v>
      </c>
      <c r="J836" s="114"/>
      <c r="K836" s="114"/>
      <c r="L836" s="114"/>
      <c r="M836" s="114"/>
      <c r="N836" s="114" t="s">
        <v>163</v>
      </c>
      <c r="O836" s="114" t="s">
        <v>163</v>
      </c>
      <c r="P836" s="114"/>
      <c r="Q836" s="114" t="s">
        <v>2041</v>
      </c>
      <c r="R836" s="114"/>
      <c r="S836" s="114"/>
      <c r="T836" s="114" t="s">
        <v>2307</v>
      </c>
      <c r="U836" s="117" t="s">
        <v>2659</v>
      </c>
      <c r="V836" s="114" t="s">
        <v>109</v>
      </c>
      <c r="W836" s="114" t="s">
        <v>1</v>
      </c>
      <c r="X836" s="114"/>
      <c r="Z836" s="114"/>
      <c r="AA836" s="114"/>
      <c r="AB836" s="114"/>
      <c r="AC836" s="114">
        <v>75</v>
      </c>
      <c r="AD836" s="114"/>
      <c r="AE836" s="130"/>
      <c r="AF836" s="130" t="s">
        <v>2043</v>
      </c>
      <c r="AG836" s="114"/>
      <c r="AH836" s="131"/>
      <c r="AI836" s="131" t="s">
        <v>176</v>
      </c>
      <c r="AJ836" s="131"/>
      <c r="AK836" s="132" t="s">
        <v>136</v>
      </c>
      <c r="AL836" s="132"/>
      <c r="AM836" s="134"/>
      <c r="AN836" s="134"/>
      <c r="AO836" s="134"/>
      <c r="AP836" s="134"/>
      <c r="AQ836" s="134"/>
      <c r="AR836" s="134"/>
      <c r="AS836" s="134"/>
      <c r="AT836" s="134"/>
      <c r="AU836" s="131"/>
      <c r="AV836" s="131"/>
      <c r="AW836" s="131"/>
      <c r="AX836" s="132"/>
      <c r="AY836" s="132"/>
      <c r="AZ836" s="134"/>
      <c r="BA836" s="134"/>
      <c r="BB836" s="134"/>
      <c r="BC836" s="134"/>
      <c r="BD836" s="134"/>
      <c r="BE836" s="134"/>
      <c r="BF836" s="134"/>
      <c r="BG836" s="134"/>
      <c r="BH836" s="131"/>
      <c r="BI836" s="131"/>
      <c r="BJ836" s="131"/>
      <c r="BK836" s="132"/>
      <c r="BL836" s="132"/>
      <c r="BM836" s="134"/>
      <c r="BN836" s="134"/>
      <c r="BO836" s="134"/>
      <c r="BP836" s="134"/>
      <c r="BQ836" s="134"/>
      <c r="BR836" s="134"/>
      <c r="BS836" s="134"/>
      <c r="BT836" s="134"/>
      <c r="BU836" s="131"/>
      <c r="BV836" s="131"/>
      <c r="BW836" s="131"/>
      <c r="BX836" s="132"/>
      <c r="BY836" s="132"/>
      <c r="BZ836" s="134"/>
      <c r="CA836" s="134"/>
      <c r="CB836" s="134"/>
      <c r="CC836" s="134"/>
      <c r="CD836" s="134"/>
      <c r="CE836" s="134"/>
      <c r="CF836" s="134"/>
      <c r="CG836" s="134"/>
      <c r="CH836" s="127"/>
      <c r="CJ836" s="134"/>
      <c r="CT836" s="135"/>
      <c r="CU836" s="135"/>
      <c r="CV836" s="135"/>
      <c r="CW836" s="135"/>
      <c r="CX836" s="135"/>
      <c r="CY836" s="135"/>
      <c r="CZ836" s="135"/>
      <c r="DA836" s="135"/>
      <c r="DB836" s="135"/>
      <c r="DC836" s="134"/>
    </row>
    <row r="837" spans="1:107" s="128" customFormat="1" x14ac:dyDescent="0.2">
      <c r="A837" s="184">
        <v>10075</v>
      </c>
      <c r="B837" s="185">
        <v>2</v>
      </c>
      <c r="C837" s="185">
        <f t="shared" si="66"/>
        <v>100750002</v>
      </c>
      <c r="D837" s="128" t="s">
        <v>2062</v>
      </c>
      <c r="E837" s="129" t="s">
        <v>109</v>
      </c>
      <c r="F837" s="129"/>
      <c r="G837" s="129"/>
      <c r="H837" s="129"/>
      <c r="I837" s="114" t="s">
        <v>206</v>
      </c>
      <c r="J837" s="114"/>
      <c r="K837" s="114"/>
      <c r="L837" s="114"/>
      <c r="M837" s="114"/>
      <c r="N837" s="114" t="s">
        <v>163</v>
      </c>
      <c r="O837" s="114" t="s">
        <v>163</v>
      </c>
      <c r="P837" s="114"/>
      <c r="Q837" s="114" t="s">
        <v>2041</v>
      </c>
      <c r="R837" s="114"/>
      <c r="S837" s="114"/>
      <c r="T837" s="114" t="s">
        <v>2307</v>
      </c>
      <c r="U837" s="117" t="s">
        <v>2660</v>
      </c>
      <c r="V837" s="114" t="s">
        <v>109</v>
      </c>
      <c r="W837" s="114" t="s">
        <v>1</v>
      </c>
      <c r="X837" s="114"/>
      <c r="Z837" s="114"/>
      <c r="AA837" s="114"/>
      <c r="AB837" s="114"/>
      <c r="AC837" s="114">
        <v>75</v>
      </c>
      <c r="AD837" s="114"/>
      <c r="AE837" s="130"/>
      <c r="AF837" s="130" t="s">
        <v>2043</v>
      </c>
      <c r="AG837" s="114"/>
      <c r="AH837" s="131"/>
      <c r="AI837" s="131" t="s">
        <v>260</v>
      </c>
      <c r="AJ837" s="131"/>
      <c r="AK837" s="132" t="s">
        <v>139</v>
      </c>
      <c r="AL837" s="132"/>
      <c r="AM837" s="134"/>
      <c r="AN837" s="134"/>
      <c r="AO837" s="134"/>
      <c r="AP837" s="134"/>
      <c r="AQ837" s="134"/>
      <c r="AR837" s="134"/>
      <c r="AS837" s="134"/>
      <c r="AT837" s="134"/>
      <c r="AU837" s="131"/>
      <c r="AV837" s="131"/>
      <c r="AW837" s="131"/>
      <c r="AX837" s="132"/>
      <c r="AY837" s="132"/>
      <c r="AZ837" s="134"/>
      <c r="BA837" s="134"/>
      <c r="BB837" s="134"/>
      <c r="BC837" s="134"/>
      <c r="BD837" s="134"/>
      <c r="BE837" s="134"/>
      <c r="BF837" s="134"/>
      <c r="BG837" s="134"/>
      <c r="BH837" s="131"/>
      <c r="BI837" s="131"/>
      <c r="BJ837" s="131"/>
      <c r="BK837" s="132"/>
      <c r="BL837" s="132"/>
      <c r="BM837" s="134"/>
      <c r="BN837" s="134"/>
      <c r="BO837" s="134"/>
      <c r="BP837" s="134"/>
      <c r="BQ837" s="134"/>
      <c r="BR837" s="134"/>
      <c r="BS837" s="134"/>
      <c r="BT837" s="134"/>
      <c r="BU837" s="131"/>
      <c r="BV837" s="131"/>
      <c r="BW837" s="131"/>
      <c r="BX837" s="132"/>
      <c r="BY837" s="132"/>
      <c r="BZ837" s="134"/>
      <c r="CA837" s="134"/>
      <c r="CB837" s="134"/>
      <c r="CC837" s="134"/>
      <c r="CD837" s="134"/>
      <c r="CE837" s="134"/>
      <c r="CF837" s="134"/>
      <c r="CG837" s="134"/>
      <c r="CH837" s="127"/>
      <c r="CJ837" s="134"/>
      <c r="CT837" s="135"/>
      <c r="CU837" s="135"/>
      <c r="CV837" s="135"/>
      <c r="CW837" s="135"/>
      <c r="CX837" s="135"/>
      <c r="CY837" s="135"/>
      <c r="CZ837" s="135"/>
      <c r="DA837" s="135"/>
      <c r="DB837" s="135"/>
      <c r="DC837" s="134"/>
    </row>
    <row r="838" spans="1:107" s="128" customFormat="1" x14ac:dyDescent="0.2">
      <c r="A838" s="184">
        <v>10075</v>
      </c>
      <c r="B838" s="185">
        <v>3</v>
      </c>
      <c r="C838" s="185">
        <f t="shared" si="66"/>
        <v>100750003</v>
      </c>
      <c r="D838" s="128" t="s">
        <v>2062</v>
      </c>
      <c r="E838" s="129" t="s">
        <v>109</v>
      </c>
      <c r="F838" s="129"/>
      <c r="G838" s="129"/>
      <c r="H838" s="129"/>
      <c r="I838" s="114" t="s">
        <v>206</v>
      </c>
      <c r="J838" s="114"/>
      <c r="K838" s="114"/>
      <c r="L838" s="114"/>
      <c r="M838" s="114"/>
      <c r="N838" s="114" t="s">
        <v>163</v>
      </c>
      <c r="O838" s="114" t="s">
        <v>163</v>
      </c>
      <c r="P838" s="114"/>
      <c r="Q838" s="114" t="s">
        <v>2041</v>
      </c>
      <c r="R838" s="114"/>
      <c r="S838" s="114"/>
      <c r="T838" s="114" t="s">
        <v>2307</v>
      </c>
      <c r="U838" s="117" t="s">
        <v>2661</v>
      </c>
      <c r="V838" s="114" t="s">
        <v>109</v>
      </c>
      <c r="W838" s="114" t="s">
        <v>1</v>
      </c>
      <c r="X838" s="114"/>
      <c r="Z838" s="114"/>
      <c r="AA838" s="114"/>
      <c r="AB838" s="114"/>
      <c r="AC838" s="114">
        <v>75</v>
      </c>
      <c r="AD838" s="114"/>
      <c r="AE838" s="130"/>
      <c r="AF838" s="130" t="s">
        <v>2043</v>
      </c>
      <c r="AG838" s="114"/>
      <c r="AH838" s="131">
        <v>100753</v>
      </c>
      <c r="AI838" s="131" t="s">
        <v>264</v>
      </c>
      <c r="AJ838" s="131"/>
      <c r="AK838" s="132" t="s">
        <v>373</v>
      </c>
      <c r="AL838" s="132"/>
      <c r="AM838" s="134"/>
      <c r="AN838" s="134"/>
      <c r="AO838" s="134"/>
      <c r="AP838" s="134"/>
      <c r="AQ838" s="134"/>
      <c r="AR838" s="134"/>
      <c r="AS838" s="134"/>
      <c r="AT838" s="134"/>
      <c r="AU838" s="131"/>
      <c r="AV838" s="131"/>
      <c r="AW838" s="131"/>
      <c r="AX838" s="132"/>
      <c r="AY838" s="132"/>
      <c r="AZ838" s="134"/>
      <c r="BA838" s="134"/>
      <c r="BB838" s="134"/>
      <c r="BC838" s="134"/>
      <c r="BD838" s="134"/>
      <c r="BE838" s="134"/>
      <c r="BF838" s="134"/>
      <c r="BG838" s="134"/>
      <c r="BH838" s="131"/>
      <c r="BI838" s="131"/>
      <c r="BJ838" s="131"/>
      <c r="BK838" s="132"/>
      <c r="BL838" s="132"/>
      <c r="BM838" s="134"/>
      <c r="BN838" s="134"/>
      <c r="BO838" s="134"/>
      <c r="BP838" s="134"/>
      <c r="BQ838" s="134"/>
      <c r="BR838" s="134"/>
      <c r="BS838" s="134"/>
      <c r="BT838" s="134"/>
      <c r="BU838" s="131"/>
      <c r="BV838" s="131"/>
      <c r="BW838" s="131"/>
      <c r="BX838" s="132"/>
      <c r="BY838" s="132"/>
      <c r="BZ838" s="134"/>
      <c r="CA838" s="134"/>
      <c r="CB838" s="134"/>
      <c r="CC838" s="134"/>
      <c r="CD838" s="134"/>
      <c r="CE838" s="134"/>
      <c r="CF838" s="134"/>
      <c r="CG838" s="134"/>
      <c r="CH838" s="127"/>
      <c r="CJ838" s="134"/>
      <c r="CT838" s="135"/>
      <c r="CU838" s="135"/>
      <c r="CV838" s="135"/>
      <c r="CW838" s="135"/>
      <c r="CX838" s="135"/>
      <c r="CY838" s="135"/>
      <c r="CZ838" s="135"/>
      <c r="DA838" s="135"/>
      <c r="DB838" s="135"/>
      <c r="DC838" s="134"/>
    </row>
    <row r="839" spans="1:107" s="128" customFormat="1" ht="12.75" customHeight="1" x14ac:dyDescent="0.2">
      <c r="A839" s="184">
        <v>10075</v>
      </c>
      <c r="B839" s="185">
        <v>4</v>
      </c>
      <c r="C839" s="185">
        <f t="shared" si="66"/>
        <v>100750004</v>
      </c>
      <c r="D839" s="128" t="s">
        <v>2062</v>
      </c>
      <c r="E839" s="129" t="s">
        <v>109</v>
      </c>
      <c r="F839" s="129"/>
      <c r="G839" s="129"/>
      <c r="H839" s="129"/>
      <c r="I839" s="114" t="s">
        <v>206</v>
      </c>
      <c r="J839" s="114"/>
      <c r="K839" s="114"/>
      <c r="L839" s="114"/>
      <c r="M839" s="114"/>
      <c r="N839" s="114" t="s">
        <v>163</v>
      </c>
      <c r="O839" s="114" t="s">
        <v>163</v>
      </c>
      <c r="P839" s="114"/>
      <c r="Q839" s="114" t="s">
        <v>2041</v>
      </c>
      <c r="R839" s="114"/>
      <c r="S839" s="114"/>
      <c r="T839" s="114" t="s">
        <v>2307</v>
      </c>
      <c r="U839" s="117" t="s">
        <v>2662</v>
      </c>
      <c r="V839" s="114" t="s">
        <v>109</v>
      </c>
      <c r="W839" s="114" t="s">
        <v>1</v>
      </c>
      <c r="X839" s="114"/>
      <c r="Z839" s="114"/>
      <c r="AA839" s="114"/>
      <c r="AB839" s="114"/>
      <c r="AC839" s="114">
        <v>75</v>
      </c>
      <c r="AD839" s="114"/>
      <c r="AE839" s="130"/>
      <c r="AF839" s="130" t="s">
        <v>2043</v>
      </c>
      <c r="AG839" s="114"/>
      <c r="AH839" s="131">
        <v>100754</v>
      </c>
      <c r="AI839" s="131" t="s">
        <v>265</v>
      </c>
      <c r="AJ839" s="131"/>
      <c r="AK839" s="132" t="s">
        <v>374</v>
      </c>
      <c r="AL839" s="132"/>
      <c r="AM839" s="134"/>
      <c r="AN839" s="134"/>
      <c r="AO839" s="134"/>
      <c r="AP839" s="134"/>
      <c r="AQ839" s="134"/>
      <c r="AR839" s="134"/>
      <c r="AS839" s="134"/>
      <c r="AT839" s="134"/>
      <c r="AU839" s="131"/>
      <c r="AV839" s="131"/>
      <c r="AW839" s="131"/>
      <c r="AX839" s="132"/>
      <c r="AY839" s="132"/>
      <c r="AZ839" s="134"/>
      <c r="BA839" s="134"/>
      <c r="BB839" s="134"/>
      <c r="BC839" s="134"/>
      <c r="BD839" s="134"/>
      <c r="BE839" s="134"/>
      <c r="BF839" s="134"/>
      <c r="BG839" s="134"/>
      <c r="BH839" s="131"/>
      <c r="BI839" s="131"/>
      <c r="BJ839" s="131"/>
      <c r="BK839" s="132"/>
      <c r="BL839" s="132"/>
      <c r="BM839" s="134"/>
      <c r="BN839" s="134"/>
      <c r="BO839" s="134"/>
      <c r="BP839" s="134"/>
      <c r="BQ839" s="134"/>
      <c r="BR839" s="134"/>
      <c r="BS839" s="134"/>
      <c r="BT839" s="134"/>
      <c r="BU839" s="131"/>
      <c r="BV839" s="131"/>
      <c r="BW839" s="131"/>
      <c r="BX839" s="132"/>
      <c r="BY839" s="132"/>
      <c r="BZ839" s="134"/>
      <c r="CA839" s="134"/>
      <c r="CB839" s="134"/>
      <c r="CC839" s="134"/>
      <c r="CD839" s="134"/>
      <c r="CE839" s="134"/>
      <c r="CF839" s="134"/>
      <c r="CG839" s="134"/>
      <c r="CH839" s="127"/>
      <c r="CJ839" s="134"/>
      <c r="CT839" s="135"/>
      <c r="CU839" s="135"/>
      <c r="CV839" s="135"/>
      <c r="CW839" s="135"/>
      <c r="CX839" s="135"/>
      <c r="CY839" s="135"/>
      <c r="CZ839" s="135"/>
      <c r="DA839" s="135"/>
      <c r="DB839" s="135"/>
      <c r="DC839" s="134"/>
    </row>
    <row r="840" spans="1:107" s="128" customFormat="1" x14ac:dyDescent="0.2">
      <c r="A840" s="184">
        <v>10075</v>
      </c>
      <c r="B840" s="185">
        <v>5</v>
      </c>
      <c r="C840" s="185">
        <f t="shared" si="66"/>
        <v>100750005</v>
      </c>
      <c r="D840" s="128" t="s">
        <v>2062</v>
      </c>
      <c r="E840" s="129" t="s">
        <v>109</v>
      </c>
      <c r="F840" s="129"/>
      <c r="G840" s="129"/>
      <c r="H840" s="129"/>
      <c r="I840" s="114" t="s">
        <v>206</v>
      </c>
      <c r="J840" s="114"/>
      <c r="K840" s="114"/>
      <c r="L840" s="114"/>
      <c r="M840" s="114"/>
      <c r="N840" s="114" t="s">
        <v>163</v>
      </c>
      <c r="O840" s="114" t="s">
        <v>163</v>
      </c>
      <c r="P840" s="114"/>
      <c r="Q840" s="114" t="s">
        <v>2041</v>
      </c>
      <c r="R840" s="114"/>
      <c r="S840" s="114"/>
      <c r="T840" s="114" t="s">
        <v>2307</v>
      </c>
      <c r="U840" s="117" t="s">
        <v>2663</v>
      </c>
      <c r="V840" s="114" t="s">
        <v>109</v>
      </c>
      <c r="W840" s="114" t="s">
        <v>1</v>
      </c>
      <c r="X840" s="114"/>
      <c r="Z840" s="114"/>
      <c r="AA840" s="114"/>
      <c r="AB840" s="114"/>
      <c r="AC840" s="114">
        <v>75</v>
      </c>
      <c r="AD840" s="114"/>
      <c r="AE840" s="130"/>
      <c r="AF840" s="130" t="s">
        <v>2043</v>
      </c>
      <c r="AG840" s="114"/>
      <c r="AH840" s="131">
        <v>100755</v>
      </c>
      <c r="AI840" s="131" t="s">
        <v>266</v>
      </c>
      <c r="AJ840" s="131"/>
      <c r="AK840" s="132" t="s">
        <v>375</v>
      </c>
      <c r="AL840" s="132"/>
      <c r="AM840" s="134"/>
      <c r="AN840" s="134"/>
      <c r="AO840" s="134"/>
      <c r="AP840" s="134"/>
      <c r="AQ840" s="134"/>
      <c r="AR840" s="134"/>
      <c r="AS840" s="134"/>
      <c r="AT840" s="134"/>
      <c r="AU840" s="131"/>
      <c r="AV840" s="131"/>
      <c r="AW840" s="131"/>
      <c r="AX840" s="132"/>
      <c r="AY840" s="132"/>
      <c r="AZ840" s="134"/>
      <c r="BA840" s="134"/>
      <c r="BB840" s="134"/>
      <c r="BC840" s="134"/>
      <c r="BD840" s="134"/>
      <c r="BE840" s="134"/>
      <c r="BF840" s="134"/>
      <c r="BG840" s="134"/>
      <c r="BH840" s="131"/>
      <c r="BI840" s="131"/>
      <c r="BJ840" s="131"/>
      <c r="BK840" s="132"/>
      <c r="BL840" s="132"/>
      <c r="BM840" s="134"/>
      <c r="BN840" s="134"/>
      <c r="BO840" s="134"/>
      <c r="BP840" s="134"/>
      <c r="BQ840" s="134"/>
      <c r="BR840" s="134"/>
      <c r="BS840" s="134"/>
      <c r="BT840" s="134"/>
      <c r="BU840" s="131"/>
      <c r="BV840" s="131"/>
      <c r="BW840" s="131"/>
      <c r="BX840" s="132"/>
      <c r="BY840" s="132"/>
      <c r="BZ840" s="134"/>
      <c r="CA840" s="134"/>
      <c r="CB840" s="134"/>
      <c r="CC840" s="134"/>
      <c r="CD840" s="134"/>
      <c r="CE840" s="134"/>
      <c r="CF840" s="134"/>
      <c r="CG840" s="134"/>
      <c r="CH840" s="127"/>
      <c r="CJ840" s="134"/>
      <c r="CT840" s="135"/>
      <c r="CU840" s="135"/>
      <c r="CV840" s="135"/>
      <c r="CW840" s="135"/>
      <c r="CX840" s="135"/>
      <c r="CY840" s="135"/>
      <c r="CZ840" s="135"/>
      <c r="DA840" s="135"/>
      <c r="DB840" s="135"/>
      <c r="DC840" s="134"/>
    </row>
    <row r="841" spans="1:107" s="128" customFormat="1" x14ac:dyDescent="0.2">
      <c r="A841" s="184">
        <v>10076</v>
      </c>
      <c r="B841" s="185">
        <v>1</v>
      </c>
      <c r="C841" s="185">
        <f t="shared" si="66"/>
        <v>100760001</v>
      </c>
      <c r="D841" s="128" t="s">
        <v>3764</v>
      </c>
      <c r="E841" s="129" t="s">
        <v>109</v>
      </c>
      <c r="F841" s="129"/>
      <c r="G841" s="129"/>
      <c r="H841" s="129"/>
      <c r="I841" s="114" t="s">
        <v>206</v>
      </c>
      <c r="J841" s="114"/>
      <c r="K841" s="114"/>
      <c r="L841" s="114"/>
      <c r="M841" s="114"/>
      <c r="N841" s="114" t="s">
        <v>163</v>
      </c>
      <c r="O841" s="114" t="s">
        <v>163</v>
      </c>
      <c r="P841" s="114"/>
      <c r="Q841" s="114" t="s">
        <v>2041</v>
      </c>
      <c r="R841" s="114"/>
      <c r="S841" s="114"/>
      <c r="T841" s="114" t="s">
        <v>2307</v>
      </c>
      <c r="U841" s="117" t="s">
        <v>3765</v>
      </c>
      <c r="V841" s="114" t="s">
        <v>109</v>
      </c>
      <c r="W841" s="114" t="s">
        <v>1</v>
      </c>
      <c r="X841" s="114"/>
      <c r="Z841" s="114"/>
      <c r="AA841" s="114"/>
      <c r="AB841" s="114"/>
      <c r="AC841" s="114" t="s">
        <v>685</v>
      </c>
      <c r="AD841" s="114"/>
      <c r="AE841" s="130"/>
      <c r="AF841" s="130" t="s">
        <v>2043</v>
      </c>
      <c r="AG841" s="114"/>
      <c r="AH841" s="131"/>
      <c r="AI841" s="131" t="s">
        <v>176</v>
      </c>
      <c r="AJ841" s="131"/>
      <c r="AK841" s="132" t="s">
        <v>136</v>
      </c>
      <c r="AL841" s="132"/>
      <c r="AM841" s="134"/>
      <c r="AN841" s="134"/>
      <c r="AO841" s="134"/>
      <c r="AP841" s="134"/>
      <c r="AQ841" s="134"/>
      <c r="AR841" s="134"/>
      <c r="AS841" s="134"/>
      <c r="AT841" s="134"/>
      <c r="AU841" s="131"/>
      <c r="AV841" s="131"/>
      <c r="AW841" s="131"/>
      <c r="AX841" s="132"/>
      <c r="AY841" s="132"/>
      <c r="AZ841" s="134"/>
      <c r="BA841" s="134"/>
      <c r="BB841" s="134"/>
      <c r="BC841" s="134"/>
      <c r="BD841" s="134"/>
      <c r="BE841" s="134"/>
      <c r="BF841" s="134"/>
      <c r="BG841" s="134"/>
      <c r="BH841" s="131"/>
      <c r="BI841" s="131"/>
      <c r="BJ841" s="131"/>
      <c r="BK841" s="132"/>
      <c r="BL841" s="132"/>
      <c r="BM841" s="134"/>
      <c r="BN841" s="134"/>
      <c r="BO841" s="134"/>
      <c r="BP841" s="134"/>
      <c r="BQ841" s="134"/>
      <c r="BR841" s="134"/>
      <c r="BS841" s="134"/>
      <c r="BT841" s="134"/>
      <c r="BU841" s="131"/>
      <c r="BV841" s="131"/>
      <c r="BW841" s="131"/>
      <c r="BX841" s="132"/>
      <c r="BY841" s="132"/>
      <c r="BZ841" s="134"/>
      <c r="CA841" s="134"/>
      <c r="CB841" s="134"/>
      <c r="CC841" s="134"/>
      <c r="CD841" s="134"/>
      <c r="CE841" s="134"/>
      <c r="CF841" s="134"/>
      <c r="CG841" s="134"/>
      <c r="CH841" s="127"/>
      <c r="CJ841" s="134"/>
      <c r="CT841" s="135"/>
      <c r="CU841" s="135"/>
      <c r="CV841" s="135"/>
      <c r="CW841" s="135"/>
      <c r="CX841" s="135"/>
      <c r="CY841" s="135"/>
      <c r="CZ841" s="135"/>
      <c r="DA841" s="135"/>
      <c r="DB841" s="135"/>
      <c r="DC841" s="134"/>
    </row>
    <row r="842" spans="1:107" s="128" customFormat="1" x14ac:dyDescent="0.2">
      <c r="A842" s="184">
        <v>10076</v>
      </c>
      <c r="B842" s="185">
        <v>2</v>
      </c>
      <c r="C842" s="185">
        <f t="shared" si="66"/>
        <v>100760002</v>
      </c>
      <c r="D842" s="128" t="s">
        <v>3764</v>
      </c>
      <c r="E842" s="129" t="s">
        <v>109</v>
      </c>
      <c r="F842" s="129"/>
      <c r="G842" s="129"/>
      <c r="H842" s="129"/>
      <c r="I842" s="114" t="s">
        <v>206</v>
      </c>
      <c r="J842" s="114"/>
      <c r="K842" s="114"/>
      <c r="L842" s="114"/>
      <c r="M842" s="114"/>
      <c r="N842" s="114" t="s">
        <v>163</v>
      </c>
      <c r="O842" s="114" t="s">
        <v>163</v>
      </c>
      <c r="P842" s="114"/>
      <c r="Q842" s="114" t="s">
        <v>2041</v>
      </c>
      <c r="R842" s="114"/>
      <c r="S842" s="114"/>
      <c r="T842" s="114" t="s">
        <v>2307</v>
      </c>
      <c r="U842" s="117" t="s">
        <v>3766</v>
      </c>
      <c r="V842" s="114" t="s">
        <v>109</v>
      </c>
      <c r="W842" s="114" t="s">
        <v>1</v>
      </c>
      <c r="X842" s="114"/>
      <c r="Z842" s="114"/>
      <c r="AA842" s="114"/>
      <c r="AB842" s="114"/>
      <c r="AC842" s="114" t="s">
        <v>685</v>
      </c>
      <c r="AD842" s="114"/>
      <c r="AE842" s="130"/>
      <c r="AF842" s="130" t="s">
        <v>2043</v>
      </c>
      <c r="AG842" s="114"/>
      <c r="AH842" s="131"/>
      <c r="AI842" s="131" t="s">
        <v>260</v>
      </c>
      <c r="AJ842" s="131"/>
      <c r="AK842" s="132" t="s">
        <v>139</v>
      </c>
      <c r="AL842" s="132"/>
      <c r="AM842" s="134"/>
      <c r="AN842" s="134"/>
      <c r="AO842" s="134"/>
      <c r="AP842" s="134"/>
      <c r="AQ842" s="134"/>
      <c r="AR842" s="134"/>
      <c r="AS842" s="134"/>
      <c r="AT842" s="134"/>
      <c r="AU842" s="131"/>
      <c r="AV842" s="131"/>
      <c r="AW842" s="131"/>
      <c r="AX842" s="132"/>
      <c r="AY842" s="132"/>
      <c r="AZ842" s="134"/>
      <c r="BA842" s="134"/>
      <c r="BB842" s="134"/>
      <c r="BC842" s="134"/>
      <c r="BD842" s="134"/>
      <c r="BE842" s="134"/>
      <c r="BF842" s="134"/>
      <c r="BG842" s="134"/>
      <c r="BH842" s="131"/>
      <c r="BI842" s="131"/>
      <c r="BJ842" s="131"/>
      <c r="BK842" s="132"/>
      <c r="BL842" s="132"/>
      <c r="BM842" s="134"/>
      <c r="BN842" s="134"/>
      <c r="BO842" s="134"/>
      <c r="BP842" s="134"/>
      <c r="BQ842" s="134"/>
      <c r="BR842" s="134"/>
      <c r="BS842" s="134"/>
      <c r="BT842" s="134"/>
      <c r="BU842" s="131"/>
      <c r="BV842" s="131"/>
      <c r="BW842" s="131"/>
      <c r="BX842" s="132"/>
      <c r="BY842" s="132"/>
      <c r="BZ842" s="134"/>
      <c r="CA842" s="134"/>
      <c r="CB842" s="134"/>
      <c r="CC842" s="134"/>
      <c r="CD842" s="134"/>
      <c r="CE842" s="134"/>
      <c r="CF842" s="134"/>
      <c r="CG842" s="134"/>
      <c r="CH842" s="127"/>
      <c r="CJ842" s="134"/>
      <c r="CT842" s="135"/>
      <c r="CU842" s="135"/>
      <c r="CV842" s="135"/>
      <c r="CW842" s="135"/>
      <c r="CX842" s="135"/>
      <c r="CY842" s="135"/>
      <c r="CZ842" s="135"/>
      <c r="DA842" s="135"/>
      <c r="DB842" s="135"/>
      <c r="DC842" s="134"/>
    </row>
    <row r="843" spans="1:107" s="128" customFormat="1" x14ac:dyDescent="0.2">
      <c r="A843" s="184">
        <v>10076</v>
      </c>
      <c r="B843" s="185">
        <v>3</v>
      </c>
      <c r="C843" s="185">
        <f t="shared" si="66"/>
        <v>100760003</v>
      </c>
      <c r="D843" s="128" t="s">
        <v>3764</v>
      </c>
      <c r="E843" s="129" t="s">
        <v>109</v>
      </c>
      <c r="F843" s="129"/>
      <c r="G843" s="129"/>
      <c r="H843" s="129"/>
      <c r="I843" s="114" t="s">
        <v>206</v>
      </c>
      <c r="J843" s="114"/>
      <c r="K843" s="114"/>
      <c r="L843" s="114"/>
      <c r="M843" s="114"/>
      <c r="N843" s="114" t="s">
        <v>163</v>
      </c>
      <c r="O843" s="114" t="s">
        <v>163</v>
      </c>
      <c r="P843" s="114"/>
      <c r="Q843" s="114" t="s">
        <v>2041</v>
      </c>
      <c r="R843" s="114"/>
      <c r="S843" s="114"/>
      <c r="T843" s="114" t="s">
        <v>2307</v>
      </c>
      <c r="U843" s="117" t="s">
        <v>3767</v>
      </c>
      <c r="V843" s="114" t="s">
        <v>109</v>
      </c>
      <c r="W843" s="114" t="s">
        <v>1</v>
      </c>
      <c r="X843" s="114"/>
      <c r="Z843" s="114"/>
      <c r="AA843" s="114"/>
      <c r="AB843" s="114"/>
      <c r="AC843" s="114" t="s">
        <v>685</v>
      </c>
      <c r="AD843" s="114"/>
      <c r="AE843" s="130"/>
      <c r="AF843" s="130" t="s">
        <v>2043</v>
      </c>
      <c r="AG843" s="114"/>
      <c r="AH843" s="131" t="s">
        <v>3768</v>
      </c>
      <c r="AI843" s="131" t="s">
        <v>264</v>
      </c>
      <c r="AJ843" s="131"/>
      <c r="AK843" s="132" t="s">
        <v>373</v>
      </c>
      <c r="AL843" s="132"/>
      <c r="AM843" s="134"/>
      <c r="AN843" s="134"/>
      <c r="AO843" s="134"/>
      <c r="AP843" s="134"/>
      <c r="AQ843" s="134"/>
      <c r="AR843" s="134"/>
      <c r="AS843" s="134"/>
      <c r="AT843" s="134"/>
      <c r="AU843" s="131"/>
      <c r="AV843" s="131"/>
      <c r="AW843" s="131"/>
      <c r="AX843" s="132"/>
      <c r="AY843" s="132"/>
      <c r="AZ843" s="134"/>
      <c r="BA843" s="134"/>
      <c r="BB843" s="134"/>
      <c r="BC843" s="134"/>
      <c r="BD843" s="134"/>
      <c r="BE843" s="134"/>
      <c r="BF843" s="134"/>
      <c r="BG843" s="134"/>
      <c r="BH843" s="131"/>
      <c r="BI843" s="131"/>
      <c r="BJ843" s="131"/>
      <c r="BK843" s="132"/>
      <c r="BL843" s="132"/>
      <c r="BM843" s="134"/>
      <c r="BN843" s="134"/>
      <c r="BO843" s="134"/>
      <c r="BP843" s="134"/>
      <c r="BQ843" s="134"/>
      <c r="BR843" s="134"/>
      <c r="BS843" s="134"/>
      <c r="BT843" s="134"/>
      <c r="BU843" s="131"/>
      <c r="BV843" s="131"/>
      <c r="BW843" s="131"/>
      <c r="BX843" s="132"/>
      <c r="BY843" s="132"/>
      <c r="BZ843" s="134"/>
      <c r="CA843" s="134"/>
      <c r="CB843" s="134"/>
      <c r="CC843" s="134"/>
      <c r="CD843" s="134"/>
      <c r="CE843" s="134"/>
      <c r="CF843" s="134"/>
      <c r="CG843" s="134"/>
      <c r="CH843" s="127"/>
      <c r="CJ843" s="134"/>
      <c r="CT843" s="135"/>
      <c r="CU843" s="135"/>
      <c r="CV843" s="135"/>
      <c r="CW843" s="135"/>
      <c r="CX843" s="135"/>
      <c r="CY843" s="135"/>
      <c r="CZ843" s="135"/>
      <c r="DA843" s="135"/>
      <c r="DB843" s="135"/>
      <c r="DC843" s="134"/>
    </row>
    <row r="844" spans="1:107" s="128" customFormat="1" ht="12.75" customHeight="1" x14ac:dyDescent="0.2">
      <c r="A844" s="184">
        <v>10076</v>
      </c>
      <c r="B844" s="185">
        <v>4</v>
      </c>
      <c r="C844" s="185">
        <f t="shared" si="66"/>
        <v>100760004</v>
      </c>
      <c r="D844" s="128" t="s">
        <v>3764</v>
      </c>
      <c r="E844" s="129" t="s">
        <v>109</v>
      </c>
      <c r="F844" s="129"/>
      <c r="G844" s="129"/>
      <c r="H844" s="129"/>
      <c r="I844" s="114" t="s">
        <v>206</v>
      </c>
      <c r="J844" s="114"/>
      <c r="K844" s="114"/>
      <c r="L844" s="114"/>
      <c r="M844" s="114"/>
      <c r="N844" s="114" t="s">
        <v>163</v>
      </c>
      <c r="O844" s="114" t="s">
        <v>163</v>
      </c>
      <c r="P844" s="114"/>
      <c r="Q844" s="114" t="s">
        <v>2041</v>
      </c>
      <c r="R844" s="114"/>
      <c r="S844" s="114"/>
      <c r="T844" s="114" t="s">
        <v>2307</v>
      </c>
      <c r="U844" s="117" t="s">
        <v>3769</v>
      </c>
      <c r="V844" s="114" t="s">
        <v>109</v>
      </c>
      <c r="W844" s="114" t="s">
        <v>1</v>
      </c>
      <c r="X844" s="114"/>
      <c r="Z844" s="114"/>
      <c r="AA844" s="114"/>
      <c r="AB844" s="114"/>
      <c r="AC844" s="114" t="s">
        <v>685</v>
      </c>
      <c r="AD844" s="114"/>
      <c r="AE844" s="130"/>
      <c r="AF844" s="130" t="s">
        <v>2043</v>
      </c>
      <c r="AG844" s="114"/>
      <c r="AH844" s="131" t="s">
        <v>3770</v>
      </c>
      <c r="AI844" s="131" t="s">
        <v>265</v>
      </c>
      <c r="AJ844" s="131"/>
      <c r="AK844" s="132">
        <v>1272</v>
      </c>
      <c r="AL844" s="132"/>
      <c r="AM844" s="134"/>
      <c r="AN844" s="134"/>
      <c r="AO844" s="134"/>
      <c r="AP844" s="134"/>
      <c r="AQ844" s="134"/>
      <c r="AR844" s="134"/>
      <c r="AS844" s="134"/>
      <c r="AT844" s="134"/>
      <c r="AU844" s="131"/>
      <c r="AV844" s="131"/>
      <c r="AW844" s="131"/>
      <c r="AX844" s="132"/>
      <c r="AY844" s="132"/>
      <c r="AZ844" s="134"/>
      <c r="BA844" s="134"/>
      <c r="BB844" s="134"/>
      <c r="BC844" s="134"/>
      <c r="BD844" s="134"/>
      <c r="BE844" s="134"/>
      <c r="BF844" s="134"/>
      <c r="BG844" s="134"/>
      <c r="BH844" s="131"/>
      <c r="BI844" s="131"/>
      <c r="BJ844" s="131"/>
      <c r="BK844" s="132"/>
      <c r="BL844" s="132"/>
      <c r="BM844" s="134"/>
      <c r="BN844" s="134"/>
      <c r="BO844" s="134"/>
      <c r="BP844" s="134"/>
      <c r="BQ844" s="134"/>
      <c r="BR844" s="134"/>
      <c r="BS844" s="134"/>
      <c r="BT844" s="134"/>
      <c r="BU844" s="131"/>
      <c r="BV844" s="131"/>
      <c r="BW844" s="131"/>
      <c r="BX844" s="132"/>
      <c r="BY844" s="132"/>
      <c r="BZ844" s="134"/>
      <c r="CA844" s="134"/>
      <c r="CB844" s="134"/>
      <c r="CC844" s="134"/>
      <c r="CD844" s="134"/>
      <c r="CE844" s="134"/>
      <c r="CF844" s="134"/>
      <c r="CG844" s="134"/>
      <c r="CH844" s="127"/>
      <c r="CJ844" s="134"/>
      <c r="CT844" s="135"/>
      <c r="CU844" s="135"/>
      <c r="CV844" s="135"/>
      <c r="CW844" s="135"/>
      <c r="CX844" s="135"/>
      <c r="CY844" s="135"/>
      <c r="CZ844" s="135"/>
      <c r="DA844" s="135"/>
      <c r="DB844" s="135"/>
      <c r="DC844" s="134"/>
    </row>
    <row r="845" spans="1:107" s="128" customFormat="1" x14ac:dyDescent="0.2">
      <c r="A845" s="184">
        <v>10076</v>
      </c>
      <c r="B845" s="185">
        <v>5</v>
      </c>
      <c r="C845" s="185">
        <f t="shared" si="66"/>
        <v>100760005</v>
      </c>
      <c r="D845" s="128" t="s">
        <v>3764</v>
      </c>
      <c r="E845" s="129" t="s">
        <v>109</v>
      </c>
      <c r="F845" s="129"/>
      <c r="G845" s="129"/>
      <c r="H845" s="129"/>
      <c r="I845" s="114" t="s">
        <v>206</v>
      </c>
      <c r="J845" s="114"/>
      <c r="K845" s="114"/>
      <c r="L845" s="114"/>
      <c r="M845" s="114"/>
      <c r="N845" s="114" t="s">
        <v>163</v>
      </c>
      <c r="O845" s="114" t="s">
        <v>163</v>
      </c>
      <c r="P845" s="114"/>
      <c r="Q845" s="114" t="s">
        <v>2041</v>
      </c>
      <c r="R845" s="114"/>
      <c r="S845" s="114"/>
      <c r="T845" s="114" t="s">
        <v>2307</v>
      </c>
      <c r="U845" s="117" t="s">
        <v>3771</v>
      </c>
      <c r="V845" s="114" t="s">
        <v>109</v>
      </c>
      <c r="W845" s="114" t="s">
        <v>1</v>
      </c>
      <c r="X845" s="114"/>
      <c r="Z845" s="114"/>
      <c r="AA845" s="114"/>
      <c r="AB845" s="114"/>
      <c r="AC845" s="114" t="s">
        <v>685</v>
      </c>
      <c r="AD845" s="114"/>
      <c r="AE845" s="130"/>
      <c r="AF845" s="130" t="s">
        <v>2043</v>
      </c>
      <c r="AG845" s="114"/>
      <c r="AH845" s="131" t="s">
        <v>3772</v>
      </c>
      <c r="AI845" s="131" t="s">
        <v>266</v>
      </c>
      <c r="AJ845" s="131"/>
      <c r="AK845" s="132" t="s">
        <v>375</v>
      </c>
      <c r="AL845" s="132"/>
      <c r="AM845" s="134"/>
      <c r="AN845" s="134"/>
      <c r="AO845" s="134"/>
      <c r="AP845" s="134"/>
      <c r="AQ845" s="134"/>
      <c r="AR845" s="134"/>
      <c r="AS845" s="134"/>
      <c r="AT845" s="134"/>
      <c r="AU845" s="131"/>
      <c r="AV845" s="131"/>
      <c r="AW845" s="131"/>
      <c r="AX845" s="132"/>
      <c r="AY845" s="132"/>
      <c r="AZ845" s="134"/>
      <c r="BA845" s="134"/>
      <c r="BB845" s="134"/>
      <c r="BC845" s="134"/>
      <c r="BD845" s="134"/>
      <c r="BE845" s="134"/>
      <c r="BF845" s="134"/>
      <c r="BG845" s="134"/>
      <c r="BH845" s="131"/>
      <c r="BI845" s="131"/>
      <c r="BJ845" s="131"/>
      <c r="BK845" s="132"/>
      <c r="BL845" s="132"/>
      <c r="BM845" s="134"/>
      <c r="BN845" s="134"/>
      <c r="BO845" s="134"/>
      <c r="BP845" s="134"/>
      <c r="BQ845" s="134"/>
      <c r="BR845" s="134"/>
      <c r="BS845" s="134"/>
      <c r="BT845" s="134"/>
      <c r="BU845" s="131"/>
      <c r="BV845" s="131"/>
      <c r="BW845" s="131"/>
      <c r="BX845" s="132"/>
      <c r="BY845" s="132"/>
      <c r="BZ845" s="134"/>
      <c r="CA845" s="134"/>
      <c r="CB845" s="134"/>
      <c r="CC845" s="134"/>
      <c r="CD845" s="134"/>
      <c r="CE845" s="134"/>
      <c r="CF845" s="134"/>
      <c r="CG845" s="134"/>
      <c r="CH845" s="127"/>
      <c r="CJ845" s="134"/>
      <c r="CT845" s="135"/>
      <c r="CU845" s="135"/>
      <c r="CV845" s="135"/>
      <c r="CW845" s="135"/>
      <c r="CX845" s="135"/>
      <c r="CY845" s="135"/>
      <c r="CZ845" s="135"/>
      <c r="DA845" s="135"/>
      <c r="DB845" s="135"/>
      <c r="DC845" s="134"/>
    </row>
    <row r="846" spans="1:107" s="128" customFormat="1" x14ac:dyDescent="0.2">
      <c r="A846" s="184">
        <v>10077</v>
      </c>
      <c r="B846" s="185">
        <v>1</v>
      </c>
      <c r="C846" s="185">
        <f t="shared" ref="C846:C850" si="68">A846*10000+B846</f>
        <v>100770001</v>
      </c>
      <c r="D846" s="128" t="s">
        <v>3884</v>
      </c>
      <c r="E846" s="129" t="s">
        <v>109</v>
      </c>
      <c r="F846" s="129"/>
      <c r="G846" s="129"/>
      <c r="H846" s="129"/>
      <c r="I846" s="114" t="s">
        <v>206</v>
      </c>
      <c r="J846" s="114"/>
      <c r="K846" s="114"/>
      <c r="L846" s="114"/>
      <c r="M846" s="114"/>
      <c r="N846" s="114" t="s">
        <v>163</v>
      </c>
      <c r="O846" s="114" t="s">
        <v>163</v>
      </c>
      <c r="P846" s="114"/>
      <c r="Q846" s="114" t="s">
        <v>2041</v>
      </c>
      <c r="R846" s="114"/>
      <c r="S846" s="114"/>
      <c r="T846" s="114" t="s">
        <v>2307</v>
      </c>
      <c r="U846" s="117" t="s">
        <v>3885</v>
      </c>
      <c r="V846" s="114" t="s">
        <v>109</v>
      </c>
      <c r="W846" s="114" t="s">
        <v>1</v>
      </c>
      <c r="X846" s="114"/>
      <c r="Z846" s="114"/>
      <c r="AA846" s="114"/>
      <c r="AB846" s="114"/>
      <c r="AC846" s="114">
        <v>77</v>
      </c>
      <c r="AD846" s="114"/>
      <c r="AE846" s="130"/>
      <c r="AF846" s="130" t="s">
        <v>2043</v>
      </c>
      <c r="AG846" s="114"/>
      <c r="AH846" s="131"/>
      <c r="AI846" s="131" t="s">
        <v>176</v>
      </c>
      <c r="AJ846" s="131"/>
      <c r="AK846" s="132" t="s">
        <v>136</v>
      </c>
      <c r="AL846" s="132"/>
      <c r="AM846" s="134"/>
      <c r="AN846" s="134"/>
      <c r="AO846" s="134"/>
      <c r="AP846" s="134"/>
      <c r="AQ846" s="134"/>
      <c r="AR846" s="134"/>
      <c r="AS846" s="134"/>
      <c r="AT846" s="134"/>
      <c r="AU846" s="131"/>
      <c r="AV846" s="131"/>
      <c r="AW846" s="131"/>
      <c r="AX846" s="132"/>
      <c r="AY846" s="132"/>
      <c r="AZ846" s="134"/>
      <c r="BA846" s="134"/>
      <c r="BB846" s="134"/>
      <c r="BC846" s="134"/>
      <c r="BD846" s="134"/>
      <c r="BE846" s="134"/>
      <c r="BF846" s="134"/>
      <c r="BG846" s="134"/>
      <c r="BH846" s="131"/>
      <c r="BI846" s="131"/>
      <c r="BJ846" s="131"/>
      <c r="BK846" s="132"/>
      <c r="BL846" s="132"/>
      <c r="BM846" s="134"/>
      <c r="BN846" s="134"/>
      <c r="BO846" s="134"/>
      <c r="BP846" s="134"/>
      <c r="BQ846" s="134"/>
      <c r="BR846" s="134"/>
      <c r="BS846" s="134"/>
      <c r="BT846" s="134"/>
      <c r="BU846" s="131"/>
      <c r="BV846" s="131"/>
      <c r="BW846" s="131"/>
      <c r="BX846" s="132"/>
      <c r="BY846" s="132"/>
      <c r="BZ846" s="134"/>
      <c r="CA846" s="134"/>
      <c r="CB846" s="134"/>
      <c r="CC846" s="134"/>
      <c r="CD846" s="134"/>
      <c r="CE846" s="134"/>
      <c r="CF846" s="134"/>
      <c r="CG846" s="134"/>
      <c r="CH846" s="127"/>
      <c r="CJ846" s="134"/>
      <c r="CT846" s="135"/>
      <c r="CU846" s="135"/>
      <c r="CV846" s="135"/>
      <c r="CW846" s="135"/>
      <c r="CX846" s="135"/>
      <c r="CY846" s="135"/>
      <c r="CZ846" s="135"/>
      <c r="DA846" s="135"/>
      <c r="DB846" s="135"/>
      <c r="DC846" s="134"/>
    </row>
    <row r="847" spans="1:107" s="128" customFormat="1" x14ac:dyDescent="0.2">
      <c r="A847" s="184">
        <v>10077</v>
      </c>
      <c r="B847" s="185">
        <v>2</v>
      </c>
      <c r="C847" s="185">
        <f t="shared" si="68"/>
        <v>100770002</v>
      </c>
      <c r="D847" s="128" t="s">
        <v>3884</v>
      </c>
      <c r="E847" s="129" t="s">
        <v>109</v>
      </c>
      <c r="F847" s="129"/>
      <c r="G847" s="129"/>
      <c r="H847" s="129"/>
      <c r="I847" s="114" t="s">
        <v>206</v>
      </c>
      <c r="J847" s="114"/>
      <c r="K847" s="114"/>
      <c r="L847" s="114"/>
      <c r="M847" s="114"/>
      <c r="N847" s="114" t="s">
        <v>163</v>
      </c>
      <c r="O847" s="114" t="s">
        <v>163</v>
      </c>
      <c r="P847" s="114"/>
      <c r="Q847" s="114" t="s">
        <v>2041</v>
      </c>
      <c r="R847" s="114"/>
      <c r="S847" s="114"/>
      <c r="T847" s="114" t="s">
        <v>2307</v>
      </c>
      <c r="U847" s="117" t="s">
        <v>3886</v>
      </c>
      <c r="V847" s="114" t="s">
        <v>109</v>
      </c>
      <c r="W847" s="114" t="s">
        <v>1</v>
      </c>
      <c r="X847" s="114"/>
      <c r="Z847" s="114"/>
      <c r="AA847" s="114"/>
      <c r="AB847" s="114"/>
      <c r="AC847" s="114">
        <v>77</v>
      </c>
      <c r="AD847" s="114"/>
      <c r="AE847" s="130"/>
      <c r="AF847" s="130" t="s">
        <v>2043</v>
      </c>
      <c r="AG847" s="114"/>
      <c r="AH847" s="131"/>
      <c r="AI847" s="131" t="s">
        <v>260</v>
      </c>
      <c r="AJ847" s="131"/>
      <c r="AK847" s="132" t="s">
        <v>139</v>
      </c>
      <c r="AL847" s="132"/>
      <c r="AM847" s="134"/>
      <c r="AN847" s="134"/>
      <c r="AO847" s="134"/>
      <c r="AP847" s="134"/>
      <c r="AQ847" s="134"/>
      <c r="AR847" s="134"/>
      <c r="AS847" s="134"/>
      <c r="AT847" s="134"/>
      <c r="AU847" s="131"/>
      <c r="AV847" s="131"/>
      <c r="AW847" s="131"/>
      <c r="AX847" s="132"/>
      <c r="AY847" s="132"/>
      <c r="AZ847" s="134"/>
      <c r="BA847" s="134"/>
      <c r="BB847" s="134"/>
      <c r="BC847" s="134"/>
      <c r="BD847" s="134"/>
      <c r="BE847" s="134"/>
      <c r="BF847" s="134"/>
      <c r="BG847" s="134"/>
      <c r="BH847" s="131"/>
      <c r="BI847" s="131"/>
      <c r="BJ847" s="131"/>
      <c r="BK847" s="132"/>
      <c r="BL847" s="132"/>
      <c r="BM847" s="134"/>
      <c r="BN847" s="134"/>
      <c r="BO847" s="134"/>
      <c r="BP847" s="134"/>
      <c r="BQ847" s="134"/>
      <c r="BR847" s="134"/>
      <c r="BS847" s="134"/>
      <c r="BT847" s="134"/>
      <c r="BU847" s="131"/>
      <c r="BV847" s="131"/>
      <c r="BW847" s="131"/>
      <c r="BX847" s="132"/>
      <c r="BY847" s="132"/>
      <c r="BZ847" s="134"/>
      <c r="CA847" s="134"/>
      <c r="CB847" s="134"/>
      <c r="CC847" s="134"/>
      <c r="CD847" s="134"/>
      <c r="CE847" s="134"/>
      <c r="CF847" s="134"/>
      <c r="CG847" s="134"/>
      <c r="CH847" s="127"/>
      <c r="CJ847" s="134"/>
      <c r="CT847" s="135"/>
      <c r="CU847" s="135"/>
      <c r="CV847" s="135"/>
      <c r="CW847" s="135"/>
      <c r="CX847" s="135"/>
      <c r="CY847" s="135"/>
      <c r="CZ847" s="135"/>
      <c r="DA847" s="135"/>
      <c r="DB847" s="135"/>
      <c r="DC847" s="134"/>
    </row>
    <row r="848" spans="1:107" s="128" customFormat="1" x14ac:dyDescent="0.2">
      <c r="A848" s="184">
        <v>10077</v>
      </c>
      <c r="B848" s="185">
        <v>3</v>
      </c>
      <c r="C848" s="185">
        <f t="shared" si="68"/>
        <v>100770003</v>
      </c>
      <c r="D848" s="128" t="s">
        <v>3884</v>
      </c>
      <c r="E848" s="129" t="s">
        <v>109</v>
      </c>
      <c r="F848" s="129"/>
      <c r="G848" s="129"/>
      <c r="H848" s="129"/>
      <c r="I848" s="114" t="s">
        <v>206</v>
      </c>
      <c r="J848" s="114"/>
      <c r="K848" s="114"/>
      <c r="L848" s="114"/>
      <c r="M848" s="114"/>
      <c r="N848" s="114" t="s">
        <v>163</v>
      </c>
      <c r="O848" s="114" t="s">
        <v>163</v>
      </c>
      <c r="P848" s="114"/>
      <c r="Q848" s="114" t="s">
        <v>2041</v>
      </c>
      <c r="R848" s="114"/>
      <c r="S848" s="114"/>
      <c r="T848" s="114" t="s">
        <v>2307</v>
      </c>
      <c r="U848" s="117" t="s">
        <v>3887</v>
      </c>
      <c r="V848" s="114" t="s">
        <v>109</v>
      </c>
      <c r="W848" s="114" t="s">
        <v>1</v>
      </c>
      <c r="X848" s="114"/>
      <c r="Z848" s="114"/>
      <c r="AA848" s="114"/>
      <c r="AB848" s="114"/>
      <c r="AC848" s="114">
        <v>77</v>
      </c>
      <c r="AD848" s="114"/>
      <c r="AE848" s="130"/>
      <c r="AF848" s="130" t="s">
        <v>2043</v>
      </c>
      <c r="AG848" s="114"/>
      <c r="AH848" s="131">
        <v>100773</v>
      </c>
      <c r="AI848" s="131" t="s">
        <v>264</v>
      </c>
      <c r="AJ848" s="131"/>
      <c r="AK848" s="132" t="s">
        <v>373</v>
      </c>
      <c r="AL848" s="132"/>
      <c r="AM848" s="134"/>
      <c r="AN848" s="134"/>
      <c r="AO848" s="134"/>
      <c r="AP848" s="134"/>
      <c r="AQ848" s="134"/>
      <c r="AR848" s="134"/>
      <c r="AS848" s="134"/>
      <c r="AT848" s="134"/>
      <c r="AU848" s="131"/>
      <c r="AV848" s="131"/>
      <c r="AW848" s="131"/>
      <c r="AX848" s="132"/>
      <c r="AY848" s="132"/>
      <c r="AZ848" s="134"/>
      <c r="BA848" s="134"/>
      <c r="BB848" s="134"/>
      <c r="BC848" s="134"/>
      <c r="BD848" s="134"/>
      <c r="BE848" s="134"/>
      <c r="BF848" s="134"/>
      <c r="BG848" s="134"/>
      <c r="BH848" s="131"/>
      <c r="BI848" s="131"/>
      <c r="BJ848" s="131"/>
      <c r="BK848" s="132"/>
      <c r="BL848" s="132"/>
      <c r="BM848" s="134"/>
      <c r="BN848" s="134"/>
      <c r="BO848" s="134"/>
      <c r="BP848" s="134"/>
      <c r="BQ848" s="134"/>
      <c r="BR848" s="134"/>
      <c r="BS848" s="134"/>
      <c r="BT848" s="134"/>
      <c r="BU848" s="131"/>
      <c r="BV848" s="131"/>
      <c r="BW848" s="131"/>
      <c r="BX848" s="132"/>
      <c r="BY848" s="132"/>
      <c r="BZ848" s="134"/>
      <c r="CA848" s="134"/>
      <c r="CB848" s="134"/>
      <c r="CC848" s="134"/>
      <c r="CD848" s="134"/>
      <c r="CE848" s="134"/>
      <c r="CF848" s="134"/>
      <c r="CG848" s="134"/>
      <c r="CH848" s="127"/>
      <c r="CJ848" s="134"/>
      <c r="CT848" s="135"/>
      <c r="CU848" s="135"/>
      <c r="CV848" s="135"/>
      <c r="CW848" s="135"/>
      <c r="CX848" s="135"/>
      <c r="CY848" s="135"/>
      <c r="CZ848" s="135"/>
      <c r="DA848" s="135"/>
      <c r="DB848" s="135"/>
      <c r="DC848" s="134"/>
    </row>
    <row r="849" spans="1:107" s="128" customFormat="1" ht="12.75" customHeight="1" x14ac:dyDescent="0.2">
      <c r="A849" s="184">
        <v>10077</v>
      </c>
      <c r="B849" s="185">
        <v>4</v>
      </c>
      <c r="C849" s="185">
        <f t="shared" si="68"/>
        <v>100770004</v>
      </c>
      <c r="D849" s="128" t="s">
        <v>3884</v>
      </c>
      <c r="E849" s="129" t="s">
        <v>109</v>
      </c>
      <c r="F849" s="129"/>
      <c r="G849" s="129"/>
      <c r="H849" s="129"/>
      <c r="I849" s="114" t="s">
        <v>206</v>
      </c>
      <c r="J849" s="114"/>
      <c r="K849" s="114"/>
      <c r="L849" s="114"/>
      <c r="M849" s="114"/>
      <c r="N849" s="114" t="s">
        <v>163</v>
      </c>
      <c r="O849" s="114" t="s">
        <v>163</v>
      </c>
      <c r="P849" s="114"/>
      <c r="Q849" s="114" t="s">
        <v>2041</v>
      </c>
      <c r="R849" s="114"/>
      <c r="S849" s="114"/>
      <c r="T849" s="114" t="s">
        <v>2307</v>
      </c>
      <c r="U849" s="117" t="s">
        <v>3888</v>
      </c>
      <c r="V849" s="114" t="s">
        <v>109</v>
      </c>
      <c r="W849" s="114" t="s">
        <v>1</v>
      </c>
      <c r="X849" s="114"/>
      <c r="Z849" s="114"/>
      <c r="AA849" s="114"/>
      <c r="AB849" s="114"/>
      <c r="AC849" s="114">
        <v>77</v>
      </c>
      <c r="AD849" s="114"/>
      <c r="AE849" s="130"/>
      <c r="AF849" s="130" t="s">
        <v>2043</v>
      </c>
      <c r="AG849" s="114"/>
      <c r="AH849" s="131">
        <v>100774</v>
      </c>
      <c r="AI849" s="131" t="s">
        <v>265</v>
      </c>
      <c r="AJ849" s="131"/>
      <c r="AK849" s="132" t="s">
        <v>374</v>
      </c>
      <c r="AL849" s="132"/>
      <c r="AM849" s="134"/>
      <c r="AN849" s="134"/>
      <c r="AO849" s="134"/>
      <c r="AP849" s="134"/>
      <c r="AQ849" s="134"/>
      <c r="AR849" s="134"/>
      <c r="AS849" s="134"/>
      <c r="AT849" s="134"/>
      <c r="AU849" s="131"/>
      <c r="AV849" s="131"/>
      <c r="AW849" s="131"/>
      <c r="AX849" s="132"/>
      <c r="AY849" s="132"/>
      <c r="AZ849" s="134"/>
      <c r="BA849" s="134"/>
      <c r="BB849" s="134"/>
      <c r="BC849" s="134"/>
      <c r="BD849" s="134"/>
      <c r="BE849" s="134"/>
      <c r="BF849" s="134"/>
      <c r="BG849" s="134"/>
      <c r="BH849" s="131"/>
      <c r="BI849" s="131"/>
      <c r="BJ849" s="131"/>
      <c r="BK849" s="132"/>
      <c r="BL849" s="132"/>
      <c r="BM849" s="134"/>
      <c r="BN849" s="134"/>
      <c r="BO849" s="134"/>
      <c r="BP849" s="134"/>
      <c r="BQ849" s="134"/>
      <c r="BR849" s="134"/>
      <c r="BS849" s="134"/>
      <c r="BT849" s="134"/>
      <c r="BU849" s="131"/>
      <c r="BV849" s="131"/>
      <c r="BW849" s="131"/>
      <c r="BX849" s="132"/>
      <c r="BY849" s="132"/>
      <c r="BZ849" s="134"/>
      <c r="CA849" s="134"/>
      <c r="CB849" s="134"/>
      <c r="CC849" s="134"/>
      <c r="CD849" s="134"/>
      <c r="CE849" s="134"/>
      <c r="CF849" s="134"/>
      <c r="CG849" s="134"/>
      <c r="CH849" s="127"/>
      <c r="CJ849" s="134"/>
      <c r="CT849" s="135"/>
      <c r="CU849" s="135"/>
      <c r="CV849" s="135"/>
      <c r="CW849" s="135"/>
      <c r="CX849" s="135"/>
      <c r="CY849" s="135"/>
      <c r="CZ849" s="135"/>
      <c r="DA849" s="135"/>
      <c r="DB849" s="135"/>
      <c r="DC849" s="134"/>
    </row>
    <row r="850" spans="1:107" s="128" customFormat="1" x14ac:dyDescent="0.2">
      <c r="A850" s="184">
        <v>10077</v>
      </c>
      <c r="B850" s="185">
        <v>5</v>
      </c>
      <c r="C850" s="185">
        <f t="shared" si="68"/>
        <v>100770005</v>
      </c>
      <c r="D850" s="128" t="s">
        <v>3884</v>
      </c>
      <c r="E850" s="129" t="s">
        <v>109</v>
      </c>
      <c r="F850" s="129"/>
      <c r="G850" s="129"/>
      <c r="H850" s="129"/>
      <c r="I850" s="114" t="s">
        <v>206</v>
      </c>
      <c r="J850" s="114"/>
      <c r="K850" s="114"/>
      <c r="L850" s="114"/>
      <c r="M850" s="114"/>
      <c r="N850" s="114" t="s">
        <v>163</v>
      </c>
      <c r="O850" s="114" t="s">
        <v>163</v>
      </c>
      <c r="P850" s="114"/>
      <c r="Q850" s="114" t="s">
        <v>2041</v>
      </c>
      <c r="R850" s="114"/>
      <c r="S850" s="114"/>
      <c r="T850" s="114" t="s">
        <v>2307</v>
      </c>
      <c r="U850" s="117" t="s">
        <v>3889</v>
      </c>
      <c r="V850" s="114" t="s">
        <v>109</v>
      </c>
      <c r="W850" s="114" t="s">
        <v>1</v>
      </c>
      <c r="X850" s="114"/>
      <c r="Z850" s="114"/>
      <c r="AA850" s="114"/>
      <c r="AB850" s="114"/>
      <c r="AC850" s="114">
        <v>77</v>
      </c>
      <c r="AD850" s="114"/>
      <c r="AE850" s="130"/>
      <c r="AF850" s="130" t="s">
        <v>2043</v>
      </c>
      <c r="AG850" s="114"/>
      <c r="AH850" s="131">
        <v>100775</v>
      </c>
      <c r="AI850" s="131" t="s">
        <v>266</v>
      </c>
      <c r="AJ850" s="131"/>
      <c r="AK850" s="132" t="s">
        <v>375</v>
      </c>
      <c r="AL850" s="132"/>
      <c r="AM850" s="134"/>
      <c r="AN850" s="134"/>
      <c r="AO850" s="134"/>
      <c r="AP850" s="134"/>
      <c r="AQ850" s="134"/>
      <c r="AR850" s="134"/>
      <c r="AS850" s="134"/>
      <c r="AT850" s="134"/>
      <c r="AU850" s="131"/>
      <c r="AV850" s="131"/>
      <c r="AW850" s="131"/>
      <c r="AX850" s="132"/>
      <c r="AY850" s="132"/>
      <c r="AZ850" s="134"/>
      <c r="BA850" s="134"/>
      <c r="BB850" s="134"/>
      <c r="BC850" s="134"/>
      <c r="BD850" s="134"/>
      <c r="BE850" s="134"/>
      <c r="BF850" s="134"/>
      <c r="BG850" s="134"/>
      <c r="BH850" s="131"/>
      <c r="BI850" s="131"/>
      <c r="BJ850" s="131"/>
      <c r="BK850" s="132"/>
      <c r="BL850" s="132"/>
      <c r="BM850" s="134"/>
      <c r="BN850" s="134"/>
      <c r="BO850" s="134"/>
      <c r="BP850" s="134"/>
      <c r="BQ850" s="134"/>
      <c r="BR850" s="134"/>
      <c r="BS850" s="134"/>
      <c r="BT850" s="134"/>
      <c r="BU850" s="131"/>
      <c r="BV850" s="131"/>
      <c r="BW850" s="131"/>
      <c r="BX850" s="132"/>
      <c r="BY850" s="132"/>
      <c r="BZ850" s="134"/>
      <c r="CA850" s="134"/>
      <c r="CB850" s="134"/>
      <c r="CC850" s="134"/>
      <c r="CD850" s="134"/>
      <c r="CE850" s="134"/>
      <c r="CF850" s="134"/>
      <c r="CG850" s="134"/>
      <c r="CH850" s="127"/>
      <c r="CJ850" s="134"/>
      <c r="CT850" s="135"/>
      <c r="CU850" s="135"/>
      <c r="CV850" s="135"/>
      <c r="CW850" s="135"/>
      <c r="CX850" s="135"/>
      <c r="CY850" s="135"/>
      <c r="CZ850" s="135"/>
      <c r="DA850" s="135"/>
      <c r="DB850" s="135"/>
      <c r="DC850" s="134"/>
    </row>
    <row r="851" spans="1:107" s="128" customFormat="1" x14ac:dyDescent="0.2">
      <c r="A851" s="184">
        <v>10078</v>
      </c>
      <c r="B851" s="185">
        <v>1</v>
      </c>
      <c r="C851" s="185">
        <f t="shared" si="66"/>
        <v>100780001</v>
      </c>
      <c r="D851" s="128" t="s">
        <v>1912</v>
      </c>
      <c r="E851" s="129" t="s">
        <v>109</v>
      </c>
      <c r="F851" s="129"/>
      <c r="G851" s="129"/>
      <c r="H851" s="129"/>
      <c r="I851" s="114" t="s">
        <v>206</v>
      </c>
      <c r="J851" s="114"/>
      <c r="K851" s="114"/>
      <c r="L851" s="114"/>
      <c r="M851" s="114"/>
      <c r="N851" s="114" t="s">
        <v>163</v>
      </c>
      <c r="O851" s="114" t="s">
        <v>163</v>
      </c>
      <c r="P851" s="114"/>
      <c r="Q851" s="114" t="s">
        <v>2041</v>
      </c>
      <c r="R851" s="114"/>
      <c r="S851" s="114"/>
      <c r="T851" s="114" t="s">
        <v>2307</v>
      </c>
      <c r="U851" s="117" t="s">
        <v>2664</v>
      </c>
      <c r="V851" s="114" t="s">
        <v>109</v>
      </c>
      <c r="W851" s="114" t="s">
        <v>1</v>
      </c>
      <c r="X851" s="114"/>
      <c r="Z851" s="114"/>
      <c r="AA851" s="114"/>
      <c r="AB851" s="114"/>
      <c r="AC851" s="114">
        <v>78</v>
      </c>
      <c r="AD851" s="114"/>
      <c r="AE851" s="130"/>
      <c r="AF851" s="130" t="s">
        <v>2043</v>
      </c>
      <c r="AG851" s="114"/>
      <c r="AH851" s="131"/>
      <c r="AI851" s="131" t="s">
        <v>176</v>
      </c>
      <c r="AJ851" s="131"/>
      <c r="AK851" s="132" t="s">
        <v>136</v>
      </c>
      <c r="AL851" s="132"/>
      <c r="AM851" s="134"/>
      <c r="AN851" s="134"/>
      <c r="AO851" s="134"/>
      <c r="AP851" s="134"/>
      <c r="AQ851" s="134"/>
      <c r="AR851" s="134"/>
      <c r="AS851" s="134"/>
      <c r="AT851" s="134"/>
      <c r="AU851" s="131"/>
      <c r="AV851" s="131"/>
      <c r="AW851" s="131"/>
      <c r="AX851" s="132"/>
      <c r="AY851" s="132"/>
      <c r="AZ851" s="134"/>
      <c r="BA851" s="134"/>
      <c r="BB851" s="134"/>
      <c r="BC851" s="134"/>
      <c r="BD851" s="134"/>
      <c r="BE851" s="134"/>
      <c r="BF851" s="134"/>
      <c r="BG851" s="134"/>
      <c r="BH851" s="131"/>
      <c r="BI851" s="131"/>
      <c r="BJ851" s="131"/>
      <c r="BK851" s="132"/>
      <c r="BL851" s="132"/>
      <c r="BM851" s="134"/>
      <c r="BN851" s="134"/>
      <c r="BO851" s="134"/>
      <c r="BP851" s="134"/>
      <c r="BQ851" s="134"/>
      <c r="BR851" s="134"/>
      <c r="BS851" s="134"/>
      <c r="BT851" s="134"/>
      <c r="BU851" s="131"/>
      <c r="BV851" s="131"/>
      <c r="BW851" s="131"/>
      <c r="BX851" s="132"/>
      <c r="BY851" s="132"/>
      <c r="BZ851" s="134"/>
      <c r="CA851" s="134"/>
      <c r="CB851" s="134"/>
      <c r="CC851" s="134"/>
      <c r="CD851" s="134"/>
      <c r="CE851" s="134"/>
      <c r="CF851" s="134"/>
      <c r="CG851" s="134"/>
      <c r="CH851" s="127"/>
      <c r="CJ851" s="134"/>
      <c r="CT851" s="135"/>
      <c r="CU851" s="135"/>
      <c r="CV851" s="135"/>
      <c r="CW851" s="135"/>
      <c r="CX851" s="135"/>
      <c r="CY851" s="135"/>
      <c r="CZ851" s="135"/>
      <c r="DA851" s="135"/>
      <c r="DB851" s="135"/>
      <c r="DC851" s="134"/>
    </row>
    <row r="852" spans="1:107" s="128" customFormat="1" x14ac:dyDescent="0.2">
      <c r="A852" s="184">
        <v>10078</v>
      </c>
      <c r="B852" s="185">
        <v>2</v>
      </c>
      <c r="C852" s="185">
        <f t="shared" si="66"/>
        <v>100780002</v>
      </c>
      <c r="D852" s="128" t="s">
        <v>1912</v>
      </c>
      <c r="E852" s="129" t="s">
        <v>109</v>
      </c>
      <c r="F852" s="129"/>
      <c r="G852" s="129"/>
      <c r="H852" s="129"/>
      <c r="I852" s="114" t="s">
        <v>206</v>
      </c>
      <c r="J852" s="114"/>
      <c r="K852" s="114"/>
      <c r="L852" s="114"/>
      <c r="M852" s="114"/>
      <c r="N852" s="114" t="s">
        <v>163</v>
      </c>
      <c r="O852" s="114" t="s">
        <v>163</v>
      </c>
      <c r="P852" s="114"/>
      <c r="Q852" s="114" t="s">
        <v>2041</v>
      </c>
      <c r="R852" s="114"/>
      <c r="S852" s="114"/>
      <c r="T852" s="114" t="s">
        <v>2307</v>
      </c>
      <c r="U852" s="117" t="s">
        <v>2665</v>
      </c>
      <c r="V852" s="114" t="s">
        <v>109</v>
      </c>
      <c r="W852" s="114" t="s">
        <v>1</v>
      </c>
      <c r="X852" s="114"/>
      <c r="Z852" s="114"/>
      <c r="AA852" s="114"/>
      <c r="AB852" s="114"/>
      <c r="AC852" s="114">
        <v>78</v>
      </c>
      <c r="AD852" s="114"/>
      <c r="AE852" s="130"/>
      <c r="AF852" s="130" t="s">
        <v>2043</v>
      </c>
      <c r="AG852" s="114"/>
      <c r="AH852" s="131"/>
      <c r="AI852" s="131" t="s">
        <v>260</v>
      </c>
      <c r="AJ852" s="131"/>
      <c r="AK852" s="132" t="s">
        <v>139</v>
      </c>
      <c r="AL852" s="132"/>
      <c r="AM852" s="134"/>
      <c r="AN852" s="134"/>
      <c r="AO852" s="134"/>
      <c r="AP852" s="134"/>
      <c r="AQ852" s="134"/>
      <c r="AR852" s="134"/>
      <c r="AS852" s="134"/>
      <c r="AT852" s="134"/>
      <c r="AU852" s="131"/>
      <c r="AV852" s="131"/>
      <c r="AW852" s="131"/>
      <c r="AX852" s="132"/>
      <c r="AY852" s="132"/>
      <c r="AZ852" s="134"/>
      <c r="BA852" s="134"/>
      <c r="BB852" s="134"/>
      <c r="BC852" s="134"/>
      <c r="BD852" s="134"/>
      <c r="BE852" s="134"/>
      <c r="BF852" s="134"/>
      <c r="BG852" s="134"/>
      <c r="BH852" s="131"/>
      <c r="BI852" s="131"/>
      <c r="BJ852" s="131"/>
      <c r="BK852" s="132"/>
      <c r="BL852" s="132"/>
      <c r="BM852" s="134"/>
      <c r="BN852" s="134"/>
      <c r="BO852" s="134"/>
      <c r="BP852" s="134"/>
      <c r="BQ852" s="134"/>
      <c r="BR852" s="134"/>
      <c r="BS852" s="134"/>
      <c r="BT852" s="134"/>
      <c r="BU852" s="131"/>
      <c r="BV852" s="131"/>
      <c r="BW852" s="131"/>
      <c r="BX852" s="132"/>
      <c r="BY852" s="132"/>
      <c r="BZ852" s="134"/>
      <c r="CA852" s="134"/>
      <c r="CB852" s="134"/>
      <c r="CC852" s="134"/>
      <c r="CD852" s="134"/>
      <c r="CE852" s="134"/>
      <c r="CF852" s="134"/>
      <c r="CG852" s="134"/>
      <c r="CH852" s="127"/>
      <c r="CJ852" s="134"/>
      <c r="CT852" s="135"/>
      <c r="CU852" s="135"/>
      <c r="CV852" s="135"/>
      <c r="CW852" s="135"/>
      <c r="CX852" s="135"/>
      <c r="CY852" s="135"/>
      <c r="CZ852" s="135"/>
      <c r="DA852" s="135"/>
      <c r="DB852" s="135"/>
      <c r="DC852" s="134"/>
    </row>
    <row r="853" spans="1:107" s="128" customFormat="1" x14ac:dyDescent="0.2">
      <c r="A853" s="184">
        <v>10078</v>
      </c>
      <c r="B853" s="185">
        <v>3</v>
      </c>
      <c r="C853" s="185">
        <f t="shared" si="66"/>
        <v>100780003</v>
      </c>
      <c r="D853" s="128" t="s">
        <v>1912</v>
      </c>
      <c r="E853" s="129" t="s">
        <v>109</v>
      </c>
      <c r="F853" s="129"/>
      <c r="G853" s="129"/>
      <c r="H853" s="129"/>
      <c r="I853" s="114" t="s">
        <v>206</v>
      </c>
      <c r="J853" s="114"/>
      <c r="K853" s="114"/>
      <c r="L853" s="114"/>
      <c r="M853" s="114"/>
      <c r="N853" s="114" t="s">
        <v>163</v>
      </c>
      <c r="O853" s="114" t="s">
        <v>163</v>
      </c>
      <c r="P853" s="114"/>
      <c r="Q853" s="114" t="s">
        <v>2041</v>
      </c>
      <c r="R853" s="114"/>
      <c r="S853" s="114"/>
      <c r="T853" s="114" t="s">
        <v>2307</v>
      </c>
      <c r="U853" s="117" t="s">
        <v>2666</v>
      </c>
      <c r="V853" s="114" t="s">
        <v>109</v>
      </c>
      <c r="W853" s="114" t="s">
        <v>1</v>
      </c>
      <c r="X853" s="114"/>
      <c r="Z853" s="114"/>
      <c r="AA853" s="114"/>
      <c r="AB853" s="114"/>
      <c r="AC853" s="114">
        <v>78</v>
      </c>
      <c r="AD853" s="114"/>
      <c r="AE853" s="130"/>
      <c r="AF853" s="130" t="s">
        <v>2043</v>
      </c>
      <c r="AG853" s="114"/>
      <c r="AH853" s="131">
        <v>100783</v>
      </c>
      <c r="AI853" s="131" t="s">
        <v>264</v>
      </c>
      <c r="AJ853" s="131"/>
      <c r="AK853" s="132" t="s">
        <v>373</v>
      </c>
      <c r="AL853" s="132"/>
      <c r="AM853" s="134"/>
      <c r="AN853" s="134"/>
      <c r="AO853" s="134"/>
      <c r="AP853" s="134"/>
      <c r="AQ853" s="134"/>
      <c r="AR853" s="134"/>
      <c r="AS853" s="134"/>
      <c r="AT853" s="134"/>
      <c r="AU853" s="131"/>
      <c r="AV853" s="131"/>
      <c r="AW853" s="131"/>
      <c r="AX853" s="132"/>
      <c r="AY853" s="132"/>
      <c r="AZ853" s="134"/>
      <c r="BA853" s="134"/>
      <c r="BB853" s="134"/>
      <c r="BC853" s="134"/>
      <c r="BD853" s="134"/>
      <c r="BE853" s="134"/>
      <c r="BF853" s="134"/>
      <c r="BG853" s="134"/>
      <c r="BH853" s="131"/>
      <c r="BI853" s="131"/>
      <c r="BJ853" s="131"/>
      <c r="BK853" s="132"/>
      <c r="BL853" s="132"/>
      <c r="BM853" s="134"/>
      <c r="BN853" s="134"/>
      <c r="BO853" s="134"/>
      <c r="BP853" s="134"/>
      <c r="BQ853" s="134"/>
      <c r="BR853" s="134"/>
      <c r="BS853" s="134"/>
      <c r="BT853" s="134"/>
      <c r="BU853" s="131"/>
      <c r="BV853" s="131"/>
      <c r="BW853" s="131"/>
      <c r="BX853" s="132"/>
      <c r="BY853" s="132"/>
      <c r="BZ853" s="134"/>
      <c r="CA853" s="134"/>
      <c r="CB853" s="134"/>
      <c r="CC853" s="134"/>
      <c r="CD853" s="134"/>
      <c r="CE853" s="134"/>
      <c r="CF853" s="134"/>
      <c r="CG853" s="134"/>
      <c r="CH853" s="127"/>
      <c r="CJ853" s="134"/>
      <c r="CT853" s="135"/>
      <c r="CU853" s="135"/>
      <c r="CV853" s="135"/>
      <c r="CW853" s="135"/>
      <c r="CX853" s="135"/>
      <c r="CY853" s="135"/>
      <c r="CZ853" s="135"/>
      <c r="DA853" s="135"/>
      <c r="DB853" s="135"/>
      <c r="DC853" s="134"/>
    </row>
    <row r="854" spans="1:107" s="128" customFormat="1" ht="12.75" customHeight="1" x14ac:dyDescent="0.2">
      <c r="A854" s="184">
        <v>10078</v>
      </c>
      <c r="B854" s="185">
        <v>4</v>
      </c>
      <c r="C854" s="185">
        <f t="shared" ref="C854:C987" si="69">A854*10000+B854</f>
        <v>100780004</v>
      </c>
      <c r="D854" s="128" t="s">
        <v>1912</v>
      </c>
      <c r="E854" s="129" t="s">
        <v>109</v>
      </c>
      <c r="F854" s="129"/>
      <c r="G854" s="129"/>
      <c r="H854" s="129"/>
      <c r="I854" s="114" t="s">
        <v>206</v>
      </c>
      <c r="J854" s="114"/>
      <c r="K854" s="114"/>
      <c r="L854" s="114"/>
      <c r="M854" s="114"/>
      <c r="N854" s="114" t="s">
        <v>163</v>
      </c>
      <c r="O854" s="114" t="s">
        <v>163</v>
      </c>
      <c r="P854" s="114"/>
      <c r="Q854" s="114" t="s">
        <v>2041</v>
      </c>
      <c r="R854" s="114"/>
      <c r="S854" s="114"/>
      <c r="T854" s="114" t="s">
        <v>2307</v>
      </c>
      <c r="U854" s="117" t="s">
        <v>2667</v>
      </c>
      <c r="V854" s="114" t="s">
        <v>109</v>
      </c>
      <c r="W854" s="114" t="s">
        <v>1</v>
      </c>
      <c r="X854" s="114"/>
      <c r="Z854" s="114"/>
      <c r="AA854" s="114"/>
      <c r="AB854" s="114"/>
      <c r="AC854" s="114">
        <v>78</v>
      </c>
      <c r="AD854" s="114"/>
      <c r="AE854" s="130"/>
      <c r="AF854" s="130" t="s">
        <v>2043</v>
      </c>
      <c r="AG854" s="114"/>
      <c r="AH854" s="131">
        <v>100784</v>
      </c>
      <c r="AI854" s="131" t="s">
        <v>265</v>
      </c>
      <c r="AJ854" s="131"/>
      <c r="AK854" s="132" t="s">
        <v>374</v>
      </c>
      <c r="AL854" s="132"/>
      <c r="AM854" s="134"/>
      <c r="AN854" s="134"/>
      <c r="AO854" s="134"/>
      <c r="AP854" s="134"/>
      <c r="AQ854" s="134"/>
      <c r="AR854" s="134"/>
      <c r="AS854" s="134"/>
      <c r="AT854" s="134"/>
      <c r="AU854" s="131"/>
      <c r="AV854" s="131"/>
      <c r="AW854" s="131"/>
      <c r="AX854" s="132"/>
      <c r="AY854" s="132"/>
      <c r="AZ854" s="134"/>
      <c r="BA854" s="134"/>
      <c r="BB854" s="134"/>
      <c r="BC854" s="134"/>
      <c r="BD854" s="134"/>
      <c r="BE854" s="134"/>
      <c r="BF854" s="134"/>
      <c r="BG854" s="134"/>
      <c r="BH854" s="131"/>
      <c r="BI854" s="131"/>
      <c r="BJ854" s="131"/>
      <c r="BK854" s="132"/>
      <c r="BL854" s="132"/>
      <c r="BM854" s="134"/>
      <c r="BN854" s="134"/>
      <c r="BO854" s="134"/>
      <c r="BP854" s="134"/>
      <c r="BQ854" s="134"/>
      <c r="BR854" s="134"/>
      <c r="BS854" s="134"/>
      <c r="BT854" s="134"/>
      <c r="BU854" s="131"/>
      <c r="BV854" s="131"/>
      <c r="BW854" s="131"/>
      <c r="BX854" s="132"/>
      <c r="BY854" s="132"/>
      <c r="BZ854" s="134"/>
      <c r="CA854" s="134"/>
      <c r="CB854" s="134"/>
      <c r="CC854" s="134"/>
      <c r="CD854" s="134"/>
      <c r="CE854" s="134"/>
      <c r="CF854" s="134"/>
      <c r="CG854" s="134"/>
      <c r="CH854" s="127"/>
      <c r="CJ854" s="134"/>
      <c r="CT854" s="135"/>
      <c r="CU854" s="135"/>
      <c r="CV854" s="135"/>
      <c r="CW854" s="135"/>
      <c r="CX854" s="135"/>
      <c r="CY854" s="135"/>
      <c r="CZ854" s="135"/>
      <c r="DA854" s="135"/>
      <c r="DB854" s="135"/>
      <c r="DC854" s="134"/>
    </row>
    <row r="855" spans="1:107" s="128" customFormat="1" x14ac:dyDescent="0.2">
      <c r="A855" s="184">
        <v>10078</v>
      </c>
      <c r="B855" s="185">
        <v>5</v>
      </c>
      <c r="C855" s="185">
        <f t="shared" si="69"/>
        <v>100780005</v>
      </c>
      <c r="D855" s="128" t="s">
        <v>1912</v>
      </c>
      <c r="E855" s="129" t="s">
        <v>109</v>
      </c>
      <c r="F855" s="129"/>
      <c r="G855" s="129"/>
      <c r="H855" s="129"/>
      <c r="I855" s="114" t="s">
        <v>206</v>
      </c>
      <c r="J855" s="114"/>
      <c r="K855" s="114"/>
      <c r="L855" s="114"/>
      <c r="M855" s="114"/>
      <c r="N855" s="114" t="s">
        <v>163</v>
      </c>
      <c r="O855" s="114" t="s">
        <v>163</v>
      </c>
      <c r="P855" s="114"/>
      <c r="Q855" s="114" t="s">
        <v>2041</v>
      </c>
      <c r="R855" s="114"/>
      <c r="S855" s="114"/>
      <c r="T855" s="114" t="s">
        <v>2307</v>
      </c>
      <c r="U855" s="117" t="s">
        <v>2668</v>
      </c>
      <c r="V855" s="114" t="s">
        <v>109</v>
      </c>
      <c r="W855" s="114" t="s">
        <v>1</v>
      </c>
      <c r="X855" s="114"/>
      <c r="Z855" s="114"/>
      <c r="AA855" s="114"/>
      <c r="AB855" s="114"/>
      <c r="AC855" s="114">
        <v>78</v>
      </c>
      <c r="AD855" s="114"/>
      <c r="AE855" s="130"/>
      <c r="AF855" s="130" t="s">
        <v>2043</v>
      </c>
      <c r="AG855" s="114"/>
      <c r="AH855" s="131">
        <v>100785</v>
      </c>
      <c r="AI855" s="131" t="s">
        <v>266</v>
      </c>
      <c r="AJ855" s="131"/>
      <c r="AK855" s="132" t="s">
        <v>375</v>
      </c>
      <c r="AL855" s="132"/>
      <c r="AM855" s="134"/>
      <c r="AN855" s="134"/>
      <c r="AO855" s="134"/>
      <c r="AP855" s="134"/>
      <c r="AQ855" s="134"/>
      <c r="AR855" s="134"/>
      <c r="AS855" s="134"/>
      <c r="AT855" s="134"/>
      <c r="AU855" s="131"/>
      <c r="AV855" s="131"/>
      <c r="AW855" s="131"/>
      <c r="AX855" s="132"/>
      <c r="AY855" s="132"/>
      <c r="AZ855" s="134"/>
      <c r="BA855" s="134"/>
      <c r="BB855" s="134"/>
      <c r="BC855" s="134"/>
      <c r="BD855" s="134"/>
      <c r="BE855" s="134"/>
      <c r="BF855" s="134"/>
      <c r="BG855" s="134"/>
      <c r="BH855" s="131"/>
      <c r="BI855" s="131"/>
      <c r="BJ855" s="131"/>
      <c r="BK855" s="132"/>
      <c r="BL855" s="132"/>
      <c r="BM855" s="134"/>
      <c r="BN855" s="134"/>
      <c r="BO855" s="134"/>
      <c r="BP855" s="134"/>
      <c r="BQ855" s="134"/>
      <c r="BR855" s="134"/>
      <c r="BS855" s="134"/>
      <c r="BT855" s="134"/>
      <c r="BU855" s="131"/>
      <c r="BV855" s="131"/>
      <c r="BW855" s="131"/>
      <c r="BX855" s="132"/>
      <c r="BY855" s="132"/>
      <c r="BZ855" s="134"/>
      <c r="CA855" s="134"/>
      <c r="CB855" s="134"/>
      <c r="CC855" s="134"/>
      <c r="CD855" s="134"/>
      <c r="CE855" s="134"/>
      <c r="CF855" s="134"/>
      <c r="CG855" s="134"/>
      <c r="CH855" s="127"/>
      <c r="CJ855" s="134"/>
      <c r="CT855" s="135"/>
      <c r="CU855" s="135"/>
      <c r="CV855" s="135"/>
      <c r="CW855" s="135"/>
      <c r="CX855" s="135"/>
      <c r="CY855" s="135"/>
      <c r="CZ855" s="135"/>
      <c r="DA855" s="135"/>
      <c r="DB855" s="135"/>
      <c r="DC855" s="134"/>
    </row>
    <row r="856" spans="1:107" s="128" customFormat="1" x14ac:dyDescent="0.2">
      <c r="A856" s="184">
        <v>10079</v>
      </c>
      <c r="B856" s="185">
        <v>1</v>
      </c>
      <c r="C856" s="185">
        <f t="shared" si="69"/>
        <v>100790001</v>
      </c>
      <c r="D856" s="128" t="s">
        <v>3944</v>
      </c>
      <c r="E856" s="129" t="s">
        <v>109</v>
      </c>
      <c r="F856" s="129"/>
      <c r="G856" s="129"/>
      <c r="H856" s="129"/>
      <c r="I856" s="114" t="s">
        <v>206</v>
      </c>
      <c r="J856" s="114"/>
      <c r="K856" s="114"/>
      <c r="L856" s="114"/>
      <c r="M856" s="114"/>
      <c r="N856" s="114" t="s">
        <v>163</v>
      </c>
      <c r="O856" s="114" t="s">
        <v>163</v>
      </c>
      <c r="P856" s="114"/>
      <c r="Q856" s="114" t="s">
        <v>2041</v>
      </c>
      <c r="R856" s="114"/>
      <c r="S856" s="114"/>
      <c r="T856" s="114" t="s">
        <v>2307</v>
      </c>
      <c r="U856" s="117" t="s">
        <v>3945</v>
      </c>
      <c r="V856" s="114" t="s">
        <v>109</v>
      </c>
      <c r="W856" s="114" t="s">
        <v>1</v>
      </c>
      <c r="X856" s="114"/>
      <c r="Z856" s="114"/>
      <c r="AA856" s="114"/>
      <c r="AB856" s="114"/>
      <c r="AC856" s="114">
        <v>79</v>
      </c>
      <c r="AD856" s="114"/>
      <c r="AE856" s="130"/>
      <c r="AF856" s="130" t="s">
        <v>2043</v>
      </c>
      <c r="AG856" s="114"/>
      <c r="AH856" s="131"/>
      <c r="AI856" s="131" t="s">
        <v>176</v>
      </c>
      <c r="AJ856" s="131"/>
      <c r="AK856" s="132" t="s">
        <v>136</v>
      </c>
      <c r="AL856" s="132"/>
      <c r="AM856" s="134"/>
      <c r="AN856" s="134"/>
      <c r="AO856" s="134"/>
      <c r="AP856" s="134"/>
      <c r="AQ856" s="134"/>
      <c r="AR856" s="134"/>
      <c r="AS856" s="134"/>
      <c r="AT856" s="134"/>
      <c r="AU856" s="131"/>
      <c r="AV856" s="131"/>
      <c r="AW856" s="131"/>
      <c r="AX856" s="132"/>
      <c r="AY856" s="132"/>
      <c r="AZ856" s="134"/>
      <c r="BA856" s="134"/>
      <c r="BB856" s="134"/>
      <c r="BC856" s="134"/>
      <c r="BD856" s="134"/>
      <c r="BE856" s="134"/>
      <c r="BF856" s="134"/>
      <c r="BG856" s="134"/>
      <c r="BH856" s="131"/>
      <c r="BI856" s="131"/>
      <c r="BJ856" s="131"/>
      <c r="BK856" s="132"/>
      <c r="BL856" s="132"/>
      <c r="BM856" s="134"/>
      <c r="BN856" s="134"/>
      <c r="BO856" s="134"/>
      <c r="BP856" s="134"/>
      <c r="BQ856" s="134"/>
      <c r="BR856" s="134"/>
      <c r="BS856" s="134"/>
      <c r="BT856" s="134"/>
      <c r="BU856" s="131"/>
      <c r="BV856" s="131"/>
      <c r="BW856" s="131"/>
      <c r="BX856" s="132"/>
      <c r="BY856" s="132"/>
      <c r="BZ856" s="134"/>
      <c r="CA856" s="134"/>
      <c r="CB856" s="134"/>
      <c r="CC856" s="134"/>
      <c r="CD856" s="134"/>
      <c r="CE856" s="134"/>
      <c r="CF856" s="134"/>
      <c r="CG856" s="134"/>
      <c r="CH856" s="127"/>
      <c r="CJ856" s="134"/>
      <c r="CT856" s="135"/>
      <c r="CU856" s="135"/>
      <c r="CV856" s="135"/>
      <c r="CW856" s="135"/>
      <c r="CX856" s="135"/>
      <c r="CY856" s="135"/>
      <c r="CZ856" s="135"/>
      <c r="DA856" s="135"/>
      <c r="DB856" s="135"/>
      <c r="DC856" s="134"/>
    </row>
    <row r="857" spans="1:107" s="128" customFormat="1" x14ac:dyDescent="0.2">
      <c r="A857" s="184">
        <v>10079</v>
      </c>
      <c r="B857" s="185">
        <v>2</v>
      </c>
      <c r="C857" s="185">
        <f t="shared" si="69"/>
        <v>100790002</v>
      </c>
      <c r="D857" s="128" t="s">
        <v>3944</v>
      </c>
      <c r="E857" s="129" t="s">
        <v>109</v>
      </c>
      <c r="F857" s="129"/>
      <c r="G857" s="129"/>
      <c r="H857" s="129"/>
      <c r="I857" s="114" t="s">
        <v>206</v>
      </c>
      <c r="J857" s="114"/>
      <c r="K857" s="114"/>
      <c r="L857" s="114"/>
      <c r="M857" s="114"/>
      <c r="N857" s="114" t="s">
        <v>163</v>
      </c>
      <c r="O857" s="114" t="s">
        <v>163</v>
      </c>
      <c r="P857" s="114"/>
      <c r="Q857" s="114" t="s">
        <v>2041</v>
      </c>
      <c r="R857" s="114"/>
      <c r="S857" s="114"/>
      <c r="T857" s="114" t="s">
        <v>2307</v>
      </c>
      <c r="U857" s="117" t="s">
        <v>3946</v>
      </c>
      <c r="V857" s="114" t="s">
        <v>109</v>
      </c>
      <c r="W857" s="114" t="s">
        <v>1</v>
      </c>
      <c r="X857" s="114"/>
      <c r="Z857" s="114"/>
      <c r="AA857" s="114"/>
      <c r="AB857" s="114"/>
      <c r="AC857" s="114">
        <v>79</v>
      </c>
      <c r="AD857" s="114"/>
      <c r="AE857" s="130"/>
      <c r="AF857" s="130" t="s">
        <v>2043</v>
      </c>
      <c r="AG857" s="114"/>
      <c r="AH857" s="131"/>
      <c r="AI857" s="131" t="s">
        <v>260</v>
      </c>
      <c r="AJ857" s="131"/>
      <c r="AK857" s="132" t="s">
        <v>139</v>
      </c>
      <c r="AL857" s="132"/>
      <c r="AM857" s="134"/>
      <c r="AN857" s="134"/>
      <c r="AO857" s="134"/>
      <c r="AP857" s="134"/>
      <c r="AQ857" s="134"/>
      <c r="AR857" s="134"/>
      <c r="AS857" s="134"/>
      <c r="AT857" s="134"/>
      <c r="AU857" s="131"/>
      <c r="AV857" s="131"/>
      <c r="AW857" s="131"/>
      <c r="AX857" s="132"/>
      <c r="AY857" s="132"/>
      <c r="AZ857" s="134"/>
      <c r="BA857" s="134"/>
      <c r="BB857" s="134"/>
      <c r="BC857" s="134"/>
      <c r="BD857" s="134"/>
      <c r="BE857" s="134"/>
      <c r="BF857" s="134"/>
      <c r="BG857" s="134"/>
      <c r="BH857" s="131"/>
      <c r="BI857" s="131"/>
      <c r="BJ857" s="131"/>
      <c r="BK857" s="132"/>
      <c r="BL857" s="132"/>
      <c r="BM857" s="134"/>
      <c r="BN857" s="134"/>
      <c r="BO857" s="134"/>
      <c r="BP857" s="134"/>
      <c r="BQ857" s="134"/>
      <c r="BR857" s="134"/>
      <c r="BS857" s="134"/>
      <c r="BT857" s="134"/>
      <c r="BU857" s="131"/>
      <c r="BV857" s="131"/>
      <c r="BW857" s="131"/>
      <c r="BX857" s="132"/>
      <c r="BY857" s="132"/>
      <c r="BZ857" s="134"/>
      <c r="CA857" s="134"/>
      <c r="CB857" s="134"/>
      <c r="CC857" s="134"/>
      <c r="CD857" s="134"/>
      <c r="CE857" s="134"/>
      <c r="CF857" s="134"/>
      <c r="CG857" s="134"/>
      <c r="CH857" s="127"/>
      <c r="CJ857" s="134"/>
      <c r="CT857" s="135"/>
      <c r="CU857" s="135"/>
      <c r="CV857" s="135"/>
      <c r="CW857" s="135"/>
      <c r="CX857" s="135"/>
      <c r="CY857" s="135"/>
      <c r="CZ857" s="135"/>
      <c r="DA857" s="135"/>
      <c r="DB857" s="135"/>
      <c r="DC857" s="134"/>
    </row>
    <row r="858" spans="1:107" s="128" customFormat="1" x14ac:dyDescent="0.2">
      <c r="A858" s="184">
        <v>10079</v>
      </c>
      <c r="B858" s="185">
        <v>3</v>
      </c>
      <c r="C858" s="185">
        <f t="shared" si="69"/>
        <v>100790003</v>
      </c>
      <c r="D858" s="128" t="s">
        <v>3944</v>
      </c>
      <c r="E858" s="129" t="s">
        <v>109</v>
      </c>
      <c r="F858" s="129"/>
      <c r="G858" s="129"/>
      <c r="H858" s="129"/>
      <c r="I858" s="114" t="s">
        <v>206</v>
      </c>
      <c r="J858" s="114"/>
      <c r="K858" s="114"/>
      <c r="L858" s="114"/>
      <c r="M858" s="114"/>
      <c r="N858" s="114" t="s">
        <v>163</v>
      </c>
      <c r="O858" s="114" t="s">
        <v>163</v>
      </c>
      <c r="P858" s="114"/>
      <c r="Q858" s="114" t="s">
        <v>2041</v>
      </c>
      <c r="R858" s="114"/>
      <c r="S858" s="114"/>
      <c r="T858" s="114" t="s">
        <v>2307</v>
      </c>
      <c r="U858" s="117" t="s">
        <v>3947</v>
      </c>
      <c r="V858" s="114" t="s">
        <v>109</v>
      </c>
      <c r="W858" s="114" t="s">
        <v>1</v>
      </c>
      <c r="X858" s="114"/>
      <c r="Z858" s="114"/>
      <c r="AA858" s="114"/>
      <c r="AB858" s="114"/>
      <c r="AC858" s="114">
        <v>79</v>
      </c>
      <c r="AD858" s="114"/>
      <c r="AE858" s="130"/>
      <c r="AF858" s="130" t="s">
        <v>2043</v>
      </c>
      <c r="AG858" s="114"/>
      <c r="AH858" s="131">
        <v>100793</v>
      </c>
      <c r="AI858" s="131" t="s">
        <v>264</v>
      </c>
      <c r="AJ858" s="131"/>
      <c r="AK858" s="132" t="s">
        <v>373</v>
      </c>
      <c r="AL858" s="132"/>
      <c r="AM858" s="134"/>
      <c r="AN858" s="134"/>
      <c r="AO858" s="134"/>
      <c r="AP858" s="134"/>
      <c r="AQ858" s="134"/>
      <c r="AR858" s="134"/>
      <c r="AS858" s="134"/>
      <c r="AT858" s="134"/>
      <c r="AU858" s="131"/>
      <c r="AV858" s="131"/>
      <c r="AW858" s="131"/>
      <c r="AX858" s="132"/>
      <c r="AY858" s="132"/>
      <c r="AZ858" s="134"/>
      <c r="BA858" s="134"/>
      <c r="BB858" s="134"/>
      <c r="BC858" s="134"/>
      <c r="BD858" s="134"/>
      <c r="BE858" s="134"/>
      <c r="BF858" s="134"/>
      <c r="BG858" s="134"/>
      <c r="BH858" s="131"/>
      <c r="BI858" s="131"/>
      <c r="BJ858" s="131"/>
      <c r="BK858" s="132"/>
      <c r="BL858" s="132"/>
      <c r="BM858" s="134"/>
      <c r="BN858" s="134"/>
      <c r="BO858" s="134"/>
      <c r="BP858" s="134"/>
      <c r="BQ858" s="134"/>
      <c r="BR858" s="134"/>
      <c r="BS858" s="134"/>
      <c r="BT858" s="134"/>
      <c r="BU858" s="131"/>
      <c r="BV858" s="131"/>
      <c r="BW858" s="131"/>
      <c r="BX858" s="132"/>
      <c r="BY858" s="132"/>
      <c r="BZ858" s="134"/>
      <c r="CA858" s="134"/>
      <c r="CB858" s="134"/>
      <c r="CC858" s="134"/>
      <c r="CD858" s="134"/>
      <c r="CE858" s="134"/>
      <c r="CF858" s="134"/>
      <c r="CG858" s="134"/>
      <c r="CH858" s="127"/>
      <c r="CJ858" s="134"/>
      <c r="CT858" s="135"/>
      <c r="CU858" s="135"/>
      <c r="CV858" s="135"/>
      <c r="CW858" s="135"/>
      <c r="CX858" s="135"/>
      <c r="CY858" s="135"/>
      <c r="CZ858" s="135"/>
      <c r="DA858" s="135"/>
      <c r="DB858" s="135"/>
      <c r="DC858" s="134"/>
    </row>
    <row r="859" spans="1:107" s="128" customFormat="1" ht="12.75" customHeight="1" x14ac:dyDescent="0.2">
      <c r="A859" s="184">
        <v>10079</v>
      </c>
      <c r="B859" s="185">
        <v>4</v>
      </c>
      <c r="C859" s="185">
        <f t="shared" ref="C859:C870" si="70">A859*10000+B859</f>
        <v>100790004</v>
      </c>
      <c r="D859" s="128" t="s">
        <v>3944</v>
      </c>
      <c r="E859" s="129" t="s">
        <v>109</v>
      </c>
      <c r="F859" s="129"/>
      <c r="G859" s="129"/>
      <c r="H859" s="129"/>
      <c r="I859" s="114" t="s">
        <v>206</v>
      </c>
      <c r="J859" s="114"/>
      <c r="K859" s="114"/>
      <c r="L859" s="114"/>
      <c r="M859" s="114"/>
      <c r="N859" s="114" t="s">
        <v>163</v>
      </c>
      <c r="O859" s="114" t="s">
        <v>163</v>
      </c>
      <c r="P859" s="114"/>
      <c r="Q859" s="114" t="s">
        <v>2041</v>
      </c>
      <c r="R859" s="114"/>
      <c r="S859" s="114"/>
      <c r="T859" s="114" t="s">
        <v>2307</v>
      </c>
      <c r="U859" s="117" t="s">
        <v>3948</v>
      </c>
      <c r="V859" s="114" t="s">
        <v>109</v>
      </c>
      <c r="W859" s="114" t="s">
        <v>1</v>
      </c>
      <c r="X859" s="114"/>
      <c r="Z859" s="114"/>
      <c r="AA859" s="114"/>
      <c r="AB859" s="114"/>
      <c r="AC859" s="114">
        <v>79</v>
      </c>
      <c r="AD859" s="114"/>
      <c r="AE859" s="130"/>
      <c r="AF859" s="130" t="s">
        <v>2043</v>
      </c>
      <c r="AG859" s="114"/>
      <c r="AH859" s="131">
        <v>100794</v>
      </c>
      <c r="AI859" s="131" t="s">
        <v>265</v>
      </c>
      <c r="AJ859" s="131"/>
      <c r="AK859" s="132" t="s">
        <v>374</v>
      </c>
      <c r="AL859" s="132"/>
      <c r="AM859" s="134"/>
      <c r="AN859" s="134"/>
      <c r="AO859" s="134"/>
      <c r="AP859" s="134"/>
      <c r="AQ859" s="134"/>
      <c r="AR859" s="134"/>
      <c r="AS859" s="134"/>
      <c r="AT859" s="134"/>
      <c r="AU859" s="131"/>
      <c r="AV859" s="131"/>
      <c r="AW859" s="131"/>
      <c r="AX859" s="132"/>
      <c r="AY859" s="132"/>
      <c r="AZ859" s="134"/>
      <c r="BA859" s="134"/>
      <c r="BB859" s="134"/>
      <c r="BC859" s="134"/>
      <c r="BD859" s="134"/>
      <c r="BE859" s="134"/>
      <c r="BF859" s="134"/>
      <c r="BG859" s="134"/>
      <c r="BH859" s="131"/>
      <c r="BI859" s="131"/>
      <c r="BJ859" s="131"/>
      <c r="BK859" s="132"/>
      <c r="BL859" s="132"/>
      <c r="BM859" s="134"/>
      <c r="BN859" s="134"/>
      <c r="BO859" s="134"/>
      <c r="BP859" s="134"/>
      <c r="BQ859" s="134"/>
      <c r="BR859" s="134"/>
      <c r="BS859" s="134"/>
      <c r="BT859" s="134"/>
      <c r="BU859" s="131"/>
      <c r="BV859" s="131"/>
      <c r="BW859" s="131"/>
      <c r="BX859" s="132"/>
      <c r="BY859" s="132"/>
      <c r="BZ859" s="134"/>
      <c r="CA859" s="134"/>
      <c r="CB859" s="134"/>
      <c r="CC859" s="134"/>
      <c r="CD859" s="134"/>
      <c r="CE859" s="134"/>
      <c r="CF859" s="134"/>
      <c r="CG859" s="134"/>
      <c r="CH859" s="127"/>
      <c r="CJ859" s="134"/>
      <c r="CT859" s="135"/>
      <c r="CU859" s="135"/>
      <c r="CV859" s="135"/>
      <c r="CW859" s="135"/>
      <c r="CX859" s="135"/>
      <c r="CY859" s="135"/>
      <c r="CZ859" s="135"/>
      <c r="DA859" s="135"/>
      <c r="DB859" s="135"/>
      <c r="DC859" s="134"/>
    </row>
    <row r="860" spans="1:107" s="128" customFormat="1" x14ac:dyDescent="0.2">
      <c r="A860" s="184">
        <v>10079</v>
      </c>
      <c r="B860" s="185">
        <v>5</v>
      </c>
      <c r="C860" s="185">
        <f t="shared" si="70"/>
        <v>100790005</v>
      </c>
      <c r="D860" s="128" t="s">
        <v>3944</v>
      </c>
      <c r="E860" s="129" t="s">
        <v>109</v>
      </c>
      <c r="F860" s="129"/>
      <c r="G860" s="129"/>
      <c r="H860" s="129"/>
      <c r="I860" s="114" t="s">
        <v>206</v>
      </c>
      <c r="J860" s="114"/>
      <c r="K860" s="114"/>
      <c r="L860" s="114"/>
      <c r="M860" s="114"/>
      <c r="N860" s="114" t="s">
        <v>163</v>
      </c>
      <c r="O860" s="114" t="s">
        <v>163</v>
      </c>
      <c r="P860" s="114"/>
      <c r="Q860" s="114" t="s">
        <v>2041</v>
      </c>
      <c r="R860" s="114"/>
      <c r="S860" s="114"/>
      <c r="T860" s="114" t="s">
        <v>2307</v>
      </c>
      <c r="U860" s="117" t="s">
        <v>3949</v>
      </c>
      <c r="V860" s="114" t="s">
        <v>109</v>
      </c>
      <c r="W860" s="114" t="s">
        <v>1</v>
      </c>
      <c r="X860" s="114"/>
      <c r="Z860" s="114"/>
      <c r="AA860" s="114"/>
      <c r="AB860" s="114"/>
      <c r="AC860" s="114">
        <v>79</v>
      </c>
      <c r="AD860" s="114"/>
      <c r="AE860" s="130"/>
      <c r="AF860" s="130" t="s">
        <v>2043</v>
      </c>
      <c r="AG860" s="114"/>
      <c r="AH860" s="131">
        <v>100795</v>
      </c>
      <c r="AI860" s="131" t="s">
        <v>266</v>
      </c>
      <c r="AJ860" s="131"/>
      <c r="AK860" s="132" t="s">
        <v>375</v>
      </c>
      <c r="AL860" s="132"/>
      <c r="AM860" s="134"/>
      <c r="AN860" s="134"/>
      <c r="AO860" s="134"/>
      <c r="AP860" s="134"/>
      <c r="AQ860" s="134"/>
      <c r="AR860" s="134"/>
      <c r="AS860" s="134"/>
      <c r="AT860" s="134"/>
      <c r="AU860" s="131"/>
      <c r="AV860" s="131"/>
      <c r="AW860" s="131"/>
      <c r="AX860" s="132"/>
      <c r="AY860" s="132"/>
      <c r="AZ860" s="134"/>
      <c r="BA860" s="134"/>
      <c r="BB860" s="134"/>
      <c r="BC860" s="134"/>
      <c r="BD860" s="134"/>
      <c r="BE860" s="134"/>
      <c r="BF860" s="134"/>
      <c r="BG860" s="134"/>
      <c r="BH860" s="131"/>
      <c r="BI860" s="131"/>
      <c r="BJ860" s="131"/>
      <c r="BK860" s="132"/>
      <c r="BL860" s="132"/>
      <c r="BM860" s="134"/>
      <c r="BN860" s="134"/>
      <c r="BO860" s="134"/>
      <c r="BP860" s="134"/>
      <c r="BQ860" s="134"/>
      <c r="BR860" s="134"/>
      <c r="BS860" s="134"/>
      <c r="BT860" s="134"/>
      <c r="BU860" s="131"/>
      <c r="BV860" s="131"/>
      <c r="BW860" s="131"/>
      <c r="BX860" s="132"/>
      <c r="BY860" s="132"/>
      <c r="BZ860" s="134"/>
      <c r="CA860" s="134"/>
      <c r="CB860" s="134"/>
      <c r="CC860" s="134"/>
      <c r="CD860" s="134"/>
      <c r="CE860" s="134"/>
      <c r="CF860" s="134"/>
      <c r="CG860" s="134"/>
      <c r="CH860" s="127"/>
      <c r="CJ860" s="134"/>
      <c r="CT860" s="135"/>
      <c r="CU860" s="135"/>
      <c r="CV860" s="135"/>
      <c r="CW860" s="135"/>
      <c r="CX860" s="135"/>
      <c r="CY860" s="135"/>
      <c r="CZ860" s="135"/>
      <c r="DA860" s="135"/>
      <c r="DB860" s="135"/>
      <c r="DC860" s="134"/>
    </row>
    <row r="861" spans="1:107" s="57" customFormat="1" x14ac:dyDescent="0.2">
      <c r="A861" s="55">
        <v>10080</v>
      </c>
      <c r="B861" s="56">
        <v>1</v>
      </c>
      <c r="C861" s="56">
        <f t="shared" si="70"/>
        <v>100800001</v>
      </c>
      <c r="D861" s="57" t="s">
        <v>4360</v>
      </c>
      <c r="E861" s="58" t="s">
        <v>109</v>
      </c>
      <c r="F861" s="58"/>
      <c r="G861" s="58"/>
      <c r="H861" s="58"/>
      <c r="I861" s="59" t="s">
        <v>206</v>
      </c>
      <c r="J861" s="59"/>
      <c r="K861" s="59"/>
      <c r="L861" s="59"/>
      <c r="M861" s="59"/>
      <c r="N861" s="59" t="s">
        <v>163</v>
      </c>
      <c r="O861" s="59" t="s">
        <v>163</v>
      </c>
      <c r="P861" s="59"/>
      <c r="Q861" s="59" t="s">
        <v>2041</v>
      </c>
      <c r="R861" s="59"/>
      <c r="S861" s="59"/>
      <c r="T861" s="59" t="s">
        <v>2307</v>
      </c>
      <c r="U861" s="122" t="s">
        <v>4361</v>
      </c>
      <c r="V861" s="59" t="s">
        <v>109</v>
      </c>
      <c r="W861" s="59" t="s">
        <v>1</v>
      </c>
      <c r="X861" s="59"/>
      <c r="Z861" s="59"/>
      <c r="AA861" s="59"/>
      <c r="AB861" s="59"/>
      <c r="AC861" s="59" t="s">
        <v>4366</v>
      </c>
      <c r="AD861" s="59"/>
      <c r="AE861" s="60"/>
      <c r="AF861" s="24" t="s">
        <v>2043</v>
      </c>
      <c r="AG861" s="59"/>
      <c r="AH861" s="61"/>
      <c r="AI861" s="61" t="s">
        <v>176</v>
      </c>
      <c r="AJ861" s="61"/>
      <c r="AK861" s="62" t="s">
        <v>136</v>
      </c>
      <c r="AL861" s="62"/>
      <c r="AM861" s="63"/>
      <c r="AN861" s="63"/>
      <c r="AO861" s="63"/>
      <c r="AP861" s="63"/>
      <c r="AQ861" s="63"/>
      <c r="AR861" s="63"/>
      <c r="AS861" s="63"/>
      <c r="AT861" s="63"/>
      <c r="AU861" s="61"/>
      <c r="AV861" s="61"/>
      <c r="AW861" s="61"/>
      <c r="AX861" s="62"/>
      <c r="AY861" s="62"/>
      <c r="AZ861" s="63"/>
      <c r="BA861" s="63"/>
      <c r="BB861" s="63"/>
      <c r="BC861" s="63"/>
      <c r="BD861" s="63"/>
      <c r="BE861" s="63"/>
      <c r="BF861" s="63"/>
      <c r="BG861" s="63"/>
      <c r="BH861" s="61"/>
      <c r="BI861" s="61"/>
      <c r="BJ861" s="61"/>
      <c r="BK861" s="62"/>
      <c r="BL861" s="62"/>
      <c r="BM861" s="63"/>
      <c r="BN861" s="63"/>
      <c r="BO861" s="63"/>
      <c r="BP861" s="63"/>
      <c r="BQ861" s="63"/>
      <c r="BR861" s="63"/>
      <c r="BS861" s="63"/>
      <c r="BT861" s="63"/>
      <c r="BU861" s="61"/>
      <c r="BV861" s="61"/>
      <c r="BW861" s="61"/>
      <c r="BX861" s="62"/>
      <c r="BY861" s="62"/>
      <c r="BZ861" s="63"/>
      <c r="CA861" s="63"/>
      <c r="CB861" s="63"/>
      <c r="CC861" s="63"/>
      <c r="CD861" s="63"/>
      <c r="CE861" s="63"/>
      <c r="CF861" s="63"/>
      <c r="CG861" s="63"/>
      <c r="CH861" s="64"/>
      <c r="CJ861" s="63"/>
      <c r="CT861" s="65"/>
      <c r="CU861" s="65"/>
      <c r="CV861" s="65"/>
      <c r="CW861" s="65"/>
      <c r="CX861" s="65"/>
      <c r="CY861" s="65"/>
      <c r="CZ861" s="65"/>
      <c r="DA861" s="65"/>
      <c r="DB861" s="65"/>
      <c r="DC861" s="63"/>
    </row>
    <row r="862" spans="1:107" s="57" customFormat="1" x14ac:dyDescent="0.2">
      <c r="A862" s="55">
        <v>10080</v>
      </c>
      <c r="B862" s="56">
        <v>2</v>
      </c>
      <c r="C862" s="56">
        <f t="shared" si="70"/>
        <v>100800002</v>
      </c>
      <c r="D862" s="57" t="s">
        <v>4360</v>
      </c>
      <c r="E862" s="58" t="s">
        <v>109</v>
      </c>
      <c r="F862" s="58"/>
      <c r="G862" s="58"/>
      <c r="H862" s="58"/>
      <c r="I862" s="59" t="s">
        <v>206</v>
      </c>
      <c r="J862" s="59"/>
      <c r="K862" s="59"/>
      <c r="L862" s="59"/>
      <c r="M862" s="59"/>
      <c r="N862" s="59" t="s">
        <v>163</v>
      </c>
      <c r="O862" s="59" t="s">
        <v>163</v>
      </c>
      <c r="P862" s="59"/>
      <c r="Q862" s="59" t="s">
        <v>2041</v>
      </c>
      <c r="R862" s="59"/>
      <c r="S862" s="59"/>
      <c r="T862" s="59" t="s">
        <v>2307</v>
      </c>
      <c r="U862" s="122" t="s">
        <v>4362</v>
      </c>
      <c r="V862" s="59" t="s">
        <v>109</v>
      </c>
      <c r="W862" s="59" t="s">
        <v>1</v>
      </c>
      <c r="X862" s="59"/>
      <c r="Z862" s="59"/>
      <c r="AA862" s="59"/>
      <c r="AB862" s="59"/>
      <c r="AC862" s="59" t="s">
        <v>4366</v>
      </c>
      <c r="AD862" s="59"/>
      <c r="AE862" s="60"/>
      <c r="AF862" s="24" t="s">
        <v>2043</v>
      </c>
      <c r="AG862" s="59"/>
      <c r="AH862" s="61"/>
      <c r="AI862" s="61" t="s">
        <v>260</v>
      </c>
      <c r="AJ862" s="61"/>
      <c r="AK862" s="62" t="s">
        <v>139</v>
      </c>
      <c r="AL862" s="62"/>
      <c r="AM862" s="63"/>
      <c r="AN862" s="63"/>
      <c r="AO862" s="63"/>
      <c r="AP862" s="63"/>
      <c r="AQ862" s="63"/>
      <c r="AR862" s="63"/>
      <c r="AS862" s="63"/>
      <c r="AT862" s="63"/>
      <c r="AU862" s="61"/>
      <c r="AV862" s="61"/>
      <c r="AW862" s="61"/>
      <c r="AX862" s="62"/>
      <c r="AY862" s="62"/>
      <c r="AZ862" s="63"/>
      <c r="BA862" s="63"/>
      <c r="BB862" s="63"/>
      <c r="BC862" s="63"/>
      <c r="BD862" s="63"/>
      <c r="BE862" s="63"/>
      <c r="BF862" s="63"/>
      <c r="BG862" s="63"/>
      <c r="BH862" s="61"/>
      <c r="BI862" s="61"/>
      <c r="BJ862" s="61"/>
      <c r="BK862" s="62"/>
      <c r="BL862" s="62"/>
      <c r="BM862" s="63"/>
      <c r="BN862" s="63"/>
      <c r="BO862" s="63"/>
      <c r="BP862" s="63"/>
      <c r="BQ862" s="63"/>
      <c r="BR862" s="63"/>
      <c r="BS862" s="63"/>
      <c r="BT862" s="63"/>
      <c r="BU862" s="61"/>
      <c r="BV862" s="61"/>
      <c r="BW862" s="61"/>
      <c r="BX862" s="62"/>
      <c r="BY862" s="62"/>
      <c r="BZ862" s="63"/>
      <c r="CA862" s="63"/>
      <c r="CB862" s="63"/>
      <c r="CC862" s="63"/>
      <c r="CD862" s="63"/>
      <c r="CE862" s="63"/>
      <c r="CF862" s="63"/>
      <c r="CG862" s="63"/>
      <c r="CH862" s="64"/>
      <c r="CJ862" s="63"/>
      <c r="CT862" s="65"/>
      <c r="CU862" s="65"/>
      <c r="CV862" s="65"/>
      <c r="CW862" s="65"/>
      <c r="CX862" s="65"/>
      <c r="CY862" s="65"/>
      <c r="CZ862" s="65"/>
      <c r="DA862" s="65"/>
      <c r="DB862" s="65"/>
      <c r="DC862" s="63"/>
    </row>
    <row r="863" spans="1:107" s="57" customFormat="1" x14ac:dyDescent="0.2">
      <c r="A863" s="55">
        <v>10080</v>
      </c>
      <c r="B863" s="56">
        <v>3</v>
      </c>
      <c r="C863" s="56">
        <f t="shared" si="70"/>
        <v>100800003</v>
      </c>
      <c r="D863" s="57" t="s">
        <v>4360</v>
      </c>
      <c r="E863" s="58" t="s">
        <v>109</v>
      </c>
      <c r="F863" s="58"/>
      <c r="G863" s="58"/>
      <c r="H863" s="58"/>
      <c r="I863" s="59" t="s">
        <v>206</v>
      </c>
      <c r="J863" s="59"/>
      <c r="K863" s="59"/>
      <c r="L863" s="59"/>
      <c r="M863" s="59"/>
      <c r="N863" s="59" t="s">
        <v>163</v>
      </c>
      <c r="O863" s="59" t="s">
        <v>163</v>
      </c>
      <c r="P863" s="59"/>
      <c r="Q863" s="59" t="s">
        <v>2041</v>
      </c>
      <c r="R863" s="59"/>
      <c r="S863" s="59"/>
      <c r="T863" s="59" t="s">
        <v>2307</v>
      </c>
      <c r="U863" s="122" t="s">
        <v>4363</v>
      </c>
      <c r="V863" s="59" t="s">
        <v>109</v>
      </c>
      <c r="W863" s="59" t="s">
        <v>1</v>
      </c>
      <c r="X863" s="59"/>
      <c r="Z863" s="59"/>
      <c r="AA863" s="59"/>
      <c r="AB863" s="59"/>
      <c r="AC863" s="59" t="s">
        <v>4366</v>
      </c>
      <c r="AD863" s="59"/>
      <c r="AE863" s="60"/>
      <c r="AF863" s="24" t="s">
        <v>2043</v>
      </c>
      <c r="AG863" s="59"/>
      <c r="AH863" s="61" t="s">
        <v>4367</v>
      </c>
      <c r="AI863" s="61" t="s">
        <v>264</v>
      </c>
      <c r="AJ863" s="61"/>
      <c r="AK863" s="62" t="s">
        <v>373</v>
      </c>
      <c r="AL863" s="62"/>
      <c r="AM863" s="63"/>
      <c r="AN863" s="63"/>
      <c r="AO863" s="63"/>
      <c r="AP863" s="63"/>
      <c r="AQ863" s="63"/>
      <c r="AR863" s="63"/>
      <c r="AS863" s="63"/>
      <c r="AT863" s="63"/>
      <c r="AU863" s="61"/>
      <c r="AV863" s="61"/>
      <c r="AW863" s="61"/>
      <c r="AX863" s="62"/>
      <c r="AY863" s="62"/>
      <c r="AZ863" s="63"/>
      <c r="BA863" s="63"/>
      <c r="BB863" s="63"/>
      <c r="BC863" s="63"/>
      <c r="BD863" s="63"/>
      <c r="BE863" s="63"/>
      <c r="BF863" s="63"/>
      <c r="BG863" s="63"/>
      <c r="BH863" s="61"/>
      <c r="BI863" s="61"/>
      <c r="BJ863" s="61"/>
      <c r="BK863" s="62"/>
      <c r="BL863" s="62"/>
      <c r="BM863" s="63"/>
      <c r="BN863" s="63"/>
      <c r="BO863" s="63"/>
      <c r="BP863" s="63"/>
      <c r="BQ863" s="63"/>
      <c r="BR863" s="63"/>
      <c r="BS863" s="63"/>
      <c r="BT863" s="63"/>
      <c r="BU863" s="61"/>
      <c r="BV863" s="61"/>
      <c r="BW863" s="61"/>
      <c r="BX863" s="62"/>
      <c r="BY863" s="62"/>
      <c r="BZ863" s="63"/>
      <c r="CA863" s="63"/>
      <c r="CB863" s="63"/>
      <c r="CC863" s="63"/>
      <c r="CD863" s="63"/>
      <c r="CE863" s="63"/>
      <c r="CF863" s="63"/>
      <c r="CG863" s="63"/>
      <c r="CH863" s="64"/>
      <c r="CJ863" s="63"/>
      <c r="CT863" s="65"/>
      <c r="CU863" s="65"/>
      <c r="CV863" s="65"/>
      <c r="CW863" s="65"/>
      <c r="CX863" s="65"/>
      <c r="CY863" s="65"/>
      <c r="CZ863" s="65"/>
      <c r="DA863" s="65"/>
      <c r="DB863" s="65"/>
      <c r="DC863" s="63"/>
    </row>
    <row r="864" spans="1:107" s="57" customFormat="1" ht="12.75" customHeight="1" x14ac:dyDescent="0.2">
      <c r="A864" s="55">
        <v>10080</v>
      </c>
      <c r="B864" s="56">
        <v>4</v>
      </c>
      <c r="C864" s="56">
        <f t="shared" si="70"/>
        <v>100800004</v>
      </c>
      <c r="D864" s="57" t="s">
        <v>4360</v>
      </c>
      <c r="E864" s="58" t="s">
        <v>109</v>
      </c>
      <c r="F864" s="58"/>
      <c r="G864" s="58"/>
      <c r="H864" s="58"/>
      <c r="I864" s="59" t="s">
        <v>206</v>
      </c>
      <c r="J864" s="59"/>
      <c r="K864" s="59"/>
      <c r="L864" s="59"/>
      <c r="M864" s="59"/>
      <c r="N864" s="59" t="s">
        <v>163</v>
      </c>
      <c r="O864" s="59" t="s">
        <v>163</v>
      </c>
      <c r="P864" s="59"/>
      <c r="Q864" s="59" t="s">
        <v>2041</v>
      </c>
      <c r="R864" s="59"/>
      <c r="S864" s="59"/>
      <c r="T864" s="59" t="s">
        <v>2307</v>
      </c>
      <c r="U864" s="122" t="s">
        <v>4364</v>
      </c>
      <c r="V864" s="59" t="s">
        <v>109</v>
      </c>
      <c r="W864" s="59" t="s">
        <v>1</v>
      </c>
      <c r="X864" s="59"/>
      <c r="Z864" s="59"/>
      <c r="AA864" s="59"/>
      <c r="AB864" s="59"/>
      <c r="AC864" s="59" t="s">
        <v>4366</v>
      </c>
      <c r="AD864" s="59"/>
      <c r="AE864" s="60"/>
      <c r="AF864" s="24" t="s">
        <v>2043</v>
      </c>
      <c r="AG864" s="59"/>
      <c r="AH864" s="61" t="s">
        <v>4368</v>
      </c>
      <c r="AI864" s="61" t="s">
        <v>265</v>
      </c>
      <c r="AJ864" s="61"/>
      <c r="AK864" s="62" t="s">
        <v>374</v>
      </c>
      <c r="AL864" s="62"/>
      <c r="AM864" s="63"/>
      <c r="AN864" s="63"/>
      <c r="AO864" s="63"/>
      <c r="AP864" s="63"/>
      <c r="AQ864" s="63"/>
      <c r="AR864" s="63"/>
      <c r="AS864" s="63"/>
      <c r="AT864" s="63"/>
      <c r="AU864" s="61"/>
      <c r="AV864" s="61"/>
      <c r="AW864" s="61"/>
      <c r="AX864" s="62"/>
      <c r="AY864" s="62"/>
      <c r="AZ864" s="63"/>
      <c r="BA864" s="63"/>
      <c r="BB864" s="63"/>
      <c r="BC864" s="63"/>
      <c r="BD864" s="63"/>
      <c r="BE864" s="63"/>
      <c r="BF864" s="63"/>
      <c r="BG864" s="63"/>
      <c r="BH864" s="61"/>
      <c r="BI864" s="61"/>
      <c r="BJ864" s="61"/>
      <c r="BK864" s="62"/>
      <c r="BL864" s="62"/>
      <c r="BM864" s="63"/>
      <c r="BN864" s="63"/>
      <c r="BO864" s="63"/>
      <c r="BP864" s="63"/>
      <c r="BQ864" s="63"/>
      <c r="BR864" s="63"/>
      <c r="BS864" s="63"/>
      <c r="BT864" s="63"/>
      <c r="BU864" s="61"/>
      <c r="BV864" s="61"/>
      <c r="BW864" s="61"/>
      <c r="BX864" s="62"/>
      <c r="BY864" s="62"/>
      <c r="BZ864" s="63"/>
      <c r="CA864" s="63"/>
      <c r="CB864" s="63"/>
      <c r="CC864" s="63"/>
      <c r="CD864" s="63"/>
      <c r="CE864" s="63"/>
      <c r="CF864" s="63"/>
      <c r="CG864" s="63"/>
      <c r="CH864" s="64"/>
      <c r="CJ864" s="63"/>
      <c r="CT864" s="65"/>
      <c r="CU864" s="65"/>
      <c r="CV864" s="65"/>
      <c r="CW864" s="65"/>
      <c r="CX864" s="65"/>
      <c r="CY864" s="65"/>
      <c r="CZ864" s="65"/>
      <c r="DA864" s="65"/>
      <c r="DB864" s="65"/>
      <c r="DC864" s="63"/>
    </row>
    <row r="865" spans="1:107" s="57" customFormat="1" x14ac:dyDescent="0.2">
      <c r="A865" s="55">
        <v>10080</v>
      </c>
      <c r="B865" s="56">
        <v>5</v>
      </c>
      <c r="C865" s="56">
        <f t="shared" si="70"/>
        <v>100800005</v>
      </c>
      <c r="D865" s="57" t="s">
        <v>4360</v>
      </c>
      <c r="E865" s="58" t="s">
        <v>109</v>
      </c>
      <c r="F865" s="58"/>
      <c r="G865" s="58"/>
      <c r="H865" s="58"/>
      <c r="I865" s="59" t="s">
        <v>206</v>
      </c>
      <c r="J865" s="59"/>
      <c r="K865" s="59"/>
      <c r="L865" s="59"/>
      <c r="M865" s="59"/>
      <c r="N865" s="59" t="s">
        <v>163</v>
      </c>
      <c r="O865" s="59" t="s">
        <v>163</v>
      </c>
      <c r="P865" s="59"/>
      <c r="Q865" s="59" t="s">
        <v>2041</v>
      </c>
      <c r="R865" s="59"/>
      <c r="S865" s="59"/>
      <c r="T865" s="59" t="s">
        <v>2307</v>
      </c>
      <c r="U865" s="122" t="s">
        <v>4365</v>
      </c>
      <c r="V865" s="59" t="s">
        <v>109</v>
      </c>
      <c r="W865" s="59" t="s">
        <v>1</v>
      </c>
      <c r="X865" s="59"/>
      <c r="Z865" s="59"/>
      <c r="AA865" s="59"/>
      <c r="AB865" s="59"/>
      <c r="AC865" s="59" t="s">
        <v>4366</v>
      </c>
      <c r="AD865" s="59"/>
      <c r="AE865" s="60"/>
      <c r="AF865" s="24" t="s">
        <v>2043</v>
      </c>
      <c r="AG865" s="59"/>
      <c r="AH865" s="61" t="s">
        <v>4369</v>
      </c>
      <c r="AI865" s="61" t="s">
        <v>266</v>
      </c>
      <c r="AJ865" s="61"/>
      <c r="AK865" s="62" t="s">
        <v>375</v>
      </c>
      <c r="AL865" s="62"/>
      <c r="AM865" s="63"/>
      <c r="AN865" s="63"/>
      <c r="AO865" s="63"/>
      <c r="AP865" s="63"/>
      <c r="AQ865" s="63"/>
      <c r="AR865" s="63"/>
      <c r="AS865" s="63"/>
      <c r="AT865" s="63"/>
      <c r="AU865" s="61"/>
      <c r="AV865" s="61"/>
      <c r="AW865" s="61"/>
      <c r="AX865" s="62"/>
      <c r="AY865" s="62"/>
      <c r="AZ865" s="63"/>
      <c r="BA865" s="63"/>
      <c r="BB865" s="63"/>
      <c r="BC865" s="63"/>
      <c r="BD865" s="63"/>
      <c r="BE865" s="63"/>
      <c r="BF865" s="63"/>
      <c r="BG865" s="63"/>
      <c r="BH865" s="61"/>
      <c r="BI865" s="61"/>
      <c r="BJ865" s="61"/>
      <c r="BK865" s="62"/>
      <c r="BL865" s="62"/>
      <c r="BM865" s="63"/>
      <c r="BN865" s="63"/>
      <c r="BO865" s="63"/>
      <c r="BP865" s="63"/>
      <c r="BQ865" s="63"/>
      <c r="BR865" s="63"/>
      <c r="BS865" s="63"/>
      <c r="BT865" s="63"/>
      <c r="BU865" s="61"/>
      <c r="BV865" s="61"/>
      <c r="BW865" s="61"/>
      <c r="BX865" s="62"/>
      <c r="BY865" s="62"/>
      <c r="BZ865" s="63"/>
      <c r="CA865" s="63"/>
      <c r="CB865" s="63"/>
      <c r="CC865" s="63"/>
      <c r="CD865" s="63"/>
      <c r="CE865" s="63"/>
      <c r="CF865" s="63"/>
      <c r="CG865" s="63"/>
      <c r="CH865" s="64"/>
      <c r="CJ865" s="63"/>
      <c r="CT865" s="65"/>
      <c r="CU865" s="65"/>
      <c r="CV865" s="65"/>
      <c r="CW865" s="65"/>
      <c r="CX865" s="65"/>
      <c r="CY865" s="65"/>
      <c r="CZ865" s="65"/>
      <c r="DA865" s="65"/>
      <c r="DB865" s="65"/>
      <c r="DC865" s="63"/>
    </row>
    <row r="866" spans="1:107" s="128" customFormat="1" x14ac:dyDescent="0.2">
      <c r="A866" s="184">
        <v>10081</v>
      </c>
      <c r="B866" s="185">
        <v>1</v>
      </c>
      <c r="C866" s="185">
        <f t="shared" si="70"/>
        <v>100810001</v>
      </c>
      <c r="D866" s="128" t="s">
        <v>4014</v>
      </c>
      <c r="E866" s="129" t="s">
        <v>109</v>
      </c>
      <c r="F866" s="129"/>
      <c r="G866" s="129"/>
      <c r="H866" s="129"/>
      <c r="I866" s="114" t="s">
        <v>206</v>
      </c>
      <c r="J866" s="114"/>
      <c r="K866" s="114"/>
      <c r="L866" s="114"/>
      <c r="M866" s="114"/>
      <c r="N866" s="114" t="s">
        <v>163</v>
      </c>
      <c r="O866" s="114" t="s">
        <v>163</v>
      </c>
      <c r="P866" s="114"/>
      <c r="Q866" s="114" t="s">
        <v>2041</v>
      </c>
      <c r="R866" s="114"/>
      <c r="S866" s="114"/>
      <c r="T866" s="114" t="s">
        <v>2307</v>
      </c>
      <c r="U866" s="117" t="s">
        <v>4015</v>
      </c>
      <c r="V866" s="114" t="s">
        <v>109</v>
      </c>
      <c r="W866" s="114" t="s">
        <v>1</v>
      </c>
      <c r="X866" s="114"/>
      <c r="Z866" s="114"/>
      <c r="AA866" s="114"/>
      <c r="AB866" s="114"/>
      <c r="AC866" s="114">
        <v>81</v>
      </c>
      <c r="AD866" s="114"/>
      <c r="AE866" s="130"/>
      <c r="AF866" s="130" t="s">
        <v>2043</v>
      </c>
      <c r="AG866" s="114"/>
      <c r="AH866" s="131"/>
      <c r="AI866" s="131" t="s">
        <v>176</v>
      </c>
      <c r="AJ866" s="131"/>
      <c r="AK866" s="132" t="s">
        <v>136</v>
      </c>
      <c r="AL866" s="132"/>
      <c r="AM866" s="134"/>
      <c r="AN866" s="134"/>
      <c r="AO866" s="134"/>
      <c r="AP866" s="134"/>
      <c r="AQ866" s="134"/>
      <c r="AR866" s="134"/>
      <c r="AS866" s="134"/>
      <c r="AT866" s="134"/>
      <c r="AU866" s="131"/>
      <c r="AV866" s="131"/>
      <c r="AW866" s="131"/>
      <c r="AX866" s="132"/>
      <c r="AY866" s="132"/>
      <c r="AZ866" s="134"/>
      <c r="BA866" s="134"/>
      <c r="BB866" s="134"/>
      <c r="BC866" s="134"/>
      <c r="BD866" s="134"/>
      <c r="BE866" s="134"/>
      <c r="BF866" s="134"/>
      <c r="BG866" s="134"/>
      <c r="BH866" s="131"/>
      <c r="BI866" s="131"/>
      <c r="BJ866" s="131"/>
      <c r="BK866" s="132"/>
      <c r="BL866" s="132"/>
      <c r="BM866" s="134"/>
      <c r="BN866" s="134"/>
      <c r="BO866" s="134"/>
      <c r="BP866" s="134"/>
      <c r="BQ866" s="134"/>
      <c r="BR866" s="134"/>
      <c r="BS866" s="134"/>
      <c r="BT866" s="134"/>
      <c r="BU866" s="131"/>
      <c r="BV866" s="131"/>
      <c r="BW866" s="131"/>
      <c r="BX866" s="132"/>
      <c r="BY866" s="132"/>
      <c r="BZ866" s="134"/>
      <c r="CA866" s="134"/>
      <c r="CB866" s="134"/>
      <c r="CC866" s="134"/>
      <c r="CD866" s="134"/>
      <c r="CE866" s="134"/>
      <c r="CF866" s="134"/>
      <c r="CG866" s="134"/>
      <c r="CH866" s="127"/>
      <c r="CJ866" s="134"/>
      <c r="CT866" s="135"/>
      <c r="CU866" s="135"/>
      <c r="CV866" s="135"/>
      <c r="CW866" s="135"/>
      <c r="CX866" s="135"/>
      <c r="CY866" s="135"/>
      <c r="CZ866" s="135"/>
      <c r="DA866" s="135"/>
      <c r="DB866" s="135"/>
      <c r="DC866" s="134"/>
    </row>
    <row r="867" spans="1:107" s="128" customFormat="1" x14ac:dyDescent="0.2">
      <c r="A867" s="184">
        <v>10081</v>
      </c>
      <c r="B867" s="185">
        <v>2</v>
      </c>
      <c r="C867" s="185">
        <f t="shared" si="70"/>
        <v>100810002</v>
      </c>
      <c r="D867" s="128" t="s">
        <v>4014</v>
      </c>
      <c r="E867" s="129" t="s">
        <v>109</v>
      </c>
      <c r="F867" s="129"/>
      <c r="G867" s="129"/>
      <c r="H867" s="129"/>
      <c r="I867" s="114" t="s">
        <v>206</v>
      </c>
      <c r="J867" s="114"/>
      <c r="K867" s="114"/>
      <c r="L867" s="114"/>
      <c r="M867" s="114"/>
      <c r="N867" s="114" t="s">
        <v>163</v>
      </c>
      <c r="O867" s="114" t="s">
        <v>163</v>
      </c>
      <c r="P867" s="114"/>
      <c r="Q867" s="114" t="s">
        <v>2041</v>
      </c>
      <c r="R867" s="114"/>
      <c r="S867" s="114"/>
      <c r="T867" s="114" t="s">
        <v>2307</v>
      </c>
      <c r="U867" s="117" t="s">
        <v>4016</v>
      </c>
      <c r="V867" s="114" t="s">
        <v>109</v>
      </c>
      <c r="W867" s="114" t="s">
        <v>1</v>
      </c>
      <c r="X867" s="114"/>
      <c r="Z867" s="114"/>
      <c r="AA867" s="114"/>
      <c r="AB867" s="114"/>
      <c r="AC867" s="114">
        <v>81</v>
      </c>
      <c r="AD867" s="114"/>
      <c r="AE867" s="130"/>
      <c r="AF867" s="130" t="s">
        <v>2043</v>
      </c>
      <c r="AG867" s="114"/>
      <c r="AH867" s="131"/>
      <c r="AI867" s="131" t="s">
        <v>260</v>
      </c>
      <c r="AJ867" s="131"/>
      <c r="AK867" s="132" t="s">
        <v>139</v>
      </c>
      <c r="AL867" s="132"/>
      <c r="AM867" s="134"/>
      <c r="AN867" s="134"/>
      <c r="AO867" s="134"/>
      <c r="AP867" s="134"/>
      <c r="AQ867" s="134"/>
      <c r="AR867" s="134"/>
      <c r="AS867" s="134"/>
      <c r="AT867" s="134"/>
      <c r="AU867" s="131"/>
      <c r="AV867" s="131"/>
      <c r="AW867" s="131"/>
      <c r="AX867" s="132"/>
      <c r="AY867" s="132"/>
      <c r="AZ867" s="134"/>
      <c r="BA867" s="134"/>
      <c r="BB867" s="134"/>
      <c r="BC867" s="134"/>
      <c r="BD867" s="134"/>
      <c r="BE867" s="134"/>
      <c r="BF867" s="134"/>
      <c r="BG867" s="134"/>
      <c r="BH867" s="131"/>
      <c r="BI867" s="131"/>
      <c r="BJ867" s="131"/>
      <c r="BK867" s="132"/>
      <c r="BL867" s="132"/>
      <c r="BM867" s="134"/>
      <c r="BN867" s="134"/>
      <c r="BO867" s="134"/>
      <c r="BP867" s="134"/>
      <c r="BQ867" s="134"/>
      <c r="BR867" s="134"/>
      <c r="BS867" s="134"/>
      <c r="BT867" s="134"/>
      <c r="BU867" s="131"/>
      <c r="BV867" s="131"/>
      <c r="BW867" s="131"/>
      <c r="BX867" s="132"/>
      <c r="BY867" s="132"/>
      <c r="BZ867" s="134"/>
      <c r="CA867" s="134"/>
      <c r="CB867" s="134"/>
      <c r="CC867" s="134"/>
      <c r="CD867" s="134"/>
      <c r="CE867" s="134"/>
      <c r="CF867" s="134"/>
      <c r="CG867" s="134"/>
      <c r="CH867" s="127"/>
      <c r="CJ867" s="134"/>
      <c r="CT867" s="135"/>
      <c r="CU867" s="135"/>
      <c r="CV867" s="135"/>
      <c r="CW867" s="135"/>
      <c r="CX867" s="135"/>
      <c r="CY867" s="135"/>
      <c r="CZ867" s="135"/>
      <c r="DA867" s="135"/>
      <c r="DB867" s="135"/>
      <c r="DC867" s="134"/>
    </row>
    <row r="868" spans="1:107" s="128" customFormat="1" x14ac:dyDescent="0.2">
      <c r="A868" s="184">
        <v>10081</v>
      </c>
      <c r="B868" s="185">
        <v>3</v>
      </c>
      <c r="C868" s="185">
        <f t="shared" si="70"/>
        <v>100810003</v>
      </c>
      <c r="D868" s="128" t="s">
        <v>4014</v>
      </c>
      <c r="E868" s="129" t="s">
        <v>109</v>
      </c>
      <c r="F868" s="129"/>
      <c r="G868" s="129"/>
      <c r="H868" s="129"/>
      <c r="I868" s="114" t="s">
        <v>206</v>
      </c>
      <c r="J868" s="114"/>
      <c r="K868" s="114"/>
      <c r="L868" s="114"/>
      <c r="M868" s="114"/>
      <c r="N868" s="114" t="s">
        <v>163</v>
      </c>
      <c r="O868" s="114" t="s">
        <v>163</v>
      </c>
      <c r="P868" s="114"/>
      <c r="Q868" s="114" t="s">
        <v>2041</v>
      </c>
      <c r="R868" s="114"/>
      <c r="S868" s="114"/>
      <c r="T868" s="114" t="s">
        <v>2307</v>
      </c>
      <c r="U868" s="117" t="s">
        <v>4017</v>
      </c>
      <c r="V868" s="114" t="s">
        <v>109</v>
      </c>
      <c r="W868" s="114" t="s">
        <v>1</v>
      </c>
      <c r="X868" s="114"/>
      <c r="Z868" s="114"/>
      <c r="AA868" s="114"/>
      <c r="AB868" s="114"/>
      <c r="AC868" s="114">
        <v>81</v>
      </c>
      <c r="AD868" s="114"/>
      <c r="AE868" s="130"/>
      <c r="AF868" s="130" t="s">
        <v>2043</v>
      </c>
      <c r="AG868" s="114"/>
      <c r="AH868" s="131">
        <v>100813</v>
      </c>
      <c r="AI868" s="131" t="s">
        <v>264</v>
      </c>
      <c r="AJ868" s="131"/>
      <c r="AK868" s="132" t="s">
        <v>373</v>
      </c>
      <c r="AL868" s="132"/>
      <c r="AM868" s="134"/>
      <c r="AN868" s="134"/>
      <c r="AO868" s="134"/>
      <c r="AP868" s="134"/>
      <c r="AQ868" s="134"/>
      <c r="AR868" s="134"/>
      <c r="AS868" s="134"/>
      <c r="AT868" s="134"/>
      <c r="AU868" s="131"/>
      <c r="AV868" s="131"/>
      <c r="AW868" s="131"/>
      <c r="AX868" s="132"/>
      <c r="AY868" s="132"/>
      <c r="AZ868" s="134"/>
      <c r="BA868" s="134"/>
      <c r="BB868" s="134"/>
      <c r="BC868" s="134"/>
      <c r="BD868" s="134"/>
      <c r="BE868" s="134"/>
      <c r="BF868" s="134"/>
      <c r="BG868" s="134"/>
      <c r="BH868" s="131"/>
      <c r="BI868" s="131"/>
      <c r="BJ868" s="131"/>
      <c r="BK868" s="132"/>
      <c r="BL868" s="132"/>
      <c r="BM868" s="134"/>
      <c r="BN868" s="134"/>
      <c r="BO868" s="134"/>
      <c r="BP868" s="134"/>
      <c r="BQ868" s="134"/>
      <c r="BR868" s="134"/>
      <c r="BS868" s="134"/>
      <c r="BT868" s="134"/>
      <c r="BU868" s="131"/>
      <c r="BV868" s="131"/>
      <c r="BW868" s="131"/>
      <c r="BX868" s="132"/>
      <c r="BY868" s="132"/>
      <c r="BZ868" s="134"/>
      <c r="CA868" s="134"/>
      <c r="CB868" s="134"/>
      <c r="CC868" s="134"/>
      <c r="CD868" s="134"/>
      <c r="CE868" s="134"/>
      <c r="CF868" s="134"/>
      <c r="CG868" s="134"/>
      <c r="CH868" s="127"/>
      <c r="CJ868" s="134"/>
      <c r="CT868" s="135"/>
      <c r="CU868" s="135"/>
      <c r="CV868" s="135"/>
      <c r="CW868" s="135"/>
      <c r="CX868" s="135"/>
      <c r="CY868" s="135"/>
      <c r="CZ868" s="135"/>
      <c r="DA868" s="135"/>
      <c r="DB868" s="135"/>
      <c r="DC868" s="134"/>
    </row>
    <row r="869" spans="1:107" s="128" customFormat="1" ht="12.75" customHeight="1" x14ac:dyDescent="0.2">
      <c r="A869" s="184">
        <v>10081</v>
      </c>
      <c r="B869" s="185">
        <v>4</v>
      </c>
      <c r="C869" s="185">
        <f t="shared" si="70"/>
        <v>100810004</v>
      </c>
      <c r="D869" s="128" t="s">
        <v>4014</v>
      </c>
      <c r="E869" s="129" t="s">
        <v>109</v>
      </c>
      <c r="F869" s="129"/>
      <c r="G869" s="129"/>
      <c r="H869" s="129"/>
      <c r="I869" s="114" t="s">
        <v>206</v>
      </c>
      <c r="J869" s="114"/>
      <c r="K869" s="114"/>
      <c r="L869" s="114"/>
      <c r="M869" s="114"/>
      <c r="N869" s="114" t="s">
        <v>163</v>
      </c>
      <c r="O869" s="114" t="s">
        <v>163</v>
      </c>
      <c r="P869" s="114"/>
      <c r="Q869" s="114" t="s">
        <v>2041</v>
      </c>
      <c r="R869" s="114"/>
      <c r="S869" s="114"/>
      <c r="T869" s="114" t="s">
        <v>2307</v>
      </c>
      <c r="U869" s="117" t="s">
        <v>4018</v>
      </c>
      <c r="V869" s="114" t="s">
        <v>109</v>
      </c>
      <c r="W869" s="114" t="s">
        <v>1</v>
      </c>
      <c r="X869" s="114"/>
      <c r="Z869" s="114"/>
      <c r="AA869" s="114"/>
      <c r="AB869" s="114"/>
      <c r="AC869" s="114">
        <v>81</v>
      </c>
      <c r="AD869" s="114"/>
      <c r="AE869" s="130"/>
      <c r="AF869" s="130" t="s">
        <v>2043</v>
      </c>
      <c r="AG869" s="114"/>
      <c r="AH869" s="131">
        <v>100814</v>
      </c>
      <c r="AI869" s="131" t="s">
        <v>265</v>
      </c>
      <c r="AJ869" s="131"/>
      <c r="AK869" s="132" t="s">
        <v>374</v>
      </c>
      <c r="AL869" s="132"/>
      <c r="AM869" s="134"/>
      <c r="AN869" s="134"/>
      <c r="AO869" s="134"/>
      <c r="AP869" s="134"/>
      <c r="AQ869" s="134"/>
      <c r="AR869" s="134"/>
      <c r="AS869" s="134"/>
      <c r="AT869" s="134"/>
      <c r="AU869" s="131"/>
      <c r="AV869" s="131"/>
      <c r="AW869" s="131"/>
      <c r="AX869" s="132"/>
      <c r="AY869" s="132"/>
      <c r="AZ869" s="134"/>
      <c r="BA869" s="134"/>
      <c r="BB869" s="134"/>
      <c r="BC869" s="134"/>
      <c r="BD869" s="134"/>
      <c r="BE869" s="134"/>
      <c r="BF869" s="134"/>
      <c r="BG869" s="134"/>
      <c r="BH869" s="131"/>
      <c r="BI869" s="131"/>
      <c r="BJ869" s="131"/>
      <c r="BK869" s="132"/>
      <c r="BL869" s="132"/>
      <c r="BM869" s="134"/>
      <c r="BN869" s="134"/>
      <c r="BO869" s="134"/>
      <c r="BP869" s="134"/>
      <c r="BQ869" s="134"/>
      <c r="BR869" s="134"/>
      <c r="BS869" s="134"/>
      <c r="BT869" s="134"/>
      <c r="BU869" s="131"/>
      <c r="BV869" s="131"/>
      <c r="BW869" s="131"/>
      <c r="BX869" s="132"/>
      <c r="BY869" s="132"/>
      <c r="BZ869" s="134"/>
      <c r="CA869" s="134"/>
      <c r="CB869" s="134"/>
      <c r="CC869" s="134"/>
      <c r="CD869" s="134"/>
      <c r="CE869" s="134"/>
      <c r="CF869" s="134"/>
      <c r="CG869" s="134"/>
      <c r="CH869" s="127"/>
      <c r="CJ869" s="134"/>
      <c r="CT869" s="135"/>
      <c r="CU869" s="135"/>
      <c r="CV869" s="135"/>
      <c r="CW869" s="135"/>
      <c r="CX869" s="135"/>
      <c r="CY869" s="135"/>
      <c r="CZ869" s="135"/>
      <c r="DA869" s="135"/>
      <c r="DB869" s="135"/>
      <c r="DC869" s="134"/>
    </row>
    <row r="870" spans="1:107" s="128" customFormat="1" x14ac:dyDescent="0.2">
      <c r="A870" s="184">
        <v>10081</v>
      </c>
      <c r="B870" s="185">
        <v>5</v>
      </c>
      <c r="C870" s="185">
        <f t="shared" si="70"/>
        <v>100810005</v>
      </c>
      <c r="D870" s="128" t="s">
        <v>4014</v>
      </c>
      <c r="E870" s="129" t="s">
        <v>109</v>
      </c>
      <c r="F870" s="129"/>
      <c r="G870" s="129"/>
      <c r="H870" s="129"/>
      <c r="I870" s="114" t="s">
        <v>206</v>
      </c>
      <c r="J870" s="114"/>
      <c r="K870" s="114"/>
      <c r="L870" s="114"/>
      <c r="M870" s="114"/>
      <c r="N870" s="114" t="s">
        <v>163</v>
      </c>
      <c r="O870" s="114" t="s">
        <v>163</v>
      </c>
      <c r="P870" s="114"/>
      <c r="Q870" s="114" t="s">
        <v>2041</v>
      </c>
      <c r="R870" s="114"/>
      <c r="S870" s="114"/>
      <c r="T870" s="114" t="s">
        <v>2307</v>
      </c>
      <c r="U870" s="117" t="s">
        <v>4019</v>
      </c>
      <c r="V870" s="114" t="s">
        <v>109</v>
      </c>
      <c r="W870" s="114" t="s">
        <v>1</v>
      </c>
      <c r="X870" s="114"/>
      <c r="Z870" s="114"/>
      <c r="AA870" s="114"/>
      <c r="AB870" s="114"/>
      <c r="AC870" s="114">
        <v>81</v>
      </c>
      <c r="AD870" s="114"/>
      <c r="AE870" s="130"/>
      <c r="AF870" s="130" t="s">
        <v>2043</v>
      </c>
      <c r="AG870" s="114"/>
      <c r="AH870" s="131">
        <v>100815</v>
      </c>
      <c r="AI870" s="131" t="s">
        <v>266</v>
      </c>
      <c r="AJ870" s="131"/>
      <c r="AK870" s="132" t="s">
        <v>375</v>
      </c>
      <c r="AL870" s="132"/>
      <c r="AM870" s="134"/>
      <c r="AN870" s="134"/>
      <c r="AO870" s="134"/>
      <c r="AP870" s="134"/>
      <c r="AQ870" s="134"/>
      <c r="AR870" s="134"/>
      <c r="AS870" s="134"/>
      <c r="AT870" s="134"/>
      <c r="AU870" s="131"/>
      <c r="AV870" s="131"/>
      <c r="AW870" s="131"/>
      <c r="AX870" s="132"/>
      <c r="AY870" s="132"/>
      <c r="AZ870" s="134"/>
      <c r="BA870" s="134"/>
      <c r="BB870" s="134"/>
      <c r="BC870" s="134"/>
      <c r="BD870" s="134"/>
      <c r="BE870" s="134"/>
      <c r="BF870" s="134"/>
      <c r="BG870" s="134"/>
      <c r="BH870" s="131"/>
      <c r="BI870" s="131"/>
      <c r="BJ870" s="131"/>
      <c r="BK870" s="132"/>
      <c r="BL870" s="132"/>
      <c r="BM870" s="134"/>
      <c r="BN870" s="134"/>
      <c r="BO870" s="134"/>
      <c r="BP870" s="134"/>
      <c r="BQ870" s="134"/>
      <c r="BR870" s="134"/>
      <c r="BS870" s="134"/>
      <c r="BT870" s="134"/>
      <c r="BU870" s="131"/>
      <c r="BV870" s="131"/>
      <c r="BW870" s="131"/>
      <c r="BX870" s="132"/>
      <c r="BY870" s="132"/>
      <c r="BZ870" s="134"/>
      <c r="CA870" s="134"/>
      <c r="CB870" s="134"/>
      <c r="CC870" s="134"/>
      <c r="CD870" s="134"/>
      <c r="CE870" s="134"/>
      <c r="CF870" s="134"/>
      <c r="CG870" s="134"/>
      <c r="CH870" s="127"/>
      <c r="CJ870" s="134"/>
      <c r="CT870" s="135"/>
      <c r="CU870" s="135"/>
      <c r="CV870" s="135"/>
      <c r="CW870" s="135"/>
      <c r="CX870" s="135"/>
      <c r="CY870" s="135"/>
      <c r="CZ870" s="135"/>
      <c r="DA870" s="135"/>
      <c r="DB870" s="135"/>
      <c r="DC870" s="134"/>
    </row>
    <row r="871" spans="1:107" s="128" customFormat="1" x14ac:dyDescent="0.2">
      <c r="A871" s="184">
        <v>10082</v>
      </c>
      <c r="B871" s="185">
        <v>1</v>
      </c>
      <c r="C871" s="185">
        <f t="shared" ref="C871:C880" si="71">A871*10000+B871</f>
        <v>100820001</v>
      </c>
      <c r="D871" s="128" t="s">
        <v>4100</v>
      </c>
      <c r="E871" s="129" t="s">
        <v>109</v>
      </c>
      <c r="F871" s="129"/>
      <c r="G871" s="129"/>
      <c r="H871" s="129"/>
      <c r="I871" s="114" t="s">
        <v>206</v>
      </c>
      <c r="J871" s="114"/>
      <c r="K871" s="114"/>
      <c r="L871" s="114"/>
      <c r="M871" s="114"/>
      <c r="N871" s="114" t="s">
        <v>163</v>
      </c>
      <c r="O871" s="114" t="s">
        <v>163</v>
      </c>
      <c r="P871" s="114"/>
      <c r="Q871" s="114" t="s">
        <v>2041</v>
      </c>
      <c r="R871" s="114"/>
      <c r="S871" s="114"/>
      <c r="T871" s="114" t="s">
        <v>2307</v>
      </c>
      <c r="U871" s="117" t="s">
        <v>4101</v>
      </c>
      <c r="V871" s="114" t="s">
        <v>109</v>
      </c>
      <c r="W871" s="114" t="s">
        <v>1</v>
      </c>
      <c r="X871" s="114"/>
      <c r="Z871" s="114"/>
      <c r="AA871" s="114"/>
      <c r="AB871" s="114"/>
      <c r="AC871" s="114">
        <v>82</v>
      </c>
      <c r="AD871" s="114"/>
      <c r="AE871" s="130"/>
      <c r="AF871" s="130" t="s">
        <v>2043</v>
      </c>
      <c r="AG871" s="114"/>
      <c r="AH871" s="131"/>
      <c r="AI871" s="131" t="s">
        <v>176</v>
      </c>
      <c r="AJ871" s="131"/>
      <c r="AK871" s="132" t="s">
        <v>136</v>
      </c>
      <c r="AL871" s="132"/>
      <c r="AM871" s="134"/>
      <c r="AN871" s="134"/>
      <c r="AO871" s="134"/>
      <c r="AP871" s="134"/>
      <c r="AQ871" s="134"/>
      <c r="AR871" s="134"/>
      <c r="AS871" s="134"/>
      <c r="AT871" s="134"/>
      <c r="AU871" s="131"/>
      <c r="AV871" s="131"/>
      <c r="AW871" s="131"/>
      <c r="AX871" s="132"/>
      <c r="AY871" s="132"/>
      <c r="AZ871" s="134"/>
      <c r="BA871" s="134"/>
      <c r="BB871" s="134"/>
      <c r="BC871" s="134"/>
      <c r="BD871" s="134"/>
      <c r="BE871" s="134"/>
      <c r="BF871" s="134"/>
      <c r="BG871" s="134"/>
      <c r="BH871" s="131"/>
      <c r="BI871" s="131"/>
      <c r="BJ871" s="131"/>
      <c r="BK871" s="132"/>
      <c r="BL871" s="132"/>
      <c r="BM871" s="134"/>
      <c r="BN871" s="134"/>
      <c r="BO871" s="134"/>
      <c r="BP871" s="134"/>
      <c r="BQ871" s="134"/>
      <c r="BR871" s="134"/>
      <c r="BS871" s="134"/>
      <c r="BT871" s="134"/>
      <c r="BU871" s="131"/>
      <c r="BV871" s="131"/>
      <c r="BW871" s="131"/>
      <c r="BX871" s="132"/>
      <c r="BY871" s="132"/>
      <c r="BZ871" s="134"/>
      <c r="CA871" s="134"/>
      <c r="CB871" s="134"/>
      <c r="CC871" s="134"/>
      <c r="CD871" s="134"/>
      <c r="CE871" s="134"/>
      <c r="CF871" s="134"/>
      <c r="CG871" s="134"/>
      <c r="CH871" s="127"/>
      <c r="CJ871" s="134"/>
      <c r="CT871" s="135"/>
      <c r="CU871" s="135"/>
      <c r="CV871" s="135"/>
      <c r="CW871" s="135"/>
      <c r="CX871" s="135"/>
      <c r="CY871" s="135"/>
      <c r="CZ871" s="135"/>
      <c r="DA871" s="135"/>
      <c r="DB871" s="135"/>
      <c r="DC871" s="134"/>
    </row>
    <row r="872" spans="1:107" s="128" customFormat="1" x14ac:dyDescent="0.2">
      <c r="A872" s="184">
        <v>10082</v>
      </c>
      <c r="B872" s="185">
        <v>2</v>
      </c>
      <c r="C872" s="185">
        <f t="shared" si="71"/>
        <v>100820002</v>
      </c>
      <c r="D872" s="128" t="s">
        <v>4100</v>
      </c>
      <c r="E872" s="129" t="s">
        <v>109</v>
      </c>
      <c r="F872" s="129"/>
      <c r="G872" s="129"/>
      <c r="H872" s="129"/>
      <c r="I872" s="114" t="s">
        <v>206</v>
      </c>
      <c r="J872" s="114"/>
      <c r="K872" s="114"/>
      <c r="L872" s="114"/>
      <c r="M872" s="114"/>
      <c r="N872" s="114" t="s">
        <v>163</v>
      </c>
      <c r="O872" s="114" t="s">
        <v>163</v>
      </c>
      <c r="P872" s="114"/>
      <c r="Q872" s="114" t="s">
        <v>2041</v>
      </c>
      <c r="R872" s="114"/>
      <c r="S872" s="114"/>
      <c r="T872" s="114" t="s">
        <v>2307</v>
      </c>
      <c r="U872" s="117" t="s">
        <v>4102</v>
      </c>
      <c r="V872" s="114" t="s">
        <v>109</v>
      </c>
      <c r="W872" s="114" t="s">
        <v>1</v>
      </c>
      <c r="X872" s="114"/>
      <c r="Z872" s="114"/>
      <c r="AA872" s="114"/>
      <c r="AB872" s="114"/>
      <c r="AC872" s="114">
        <v>82</v>
      </c>
      <c r="AD872" s="114"/>
      <c r="AE872" s="130"/>
      <c r="AF872" s="130" t="s">
        <v>2043</v>
      </c>
      <c r="AG872" s="114"/>
      <c r="AH872" s="131"/>
      <c r="AI872" s="131" t="s">
        <v>260</v>
      </c>
      <c r="AJ872" s="131"/>
      <c r="AK872" s="132" t="s">
        <v>139</v>
      </c>
      <c r="AL872" s="132"/>
      <c r="AM872" s="134"/>
      <c r="AN872" s="134"/>
      <c r="AO872" s="134"/>
      <c r="AP872" s="134"/>
      <c r="AQ872" s="134"/>
      <c r="AR872" s="134"/>
      <c r="AS872" s="134"/>
      <c r="AT872" s="134"/>
      <c r="AU872" s="131"/>
      <c r="AV872" s="131"/>
      <c r="AW872" s="131"/>
      <c r="AX872" s="132"/>
      <c r="AY872" s="132"/>
      <c r="AZ872" s="134"/>
      <c r="BA872" s="134"/>
      <c r="BB872" s="134"/>
      <c r="BC872" s="134"/>
      <c r="BD872" s="134"/>
      <c r="BE872" s="134"/>
      <c r="BF872" s="134"/>
      <c r="BG872" s="134"/>
      <c r="BH872" s="131"/>
      <c r="BI872" s="131"/>
      <c r="BJ872" s="131"/>
      <c r="BK872" s="132"/>
      <c r="BL872" s="132"/>
      <c r="BM872" s="134"/>
      <c r="BN872" s="134"/>
      <c r="BO872" s="134"/>
      <c r="BP872" s="134"/>
      <c r="BQ872" s="134"/>
      <c r="BR872" s="134"/>
      <c r="BS872" s="134"/>
      <c r="BT872" s="134"/>
      <c r="BU872" s="131"/>
      <c r="BV872" s="131"/>
      <c r="BW872" s="131"/>
      <c r="BX872" s="132"/>
      <c r="BY872" s="132"/>
      <c r="BZ872" s="134"/>
      <c r="CA872" s="134"/>
      <c r="CB872" s="134"/>
      <c r="CC872" s="134"/>
      <c r="CD872" s="134"/>
      <c r="CE872" s="134"/>
      <c r="CF872" s="134"/>
      <c r="CG872" s="134"/>
      <c r="CH872" s="127"/>
      <c r="CJ872" s="134"/>
      <c r="CT872" s="135"/>
      <c r="CU872" s="135"/>
      <c r="CV872" s="135"/>
      <c r="CW872" s="135"/>
      <c r="CX872" s="135"/>
      <c r="CY872" s="135"/>
      <c r="CZ872" s="135"/>
      <c r="DA872" s="135"/>
      <c r="DB872" s="135"/>
      <c r="DC872" s="134"/>
    </row>
    <row r="873" spans="1:107" s="128" customFormat="1" x14ac:dyDescent="0.2">
      <c r="A873" s="184">
        <v>10082</v>
      </c>
      <c r="B873" s="185">
        <v>3</v>
      </c>
      <c r="C873" s="185">
        <f t="shared" si="71"/>
        <v>100820003</v>
      </c>
      <c r="D873" s="128" t="s">
        <v>4100</v>
      </c>
      <c r="E873" s="129" t="s">
        <v>109</v>
      </c>
      <c r="F873" s="129"/>
      <c r="G873" s="129"/>
      <c r="H873" s="129"/>
      <c r="I873" s="114" t="s">
        <v>206</v>
      </c>
      <c r="J873" s="114"/>
      <c r="K873" s="114"/>
      <c r="L873" s="114"/>
      <c r="M873" s="114"/>
      <c r="N873" s="114" t="s">
        <v>163</v>
      </c>
      <c r="O873" s="114" t="s">
        <v>163</v>
      </c>
      <c r="P873" s="114"/>
      <c r="Q873" s="114" t="s">
        <v>2041</v>
      </c>
      <c r="R873" s="114"/>
      <c r="S873" s="114"/>
      <c r="T873" s="114" t="s">
        <v>2307</v>
      </c>
      <c r="U873" s="117" t="s">
        <v>4103</v>
      </c>
      <c r="V873" s="114" t="s">
        <v>109</v>
      </c>
      <c r="W873" s="114" t="s">
        <v>1</v>
      </c>
      <c r="X873" s="114"/>
      <c r="Z873" s="114"/>
      <c r="AA873" s="114"/>
      <c r="AB873" s="114"/>
      <c r="AC873" s="114">
        <v>82</v>
      </c>
      <c r="AD873" s="114"/>
      <c r="AE873" s="130"/>
      <c r="AF873" s="130" t="s">
        <v>2043</v>
      </c>
      <c r="AG873" s="114"/>
      <c r="AH873" s="131">
        <v>100823</v>
      </c>
      <c r="AI873" s="131" t="s">
        <v>264</v>
      </c>
      <c r="AJ873" s="131"/>
      <c r="AK873" s="132" t="s">
        <v>373</v>
      </c>
      <c r="AL873" s="132"/>
      <c r="AM873" s="134"/>
      <c r="AN873" s="134"/>
      <c r="AO873" s="134"/>
      <c r="AP873" s="134"/>
      <c r="AQ873" s="134"/>
      <c r="AR873" s="134"/>
      <c r="AS873" s="134"/>
      <c r="AT873" s="134"/>
      <c r="AU873" s="131"/>
      <c r="AV873" s="131"/>
      <c r="AW873" s="131"/>
      <c r="AX873" s="132"/>
      <c r="AY873" s="132"/>
      <c r="AZ873" s="134"/>
      <c r="BA873" s="134"/>
      <c r="BB873" s="134"/>
      <c r="BC873" s="134"/>
      <c r="BD873" s="134"/>
      <c r="BE873" s="134"/>
      <c r="BF873" s="134"/>
      <c r="BG873" s="134"/>
      <c r="BH873" s="131"/>
      <c r="BI873" s="131"/>
      <c r="BJ873" s="131"/>
      <c r="BK873" s="132"/>
      <c r="BL873" s="132"/>
      <c r="BM873" s="134"/>
      <c r="BN873" s="134"/>
      <c r="BO873" s="134"/>
      <c r="BP873" s="134"/>
      <c r="BQ873" s="134"/>
      <c r="BR873" s="134"/>
      <c r="BS873" s="134"/>
      <c r="BT873" s="134"/>
      <c r="BU873" s="131"/>
      <c r="BV873" s="131"/>
      <c r="BW873" s="131"/>
      <c r="BX873" s="132"/>
      <c r="BY873" s="132"/>
      <c r="BZ873" s="134"/>
      <c r="CA873" s="134"/>
      <c r="CB873" s="134"/>
      <c r="CC873" s="134"/>
      <c r="CD873" s="134"/>
      <c r="CE873" s="134"/>
      <c r="CF873" s="134"/>
      <c r="CG873" s="134"/>
      <c r="CH873" s="127"/>
      <c r="CJ873" s="134"/>
      <c r="CT873" s="135"/>
      <c r="CU873" s="135"/>
      <c r="CV873" s="135"/>
      <c r="CW873" s="135"/>
      <c r="CX873" s="135"/>
      <c r="CY873" s="135"/>
      <c r="CZ873" s="135"/>
      <c r="DA873" s="135"/>
      <c r="DB873" s="135"/>
      <c r="DC873" s="134"/>
    </row>
    <row r="874" spans="1:107" s="128" customFormat="1" ht="12.75" customHeight="1" x14ac:dyDescent="0.2">
      <c r="A874" s="184">
        <v>10082</v>
      </c>
      <c r="B874" s="185">
        <v>4</v>
      </c>
      <c r="C874" s="185">
        <f t="shared" si="71"/>
        <v>100820004</v>
      </c>
      <c r="D874" s="128" t="s">
        <v>4100</v>
      </c>
      <c r="E874" s="129" t="s">
        <v>109</v>
      </c>
      <c r="F874" s="129"/>
      <c r="G874" s="129"/>
      <c r="H874" s="129"/>
      <c r="I874" s="114" t="s">
        <v>206</v>
      </c>
      <c r="J874" s="114"/>
      <c r="K874" s="114"/>
      <c r="L874" s="114"/>
      <c r="M874" s="114"/>
      <c r="N874" s="114" t="s">
        <v>163</v>
      </c>
      <c r="O874" s="114" t="s">
        <v>163</v>
      </c>
      <c r="P874" s="114"/>
      <c r="Q874" s="114" t="s">
        <v>2041</v>
      </c>
      <c r="R874" s="114"/>
      <c r="S874" s="114"/>
      <c r="T874" s="114" t="s">
        <v>2307</v>
      </c>
      <c r="U874" s="117" t="s">
        <v>4104</v>
      </c>
      <c r="V874" s="114" t="s">
        <v>109</v>
      </c>
      <c r="W874" s="114" t="s">
        <v>1</v>
      </c>
      <c r="X874" s="114"/>
      <c r="Z874" s="114"/>
      <c r="AA874" s="114"/>
      <c r="AB874" s="114"/>
      <c r="AC874" s="114">
        <v>82</v>
      </c>
      <c r="AD874" s="114"/>
      <c r="AE874" s="130"/>
      <c r="AF874" s="130" t="s">
        <v>2043</v>
      </c>
      <c r="AG874" s="114"/>
      <c r="AH874" s="131">
        <v>100824</v>
      </c>
      <c r="AI874" s="131" t="s">
        <v>265</v>
      </c>
      <c r="AJ874" s="131"/>
      <c r="AK874" s="132" t="s">
        <v>374</v>
      </c>
      <c r="AL874" s="132"/>
      <c r="AM874" s="134"/>
      <c r="AN874" s="134"/>
      <c r="AO874" s="134"/>
      <c r="AP874" s="134"/>
      <c r="AQ874" s="134"/>
      <c r="AR874" s="134"/>
      <c r="AS874" s="134"/>
      <c r="AT874" s="134"/>
      <c r="AU874" s="131"/>
      <c r="AV874" s="131"/>
      <c r="AW874" s="131"/>
      <c r="AX874" s="132"/>
      <c r="AY874" s="132"/>
      <c r="AZ874" s="134"/>
      <c r="BA874" s="134"/>
      <c r="BB874" s="134"/>
      <c r="BC874" s="134"/>
      <c r="BD874" s="134"/>
      <c r="BE874" s="134"/>
      <c r="BF874" s="134"/>
      <c r="BG874" s="134"/>
      <c r="BH874" s="131"/>
      <c r="BI874" s="131"/>
      <c r="BJ874" s="131"/>
      <c r="BK874" s="132"/>
      <c r="BL874" s="132"/>
      <c r="BM874" s="134"/>
      <c r="BN874" s="134"/>
      <c r="BO874" s="134"/>
      <c r="BP874" s="134"/>
      <c r="BQ874" s="134"/>
      <c r="BR874" s="134"/>
      <c r="BS874" s="134"/>
      <c r="BT874" s="134"/>
      <c r="BU874" s="131"/>
      <c r="BV874" s="131"/>
      <c r="BW874" s="131"/>
      <c r="BX874" s="132"/>
      <c r="BY874" s="132"/>
      <c r="BZ874" s="134"/>
      <c r="CA874" s="134"/>
      <c r="CB874" s="134"/>
      <c r="CC874" s="134"/>
      <c r="CD874" s="134"/>
      <c r="CE874" s="134"/>
      <c r="CF874" s="134"/>
      <c r="CG874" s="134"/>
      <c r="CH874" s="127"/>
      <c r="CJ874" s="134"/>
      <c r="CT874" s="135"/>
      <c r="CU874" s="135"/>
      <c r="CV874" s="135"/>
      <c r="CW874" s="135"/>
      <c r="CX874" s="135"/>
      <c r="CY874" s="135"/>
      <c r="CZ874" s="135"/>
      <c r="DA874" s="135"/>
      <c r="DB874" s="135"/>
      <c r="DC874" s="134"/>
    </row>
    <row r="875" spans="1:107" s="128" customFormat="1" x14ac:dyDescent="0.2">
      <c r="A875" s="184">
        <v>10082</v>
      </c>
      <c r="B875" s="185">
        <v>5</v>
      </c>
      <c r="C875" s="185">
        <f t="shared" si="71"/>
        <v>100820005</v>
      </c>
      <c r="D875" s="128" t="s">
        <v>4100</v>
      </c>
      <c r="E875" s="129" t="s">
        <v>109</v>
      </c>
      <c r="F875" s="129"/>
      <c r="G875" s="129"/>
      <c r="H875" s="129"/>
      <c r="I875" s="114" t="s">
        <v>206</v>
      </c>
      <c r="J875" s="114"/>
      <c r="K875" s="114"/>
      <c r="L875" s="114"/>
      <c r="M875" s="114"/>
      <c r="N875" s="114" t="s">
        <v>163</v>
      </c>
      <c r="O875" s="114" t="s">
        <v>163</v>
      </c>
      <c r="P875" s="114"/>
      <c r="Q875" s="114" t="s">
        <v>2041</v>
      </c>
      <c r="R875" s="114"/>
      <c r="S875" s="114"/>
      <c r="T875" s="114" t="s">
        <v>2307</v>
      </c>
      <c r="U875" s="117" t="s">
        <v>4105</v>
      </c>
      <c r="V875" s="114" t="s">
        <v>109</v>
      </c>
      <c r="W875" s="114" t="s">
        <v>1</v>
      </c>
      <c r="X875" s="114"/>
      <c r="Z875" s="114"/>
      <c r="AA875" s="114"/>
      <c r="AB875" s="114"/>
      <c r="AC875" s="114">
        <v>82</v>
      </c>
      <c r="AD875" s="114"/>
      <c r="AE875" s="130"/>
      <c r="AF875" s="130" t="s">
        <v>2043</v>
      </c>
      <c r="AG875" s="114"/>
      <c r="AH875" s="131">
        <v>100825</v>
      </c>
      <c r="AI875" s="131" t="s">
        <v>266</v>
      </c>
      <c r="AJ875" s="131"/>
      <c r="AK875" s="132" t="s">
        <v>375</v>
      </c>
      <c r="AL875" s="132"/>
      <c r="AM875" s="134"/>
      <c r="AN875" s="134"/>
      <c r="AO875" s="134"/>
      <c r="AP875" s="134"/>
      <c r="AQ875" s="134"/>
      <c r="AR875" s="134"/>
      <c r="AS875" s="134"/>
      <c r="AT875" s="134"/>
      <c r="AU875" s="131"/>
      <c r="AV875" s="131"/>
      <c r="AW875" s="131"/>
      <c r="AX875" s="132"/>
      <c r="AY875" s="132"/>
      <c r="AZ875" s="134"/>
      <c r="BA875" s="134"/>
      <c r="BB875" s="134"/>
      <c r="BC875" s="134"/>
      <c r="BD875" s="134"/>
      <c r="BE875" s="134"/>
      <c r="BF875" s="134"/>
      <c r="BG875" s="134"/>
      <c r="BH875" s="131"/>
      <c r="BI875" s="131"/>
      <c r="BJ875" s="131"/>
      <c r="BK875" s="132"/>
      <c r="BL875" s="132"/>
      <c r="BM875" s="134"/>
      <c r="BN875" s="134"/>
      <c r="BO875" s="134"/>
      <c r="BP875" s="134"/>
      <c r="BQ875" s="134"/>
      <c r="BR875" s="134"/>
      <c r="BS875" s="134"/>
      <c r="BT875" s="134"/>
      <c r="BU875" s="131"/>
      <c r="BV875" s="131"/>
      <c r="BW875" s="131"/>
      <c r="BX875" s="132"/>
      <c r="BY875" s="132"/>
      <c r="BZ875" s="134"/>
      <c r="CA875" s="134"/>
      <c r="CB875" s="134"/>
      <c r="CC875" s="134"/>
      <c r="CD875" s="134"/>
      <c r="CE875" s="134"/>
      <c r="CF875" s="134"/>
      <c r="CG875" s="134"/>
      <c r="CH875" s="127"/>
      <c r="CJ875" s="134"/>
      <c r="CT875" s="135"/>
      <c r="CU875" s="135"/>
      <c r="CV875" s="135"/>
      <c r="CW875" s="135"/>
      <c r="CX875" s="135"/>
      <c r="CY875" s="135"/>
      <c r="CZ875" s="135"/>
      <c r="DA875" s="135"/>
      <c r="DB875" s="135"/>
      <c r="DC875" s="134"/>
    </row>
    <row r="876" spans="1:107" s="57" customFormat="1" x14ac:dyDescent="0.2">
      <c r="A876" s="55">
        <v>10086</v>
      </c>
      <c r="B876" s="56">
        <v>1</v>
      </c>
      <c r="C876" s="56">
        <f t="shared" si="71"/>
        <v>100860001</v>
      </c>
      <c r="D876" s="57" t="s">
        <v>4247</v>
      </c>
      <c r="E876" s="58" t="s">
        <v>109</v>
      </c>
      <c r="F876" s="58"/>
      <c r="G876" s="58"/>
      <c r="H876" s="58"/>
      <c r="I876" s="59" t="s">
        <v>206</v>
      </c>
      <c r="J876" s="59"/>
      <c r="K876" s="59"/>
      <c r="L876" s="59"/>
      <c r="M876" s="59"/>
      <c r="N876" s="59" t="s">
        <v>163</v>
      </c>
      <c r="O876" s="59" t="s">
        <v>163</v>
      </c>
      <c r="P876" s="59"/>
      <c r="Q876" s="59" t="s">
        <v>2041</v>
      </c>
      <c r="R876" s="59"/>
      <c r="S876" s="59"/>
      <c r="T876" s="59" t="s">
        <v>2307</v>
      </c>
      <c r="U876" s="122" t="s">
        <v>4248</v>
      </c>
      <c r="V876" s="59" t="s">
        <v>109</v>
      </c>
      <c r="W876" s="59" t="s">
        <v>1</v>
      </c>
      <c r="X876" s="59"/>
      <c r="Z876" s="59"/>
      <c r="AA876" s="59"/>
      <c r="AB876" s="59"/>
      <c r="AC876" s="59">
        <v>86</v>
      </c>
      <c r="AD876" s="59"/>
      <c r="AE876" s="60"/>
      <c r="AF876" s="24" t="s">
        <v>2043</v>
      </c>
      <c r="AG876" s="59"/>
      <c r="AH876" s="61"/>
      <c r="AI876" s="61" t="s">
        <v>176</v>
      </c>
      <c r="AJ876" s="61"/>
      <c r="AK876" s="62" t="s">
        <v>136</v>
      </c>
      <c r="AL876" s="62"/>
      <c r="AM876" s="63"/>
      <c r="AN876" s="63"/>
      <c r="AO876" s="63"/>
      <c r="AP876" s="63"/>
      <c r="AQ876" s="63"/>
      <c r="AR876" s="63"/>
      <c r="AS876" s="63"/>
      <c r="AT876" s="63"/>
      <c r="AU876" s="61"/>
      <c r="AV876" s="61"/>
      <c r="AW876" s="61"/>
      <c r="AX876" s="62"/>
      <c r="AY876" s="62"/>
      <c r="AZ876" s="63"/>
      <c r="BA876" s="63"/>
      <c r="BB876" s="63"/>
      <c r="BC876" s="63"/>
      <c r="BD876" s="63"/>
      <c r="BE876" s="63"/>
      <c r="BF876" s="63"/>
      <c r="BG876" s="63"/>
      <c r="BH876" s="61"/>
      <c r="BI876" s="61"/>
      <c r="BJ876" s="61"/>
      <c r="BK876" s="62"/>
      <c r="BL876" s="62"/>
      <c r="BM876" s="63"/>
      <c r="BN876" s="63"/>
      <c r="BO876" s="63"/>
      <c r="BP876" s="63"/>
      <c r="BQ876" s="63"/>
      <c r="BR876" s="63"/>
      <c r="BS876" s="63"/>
      <c r="BT876" s="63"/>
      <c r="BU876" s="61"/>
      <c r="BV876" s="61"/>
      <c r="BW876" s="61"/>
      <c r="BX876" s="62"/>
      <c r="BY876" s="62"/>
      <c r="BZ876" s="63"/>
      <c r="CA876" s="63"/>
      <c r="CB876" s="63"/>
      <c r="CC876" s="63"/>
      <c r="CD876" s="63"/>
      <c r="CE876" s="63"/>
      <c r="CF876" s="63"/>
      <c r="CG876" s="63"/>
      <c r="CH876" s="64"/>
      <c r="CJ876" s="63"/>
      <c r="CT876" s="65"/>
      <c r="CU876" s="65"/>
      <c r="CV876" s="65"/>
      <c r="CW876" s="65"/>
      <c r="CX876" s="65"/>
      <c r="CY876" s="65"/>
      <c r="CZ876" s="65"/>
      <c r="DA876" s="65"/>
      <c r="DB876" s="65"/>
      <c r="DC876" s="63"/>
    </row>
    <row r="877" spans="1:107" s="57" customFormat="1" x14ac:dyDescent="0.2">
      <c r="A877" s="55">
        <v>10086</v>
      </c>
      <c r="B877" s="56">
        <v>2</v>
      </c>
      <c r="C877" s="56">
        <f t="shared" si="71"/>
        <v>100860002</v>
      </c>
      <c r="D877" s="57" t="s">
        <v>4247</v>
      </c>
      <c r="E877" s="58" t="s">
        <v>109</v>
      </c>
      <c r="F877" s="58"/>
      <c r="G877" s="58"/>
      <c r="H877" s="58"/>
      <c r="I877" s="59" t="s">
        <v>206</v>
      </c>
      <c r="J877" s="59"/>
      <c r="K877" s="59"/>
      <c r="L877" s="59"/>
      <c r="M877" s="59"/>
      <c r="N877" s="59" t="s">
        <v>163</v>
      </c>
      <c r="O877" s="59" t="s">
        <v>163</v>
      </c>
      <c r="P877" s="59"/>
      <c r="Q877" s="59" t="s">
        <v>2041</v>
      </c>
      <c r="R877" s="59"/>
      <c r="S877" s="59"/>
      <c r="T877" s="59" t="s">
        <v>2307</v>
      </c>
      <c r="U877" s="122" t="s">
        <v>4249</v>
      </c>
      <c r="V877" s="59" t="s">
        <v>109</v>
      </c>
      <c r="W877" s="59" t="s">
        <v>1</v>
      </c>
      <c r="X877" s="59"/>
      <c r="Z877" s="59"/>
      <c r="AA877" s="59"/>
      <c r="AB877" s="59"/>
      <c r="AC877" s="59">
        <v>86</v>
      </c>
      <c r="AD877" s="59"/>
      <c r="AE877" s="60"/>
      <c r="AF877" s="24" t="s">
        <v>2043</v>
      </c>
      <c r="AG877" s="59"/>
      <c r="AH877" s="61"/>
      <c r="AI877" s="61" t="s">
        <v>260</v>
      </c>
      <c r="AJ877" s="61"/>
      <c r="AK877" s="62" t="s">
        <v>139</v>
      </c>
      <c r="AL877" s="62"/>
      <c r="AM877" s="63"/>
      <c r="AN877" s="63"/>
      <c r="AO877" s="63"/>
      <c r="AP877" s="63"/>
      <c r="AQ877" s="63"/>
      <c r="AR877" s="63"/>
      <c r="AS877" s="63"/>
      <c r="AT877" s="63"/>
      <c r="AU877" s="61"/>
      <c r="AV877" s="61"/>
      <c r="AW877" s="61"/>
      <c r="AX877" s="62"/>
      <c r="AY877" s="62"/>
      <c r="AZ877" s="63"/>
      <c r="BA877" s="63"/>
      <c r="BB877" s="63"/>
      <c r="BC877" s="63"/>
      <c r="BD877" s="63"/>
      <c r="BE877" s="63"/>
      <c r="BF877" s="63"/>
      <c r="BG877" s="63"/>
      <c r="BH877" s="61"/>
      <c r="BI877" s="61"/>
      <c r="BJ877" s="61"/>
      <c r="BK877" s="62"/>
      <c r="BL877" s="62"/>
      <c r="BM877" s="63"/>
      <c r="BN877" s="63"/>
      <c r="BO877" s="63"/>
      <c r="BP877" s="63"/>
      <c r="BQ877" s="63"/>
      <c r="BR877" s="63"/>
      <c r="BS877" s="63"/>
      <c r="BT877" s="63"/>
      <c r="BU877" s="61"/>
      <c r="BV877" s="61"/>
      <c r="BW877" s="61"/>
      <c r="BX877" s="62"/>
      <c r="BY877" s="62"/>
      <c r="BZ877" s="63"/>
      <c r="CA877" s="63"/>
      <c r="CB877" s="63"/>
      <c r="CC877" s="63"/>
      <c r="CD877" s="63"/>
      <c r="CE877" s="63"/>
      <c r="CF877" s="63"/>
      <c r="CG877" s="63"/>
      <c r="CH877" s="64"/>
      <c r="CJ877" s="63"/>
      <c r="CT877" s="65"/>
      <c r="CU877" s="65"/>
      <c r="CV877" s="65"/>
      <c r="CW877" s="65"/>
      <c r="CX877" s="65"/>
      <c r="CY877" s="65"/>
      <c r="CZ877" s="65"/>
      <c r="DA877" s="65"/>
      <c r="DB877" s="65"/>
      <c r="DC877" s="63"/>
    </row>
    <row r="878" spans="1:107" s="57" customFormat="1" x14ac:dyDescent="0.2">
      <c r="A878" s="55">
        <v>10086</v>
      </c>
      <c r="B878" s="56">
        <v>3</v>
      </c>
      <c r="C878" s="56">
        <f t="shared" si="71"/>
        <v>100860003</v>
      </c>
      <c r="D878" s="57" t="s">
        <v>4247</v>
      </c>
      <c r="E878" s="58" t="s">
        <v>109</v>
      </c>
      <c r="F878" s="58"/>
      <c r="G878" s="58"/>
      <c r="H878" s="58"/>
      <c r="I878" s="59" t="s">
        <v>206</v>
      </c>
      <c r="J878" s="59"/>
      <c r="K878" s="59"/>
      <c r="L878" s="59"/>
      <c r="M878" s="59"/>
      <c r="N878" s="59" t="s">
        <v>163</v>
      </c>
      <c r="O878" s="59" t="s">
        <v>163</v>
      </c>
      <c r="P878" s="59"/>
      <c r="Q878" s="59" t="s">
        <v>2041</v>
      </c>
      <c r="R878" s="59"/>
      <c r="S878" s="59"/>
      <c r="T878" s="59" t="s">
        <v>2307</v>
      </c>
      <c r="U878" s="122" t="s">
        <v>4250</v>
      </c>
      <c r="V878" s="59" t="s">
        <v>109</v>
      </c>
      <c r="W878" s="59" t="s">
        <v>1</v>
      </c>
      <c r="X878" s="59"/>
      <c r="Z878" s="59"/>
      <c r="AA878" s="59"/>
      <c r="AB878" s="59"/>
      <c r="AC878" s="59">
        <v>86</v>
      </c>
      <c r="AD878" s="59"/>
      <c r="AE878" s="60"/>
      <c r="AF878" s="24" t="s">
        <v>2043</v>
      </c>
      <c r="AG878" s="59"/>
      <c r="AH878" s="61">
        <v>100863</v>
      </c>
      <c r="AI878" s="61" t="s">
        <v>264</v>
      </c>
      <c r="AJ878" s="61"/>
      <c r="AK878" s="62" t="s">
        <v>373</v>
      </c>
      <c r="AL878" s="62"/>
      <c r="AM878" s="63"/>
      <c r="AN878" s="63"/>
      <c r="AO878" s="63"/>
      <c r="AP878" s="63"/>
      <c r="AQ878" s="63"/>
      <c r="AR878" s="63"/>
      <c r="AS878" s="63"/>
      <c r="AT878" s="63"/>
      <c r="AU878" s="61"/>
      <c r="AV878" s="61"/>
      <c r="AW878" s="61"/>
      <c r="AX878" s="62"/>
      <c r="AY878" s="62"/>
      <c r="AZ878" s="63"/>
      <c r="BA878" s="63"/>
      <c r="BB878" s="63"/>
      <c r="BC878" s="63"/>
      <c r="BD878" s="63"/>
      <c r="BE878" s="63"/>
      <c r="BF878" s="63"/>
      <c r="BG878" s="63"/>
      <c r="BH878" s="61"/>
      <c r="BI878" s="61"/>
      <c r="BJ878" s="61"/>
      <c r="BK878" s="62"/>
      <c r="BL878" s="62"/>
      <c r="BM878" s="63"/>
      <c r="BN878" s="63"/>
      <c r="BO878" s="63"/>
      <c r="BP878" s="63"/>
      <c r="BQ878" s="63"/>
      <c r="BR878" s="63"/>
      <c r="BS878" s="63"/>
      <c r="BT878" s="63"/>
      <c r="BU878" s="61"/>
      <c r="BV878" s="61"/>
      <c r="BW878" s="61"/>
      <c r="BX878" s="62"/>
      <c r="BY878" s="62"/>
      <c r="BZ878" s="63"/>
      <c r="CA878" s="63"/>
      <c r="CB878" s="63"/>
      <c r="CC878" s="63"/>
      <c r="CD878" s="63"/>
      <c r="CE878" s="63"/>
      <c r="CF878" s="63"/>
      <c r="CG878" s="63"/>
      <c r="CH878" s="64"/>
      <c r="CJ878" s="63"/>
      <c r="CT878" s="65"/>
      <c r="CU878" s="65"/>
      <c r="CV878" s="65"/>
      <c r="CW878" s="65"/>
      <c r="CX878" s="65"/>
      <c r="CY878" s="65"/>
      <c r="CZ878" s="65"/>
      <c r="DA878" s="65"/>
      <c r="DB878" s="65"/>
      <c r="DC878" s="63"/>
    </row>
    <row r="879" spans="1:107" s="57" customFormat="1" ht="12.75" customHeight="1" x14ac:dyDescent="0.2">
      <c r="A879" s="55">
        <v>10086</v>
      </c>
      <c r="B879" s="56">
        <v>4</v>
      </c>
      <c r="C879" s="56">
        <f t="shared" si="71"/>
        <v>100860004</v>
      </c>
      <c r="D879" s="57" t="s">
        <v>4247</v>
      </c>
      <c r="E879" s="58" t="s">
        <v>109</v>
      </c>
      <c r="F879" s="58"/>
      <c r="G879" s="58"/>
      <c r="H879" s="58"/>
      <c r="I879" s="59" t="s">
        <v>206</v>
      </c>
      <c r="J879" s="59"/>
      <c r="K879" s="59"/>
      <c r="L879" s="59"/>
      <c r="M879" s="59"/>
      <c r="N879" s="59" t="s">
        <v>163</v>
      </c>
      <c r="O879" s="59" t="s">
        <v>163</v>
      </c>
      <c r="P879" s="59"/>
      <c r="Q879" s="59" t="s">
        <v>2041</v>
      </c>
      <c r="R879" s="59"/>
      <c r="S879" s="59"/>
      <c r="T879" s="59" t="s">
        <v>2307</v>
      </c>
      <c r="U879" s="122" t="s">
        <v>4251</v>
      </c>
      <c r="V879" s="59" t="s">
        <v>109</v>
      </c>
      <c r="W879" s="59" t="s">
        <v>1</v>
      </c>
      <c r="X879" s="59"/>
      <c r="Z879" s="59"/>
      <c r="AA879" s="59"/>
      <c r="AB879" s="59"/>
      <c r="AC879" s="59">
        <v>86</v>
      </c>
      <c r="AD879" s="59"/>
      <c r="AE879" s="60"/>
      <c r="AF879" s="24" t="s">
        <v>2043</v>
      </c>
      <c r="AG879" s="59"/>
      <c r="AH879" s="61">
        <v>100864</v>
      </c>
      <c r="AI879" s="61" t="s">
        <v>265</v>
      </c>
      <c r="AJ879" s="61"/>
      <c r="AK879" s="62" t="s">
        <v>374</v>
      </c>
      <c r="AL879" s="62"/>
      <c r="AM879" s="63"/>
      <c r="AN879" s="63"/>
      <c r="AO879" s="63"/>
      <c r="AP879" s="63"/>
      <c r="AQ879" s="63"/>
      <c r="AR879" s="63"/>
      <c r="AS879" s="63"/>
      <c r="AT879" s="63"/>
      <c r="AU879" s="61"/>
      <c r="AV879" s="61"/>
      <c r="AW879" s="61"/>
      <c r="AX879" s="62"/>
      <c r="AY879" s="62"/>
      <c r="AZ879" s="63"/>
      <c r="BA879" s="63"/>
      <c r="BB879" s="63"/>
      <c r="BC879" s="63"/>
      <c r="BD879" s="63"/>
      <c r="BE879" s="63"/>
      <c r="BF879" s="63"/>
      <c r="BG879" s="63"/>
      <c r="BH879" s="61"/>
      <c r="BI879" s="61"/>
      <c r="BJ879" s="61"/>
      <c r="BK879" s="62"/>
      <c r="BL879" s="62"/>
      <c r="BM879" s="63"/>
      <c r="BN879" s="63"/>
      <c r="BO879" s="63"/>
      <c r="BP879" s="63"/>
      <c r="BQ879" s="63"/>
      <c r="BR879" s="63"/>
      <c r="BS879" s="63"/>
      <c r="BT879" s="63"/>
      <c r="BU879" s="61"/>
      <c r="BV879" s="61"/>
      <c r="BW879" s="61"/>
      <c r="BX879" s="62"/>
      <c r="BY879" s="62"/>
      <c r="BZ879" s="63"/>
      <c r="CA879" s="63"/>
      <c r="CB879" s="63"/>
      <c r="CC879" s="63"/>
      <c r="CD879" s="63"/>
      <c r="CE879" s="63"/>
      <c r="CF879" s="63"/>
      <c r="CG879" s="63"/>
      <c r="CH879" s="64"/>
      <c r="CJ879" s="63"/>
      <c r="CT879" s="65"/>
      <c r="CU879" s="65"/>
      <c r="CV879" s="65"/>
      <c r="CW879" s="65"/>
      <c r="CX879" s="65"/>
      <c r="CY879" s="65"/>
      <c r="CZ879" s="65"/>
      <c r="DA879" s="65"/>
      <c r="DB879" s="65"/>
      <c r="DC879" s="63"/>
    </row>
    <row r="880" spans="1:107" s="57" customFormat="1" x14ac:dyDescent="0.2">
      <c r="A880" s="55">
        <v>10086</v>
      </c>
      <c r="B880" s="56">
        <v>5</v>
      </c>
      <c r="C880" s="56">
        <f t="shared" si="71"/>
        <v>100860005</v>
      </c>
      <c r="D880" s="57" t="s">
        <v>4247</v>
      </c>
      <c r="E880" s="58" t="s">
        <v>109</v>
      </c>
      <c r="F880" s="58"/>
      <c r="G880" s="58"/>
      <c r="H880" s="58"/>
      <c r="I880" s="59" t="s">
        <v>206</v>
      </c>
      <c r="J880" s="59"/>
      <c r="K880" s="59"/>
      <c r="L880" s="59"/>
      <c r="M880" s="59"/>
      <c r="N880" s="59" t="s">
        <v>163</v>
      </c>
      <c r="O880" s="59" t="s">
        <v>163</v>
      </c>
      <c r="P880" s="59"/>
      <c r="Q880" s="59" t="s">
        <v>2041</v>
      </c>
      <c r="R880" s="59"/>
      <c r="S880" s="59"/>
      <c r="T880" s="59" t="s">
        <v>2307</v>
      </c>
      <c r="U880" s="122" t="s">
        <v>4252</v>
      </c>
      <c r="V880" s="59" t="s">
        <v>109</v>
      </c>
      <c r="W880" s="59" t="s">
        <v>1</v>
      </c>
      <c r="X880" s="59"/>
      <c r="Z880" s="59"/>
      <c r="AA880" s="59"/>
      <c r="AB880" s="59"/>
      <c r="AC880" s="59">
        <v>86</v>
      </c>
      <c r="AD880" s="59"/>
      <c r="AE880" s="60"/>
      <c r="AF880" s="24" t="s">
        <v>2043</v>
      </c>
      <c r="AG880" s="59"/>
      <c r="AH880" s="61">
        <v>100865</v>
      </c>
      <c r="AI880" s="61" t="s">
        <v>266</v>
      </c>
      <c r="AJ880" s="61"/>
      <c r="AK880" s="62" t="s">
        <v>375</v>
      </c>
      <c r="AL880" s="62"/>
      <c r="AM880" s="63"/>
      <c r="AN880" s="63"/>
      <c r="AO880" s="63"/>
      <c r="AP880" s="63"/>
      <c r="AQ880" s="63"/>
      <c r="AR880" s="63"/>
      <c r="AS880" s="63"/>
      <c r="AT880" s="63"/>
      <c r="AU880" s="61"/>
      <c r="AV880" s="61"/>
      <c r="AW880" s="61"/>
      <c r="AX880" s="62"/>
      <c r="AY880" s="62"/>
      <c r="AZ880" s="63"/>
      <c r="BA880" s="63"/>
      <c r="BB880" s="63"/>
      <c r="BC880" s="63"/>
      <c r="BD880" s="63"/>
      <c r="BE880" s="63"/>
      <c r="BF880" s="63"/>
      <c r="BG880" s="63"/>
      <c r="BH880" s="61"/>
      <c r="BI880" s="61"/>
      <c r="BJ880" s="61"/>
      <c r="BK880" s="62"/>
      <c r="BL880" s="62"/>
      <c r="BM880" s="63"/>
      <c r="BN880" s="63"/>
      <c r="BO880" s="63"/>
      <c r="BP880" s="63"/>
      <c r="BQ880" s="63"/>
      <c r="BR880" s="63"/>
      <c r="BS880" s="63"/>
      <c r="BT880" s="63"/>
      <c r="BU880" s="61"/>
      <c r="BV880" s="61"/>
      <c r="BW880" s="61"/>
      <c r="BX880" s="62"/>
      <c r="BY880" s="62"/>
      <c r="BZ880" s="63"/>
      <c r="CA880" s="63"/>
      <c r="CB880" s="63"/>
      <c r="CC880" s="63"/>
      <c r="CD880" s="63"/>
      <c r="CE880" s="63"/>
      <c r="CF880" s="63"/>
      <c r="CG880" s="63"/>
      <c r="CH880" s="64"/>
      <c r="CJ880" s="63"/>
      <c r="CT880" s="65"/>
      <c r="CU880" s="65"/>
      <c r="CV880" s="65"/>
      <c r="CW880" s="65"/>
      <c r="CX880" s="65"/>
      <c r="CY880" s="65"/>
      <c r="CZ880" s="65"/>
      <c r="DA880" s="65"/>
      <c r="DB880" s="65"/>
      <c r="DC880" s="63"/>
    </row>
    <row r="881" spans="1:107" s="128" customFormat="1" x14ac:dyDescent="0.2">
      <c r="A881" s="184">
        <v>10087</v>
      </c>
      <c r="B881" s="185">
        <v>1</v>
      </c>
      <c r="C881" s="185">
        <f t="shared" si="69"/>
        <v>100870001</v>
      </c>
      <c r="D881" s="128" t="s">
        <v>1810</v>
      </c>
      <c r="E881" s="129" t="s">
        <v>109</v>
      </c>
      <c r="F881" s="129"/>
      <c r="G881" s="129"/>
      <c r="H881" s="129"/>
      <c r="I881" s="114" t="s">
        <v>206</v>
      </c>
      <c r="J881" s="114"/>
      <c r="K881" s="114"/>
      <c r="L881" s="114"/>
      <c r="M881" s="114"/>
      <c r="N881" s="114" t="s">
        <v>163</v>
      </c>
      <c r="O881" s="114" t="s">
        <v>163</v>
      </c>
      <c r="P881" s="114"/>
      <c r="Q881" s="114" t="s">
        <v>2041</v>
      </c>
      <c r="R881" s="114"/>
      <c r="S881" s="114"/>
      <c r="T881" s="114" t="s">
        <v>2307</v>
      </c>
      <c r="U881" s="117" t="s">
        <v>2669</v>
      </c>
      <c r="V881" s="114" t="s">
        <v>109</v>
      </c>
      <c r="W881" s="114" t="s">
        <v>1</v>
      </c>
      <c r="X881" s="114"/>
      <c r="Z881" s="114"/>
      <c r="AA881" s="114"/>
      <c r="AB881" s="114"/>
      <c r="AC881" s="114">
        <v>87</v>
      </c>
      <c r="AD881" s="114"/>
      <c r="AE881" s="130"/>
      <c r="AF881" s="130" t="s">
        <v>2043</v>
      </c>
      <c r="AG881" s="114"/>
      <c r="AH881" s="131"/>
      <c r="AI881" s="131" t="s">
        <v>176</v>
      </c>
      <c r="AJ881" s="131"/>
      <c r="AK881" s="132" t="s">
        <v>136</v>
      </c>
      <c r="AL881" s="132"/>
      <c r="AM881" s="134"/>
      <c r="AN881" s="134"/>
      <c r="AO881" s="134"/>
      <c r="AP881" s="134"/>
      <c r="AQ881" s="134"/>
      <c r="AR881" s="134"/>
      <c r="AS881" s="134"/>
      <c r="AT881" s="134"/>
      <c r="AU881" s="131"/>
      <c r="AV881" s="131"/>
      <c r="AW881" s="131"/>
      <c r="AX881" s="132"/>
      <c r="AY881" s="132"/>
      <c r="AZ881" s="134"/>
      <c r="BA881" s="134"/>
      <c r="BB881" s="134"/>
      <c r="BC881" s="134"/>
      <c r="BD881" s="134"/>
      <c r="BE881" s="134"/>
      <c r="BF881" s="134"/>
      <c r="BG881" s="134"/>
      <c r="BH881" s="131"/>
      <c r="BI881" s="131"/>
      <c r="BJ881" s="131"/>
      <c r="BK881" s="132"/>
      <c r="BL881" s="132"/>
      <c r="BM881" s="134"/>
      <c r="BN881" s="134"/>
      <c r="BO881" s="134"/>
      <c r="BP881" s="134"/>
      <c r="BQ881" s="134"/>
      <c r="BR881" s="134"/>
      <c r="BS881" s="134"/>
      <c r="BT881" s="134"/>
      <c r="BU881" s="131"/>
      <c r="BV881" s="131"/>
      <c r="BW881" s="131"/>
      <c r="BX881" s="132"/>
      <c r="BY881" s="132"/>
      <c r="BZ881" s="134"/>
      <c r="CA881" s="134"/>
      <c r="CB881" s="134"/>
      <c r="CC881" s="134"/>
      <c r="CD881" s="134"/>
      <c r="CE881" s="134"/>
      <c r="CF881" s="134"/>
      <c r="CG881" s="134"/>
      <c r="CH881" s="127"/>
      <c r="CJ881" s="134"/>
      <c r="CT881" s="135"/>
      <c r="CU881" s="135"/>
      <c r="CV881" s="135"/>
      <c r="CW881" s="135"/>
      <c r="CX881" s="135"/>
      <c r="CY881" s="135"/>
      <c r="CZ881" s="135"/>
      <c r="DA881" s="135"/>
      <c r="DB881" s="135"/>
      <c r="DC881" s="134"/>
    </row>
    <row r="882" spans="1:107" s="128" customFormat="1" x14ac:dyDescent="0.2">
      <c r="A882" s="184">
        <v>10087</v>
      </c>
      <c r="B882" s="185">
        <v>2</v>
      </c>
      <c r="C882" s="185">
        <f t="shared" si="69"/>
        <v>100870002</v>
      </c>
      <c r="D882" s="128" t="s">
        <v>1810</v>
      </c>
      <c r="E882" s="129" t="s">
        <v>109</v>
      </c>
      <c r="F882" s="129"/>
      <c r="G882" s="129"/>
      <c r="H882" s="129"/>
      <c r="I882" s="114" t="s">
        <v>206</v>
      </c>
      <c r="J882" s="114"/>
      <c r="K882" s="114"/>
      <c r="L882" s="114"/>
      <c r="M882" s="114"/>
      <c r="N882" s="114" t="s">
        <v>163</v>
      </c>
      <c r="O882" s="114" t="s">
        <v>163</v>
      </c>
      <c r="P882" s="114"/>
      <c r="Q882" s="114" t="s">
        <v>2041</v>
      </c>
      <c r="R882" s="114"/>
      <c r="S882" s="114"/>
      <c r="T882" s="114" t="s">
        <v>2307</v>
      </c>
      <c r="U882" s="117" t="s">
        <v>2670</v>
      </c>
      <c r="V882" s="114" t="s">
        <v>109</v>
      </c>
      <c r="W882" s="114" t="s">
        <v>1</v>
      </c>
      <c r="X882" s="114"/>
      <c r="Z882" s="114"/>
      <c r="AA882" s="114"/>
      <c r="AB882" s="114"/>
      <c r="AC882" s="114">
        <v>87</v>
      </c>
      <c r="AD882" s="114"/>
      <c r="AE882" s="130"/>
      <c r="AF882" s="130" t="s">
        <v>2043</v>
      </c>
      <c r="AG882" s="114"/>
      <c r="AH882" s="131"/>
      <c r="AI882" s="131" t="s">
        <v>260</v>
      </c>
      <c r="AJ882" s="131"/>
      <c r="AK882" s="132" t="s">
        <v>139</v>
      </c>
      <c r="AL882" s="132"/>
      <c r="AM882" s="134"/>
      <c r="AN882" s="134"/>
      <c r="AO882" s="134"/>
      <c r="AP882" s="134"/>
      <c r="AQ882" s="134"/>
      <c r="AR882" s="134"/>
      <c r="AS882" s="134"/>
      <c r="AT882" s="134"/>
      <c r="AU882" s="131"/>
      <c r="AV882" s="131"/>
      <c r="AW882" s="131"/>
      <c r="AX882" s="132"/>
      <c r="AY882" s="132"/>
      <c r="AZ882" s="134"/>
      <c r="BA882" s="134"/>
      <c r="BB882" s="134"/>
      <c r="BC882" s="134"/>
      <c r="BD882" s="134"/>
      <c r="BE882" s="134"/>
      <c r="BF882" s="134"/>
      <c r="BG882" s="134"/>
      <c r="BH882" s="131"/>
      <c r="BI882" s="131"/>
      <c r="BJ882" s="131"/>
      <c r="BK882" s="132"/>
      <c r="BL882" s="132"/>
      <c r="BM882" s="134"/>
      <c r="BN882" s="134"/>
      <c r="BO882" s="134"/>
      <c r="BP882" s="134"/>
      <c r="BQ882" s="134"/>
      <c r="BR882" s="134"/>
      <c r="BS882" s="134"/>
      <c r="BT882" s="134"/>
      <c r="BU882" s="131"/>
      <c r="BV882" s="131"/>
      <c r="BW882" s="131"/>
      <c r="BX882" s="132"/>
      <c r="BY882" s="132"/>
      <c r="BZ882" s="134"/>
      <c r="CA882" s="134"/>
      <c r="CB882" s="134"/>
      <c r="CC882" s="134"/>
      <c r="CD882" s="134"/>
      <c r="CE882" s="134"/>
      <c r="CF882" s="134"/>
      <c r="CG882" s="134"/>
      <c r="CH882" s="127"/>
      <c r="CJ882" s="134"/>
      <c r="CT882" s="135"/>
      <c r="CU882" s="135"/>
      <c r="CV882" s="135"/>
      <c r="CW882" s="135"/>
      <c r="CX882" s="135"/>
      <c r="CY882" s="135"/>
      <c r="CZ882" s="135"/>
      <c r="DA882" s="135"/>
      <c r="DB882" s="135"/>
      <c r="DC882" s="134"/>
    </row>
    <row r="883" spans="1:107" s="128" customFormat="1" x14ac:dyDescent="0.2">
      <c r="A883" s="184">
        <v>10087</v>
      </c>
      <c r="B883" s="185">
        <v>3</v>
      </c>
      <c r="C883" s="185">
        <f t="shared" si="69"/>
        <v>100870003</v>
      </c>
      <c r="D883" s="128" t="s">
        <v>1810</v>
      </c>
      <c r="E883" s="129" t="s">
        <v>109</v>
      </c>
      <c r="F883" s="129"/>
      <c r="G883" s="129"/>
      <c r="H883" s="129"/>
      <c r="I883" s="114" t="s">
        <v>206</v>
      </c>
      <c r="J883" s="114"/>
      <c r="K883" s="114"/>
      <c r="L883" s="114"/>
      <c r="M883" s="114"/>
      <c r="N883" s="114" t="s">
        <v>163</v>
      </c>
      <c r="O883" s="114" t="s">
        <v>163</v>
      </c>
      <c r="P883" s="114"/>
      <c r="Q883" s="114" t="s">
        <v>2041</v>
      </c>
      <c r="R883" s="114"/>
      <c r="S883" s="114"/>
      <c r="T883" s="114" t="s">
        <v>2307</v>
      </c>
      <c r="U883" s="117" t="s">
        <v>2671</v>
      </c>
      <c r="V883" s="114" t="s">
        <v>109</v>
      </c>
      <c r="W883" s="114" t="s">
        <v>1</v>
      </c>
      <c r="X883" s="114"/>
      <c r="Z883" s="114"/>
      <c r="AA883" s="114"/>
      <c r="AB883" s="114"/>
      <c r="AC883" s="114">
        <v>87</v>
      </c>
      <c r="AD883" s="114"/>
      <c r="AE883" s="130"/>
      <c r="AF883" s="130" t="s">
        <v>2043</v>
      </c>
      <c r="AG883" s="114"/>
      <c r="AH883" s="131">
        <v>100873</v>
      </c>
      <c r="AI883" s="131" t="s">
        <v>264</v>
      </c>
      <c r="AJ883" s="131"/>
      <c r="AK883" s="132" t="s">
        <v>373</v>
      </c>
      <c r="AL883" s="132"/>
      <c r="AM883" s="134"/>
      <c r="AN883" s="134"/>
      <c r="AO883" s="134"/>
      <c r="AP883" s="134"/>
      <c r="AQ883" s="134"/>
      <c r="AR883" s="134"/>
      <c r="AS883" s="134"/>
      <c r="AT883" s="134"/>
      <c r="AU883" s="131"/>
      <c r="AV883" s="131"/>
      <c r="AW883" s="131"/>
      <c r="AX883" s="132"/>
      <c r="AY883" s="132"/>
      <c r="AZ883" s="134"/>
      <c r="BA883" s="134"/>
      <c r="BB883" s="134"/>
      <c r="BC883" s="134"/>
      <c r="BD883" s="134"/>
      <c r="BE883" s="134"/>
      <c r="BF883" s="134"/>
      <c r="BG883" s="134"/>
      <c r="BH883" s="131"/>
      <c r="BI883" s="131"/>
      <c r="BJ883" s="131"/>
      <c r="BK883" s="132"/>
      <c r="BL883" s="132"/>
      <c r="BM883" s="134"/>
      <c r="BN883" s="134"/>
      <c r="BO883" s="134"/>
      <c r="BP883" s="134"/>
      <c r="BQ883" s="134"/>
      <c r="BR883" s="134"/>
      <c r="BS883" s="134"/>
      <c r="BT883" s="134"/>
      <c r="BU883" s="131"/>
      <c r="BV883" s="131"/>
      <c r="BW883" s="131"/>
      <c r="BX883" s="132"/>
      <c r="BY883" s="132"/>
      <c r="BZ883" s="134"/>
      <c r="CA883" s="134"/>
      <c r="CB883" s="134"/>
      <c r="CC883" s="134"/>
      <c r="CD883" s="134"/>
      <c r="CE883" s="134"/>
      <c r="CF883" s="134"/>
      <c r="CG883" s="134"/>
      <c r="CH883" s="127"/>
      <c r="CJ883" s="134"/>
      <c r="CT883" s="135"/>
      <c r="CU883" s="135"/>
      <c r="CV883" s="135"/>
      <c r="CW883" s="135"/>
      <c r="CX883" s="135"/>
      <c r="CY883" s="135"/>
      <c r="CZ883" s="135"/>
      <c r="DA883" s="135"/>
      <c r="DB883" s="135"/>
      <c r="DC883" s="134"/>
    </row>
    <row r="884" spans="1:107" s="128" customFormat="1" ht="12.75" customHeight="1" x14ac:dyDescent="0.2">
      <c r="A884" s="184">
        <v>10087</v>
      </c>
      <c r="B884" s="185">
        <v>4</v>
      </c>
      <c r="C884" s="185">
        <f t="shared" si="69"/>
        <v>100870004</v>
      </c>
      <c r="D884" s="128" t="s">
        <v>1810</v>
      </c>
      <c r="E884" s="129" t="s">
        <v>109</v>
      </c>
      <c r="F884" s="129"/>
      <c r="G884" s="129"/>
      <c r="H884" s="129"/>
      <c r="I884" s="114" t="s">
        <v>206</v>
      </c>
      <c r="J884" s="114"/>
      <c r="K884" s="114"/>
      <c r="L884" s="114"/>
      <c r="M884" s="114"/>
      <c r="N884" s="114" t="s">
        <v>163</v>
      </c>
      <c r="O884" s="114" t="s">
        <v>163</v>
      </c>
      <c r="P884" s="114"/>
      <c r="Q884" s="114" t="s">
        <v>2041</v>
      </c>
      <c r="R884" s="114"/>
      <c r="S884" s="114"/>
      <c r="T884" s="114" t="s">
        <v>2307</v>
      </c>
      <c r="U884" s="117" t="s">
        <v>2672</v>
      </c>
      <c r="V884" s="114" t="s">
        <v>109</v>
      </c>
      <c r="W884" s="114" t="s">
        <v>1</v>
      </c>
      <c r="X884" s="114"/>
      <c r="Z884" s="114"/>
      <c r="AA884" s="114"/>
      <c r="AB884" s="114"/>
      <c r="AC884" s="114">
        <v>87</v>
      </c>
      <c r="AD884" s="114"/>
      <c r="AE884" s="130"/>
      <c r="AF884" s="130" t="s">
        <v>2043</v>
      </c>
      <c r="AG884" s="114"/>
      <c r="AH884" s="131">
        <v>100874</v>
      </c>
      <c r="AI884" s="131" t="s">
        <v>265</v>
      </c>
      <c r="AJ884" s="131"/>
      <c r="AK884" s="132" t="s">
        <v>374</v>
      </c>
      <c r="AL884" s="132"/>
      <c r="AM884" s="134"/>
      <c r="AN884" s="134"/>
      <c r="AO884" s="134"/>
      <c r="AP884" s="134"/>
      <c r="AQ884" s="134"/>
      <c r="AR884" s="134"/>
      <c r="AS884" s="134"/>
      <c r="AT884" s="134"/>
      <c r="AU884" s="131"/>
      <c r="AV884" s="131"/>
      <c r="AW884" s="131"/>
      <c r="AX884" s="132"/>
      <c r="AY884" s="132"/>
      <c r="AZ884" s="134"/>
      <c r="BA884" s="134"/>
      <c r="BB884" s="134"/>
      <c r="BC884" s="134"/>
      <c r="BD884" s="134"/>
      <c r="BE884" s="134"/>
      <c r="BF884" s="134"/>
      <c r="BG884" s="134"/>
      <c r="BH884" s="131"/>
      <c r="BI884" s="131"/>
      <c r="BJ884" s="131"/>
      <c r="BK884" s="132"/>
      <c r="BL884" s="132"/>
      <c r="BM884" s="134"/>
      <c r="BN884" s="134"/>
      <c r="BO884" s="134"/>
      <c r="BP884" s="134"/>
      <c r="BQ884" s="134"/>
      <c r="BR884" s="134"/>
      <c r="BS884" s="134"/>
      <c r="BT884" s="134"/>
      <c r="BU884" s="131"/>
      <c r="BV884" s="131"/>
      <c r="BW884" s="131"/>
      <c r="BX884" s="132"/>
      <c r="BY884" s="132"/>
      <c r="BZ884" s="134"/>
      <c r="CA884" s="134"/>
      <c r="CB884" s="134"/>
      <c r="CC884" s="134"/>
      <c r="CD884" s="134"/>
      <c r="CE884" s="134"/>
      <c r="CF884" s="134"/>
      <c r="CG884" s="134"/>
      <c r="CH884" s="127"/>
      <c r="CJ884" s="134"/>
      <c r="CT884" s="135"/>
      <c r="CU884" s="135"/>
      <c r="CV884" s="135"/>
      <c r="CW884" s="135"/>
      <c r="CX884" s="135"/>
      <c r="CY884" s="135"/>
      <c r="CZ884" s="135"/>
      <c r="DA884" s="135"/>
      <c r="DB884" s="135"/>
      <c r="DC884" s="134"/>
    </row>
    <row r="885" spans="1:107" s="128" customFormat="1" x14ac:dyDescent="0.2">
      <c r="A885" s="184">
        <v>10087</v>
      </c>
      <c r="B885" s="185">
        <v>5</v>
      </c>
      <c r="C885" s="185">
        <f t="shared" si="69"/>
        <v>100870005</v>
      </c>
      <c r="D885" s="128" t="s">
        <v>1810</v>
      </c>
      <c r="E885" s="129" t="s">
        <v>109</v>
      </c>
      <c r="F885" s="129"/>
      <c r="G885" s="129"/>
      <c r="H885" s="129"/>
      <c r="I885" s="114" t="s">
        <v>206</v>
      </c>
      <c r="J885" s="114"/>
      <c r="K885" s="114"/>
      <c r="L885" s="114"/>
      <c r="M885" s="114"/>
      <c r="N885" s="114" t="s">
        <v>163</v>
      </c>
      <c r="O885" s="114" t="s">
        <v>163</v>
      </c>
      <c r="P885" s="114"/>
      <c r="Q885" s="114" t="s">
        <v>2041</v>
      </c>
      <c r="R885" s="114"/>
      <c r="S885" s="114"/>
      <c r="T885" s="114" t="s">
        <v>2307</v>
      </c>
      <c r="U885" s="117" t="s">
        <v>2673</v>
      </c>
      <c r="V885" s="114" t="s">
        <v>109</v>
      </c>
      <c r="W885" s="114" t="s">
        <v>1</v>
      </c>
      <c r="X885" s="114"/>
      <c r="Z885" s="114"/>
      <c r="AA885" s="114"/>
      <c r="AB885" s="114"/>
      <c r="AC885" s="114">
        <v>87</v>
      </c>
      <c r="AD885" s="114"/>
      <c r="AE885" s="130"/>
      <c r="AF885" s="130" t="s">
        <v>2043</v>
      </c>
      <c r="AG885" s="114"/>
      <c r="AH885" s="131">
        <v>100875</v>
      </c>
      <c r="AI885" s="131" t="s">
        <v>266</v>
      </c>
      <c r="AJ885" s="131"/>
      <c r="AK885" s="132" t="s">
        <v>375</v>
      </c>
      <c r="AL885" s="132"/>
      <c r="AM885" s="134"/>
      <c r="AN885" s="134"/>
      <c r="AO885" s="134"/>
      <c r="AP885" s="134"/>
      <c r="AQ885" s="134"/>
      <c r="AR885" s="134"/>
      <c r="AS885" s="134"/>
      <c r="AT885" s="134"/>
      <c r="AU885" s="131"/>
      <c r="AV885" s="131"/>
      <c r="AW885" s="131"/>
      <c r="AX885" s="132"/>
      <c r="AY885" s="132"/>
      <c r="AZ885" s="134"/>
      <c r="BA885" s="134"/>
      <c r="BB885" s="134"/>
      <c r="BC885" s="134"/>
      <c r="BD885" s="134"/>
      <c r="BE885" s="134"/>
      <c r="BF885" s="134"/>
      <c r="BG885" s="134"/>
      <c r="BH885" s="131"/>
      <c r="BI885" s="131"/>
      <c r="BJ885" s="131"/>
      <c r="BK885" s="132"/>
      <c r="BL885" s="132"/>
      <c r="BM885" s="134"/>
      <c r="BN885" s="134"/>
      <c r="BO885" s="134"/>
      <c r="BP885" s="134"/>
      <c r="BQ885" s="134"/>
      <c r="BR885" s="134"/>
      <c r="BS885" s="134"/>
      <c r="BT885" s="134"/>
      <c r="BU885" s="131"/>
      <c r="BV885" s="131"/>
      <c r="BW885" s="131"/>
      <c r="BX885" s="132"/>
      <c r="BY885" s="132"/>
      <c r="BZ885" s="134"/>
      <c r="CA885" s="134"/>
      <c r="CB885" s="134"/>
      <c r="CC885" s="134"/>
      <c r="CD885" s="134"/>
      <c r="CE885" s="134"/>
      <c r="CF885" s="134"/>
      <c r="CG885" s="134"/>
      <c r="CH885" s="127"/>
      <c r="CJ885" s="134"/>
      <c r="CT885" s="135"/>
      <c r="CU885" s="135"/>
      <c r="CV885" s="135"/>
      <c r="CW885" s="135"/>
      <c r="CX885" s="135"/>
      <c r="CY885" s="135"/>
      <c r="CZ885" s="135"/>
      <c r="DA885" s="135"/>
      <c r="DB885" s="135"/>
      <c r="DC885" s="134"/>
    </row>
    <row r="886" spans="1:107" s="57" customFormat="1" x14ac:dyDescent="0.2">
      <c r="A886" s="55">
        <v>10088</v>
      </c>
      <c r="B886" s="56">
        <v>1</v>
      </c>
      <c r="C886" s="56">
        <f t="shared" si="69"/>
        <v>100880001</v>
      </c>
      <c r="D886" s="57" t="s">
        <v>4268</v>
      </c>
      <c r="E886" s="58" t="s">
        <v>109</v>
      </c>
      <c r="F886" s="58"/>
      <c r="G886" s="58"/>
      <c r="H886" s="58"/>
      <c r="I886" s="59" t="s">
        <v>206</v>
      </c>
      <c r="J886" s="59"/>
      <c r="K886" s="59"/>
      <c r="L886" s="59"/>
      <c r="M886" s="59"/>
      <c r="N886" s="59" t="s">
        <v>163</v>
      </c>
      <c r="O886" s="59" t="s">
        <v>163</v>
      </c>
      <c r="P886" s="59"/>
      <c r="Q886" s="59" t="s">
        <v>2041</v>
      </c>
      <c r="R886" s="59"/>
      <c r="S886" s="59"/>
      <c r="T886" s="59" t="s">
        <v>2307</v>
      </c>
      <c r="U886" s="122" t="s">
        <v>4280</v>
      </c>
      <c r="V886" s="59" t="s">
        <v>109</v>
      </c>
      <c r="W886" s="59" t="s">
        <v>1</v>
      </c>
      <c r="X886" s="59"/>
      <c r="Z886" s="59"/>
      <c r="AA886" s="59"/>
      <c r="AB886" s="59"/>
      <c r="AC886" s="59">
        <v>88</v>
      </c>
      <c r="AD886" s="59"/>
      <c r="AE886" s="60"/>
      <c r="AF886" s="24" t="s">
        <v>2043</v>
      </c>
      <c r="AG886" s="59"/>
      <c r="AH886" s="61"/>
      <c r="AI886" s="61" t="s">
        <v>176</v>
      </c>
      <c r="AJ886" s="61"/>
      <c r="AK886" s="62" t="s">
        <v>136</v>
      </c>
      <c r="AL886" s="62"/>
      <c r="AM886" s="63"/>
      <c r="AN886" s="63"/>
      <c r="AO886" s="63"/>
      <c r="AP886" s="63"/>
      <c r="AQ886" s="63"/>
      <c r="AR886" s="63"/>
      <c r="AS886" s="63"/>
      <c r="AT886" s="63"/>
      <c r="AU886" s="61"/>
      <c r="AV886" s="61"/>
      <c r="AW886" s="61"/>
      <c r="AX886" s="62"/>
      <c r="AY886" s="62"/>
      <c r="AZ886" s="63"/>
      <c r="BA886" s="63"/>
      <c r="BB886" s="63"/>
      <c r="BC886" s="63"/>
      <c r="BD886" s="63"/>
      <c r="BE886" s="63"/>
      <c r="BF886" s="63"/>
      <c r="BG886" s="63"/>
      <c r="BH886" s="61"/>
      <c r="BI886" s="61"/>
      <c r="BJ886" s="61"/>
      <c r="BK886" s="62"/>
      <c r="BL886" s="62"/>
      <c r="BM886" s="63"/>
      <c r="BN886" s="63"/>
      <c r="BO886" s="63"/>
      <c r="BP886" s="63"/>
      <c r="BQ886" s="63"/>
      <c r="BR886" s="63"/>
      <c r="BS886" s="63"/>
      <c r="BT886" s="63"/>
      <c r="BU886" s="61"/>
      <c r="BV886" s="61"/>
      <c r="BW886" s="61"/>
      <c r="BX886" s="62"/>
      <c r="BY886" s="62"/>
      <c r="BZ886" s="63"/>
      <c r="CA886" s="63"/>
      <c r="CB886" s="63"/>
      <c r="CC886" s="63"/>
      <c r="CD886" s="63"/>
      <c r="CE886" s="63"/>
      <c r="CF886" s="63"/>
      <c r="CG886" s="63"/>
      <c r="CH886" s="64"/>
      <c r="CJ886" s="63"/>
      <c r="CT886" s="65"/>
      <c r="CU886" s="65"/>
      <c r="CV886" s="65"/>
      <c r="CW886" s="65"/>
      <c r="CX886" s="65"/>
      <c r="CY886" s="65"/>
      <c r="CZ886" s="65"/>
      <c r="DA886" s="65"/>
      <c r="DB886" s="65"/>
      <c r="DC886" s="63"/>
    </row>
    <row r="887" spans="1:107" s="57" customFormat="1" x14ac:dyDescent="0.2">
      <c r="A887" s="55">
        <v>10088</v>
      </c>
      <c r="B887" s="56">
        <v>2</v>
      </c>
      <c r="C887" s="56">
        <f t="shared" si="69"/>
        <v>100880002</v>
      </c>
      <c r="D887" s="57" t="s">
        <v>4268</v>
      </c>
      <c r="E887" s="58" t="s">
        <v>109</v>
      </c>
      <c r="F887" s="58"/>
      <c r="G887" s="58"/>
      <c r="H887" s="58"/>
      <c r="I887" s="59" t="s">
        <v>206</v>
      </c>
      <c r="J887" s="59"/>
      <c r="K887" s="59"/>
      <c r="L887" s="59"/>
      <c r="M887" s="59"/>
      <c r="N887" s="59" t="s">
        <v>163</v>
      </c>
      <c r="O887" s="59" t="s">
        <v>163</v>
      </c>
      <c r="P887" s="59"/>
      <c r="Q887" s="59" t="s">
        <v>2041</v>
      </c>
      <c r="R887" s="59"/>
      <c r="S887" s="59"/>
      <c r="T887" s="59" t="s">
        <v>2307</v>
      </c>
      <c r="U887" s="122" t="s">
        <v>4281</v>
      </c>
      <c r="V887" s="59" t="s">
        <v>109</v>
      </c>
      <c r="W887" s="59" t="s">
        <v>1</v>
      </c>
      <c r="X887" s="59"/>
      <c r="Z887" s="59"/>
      <c r="AA887" s="59"/>
      <c r="AB887" s="59"/>
      <c r="AC887" s="59">
        <v>88</v>
      </c>
      <c r="AD887" s="59"/>
      <c r="AE887" s="60"/>
      <c r="AF887" s="24" t="s">
        <v>2043</v>
      </c>
      <c r="AG887" s="59"/>
      <c r="AH887" s="61"/>
      <c r="AI887" s="61" t="s">
        <v>260</v>
      </c>
      <c r="AJ887" s="61"/>
      <c r="AK887" s="62" t="s">
        <v>139</v>
      </c>
      <c r="AL887" s="62"/>
      <c r="AM887" s="63"/>
      <c r="AN887" s="63"/>
      <c r="AO887" s="63"/>
      <c r="AP887" s="63"/>
      <c r="AQ887" s="63"/>
      <c r="AR887" s="63"/>
      <c r="AS887" s="63"/>
      <c r="AT887" s="63"/>
      <c r="AU887" s="61"/>
      <c r="AV887" s="61"/>
      <c r="AW887" s="61"/>
      <c r="AX887" s="62"/>
      <c r="AY887" s="62"/>
      <c r="AZ887" s="63"/>
      <c r="BA887" s="63"/>
      <c r="BB887" s="63"/>
      <c r="BC887" s="63"/>
      <c r="BD887" s="63"/>
      <c r="BE887" s="63"/>
      <c r="BF887" s="63"/>
      <c r="BG887" s="63"/>
      <c r="BH887" s="61"/>
      <c r="BI887" s="61"/>
      <c r="BJ887" s="61"/>
      <c r="BK887" s="62"/>
      <c r="BL887" s="62"/>
      <c r="BM887" s="63"/>
      <c r="BN887" s="63"/>
      <c r="BO887" s="63"/>
      <c r="BP887" s="63"/>
      <c r="BQ887" s="63"/>
      <c r="BR887" s="63"/>
      <c r="BS887" s="63"/>
      <c r="BT887" s="63"/>
      <c r="BU887" s="61"/>
      <c r="BV887" s="61"/>
      <c r="BW887" s="61"/>
      <c r="BX887" s="62"/>
      <c r="BY887" s="62"/>
      <c r="BZ887" s="63"/>
      <c r="CA887" s="63"/>
      <c r="CB887" s="63"/>
      <c r="CC887" s="63"/>
      <c r="CD887" s="63"/>
      <c r="CE887" s="63"/>
      <c r="CF887" s="63"/>
      <c r="CG887" s="63"/>
      <c r="CH887" s="64"/>
      <c r="CJ887" s="63"/>
      <c r="CT887" s="65"/>
      <c r="CU887" s="65"/>
      <c r="CV887" s="65"/>
      <c r="CW887" s="65"/>
      <c r="CX887" s="65"/>
      <c r="CY887" s="65"/>
      <c r="CZ887" s="65"/>
      <c r="DA887" s="65"/>
      <c r="DB887" s="65"/>
      <c r="DC887" s="63"/>
    </row>
    <row r="888" spans="1:107" s="57" customFormat="1" x14ac:dyDescent="0.2">
      <c r="A888" s="55">
        <v>10088</v>
      </c>
      <c r="B888" s="56">
        <v>3</v>
      </c>
      <c r="C888" s="56">
        <f t="shared" si="69"/>
        <v>100880003</v>
      </c>
      <c r="D888" s="57" t="s">
        <v>4268</v>
      </c>
      <c r="E888" s="58" t="s">
        <v>109</v>
      </c>
      <c r="F888" s="58"/>
      <c r="G888" s="58"/>
      <c r="H888" s="58"/>
      <c r="I888" s="59" t="s">
        <v>206</v>
      </c>
      <c r="J888" s="59"/>
      <c r="K888" s="59"/>
      <c r="L888" s="59"/>
      <c r="M888" s="59"/>
      <c r="N888" s="59" t="s">
        <v>163</v>
      </c>
      <c r="O888" s="59" t="s">
        <v>163</v>
      </c>
      <c r="P888" s="59"/>
      <c r="Q888" s="59" t="s">
        <v>2041</v>
      </c>
      <c r="R888" s="59"/>
      <c r="S888" s="59"/>
      <c r="T888" s="59" t="s">
        <v>2307</v>
      </c>
      <c r="U888" s="122" t="s">
        <v>4282</v>
      </c>
      <c r="V888" s="59" t="s">
        <v>109</v>
      </c>
      <c r="W888" s="59" t="s">
        <v>1</v>
      </c>
      <c r="X888" s="59"/>
      <c r="Z888" s="59"/>
      <c r="AA888" s="59"/>
      <c r="AB888" s="59"/>
      <c r="AC888" s="59">
        <v>88</v>
      </c>
      <c r="AD888" s="59"/>
      <c r="AE888" s="60"/>
      <c r="AF888" s="24" t="s">
        <v>2043</v>
      </c>
      <c r="AG888" s="59"/>
      <c r="AH888" s="61">
        <v>100883</v>
      </c>
      <c r="AI888" s="61" t="s">
        <v>264</v>
      </c>
      <c r="AJ888" s="61"/>
      <c r="AK888" s="62" t="s">
        <v>373</v>
      </c>
      <c r="AL888" s="62"/>
      <c r="AM888" s="63"/>
      <c r="AN888" s="63"/>
      <c r="AO888" s="63"/>
      <c r="AP888" s="63"/>
      <c r="AQ888" s="63"/>
      <c r="AR888" s="63"/>
      <c r="AS888" s="63"/>
      <c r="AT888" s="63"/>
      <c r="AU888" s="61"/>
      <c r="AV888" s="61"/>
      <c r="AW888" s="61"/>
      <c r="AX888" s="62"/>
      <c r="AY888" s="62"/>
      <c r="AZ888" s="63"/>
      <c r="BA888" s="63"/>
      <c r="BB888" s="63"/>
      <c r="BC888" s="63"/>
      <c r="BD888" s="63"/>
      <c r="BE888" s="63"/>
      <c r="BF888" s="63"/>
      <c r="BG888" s="63"/>
      <c r="BH888" s="61"/>
      <c r="BI888" s="61"/>
      <c r="BJ888" s="61"/>
      <c r="BK888" s="62"/>
      <c r="BL888" s="62"/>
      <c r="BM888" s="63"/>
      <c r="BN888" s="63"/>
      <c r="BO888" s="63"/>
      <c r="BP888" s="63"/>
      <c r="BQ888" s="63"/>
      <c r="BR888" s="63"/>
      <c r="BS888" s="63"/>
      <c r="BT888" s="63"/>
      <c r="BU888" s="61"/>
      <c r="BV888" s="61"/>
      <c r="BW888" s="61"/>
      <c r="BX888" s="62"/>
      <c r="BY888" s="62"/>
      <c r="BZ888" s="63"/>
      <c r="CA888" s="63"/>
      <c r="CB888" s="63"/>
      <c r="CC888" s="63"/>
      <c r="CD888" s="63"/>
      <c r="CE888" s="63"/>
      <c r="CF888" s="63"/>
      <c r="CG888" s="63"/>
      <c r="CH888" s="64"/>
      <c r="CJ888" s="63"/>
      <c r="CT888" s="65"/>
      <c r="CU888" s="65"/>
      <c r="CV888" s="65"/>
      <c r="CW888" s="65"/>
      <c r="CX888" s="65"/>
      <c r="CY888" s="65"/>
      <c r="CZ888" s="65"/>
      <c r="DA888" s="65"/>
      <c r="DB888" s="65"/>
      <c r="DC888" s="63"/>
    </row>
    <row r="889" spans="1:107" s="57" customFormat="1" ht="12.75" customHeight="1" x14ac:dyDescent="0.2">
      <c r="A889" s="55">
        <v>10088</v>
      </c>
      <c r="B889" s="56">
        <v>4</v>
      </c>
      <c r="C889" s="56">
        <f t="shared" si="69"/>
        <v>100880004</v>
      </c>
      <c r="D889" s="57" t="s">
        <v>4268</v>
      </c>
      <c r="E889" s="58" t="s">
        <v>109</v>
      </c>
      <c r="F889" s="58"/>
      <c r="G889" s="58"/>
      <c r="H889" s="58"/>
      <c r="I889" s="59" t="s">
        <v>206</v>
      </c>
      <c r="J889" s="59"/>
      <c r="K889" s="59"/>
      <c r="L889" s="59"/>
      <c r="M889" s="59"/>
      <c r="N889" s="59" t="s">
        <v>163</v>
      </c>
      <c r="O889" s="59" t="s">
        <v>163</v>
      </c>
      <c r="P889" s="59"/>
      <c r="Q889" s="59" t="s">
        <v>2041</v>
      </c>
      <c r="R889" s="59"/>
      <c r="S889" s="59"/>
      <c r="T889" s="59" t="s">
        <v>2307</v>
      </c>
      <c r="U889" s="122" t="s">
        <v>4283</v>
      </c>
      <c r="V889" s="59" t="s">
        <v>109</v>
      </c>
      <c r="W889" s="59" t="s">
        <v>1</v>
      </c>
      <c r="X889" s="59"/>
      <c r="Z889" s="59"/>
      <c r="AA889" s="59"/>
      <c r="AB889" s="59"/>
      <c r="AC889" s="59">
        <v>88</v>
      </c>
      <c r="AD889" s="59"/>
      <c r="AE889" s="60"/>
      <c r="AF889" s="24" t="s">
        <v>2043</v>
      </c>
      <c r="AG889" s="59"/>
      <c r="AH889" s="61">
        <v>100884</v>
      </c>
      <c r="AI889" s="61" t="s">
        <v>265</v>
      </c>
      <c r="AJ889" s="61"/>
      <c r="AK889" s="62" t="s">
        <v>374</v>
      </c>
      <c r="AL889" s="62"/>
      <c r="AM889" s="63"/>
      <c r="AN889" s="63"/>
      <c r="AO889" s="63"/>
      <c r="AP889" s="63"/>
      <c r="AQ889" s="63"/>
      <c r="AR889" s="63"/>
      <c r="AS889" s="63"/>
      <c r="AT889" s="63"/>
      <c r="AU889" s="61"/>
      <c r="AV889" s="61"/>
      <c r="AW889" s="61"/>
      <c r="AX889" s="62"/>
      <c r="AY889" s="62"/>
      <c r="AZ889" s="63"/>
      <c r="BA889" s="63"/>
      <c r="BB889" s="63"/>
      <c r="BC889" s="63"/>
      <c r="BD889" s="63"/>
      <c r="BE889" s="63"/>
      <c r="BF889" s="63"/>
      <c r="BG889" s="63"/>
      <c r="BH889" s="61"/>
      <c r="BI889" s="61"/>
      <c r="BJ889" s="61"/>
      <c r="BK889" s="62"/>
      <c r="BL889" s="62"/>
      <c r="BM889" s="63"/>
      <c r="BN889" s="63"/>
      <c r="BO889" s="63"/>
      <c r="BP889" s="63"/>
      <c r="BQ889" s="63"/>
      <c r="BR889" s="63"/>
      <c r="BS889" s="63"/>
      <c r="BT889" s="63"/>
      <c r="BU889" s="61"/>
      <c r="BV889" s="61"/>
      <c r="BW889" s="61"/>
      <c r="BX889" s="62"/>
      <c r="BY889" s="62"/>
      <c r="BZ889" s="63"/>
      <c r="CA889" s="63"/>
      <c r="CB889" s="63"/>
      <c r="CC889" s="63"/>
      <c r="CD889" s="63"/>
      <c r="CE889" s="63"/>
      <c r="CF889" s="63"/>
      <c r="CG889" s="63"/>
      <c r="CH889" s="64"/>
      <c r="CJ889" s="63"/>
      <c r="CT889" s="65"/>
      <c r="CU889" s="65"/>
      <c r="CV889" s="65"/>
      <c r="CW889" s="65"/>
      <c r="CX889" s="65"/>
      <c r="CY889" s="65"/>
      <c r="CZ889" s="65"/>
      <c r="DA889" s="65"/>
      <c r="DB889" s="65"/>
      <c r="DC889" s="63"/>
    </row>
    <row r="890" spans="1:107" s="57" customFormat="1" x14ac:dyDescent="0.2">
      <c r="A890" s="55">
        <v>10088</v>
      </c>
      <c r="B890" s="56">
        <v>5</v>
      </c>
      <c r="C890" s="56">
        <f t="shared" si="69"/>
        <v>100880005</v>
      </c>
      <c r="D890" s="57" t="s">
        <v>4289</v>
      </c>
      <c r="E890" s="58" t="s">
        <v>109</v>
      </c>
      <c r="F890" s="58"/>
      <c r="G890" s="58"/>
      <c r="H890" s="58"/>
      <c r="I890" s="59" t="s">
        <v>206</v>
      </c>
      <c r="J890" s="59"/>
      <c r="K890" s="59"/>
      <c r="L890" s="59"/>
      <c r="M890" s="59"/>
      <c r="N890" s="59" t="s">
        <v>163</v>
      </c>
      <c r="O890" s="59" t="s">
        <v>163</v>
      </c>
      <c r="P890" s="59"/>
      <c r="Q890" s="59" t="s">
        <v>2041</v>
      </c>
      <c r="R890" s="59"/>
      <c r="S890" s="59"/>
      <c r="T890" s="59" t="s">
        <v>2307</v>
      </c>
      <c r="U890" s="122" t="s">
        <v>4290</v>
      </c>
      <c r="V890" s="59" t="s">
        <v>109</v>
      </c>
      <c r="W890" s="59" t="s">
        <v>1</v>
      </c>
      <c r="X890" s="59"/>
      <c r="Z890" s="59"/>
      <c r="AA890" s="59"/>
      <c r="AB890" s="59"/>
      <c r="AC890" s="59" t="s">
        <v>4291</v>
      </c>
      <c r="AD890" s="59"/>
      <c r="AE890" s="60"/>
      <c r="AF890" s="24" t="s">
        <v>2043</v>
      </c>
      <c r="AG890" s="59"/>
      <c r="AH890" s="61" t="s">
        <v>4292</v>
      </c>
      <c r="AI890" s="61" t="s">
        <v>266</v>
      </c>
      <c r="AJ890" s="61"/>
      <c r="AK890" s="62" t="s">
        <v>375</v>
      </c>
      <c r="AL890" s="62"/>
      <c r="AM890" s="63"/>
      <c r="AN890" s="63"/>
      <c r="AO890" s="63"/>
      <c r="AP890" s="63"/>
      <c r="AQ890" s="63"/>
      <c r="AR890" s="63"/>
      <c r="AS890" s="63"/>
      <c r="AT890" s="63"/>
      <c r="AU890" s="61"/>
      <c r="AV890" s="61"/>
      <c r="AW890" s="61"/>
      <c r="AX890" s="62"/>
      <c r="AY890" s="62"/>
      <c r="AZ890" s="63"/>
      <c r="BA890" s="63"/>
      <c r="BB890" s="63"/>
      <c r="BC890" s="63"/>
      <c r="BD890" s="63"/>
      <c r="BE890" s="63"/>
      <c r="BF890" s="63"/>
      <c r="BG890" s="63"/>
      <c r="BH890" s="61"/>
      <c r="BI890" s="61"/>
      <c r="BJ890" s="61"/>
      <c r="BK890" s="62"/>
      <c r="BL890" s="62"/>
      <c r="BM890" s="63"/>
      <c r="BN890" s="63"/>
      <c r="BO890" s="63"/>
      <c r="BP890" s="63"/>
      <c r="BQ890" s="63"/>
      <c r="BR890" s="63"/>
      <c r="BS890" s="63"/>
      <c r="BT890" s="63"/>
      <c r="BU890" s="61"/>
      <c r="BV890" s="61"/>
      <c r="BW890" s="61"/>
      <c r="BX890" s="62"/>
      <c r="BY890" s="62"/>
      <c r="BZ890" s="63"/>
      <c r="CA890" s="63"/>
      <c r="CB890" s="63"/>
      <c r="CC890" s="63"/>
      <c r="CD890" s="63"/>
      <c r="CE890" s="63"/>
      <c r="CF890" s="63"/>
      <c r="CG890" s="63"/>
      <c r="CH890" s="64"/>
      <c r="CJ890" s="63"/>
      <c r="CT890" s="65"/>
      <c r="CU890" s="65"/>
      <c r="CV890" s="65"/>
      <c r="CW890" s="65"/>
      <c r="CX890" s="65"/>
      <c r="CY890" s="65"/>
      <c r="CZ890" s="65"/>
      <c r="DA890" s="65"/>
      <c r="DB890" s="65"/>
      <c r="DC890" s="63"/>
    </row>
    <row r="891" spans="1:107" s="57" customFormat="1" x14ac:dyDescent="0.2">
      <c r="A891" s="55">
        <v>10089</v>
      </c>
      <c r="B891" s="56">
        <v>1</v>
      </c>
      <c r="C891" s="56">
        <f t="shared" ref="C891:C895" si="72">A891*10000+B891</f>
        <v>100890001</v>
      </c>
      <c r="D891" s="57" t="s">
        <v>4274</v>
      </c>
      <c r="E891" s="58" t="s">
        <v>109</v>
      </c>
      <c r="F891" s="58"/>
      <c r="G891" s="58"/>
      <c r="H891" s="58"/>
      <c r="I891" s="59" t="s">
        <v>206</v>
      </c>
      <c r="J891" s="59"/>
      <c r="K891" s="59"/>
      <c r="L891" s="59"/>
      <c r="M891" s="59"/>
      <c r="N891" s="59" t="s">
        <v>163</v>
      </c>
      <c r="O891" s="59" t="s">
        <v>163</v>
      </c>
      <c r="P891" s="59"/>
      <c r="Q891" s="59" t="s">
        <v>2041</v>
      </c>
      <c r="R891" s="59"/>
      <c r="S891" s="59"/>
      <c r="T891" s="59" t="s">
        <v>2307</v>
      </c>
      <c r="U891" s="122" t="s">
        <v>4284</v>
      </c>
      <c r="V891" s="59" t="s">
        <v>109</v>
      </c>
      <c r="W891" s="59" t="s">
        <v>1</v>
      </c>
      <c r="X891" s="59"/>
      <c r="Z891" s="59"/>
      <c r="AA891" s="59"/>
      <c r="AB891" s="59"/>
      <c r="AC891" s="59">
        <v>89</v>
      </c>
      <c r="AD891" s="59"/>
      <c r="AE891" s="60"/>
      <c r="AF891" s="24" t="s">
        <v>2043</v>
      </c>
      <c r="AG891" s="59"/>
      <c r="AH891" s="61"/>
      <c r="AI891" s="61" t="s">
        <v>176</v>
      </c>
      <c r="AJ891" s="61"/>
      <c r="AK891" s="62" t="s">
        <v>136</v>
      </c>
      <c r="AL891" s="62"/>
      <c r="AM891" s="63"/>
      <c r="AN891" s="63"/>
      <c r="AO891" s="63"/>
      <c r="AP891" s="63"/>
      <c r="AQ891" s="63"/>
      <c r="AR891" s="63"/>
      <c r="AS891" s="63"/>
      <c r="AT891" s="63"/>
      <c r="AU891" s="61"/>
      <c r="AV891" s="61"/>
      <c r="AW891" s="61"/>
      <c r="AX891" s="62"/>
      <c r="AY891" s="62"/>
      <c r="AZ891" s="63"/>
      <c r="BA891" s="63"/>
      <c r="BB891" s="63"/>
      <c r="BC891" s="63"/>
      <c r="BD891" s="63"/>
      <c r="BE891" s="63"/>
      <c r="BF891" s="63"/>
      <c r="BG891" s="63"/>
      <c r="BH891" s="61"/>
      <c r="BI891" s="61"/>
      <c r="BJ891" s="61"/>
      <c r="BK891" s="62"/>
      <c r="BL891" s="62"/>
      <c r="BM891" s="63"/>
      <c r="BN891" s="63"/>
      <c r="BO891" s="63"/>
      <c r="BP891" s="63"/>
      <c r="BQ891" s="63"/>
      <c r="BR891" s="63"/>
      <c r="BS891" s="63"/>
      <c r="BT891" s="63"/>
      <c r="BU891" s="61"/>
      <c r="BV891" s="61"/>
      <c r="BW891" s="61"/>
      <c r="BX891" s="62"/>
      <c r="BY891" s="62"/>
      <c r="BZ891" s="63"/>
      <c r="CA891" s="63"/>
      <c r="CB891" s="63"/>
      <c r="CC891" s="63"/>
      <c r="CD891" s="63"/>
      <c r="CE891" s="63"/>
      <c r="CF891" s="63"/>
      <c r="CG891" s="63"/>
      <c r="CH891" s="64"/>
      <c r="CJ891" s="63"/>
      <c r="CT891" s="65"/>
      <c r="CU891" s="65"/>
      <c r="CV891" s="65"/>
      <c r="CW891" s="65"/>
      <c r="CX891" s="65"/>
      <c r="CY891" s="65"/>
      <c r="CZ891" s="65"/>
      <c r="DA891" s="65"/>
      <c r="DB891" s="65"/>
      <c r="DC891" s="63"/>
    </row>
    <row r="892" spans="1:107" s="57" customFormat="1" x14ac:dyDescent="0.2">
      <c r="A892" s="55">
        <v>10089</v>
      </c>
      <c r="B892" s="56">
        <v>2</v>
      </c>
      <c r="C892" s="56">
        <f t="shared" si="72"/>
        <v>100890002</v>
      </c>
      <c r="D892" s="57" t="s">
        <v>4274</v>
      </c>
      <c r="E892" s="58" t="s">
        <v>109</v>
      </c>
      <c r="F892" s="58"/>
      <c r="G892" s="58"/>
      <c r="H892" s="58"/>
      <c r="I892" s="59" t="s">
        <v>206</v>
      </c>
      <c r="J892" s="59"/>
      <c r="K892" s="59"/>
      <c r="L892" s="59"/>
      <c r="M892" s="59"/>
      <c r="N892" s="59" t="s">
        <v>163</v>
      </c>
      <c r="O892" s="59" t="s">
        <v>163</v>
      </c>
      <c r="P892" s="59"/>
      <c r="Q892" s="59" t="s">
        <v>2041</v>
      </c>
      <c r="R892" s="59"/>
      <c r="S892" s="59"/>
      <c r="T892" s="59" t="s">
        <v>2307</v>
      </c>
      <c r="U892" s="122" t="s">
        <v>4285</v>
      </c>
      <c r="V892" s="59" t="s">
        <v>109</v>
      </c>
      <c r="W892" s="59" t="s">
        <v>1</v>
      </c>
      <c r="X892" s="59"/>
      <c r="Z892" s="59"/>
      <c r="AA892" s="59"/>
      <c r="AB892" s="59"/>
      <c r="AC892" s="59">
        <v>89</v>
      </c>
      <c r="AD892" s="59"/>
      <c r="AE892" s="60"/>
      <c r="AF892" s="24" t="s">
        <v>2043</v>
      </c>
      <c r="AG892" s="59"/>
      <c r="AH892" s="61"/>
      <c r="AI892" s="61" t="s">
        <v>260</v>
      </c>
      <c r="AJ892" s="61"/>
      <c r="AK892" s="62" t="s">
        <v>139</v>
      </c>
      <c r="AL892" s="62"/>
      <c r="AM892" s="63"/>
      <c r="AN892" s="63"/>
      <c r="AO892" s="63"/>
      <c r="AP892" s="63"/>
      <c r="AQ892" s="63"/>
      <c r="AR892" s="63"/>
      <c r="AS892" s="63"/>
      <c r="AT892" s="63"/>
      <c r="AU892" s="61"/>
      <c r="AV892" s="61"/>
      <c r="AW892" s="61"/>
      <c r="AX892" s="62"/>
      <c r="AY892" s="62"/>
      <c r="AZ892" s="63"/>
      <c r="BA892" s="63"/>
      <c r="BB892" s="63"/>
      <c r="BC892" s="63"/>
      <c r="BD892" s="63"/>
      <c r="BE892" s="63"/>
      <c r="BF892" s="63"/>
      <c r="BG892" s="63"/>
      <c r="BH892" s="61"/>
      <c r="BI892" s="61"/>
      <c r="BJ892" s="61"/>
      <c r="BK892" s="62"/>
      <c r="BL892" s="62"/>
      <c r="BM892" s="63"/>
      <c r="BN892" s="63"/>
      <c r="BO892" s="63"/>
      <c r="BP892" s="63"/>
      <c r="BQ892" s="63"/>
      <c r="BR892" s="63"/>
      <c r="BS892" s="63"/>
      <c r="BT892" s="63"/>
      <c r="BU892" s="61"/>
      <c r="BV892" s="61"/>
      <c r="BW892" s="61"/>
      <c r="BX892" s="62"/>
      <c r="BY892" s="62"/>
      <c r="BZ892" s="63"/>
      <c r="CA892" s="63"/>
      <c r="CB892" s="63"/>
      <c r="CC892" s="63"/>
      <c r="CD892" s="63"/>
      <c r="CE892" s="63"/>
      <c r="CF892" s="63"/>
      <c r="CG892" s="63"/>
      <c r="CH892" s="64"/>
      <c r="CJ892" s="63"/>
      <c r="CT892" s="65"/>
      <c r="CU892" s="65"/>
      <c r="CV892" s="65"/>
      <c r="CW892" s="65"/>
      <c r="CX892" s="65"/>
      <c r="CY892" s="65"/>
      <c r="CZ892" s="65"/>
      <c r="DA892" s="65"/>
      <c r="DB892" s="65"/>
      <c r="DC892" s="63"/>
    </row>
    <row r="893" spans="1:107" s="57" customFormat="1" x14ac:dyDescent="0.2">
      <c r="A893" s="55">
        <v>10089</v>
      </c>
      <c r="B893" s="56">
        <v>3</v>
      </c>
      <c r="C893" s="56">
        <f t="shared" si="72"/>
        <v>100890003</v>
      </c>
      <c r="D893" s="57" t="s">
        <v>4274</v>
      </c>
      <c r="E893" s="58" t="s">
        <v>109</v>
      </c>
      <c r="F893" s="58"/>
      <c r="G893" s="58"/>
      <c r="H893" s="58"/>
      <c r="I893" s="59" t="s">
        <v>206</v>
      </c>
      <c r="J893" s="59"/>
      <c r="K893" s="59"/>
      <c r="L893" s="59"/>
      <c r="M893" s="59"/>
      <c r="N893" s="59" t="s">
        <v>163</v>
      </c>
      <c r="O893" s="59" t="s">
        <v>163</v>
      </c>
      <c r="P893" s="59"/>
      <c r="Q893" s="59" t="s">
        <v>2041</v>
      </c>
      <c r="R893" s="59"/>
      <c r="S893" s="59"/>
      <c r="T893" s="59" t="s">
        <v>2307</v>
      </c>
      <c r="U893" s="122" t="s">
        <v>4286</v>
      </c>
      <c r="V893" s="59" t="s">
        <v>109</v>
      </c>
      <c r="W893" s="59" t="s">
        <v>1</v>
      </c>
      <c r="X893" s="59"/>
      <c r="Z893" s="59"/>
      <c r="AA893" s="59"/>
      <c r="AB893" s="59"/>
      <c r="AC893" s="59">
        <v>89</v>
      </c>
      <c r="AD893" s="59"/>
      <c r="AE893" s="60"/>
      <c r="AF893" s="24" t="s">
        <v>2043</v>
      </c>
      <c r="AG893" s="59"/>
      <c r="AH893" s="61">
        <v>100893</v>
      </c>
      <c r="AI893" s="61" t="s">
        <v>264</v>
      </c>
      <c r="AJ893" s="61"/>
      <c r="AK893" s="62" t="s">
        <v>373</v>
      </c>
      <c r="AL893" s="62"/>
      <c r="AM893" s="63"/>
      <c r="AN893" s="63"/>
      <c r="AO893" s="63"/>
      <c r="AP893" s="63"/>
      <c r="AQ893" s="63"/>
      <c r="AR893" s="63"/>
      <c r="AS893" s="63"/>
      <c r="AT893" s="63"/>
      <c r="AU893" s="61"/>
      <c r="AV893" s="61"/>
      <c r="AW893" s="61"/>
      <c r="AX893" s="62"/>
      <c r="AY893" s="62"/>
      <c r="AZ893" s="63"/>
      <c r="BA893" s="63"/>
      <c r="BB893" s="63"/>
      <c r="BC893" s="63"/>
      <c r="BD893" s="63"/>
      <c r="BE893" s="63"/>
      <c r="BF893" s="63"/>
      <c r="BG893" s="63"/>
      <c r="BH893" s="61"/>
      <c r="BI893" s="61"/>
      <c r="BJ893" s="61"/>
      <c r="BK893" s="62"/>
      <c r="BL893" s="62"/>
      <c r="BM893" s="63"/>
      <c r="BN893" s="63"/>
      <c r="BO893" s="63"/>
      <c r="BP893" s="63"/>
      <c r="BQ893" s="63"/>
      <c r="BR893" s="63"/>
      <c r="BS893" s="63"/>
      <c r="BT893" s="63"/>
      <c r="BU893" s="61"/>
      <c r="BV893" s="61"/>
      <c r="BW893" s="61"/>
      <c r="BX893" s="62"/>
      <c r="BY893" s="62"/>
      <c r="BZ893" s="63"/>
      <c r="CA893" s="63"/>
      <c r="CB893" s="63"/>
      <c r="CC893" s="63"/>
      <c r="CD893" s="63"/>
      <c r="CE893" s="63"/>
      <c r="CF893" s="63"/>
      <c r="CG893" s="63"/>
      <c r="CH893" s="64"/>
      <c r="CJ893" s="63"/>
      <c r="CT893" s="65"/>
      <c r="CU893" s="65"/>
      <c r="CV893" s="65"/>
      <c r="CW893" s="65"/>
      <c r="CX893" s="65"/>
      <c r="CY893" s="65"/>
      <c r="CZ893" s="65"/>
      <c r="DA893" s="65"/>
      <c r="DB893" s="65"/>
      <c r="DC893" s="63"/>
    </row>
    <row r="894" spans="1:107" s="57" customFormat="1" ht="12.75" customHeight="1" x14ac:dyDescent="0.2">
      <c r="A894" s="55">
        <v>10089</v>
      </c>
      <c r="B894" s="56">
        <v>4</v>
      </c>
      <c r="C894" s="56">
        <f t="shared" si="72"/>
        <v>100890004</v>
      </c>
      <c r="D894" s="57" t="s">
        <v>4274</v>
      </c>
      <c r="E894" s="58" t="s">
        <v>109</v>
      </c>
      <c r="F894" s="58"/>
      <c r="G894" s="58"/>
      <c r="H894" s="58"/>
      <c r="I894" s="59" t="s">
        <v>206</v>
      </c>
      <c r="J894" s="59"/>
      <c r="K894" s="59"/>
      <c r="L894" s="59"/>
      <c r="M894" s="59"/>
      <c r="N894" s="59" t="s">
        <v>163</v>
      </c>
      <c r="O894" s="59" t="s">
        <v>163</v>
      </c>
      <c r="P894" s="59"/>
      <c r="Q894" s="59" t="s">
        <v>2041</v>
      </c>
      <c r="R894" s="59"/>
      <c r="S894" s="59"/>
      <c r="T894" s="59" t="s">
        <v>2307</v>
      </c>
      <c r="U894" s="122" t="s">
        <v>4287</v>
      </c>
      <c r="V894" s="59" t="s">
        <v>109</v>
      </c>
      <c r="W894" s="59" t="s">
        <v>1</v>
      </c>
      <c r="X894" s="59"/>
      <c r="Z894" s="59"/>
      <c r="AA894" s="59"/>
      <c r="AB894" s="59"/>
      <c r="AC894" s="59">
        <v>89</v>
      </c>
      <c r="AD894" s="59"/>
      <c r="AE894" s="60"/>
      <c r="AF894" s="24" t="s">
        <v>2043</v>
      </c>
      <c r="AG894" s="59"/>
      <c r="AH894" s="61">
        <v>100894</v>
      </c>
      <c r="AI894" s="61" t="s">
        <v>265</v>
      </c>
      <c r="AJ894" s="61"/>
      <c r="AK894" s="62" t="s">
        <v>374</v>
      </c>
      <c r="AL894" s="62"/>
      <c r="AM894" s="63"/>
      <c r="AN894" s="63"/>
      <c r="AO894" s="63"/>
      <c r="AP894" s="63"/>
      <c r="AQ894" s="63"/>
      <c r="AR894" s="63"/>
      <c r="AS894" s="63"/>
      <c r="AT894" s="63"/>
      <c r="AU894" s="61"/>
      <c r="AV894" s="61"/>
      <c r="AW894" s="61"/>
      <c r="AX894" s="62"/>
      <c r="AY894" s="62"/>
      <c r="AZ894" s="63"/>
      <c r="BA894" s="63"/>
      <c r="BB894" s="63"/>
      <c r="BC894" s="63"/>
      <c r="BD894" s="63"/>
      <c r="BE894" s="63"/>
      <c r="BF894" s="63"/>
      <c r="BG894" s="63"/>
      <c r="BH894" s="61"/>
      <c r="BI894" s="61"/>
      <c r="BJ894" s="61"/>
      <c r="BK894" s="62"/>
      <c r="BL894" s="62"/>
      <c r="BM894" s="63"/>
      <c r="BN894" s="63"/>
      <c r="BO894" s="63"/>
      <c r="BP894" s="63"/>
      <c r="BQ894" s="63"/>
      <c r="BR894" s="63"/>
      <c r="BS894" s="63"/>
      <c r="BT894" s="63"/>
      <c r="BU894" s="61"/>
      <c r="BV894" s="61"/>
      <c r="BW894" s="61"/>
      <c r="BX894" s="62"/>
      <c r="BY894" s="62"/>
      <c r="BZ894" s="63"/>
      <c r="CA894" s="63"/>
      <c r="CB894" s="63"/>
      <c r="CC894" s="63"/>
      <c r="CD894" s="63"/>
      <c r="CE894" s="63"/>
      <c r="CF894" s="63"/>
      <c r="CG894" s="63"/>
      <c r="CH894" s="64"/>
      <c r="CJ894" s="63"/>
      <c r="CT894" s="65"/>
      <c r="CU894" s="65"/>
      <c r="CV894" s="65"/>
      <c r="CW894" s="65"/>
      <c r="CX894" s="65"/>
      <c r="CY894" s="65"/>
      <c r="CZ894" s="65"/>
      <c r="DA894" s="65"/>
      <c r="DB894" s="65"/>
      <c r="DC894" s="63"/>
    </row>
    <row r="895" spans="1:107" s="57" customFormat="1" x14ac:dyDescent="0.2">
      <c r="A895" s="55">
        <v>10089</v>
      </c>
      <c r="B895" s="56">
        <v>5</v>
      </c>
      <c r="C895" s="56">
        <f t="shared" si="72"/>
        <v>100890005</v>
      </c>
      <c r="D895" s="57" t="s">
        <v>4274</v>
      </c>
      <c r="E895" s="58" t="s">
        <v>109</v>
      </c>
      <c r="F895" s="58"/>
      <c r="G895" s="58"/>
      <c r="H895" s="58"/>
      <c r="I895" s="59" t="s">
        <v>206</v>
      </c>
      <c r="J895" s="59"/>
      <c r="K895" s="59"/>
      <c r="L895" s="59"/>
      <c r="M895" s="59"/>
      <c r="N895" s="59" t="s">
        <v>163</v>
      </c>
      <c r="O895" s="59" t="s">
        <v>163</v>
      </c>
      <c r="P895" s="59"/>
      <c r="Q895" s="59" t="s">
        <v>2041</v>
      </c>
      <c r="R895" s="59"/>
      <c r="S895" s="59"/>
      <c r="T895" s="59" t="s">
        <v>2307</v>
      </c>
      <c r="U895" s="122" t="s">
        <v>4288</v>
      </c>
      <c r="V895" s="59" t="s">
        <v>109</v>
      </c>
      <c r="W895" s="59" t="s">
        <v>1</v>
      </c>
      <c r="X895" s="59"/>
      <c r="Z895" s="59"/>
      <c r="AA895" s="59"/>
      <c r="AB895" s="59"/>
      <c r="AC895" s="59">
        <v>89</v>
      </c>
      <c r="AD895" s="59"/>
      <c r="AE895" s="60"/>
      <c r="AF895" s="24" t="s">
        <v>2043</v>
      </c>
      <c r="AG895" s="59"/>
      <c r="AH895" s="61">
        <v>100895</v>
      </c>
      <c r="AI895" s="61" t="s">
        <v>266</v>
      </c>
      <c r="AJ895" s="61"/>
      <c r="AK895" s="62" t="s">
        <v>375</v>
      </c>
      <c r="AL895" s="62"/>
      <c r="AM895" s="63"/>
      <c r="AN895" s="63"/>
      <c r="AO895" s="63"/>
      <c r="AP895" s="63"/>
      <c r="AQ895" s="63"/>
      <c r="AR895" s="63"/>
      <c r="AS895" s="63"/>
      <c r="AT895" s="63"/>
      <c r="AU895" s="61"/>
      <c r="AV895" s="61"/>
      <c r="AW895" s="61"/>
      <c r="AX895" s="62"/>
      <c r="AY895" s="62"/>
      <c r="AZ895" s="63"/>
      <c r="BA895" s="63"/>
      <c r="BB895" s="63"/>
      <c r="BC895" s="63"/>
      <c r="BD895" s="63"/>
      <c r="BE895" s="63"/>
      <c r="BF895" s="63"/>
      <c r="BG895" s="63"/>
      <c r="BH895" s="61"/>
      <c r="BI895" s="61"/>
      <c r="BJ895" s="61"/>
      <c r="BK895" s="62"/>
      <c r="BL895" s="62"/>
      <c r="BM895" s="63"/>
      <c r="BN895" s="63"/>
      <c r="BO895" s="63"/>
      <c r="BP895" s="63"/>
      <c r="BQ895" s="63"/>
      <c r="BR895" s="63"/>
      <c r="BS895" s="63"/>
      <c r="BT895" s="63"/>
      <c r="BU895" s="61"/>
      <c r="BV895" s="61"/>
      <c r="BW895" s="61"/>
      <c r="BX895" s="62"/>
      <c r="BY895" s="62"/>
      <c r="BZ895" s="63"/>
      <c r="CA895" s="63"/>
      <c r="CB895" s="63"/>
      <c r="CC895" s="63"/>
      <c r="CD895" s="63"/>
      <c r="CE895" s="63"/>
      <c r="CF895" s="63"/>
      <c r="CG895" s="63"/>
      <c r="CH895" s="64"/>
      <c r="CJ895" s="63"/>
      <c r="CT895" s="65"/>
      <c r="CU895" s="65"/>
      <c r="CV895" s="65"/>
      <c r="CW895" s="65"/>
      <c r="CX895" s="65"/>
      <c r="CY895" s="65"/>
      <c r="CZ895" s="65"/>
      <c r="DA895" s="65"/>
      <c r="DB895" s="65"/>
      <c r="DC895" s="63"/>
    </row>
    <row r="896" spans="1:107" x14ac:dyDescent="0.2">
      <c r="A896" s="18">
        <v>10090</v>
      </c>
      <c r="B896" s="19">
        <v>1</v>
      </c>
      <c r="C896" s="19">
        <f t="shared" si="69"/>
        <v>100900001</v>
      </c>
      <c r="D896" s="23" t="s">
        <v>712</v>
      </c>
      <c r="E896" s="20" t="s">
        <v>109</v>
      </c>
      <c r="I896" s="22" t="s">
        <v>206</v>
      </c>
      <c r="J896" s="22"/>
      <c r="K896" s="22"/>
      <c r="L896" s="22"/>
      <c r="M896" s="22"/>
      <c r="N896" s="22" t="s">
        <v>163</v>
      </c>
      <c r="O896" s="22" t="s">
        <v>163</v>
      </c>
      <c r="P896" s="22"/>
      <c r="Q896" s="22" t="s">
        <v>2041</v>
      </c>
      <c r="R896" s="22"/>
      <c r="S896" s="22"/>
      <c r="T896" s="22" t="s">
        <v>2307</v>
      </c>
      <c r="U896" s="116" t="s">
        <v>2674</v>
      </c>
      <c r="V896" s="22" t="s">
        <v>109</v>
      </c>
      <c r="W896" s="22" t="s">
        <v>1</v>
      </c>
      <c r="X896" s="22"/>
      <c r="Z896" s="22"/>
      <c r="AA896" s="22"/>
      <c r="AB896" s="22"/>
      <c r="AC896" s="22" t="s">
        <v>711</v>
      </c>
      <c r="AD896" s="22"/>
      <c r="AE896" s="24"/>
      <c r="AF896" s="24" t="s">
        <v>2043</v>
      </c>
      <c r="AG896" s="22"/>
      <c r="AI896" s="25" t="s">
        <v>176</v>
      </c>
      <c r="AK896" s="40" t="s">
        <v>136</v>
      </c>
      <c r="AL896" s="40"/>
      <c r="AX896" s="27"/>
      <c r="AY896" s="27"/>
      <c r="BK896" s="27"/>
      <c r="BL896" s="27"/>
      <c r="BX896" s="27"/>
      <c r="BY896" s="27"/>
      <c r="CH896" s="29"/>
    </row>
    <row r="897" spans="1:86" x14ac:dyDescent="0.2">
      <c r="A897" s="18">
        <v>10090</v>
      </c>
      <c r="B897" s="19">
        <v>2</v>
      </c>
      <c r="C897" s="19">
        <f t="shared" si="69"/>
        <v>100900002</v>
      </c>
      <c r="D897" s="23" t="s">
        <v>712</v>
      </c>
      <c r="E897" s="20" t="s">
        <v>109</v>
      </c>
      <c r="I897" s="22" t="s">
        <v>206</v>
      </c>
      <c r="J897" s="22"/>
      <c r="K897" s="22"/>
      <c r="L897" s="22"/>
      <c r="M897" s="22"/>
      <c r="N897" s="22" t="s">
        <v>163</v>
      </c>
      <c r="O897" s="22" t="s">
        <v>163</v>
      </c>
      <c r="P897" s="22"/>
      <c r="Q897" s="22" t="s">
        <v>2041</v>
      </c>
      <c r="R897" s="22"/>
      <c r="S897" s="22"/>
      <c r="T897" s="22" t="s">
        <v>2307</v>
      </c>
      <c r="U897" s="116" t="s">
        <v>2675</v>
      </c>
      <c r="V897" s="22" t="s">
        <v>109</v>
      </c>
      <c r="W897" s="22" t="s">
        <v>1</v>
      </c>
      <c r="X897" s="22"/>
      <c r="Z897" s="22"/>
      <c r="AA897" s="22"/>
      <c r="AB897" s="22"/>
      <c r="AC897" s="22" t="s">
        <v>711</v>
      </c>
      <c r="AD897" s="22"/>
      <c r="AE897" s="24"/>
      <c r="AF897" s="24" t="s">
        <v>2043</v>
      </c>
      <c r="AG897" s="22"/>
      <c r="AI897" s="25" t="s">
        <v>260</v>
      </c>
      <c r="AK897" s="40" t="s">
        <v>139</v>
      </c>
      <c r="AL897" s="40"/>
      <c r="AX897" s="27"/>
      <c r="AY897" s="27"/>
      <c r="BK897" s="27"/>
      <c r="BL897" s="27"/>
      <c r="BX897" s="27"/>
      <c r="BY897" s="27"/>
      <c r="CH897" s="29"/>
    </row>
    <row r="898" spans="1:86" x14ac:dyDescent="0.2">
      <c r="A898" s="18">
        <v>10090</v>
      </c>
      <c r="B898" s="19">
        <v>3</v>
      </c>
      <c r="C898" s="19">
        <f t="shared" si="69"/>
        <v>100900003</v>
      </c>
      <c r="D898" s="23" t="s">
        <v>712</v>
      </c>
      <c r="E898" s="20" t="s">
        <v>109</v>
      </c>
      <c r="I898" s="22" t="s">
        <v>206</v>
      </c>
      <c r="J898" s="22"/>
      <c r="K898" s="22"/>
      <c r="L898" s="22"/>
      <c r="M898" s="22"/>
      <c r="N898" s="22" t="s">
        <v>163</v>
      </c>
      <c r="O898" s="22" t="s">
        <v>163</v>
      </c>
      <c r="P898" s="22"/>
      <c r="Q898" s="22" t="s">
        <v>2041</v>
      </c>
      <c r="R898" s="22"/>
      <c r="S898" s="22"/>
      <c r="T898" s="22" t="s">
        <v>2307</v>
      </c>
      <c r="U898" s="116" t="s">
        <v>2676</v>
      </c>
      <c r="V898" s="22" t="s">
        <v>109</v>
      </c>
      <c r="W898" s="22" t="s">
        <v>1</v>
      </c>
      <c r="X898" s="22"/>
      <c r="Z898" s="22"/>
      <c r="AA898" s="22"/>
      <c r="AB898" s="22"/>
      <c r="AC898" s="22" t="s">
        <v>711</v>
      </c>
      <c r="AD898" s="22"/>
      <c r="AE898" s="24"/>
      <c r="AF898" s="24" t="s">
        <v>2043</v>
      </c>
      <c r="AG898" s="22"/>
      <c r="AH898" s="25">
        <v>100903</v>
      </c>
      <c r="AI898" s="25" t="s">
        <v>264</v>
      </c>
      <c r="AK898" s="40" t="s">
        <v>373</v>
      </c>
      <c r="AL898" s="40"/>
      <c r="AX898" s="27"/>
      <c r="AY898" s="27"/>
      <c r="BK898" s="27"/>
      <c r="BL898" s="27"/>
      <c r="BX898" s="27"/>
      <c r="BY898" s="27"/>
      <c r="CH898" s="29"/>
    </row>
    <row r="899" spans="1:86" ht="12.75" customHeight="1" x14ac:dyDescent="0.2">
      <c r="A899" s="18">
        <v>10090</v>
      </c>
      <c r="B899" s="19">
        <v>4</v>
      </c>
      <c r="C899" s="19">
        <f t="shared" si="69"/>
        <v>100900004</v>
      </c>
      <c r="D899" s="23" t="s">
        <v>712</v>
      </c>
      <c r="E899" s="20" t="s">
        <v>109</v>
      </c>
      <c r="I899" s="22" t="s">
        <v>206</v>
      </c>
      <c r="J899" s="22"/>
      <c r="K899" s="22"/>
      <c r="L899" s="22"/>
      <c r="M899" s="22"/>
      <c r="N899" s="22" t="s">
        <v>163</v>
      </c>
      <c r="O899" s="22" t="s">
        <v>163</v>
      </c>
      <c r="P899" s="22"/>
      <c r="Q899" s="22" t="s">
        <v>2041</v>
      </c>
      <c r="R899" s="22"/>
      <c r="S899" s="22"/>
      <c r="T899" s="22" t="s">
        <v>2307</v>
      </c>
      <c r="U899" s="116" t="s">
        <v>2677</v>
      </c>
      <c r="V899" s="22" t="s">
        <v>109</v>
      </c>
      <c r="W899" s="22" t="s">
        <v>1</v>
      </c>
      <c r="X899" s="22"/>
      <c r="Z899" s="22"/>
      <c r="AA899" s="22"/>
      <c r="AB899" s="22"/>
      <c r="AC899" s="22" t="s">
        <v>711</v>
      </c>
      <c r="AD899" s="22"/>
      <c r="AE899" s="24"/>
      <c r="AF899" s="24" t="s">
        <v>2043</v>
      </c>
      <c r="AG899" s="22"/>
      <c r="AH899" s="25">
        <v>100904</v>
      </c>
      <c r="AI899" s="25" t="s">
        <v>265</v>
      </c>
      <c r="AK899" s="40" t="s">
        <v>374</v>
      </c>
      <c r="AL899" s="40"/>
      <c r="AX899" s="27"/>
      <c r="AY899" s="27"/>
      <c r="BK899" s="27"/>
      <c r="BL899" s="27"/>
      <c r="BX899" s="27"/>
      <c r="BY899" s="27"/>
      <c r="CH899" s="29"/>
    </row>
    <row r="900" spans="1:86" x14ac:dyDescent="0.2">
      <c r="A900" s="18">
        <v>10090</v>
      </c>
      <c r="B900" s="19">
        <v>5</v>
      </c>
      <c r="C900" s="19">
        <f t="shared" si="69"/>
        <v>100900005</v>
      </c>
      <c r="D900" s="23" t="s">
        <v>712</v>
      </c>
      <c r="E900" s="20" t="s">
        <v>109</v>
      </c>
      <c r="I900" s="22" t="s">
        <v>206</v>
      </c>
      <c r="J900" s="22"/>
      <c r="K900" s="22"/>
      <c r="L900" s="22"/>
      <c r="M900" s="22"/>
      <c r="N900" s="22" t="s">
        <v>163</v>
      </c>
      <c r="O900" s="22" t="s">
        <v>163</v>
      </c>
      <c r="P900" s="22"/>
      <c r="Q900" s="22" t="s">
        <v>2041</v>
      </c>
      <c r="R900" s="22"/>
      <c r="S900" s="22"/>
      <c r="T900" s="22" t="s">
        <v>2307</v>
      </c>
      <c r="U900" s="116" t="s">
        <v>2678</v>
      </c>
      <c r="V900" s="22" t="s">
        <v>109</v>
      </c>
      <c r="W900" s="22" t="s">
        <v>1</v>
      </c>
      <c r="X900" s="22"/>
      <c r="Z900" s="22"/>
      <c r="AA900" s="22"/>
      <c r="AB900" s="22"/>
      <c r="AC900" s="22" t="s">
        <v>711</v>
      </c>
      <c r="AD900" s="22"/>
      <c r="AE900" s="24"/>
      <c r="AF900" s="24" t="s">
        <v>2043</v>
      </c>
      <c r="AG900" s="22"/>
      <c r="AH900" s="25">
        <v>100905</v>
      </c>
      <c r="AI900" s="25" t="s">
        <v>266</v>
      </c>
      <c r="AK900" s="40" t="s">
        <v>375</v>
      </c>
      <c r="AL900" s="40"/>
      <c r="AX900" s="27"/>
      <c r="AY900" s="27"/>
      <c r="BK900" s="27"/>
      <c r="BL900" s="27"/>
      <c r="BX900" s="27"/>
      <c r="BY900" s="27"/>
      <c r="CH900" s="29"/>
    </row>
    <row r="901" spans="1:86" x14ac:dyDescent="0.2">
      <c r="A901" s="18">
        <v>10091</v>
      </c>
      <c r="B901" s="19">
        <v>1</v>
      </c>
      <c r="C901" s="19">
        <f t="shared" si="69"/>
        <v>100910001</v>
      </c>
      <c r="D901" s="23" t="s">
        <v>851</v>
      </c>
      <c r="E901" s="20" t="s">
        <v>109</v>
      </c>
      <c r="I901" s="22" t="s">
        <v>206</v>
      </c>
      <c r="J901" s="22"/>
      <c r="K901" s="22"/>
      <c r="L901" s="22"/>
      <c r="M901" s="22"/>
      <c r="N901" s="22" t="s">
        <v>163</v>
      </c>
      <c r="O901" s="22" t="s">
        <v>163</v>
      </c>
      <c r="P901" s="22"/>
      <c r="Q901" s="22" t="s">
        <v>2041</v>
      </c>
      <c r="R901" s="22"/>
      <c r="S901" s="22"/>
      <c r="T901" s="22" t="s">
        <v>2307</v>
      </c>
      <c r="U901" s="116" t="s">
        <v>2679</v>
      </c>
      <c r="V901" s="22" t="s">
        <v>109</v>
      </c>
      <c r="W901" s="22" t="s">
        <v>1</v>
      </c>
      <c r="X901" s="22"/>
      <c r="Z901" s="22"/>
      <c r="AA901" s="22"/>
      <c r="AB901" s="22"/>
      <c r="AC901" s="22" t="s">
        <v>852</v>
      </c>
      <c r="AD901" s="22"/>
      <c r="AE901" s="24"/>
      <c r="AF901" s="24" t="s">
        <v>2043</v>
      </c>
      <c r="AG901" s="22"/>
      <c r="AI901" s="25" t="s">
        <v>176</v>
      </c>
      <c r="AK901" s="40" t="s">
        <v>136</v>
      </c>
      <c r="AL901" s="40"/>
      <c r="AX901" s="27"/>
      <c r="AY901" s="27"/>
      <c r="BK901" s="27"/>
      <c r="BL901" s="27"/>
      <c r="BX901" s="27"/>
      <c r="BY901" s="27"/>
      <c r="CH901" s="29"/>
    </row>
    <row r="902" spans="1:86" x14ac:dyDescent="0.2">
      <c r="A902" s="18">
        <v>10091</v>
      </c>
      <c r="B902" s="19">
        <v>2</v>
      </c>
      <c r="C902" s="19">
        <f t="shared" si="69"/>
        <v>100910002</v>
      </c>
      <c r="D902" s="23" t="s">
        <v>851</v>
      </c>
      <c r="E902" s="20" t="s">
        <v>109</v>
      </c>
      <c r="I902" s="22" t="s">
        <v>206</v>
      </c>
      <c r="J902" s="22"/>
      <c r="K902" s="22"/>
      <c r="L902" s="22"/>
      <c r="M902" s="22"/>
      <c r="N902" s="22" t="s">
        <v>163</v>
      </c>
      <c r="O902" s="22" t="s">
        <v>163</v>
      </c>
      <c r="P902" s="22"/>
      <c r="Q902" s="22" t="s">
        <v>2041</v>
      </c>
      <c r="R902" s="22"/>
      <c r="S902" s="22"/>
      <c r="T902" s="22" t="s">
        <v>2307</v>
      </c>
      <c r="U902" s="116" t="s">
        <v>2680</v>
      </c>
      <c r="V902" s="22" t="s">
        <v>109</v>
      </c>
      <c r="W902" s="22" t="s">
        <v>1</v>
      </c>
      <c r="X902" s="22"/>
      <c r="Z902" s="22"/>
      <c r="AA902" s="22"/>
      <c r="AB902" s="22"/>
      <c r="AC902" s="22" t="s">
        <v>852</v>
      </c>
      <c r="AD902" s="22"/>
      <c r="AE902" s="24"/>
      <c r="AF902" s="24" t="s">
        <v>2043</v>
      </c>
      <c r="AG902" s="22"/>
      <c r="AI902" s="25" t="s">
        <v>260</v>
      </c>
      <c r="AK902" s="40" t="s">
        <v>139</v>
      </c>
      <c r="AL902" s="40"/>
      <c r="AX902" s="27"/>
      <c r="AY902" s="27"/>
      <c r="BK902" s="27"/>
      <c r="BL902" s="27"/>
      <c r="BX902" s="27"/>
      <c r="BY902" s="27"/>
      <c r="CH902" s="29"/>
    </row>
    <row r="903" spans="1:86" x14ac:dyDescent="0.2">
      <c r="A903" s="18">
        <v>10091</v>
      </c>
      <c r="B903" s="19">
        <v>3</v>
      </c>
      <c r="C903" s="19">
        <f t="shared" si="69"/>
        <v>100910003</v>
      </c>
      <c r="D903" s="23" t="s">
        <v>851</v>
      </c>
      <c r="E903" s="20" t="s">
        <v>109</v>
      </c>
      <c r="I903" s="22" t="s">
        <v>206</v>
      </c>
      <c r="J903" s="22"/>
      <c r="K903" s="22"/>
      <c r="L903" s="22"/>
      <c r="M903" s="22"/>
      <c r="N903" s="22" t="s">
        <v>163</v>
      </c>
      <c r="O903" s="22" t="s">
        <v>163</v>
      </c>
      <c r="P903" s="22"/>
      <c r="Q903" s="22" t="s">
        <v>2041</v>
      </c>
      <c r="R903" s="22"/>
      <c r="S903" s="22"/>
      <c r="T903" s="22" t="s">
        <v>2307</v>
      </c>
      <c r="U903" s="116" t="s">
        <v>2681</v>
      </c>
      <c r="V903" s="22" t="s">
        <v>109</v>
      </c>
      <c r="W903" s="22" t="s">
        <v>1</v>
      </c>
      <c r="X903" s="22"/>
      <c r="Z903" s="22"/>
      <c r="AA903" s="22"/>
      <c r="AB903" s="22"/>
      <c r="AC903" s="22" t="s">
        <v>852</v>
      </c>
      <c r="AD903" s="22"/>
      <c r="AE903" s="24"/>
      <c r="AF903" s="24" t="s">
        <v>2043</v>
      </c>
      <c r="AG903" s="22"/>
      <c r="AH903" s="25" t="s">
        <v>853</v>
      </c>
      <c r="AI903" s="25" t="s">
        <v>264</v>
      </c>
      <c r="AK903" s="40" t="s">
        <v>373</v>
      </c>
      <c r="AL903" s="40"/>
      <c r="AX903" s="27"/>
      <c r="AY903" s="27"/>
      <c r="BK903" s="27"/>
      <c r="BL903" s="27"/>
      <c r="BX903" s="27"/>
      <c r="BY903" s="27"/>
      <c r="CH903" s="29"/>
    </row>
    <row r="904" spans="1:86" ht="12.75" customHeight="1" x14ac:dyDescent="0.2">
      <c r="A904" s="18">
        <v>10091</v>
      </c>
      <c r="B904" s="19">
        <v>4</v>
      </c>
      <c r="C904" s="19">
        <f t="shared" si="69"/>
        <v>100910004</v>
      </c>
      <c r="D904" s="23" t="s">
        <v>851</v>
      </c>
      <c r="E904" s="20" t="s">
        <v>109</v>
      </c>
      <c r="I904" s="22" t="s">
        <v>206</v>
      </c>
      <c r="J904" s="22"/>
      <c r="K904" s="22"/>
      <c r="L904" s="22"/>
      <c r="M904" s="22"/>
      <c r="N904" s="22" t="s">
        <v>163</v>
      </c>
      <c r="O904" s="22" t="s">
        <v>163</v>
      </c>
      <c r="P904" s="22"/>
      <c r="Q904" s="22" t="s">
        <v>2041</v>
      </c>
      <c r="R904" s="22"/>
      <c r="S904" s="22"/>
      <c r="T904" s="22" t="s">
        <v>2307</v>
      </c>
      <c r="U904" s="116" t="s">
        <v>2682</v>
      </c>
      <c r="V904" s="22" t="s">
        <v>109</v>
      </c>
      <c r="W904" s="22" t="s">
        <v>1</v>
      </c>
      <c r="X904" s="22"/>
      <c r="Z904" s="22"/>
      <c r="AA904" s="22"/>
      <c r="AB904" s="22"/>
      <c r="AC904" s="22" t="s">
        <v>852</v>
      </c>
      <c r="AD904" s="22"/>
      <c r="AE904" s="24"/>
      <c r="AF904" s="24" t="s">
        <v>2043</v>
      </c>
      <c r="AG904" s="22"/>
      <c r="AH904" s="25" t="s">
        <v>854</v>
      </c>
      <c r="AI904" s="25" t="s">
        <v>265</v>
      </c>
      <c r="AK904" s="40" t="s">
        <v>374</v>
      </c>
      <c r="AL904" s="40"/>
      <c r="AX904" s="27"/>
      <c r="AY904" s="27"/>
      <c r="BK904" s="27"/>
      <c r="BL904" s="27"/>
      <c r="BX904" s="27"/>
      <c r="BY904" s="27"/>
      <c r="CH904" s="29"/>
    </row>
    <row r="905" spans="1:86" x14ac:dyDescent="0.2">
      <c r="A905" s="18">
        <v>10091</v>
      </c>
      <c r="B905" s="19">
        <v>5</v>
      </c>
      <c r="C905" s="19">
        <f t="shared" si="69"/>
        <v>100910005</v>
      </c>
      <c r="D905" s="23" t="s">
        <v>851</v>
      </c>
      <c r="E905" s="20" t="s">
        <v>109</v>
      </c>
      <c r="I905" s="22" t="s">
        <v>206</v>
      </c>
      <c r="J905" s="22"/>
      <c r="K905" s="22"/>
      <c r="L905" s="22"/>
      <c r="M905" s="22"/>
      <c r="N905" s="22" t="s">
        <v>163</v>
      </c>
      <c r="O905" s="22" t="s">
        <v>163</v>
      </c>
      <c r="P905" s="22"/>
      <c r="Q905" s="22" t="s">
        <v>2041</v>
      </c>
      <c r="R905" s="22"/>
      <c r="S905" s="22"/>
      <c r="T905" s="22" t="s">
        <v>2307</v>
      </c>
      <c r="U905" s="116" t="s">
        <v>2683</v>
      </c>
      <c r="V905" s="22" t="s">
        <v>109</v>
      </c>
      <c r="W905" s="22" t="s">
        <v>1</v>
      </c>
      <c r="X905" s="22"/>
      <c r="Z905" s="22"/>
      <c r="AA905" s="22"/>
      <c r="AB905" s="22"/>
      <c r="AC905" s="22" t="s">
        <v>852</v>
      </c>
      <c r="AD905" s="22"/>
      <c r="AE905" s="24"/>
      <c r="AF905" s="24" t="s">
        <v>2043</v>
      </c>
      <c r="AG905" s="22"/>
      <c r="AH905" s="25" t="s">
        <v>855</v>
      </c>
      <c r="AI905" s="25" t="s">
        <v>266</v>
      </c>
      <c r="AK905" s="40" t="s">
        <v>375</v>
      </c>
      <c r="AL905" s="40"/>
      <c r="AX905" s="27"/>
      <c r="AY905" s="27"/>
      <c r="BK905" s="27"/>
      <c r="BL905" s="27"/>
      <c r="BX905" s="27"/>
      <c r="BY905" s="27"/>
      <c r="CH905" s="29"/>
    </row>
    <row r="906" spans="1:86" x14ac:dyDescent="0.2">
      <c r="A906" s="18">
        <v>10092</v>
      </c>
      <c r="B906" s="19">
        <v>1</v>
      </c>
      <c r="C906" s="19">
        <f t="shared" si="69"/>
        <v>100920001</v>
      </c>
      <c r="D906" s="23" t="s">
        <v>1350</v>
      </c>
      <c r="E906" s="20" t="s">
        <v>109</v>
      </c>
      <c r="I906" s="21" t="s">
        <v>206</v>
      </c>
      <c r="J906" s="21"/>
      <c r="K906" s="21"/>
      <c r="L906" s="21"/>
      <c r="M906" s="21"/>
      <c r="N906" s="21" t="s">
        <v>163</v>
      </c>
      <c r="O906" s="21" t="s">
        <v>163</v>
      </c>
      <c r="P906" s="114"/>
      <c r="Q906" s="114" t="s">
        <v>2041</v>
      </c>
      <c r="R906" s="114"/>
      <c r="S906" s="114"/>
      <c r="T906" s="114" t="s">
        <v>2307</v>
      </c>
      <c r="U906" s="117" t="s">
        <v>2684</v>
      </c>
      <c r="V906" s="21" t="s">
        <v>109</v>
      </c>
      <c r="W906" s="21" t="s">
        <v>1</v>
      </c>
      <c r="X906" s="21"/>
      <c r="Z906" s="21"/>
      <c r="AA906" s="21"/>
      <c r="AB906" s="21"/>
      <c r="AC906" s="21">
        <v>92</v>
      </c>
      <c r="AD906" s="21"/>
      <c r="AE906" s="39"/>
      <c r="AF906" s="24" t="s">
        <v>2043</v>
      </c>
      <c r="AG906" s="21"/>
      <c r="AI906" s="25" t="s">
        <v>176</v>
      </c>
      <c r="AK906" s="27" t="s">
        <v>136</v>
      </c>
      <c r="AL906" s="27"/>
      <c r="AX906" s="27"/>
      <c r="AY906" s="27"/>
      <c r="BK906" s="27"/>
      <c r="BL906" s="27"/>
      <c r="BX906" s="27"/>
      <c r="BY906" s="27"/>
      <c r="CH906" s="29"/>
    </row>
    <row r="907" spans="1:86" x14ac:dyDescent="0.2">
      <c r="A907" s="18">
        <v>10092</v>
      </c>
      <c r="B907" s="19">
        <v>2</v>
      </c>
      <c r="C907" s="19">
        <f t="shared" si="69"/>
        <v>100920002</v>
      </c>
      <c r="D907" s="23" t="s">
        <v>1350</v>
      </c>
      <c r="E907" s="20" t="s">
        <v>109</v>
      </c>
      <c r="I907" s="21" t="s">
        <v>206</v>
      </c>
      <c r="J907" s="21"/>
      <c r="K907" s="21"/>
      <c r="L907" s="21"/>
      <c r="M907" s="21"/>
      <c r="N907" s="21" t="s">
        <v>163</v>
      </c>
      <c r="O907" s="21" t="s">
        <v>163</v>
      </c>
      <c r="P907" s="114"/>
      <c r="Q907" s="114" t="s">
        <v>2041</v>
      </c>
      <c r="R907" s="114"/>
      <c r="S907" s="114"/>
      <c r="T907" s="114" t="s">
        <v>2307</v>
      </c>
      <c r="U907" s="117" t="s">
        <v>2685</v>
      </c>
      <c r="V907" s="21" t="s">
        <v>109</v>
      </c>
      <c r="W907" s="21" t="s">
        <v>1</v>
      </c>
      <c r="X907" s="21"/>
      <c r="Z907" s="21"/>
      <c r="AA907" s="21"/>
      <c r="AB907" s="21"/>
      <c r="AC907" s="21">
        <v>92</v>
      </c>
      <c r="AD907" s="21"/>
      <c r="AE907" s="39"/>
      <c r="AF907" s="24" t="s">
        <v>2043</v>
      </c>
      <c r="AG907" s="21"/>
      <c r="AI907" s="25" t="s">
        <v>260</v>
      </c>
      <c r="AK907" s="27" t="s">
        <v>139</v>
      </c>
      <c r="AL907" s="27"/>
      <c r="AX907" s="27"/>
      <c r="AY907" s="27"/>
      <c r="BK907" s="27"/>
      <c r="BL907" s="27"/>
      <c r="BX907" s="27"/>
      <c r="BY907" s="27"/>
      <c r="CH907" s="29"/>
    </row>
    <row r="908" spans="1:86" x14ac:dyDescent="0.2">
      <c r="A908" s="18">
        <v>10092</v>
      </c>
      <c r="B908" s="19">
        <v>3</v>
      </c>
      <c r="C908" s="19">
        <f t="shared" si="69"/>
        <v>100920003</v>
      </c>
      <c r="D908" s="23" t="s">
        <v>1350</v>
      </c>
      <c r="E908" s="20" t="s">
        <v>109</v>
      </c>
      <c r="I908" s="21" t="s">
        <v>206</v>
      </c>
      <c r="J908" s="21"/>
      <c r="K908" s="21"/>
      <c r="L908" s="21"/>
      <c r="M908" s="21"/>
      <c r="N908" s="21" t="s">
        <v>163</v>
      </c>
      <c r="O908" s="21" t="s">
        <v>163</v>
      </c>
      <c r="P908" s="114"/>
      <c r="Q908" s="114" t="s">
        <v>2041</v>
      </c>
      <c r="R908" s="114"/>
      <c r="S908" s="114"/>
      <c r="T908" s="114" t="s">
        <v>2307</v>
      </c>
      <c r="U908" s="117" t="s">
        <v>2686</v>
      </c>
      <c r="V908" s="21" t="s">
        <v>109</v>
      </c>
      <c r="W908" s="21" t="s">
        <v>1</v>
      </c>
      <c r="X908" s="21"/>
      <c r="Z908" s="21"/>
      <c r="AA908" s="21"/>
      <c r="AB908" s="21"/>
      <c r="AC908" s="21">
        <v>92</v>
      </c>
      <c r="AD908" s="21"/>
      <c r="AE908" s="39"/>
      <c r="AF908" s="24" t="s">
        <v>2043</v>
      </c>
      <c r="AG908" s="21"/>
      <c r="AH908" s="25">
        <v>100923</v>
      </c>
      <c r="AI908" s="25" t="s">
        <v>264</v>
      </c>
      <c r="AK908" s="27" t="s">
        <v>373</v>
      </c>
      <c r="AL908" s="27"/>
      <c r="AX908" s="27"/>
      <c r="AY908" s="27"/>
      <c r="BK908" s="27"/>
      <c r="BL908" s="27"/>
      <c r="BX908" s="27"/>
      <c r="BY908" s="27"/>
      <c r="CH908" s="29"/>
    </row>
    <row r="909" spans="1:86" ht="12.75" customHeight="1" x14ac:dyDescent="0.2">
      <c r="A909" s="18">
        <v>10092</v>
      </c>
      <c r="B909" s="19">
        <v>4</v>
      </c>
      <c r="C909" s="19">
        <f t="shared" si="69"/>
        <v>100920004</v>
      </c>
      <c r="D909" s="23" t="s">
        <v>1350</v>
      </c>
      <c r="E909" s="20" t="s">
        <v>109</v>
      </c>
      <c r="I909" s="21" t="s">
        <v>206</v>
      </c>
      <c r="J909" s="21"/>
      <c r="K909" s="21"/>
      <c r="L909" s="21"/>
      <c r="M909" s="21"/>
      <c r="N909" s="21" t="s">
        <v>163</v>
      </c>
      <c r="O909" s="21" t="s">
        <v>163</v>
      </c>
      <c r="P909" s="114"/>
      <c r="Q909" s="114" t="s">
        <v>2041</v>
      </c>
      <c r="R909" s="114"/>
      <c r="S909" s="114"/>
      <c r="T909" s="114" t="s">
        <v>2307</v>
      </c>
      <c r="U909" s="117" t="s">
        <v>2687</v>
      </c>
      <c r="V909" s="21" t="s">
        <v>109</v>
      </c>
      <c r="W909" s="21" t="s">
        <v>1</v>
      </c>
      <c r="X909" s="21"/>
      <c r="Z909" s="21"/>
      <c r="AA909" s="21"/>
      <c r="AB909" s="21"/>
      <c r="AC909" s="21">
        <v>92</v>
      </c>
      <c r="AD909" s="21"/>
      <c r="AE909" s="39"/>
      <c r="AF909" s="24" t="s">
        <v>2043</v>
      </c>
      <c r="AG909" s="21"/>
      <c r="AH909" s="25">
        <v>100924</v>
      </c>
      <c r="AI909" s="25" t="s">
        <v>265</v>
      </c>
      <c r="AK909" s="27" t="s">
        <v>374</v>
      </c>
      <c r="AL909" s="27"/>
      <c r="AX909" s="27"/>
      <c r="AY909" s="27"/>
      <c r="BK909" s="27"/>
      <c r="BL909" s="27"/>
      <c r="BX909" s="27"/>
      <c r="BY909" s="27"/>
      <c r="CH909" s="29"/>
    </row>
    <row r="910" spans="1:86" x14ac:dyDescent="0.2">
      <c r="A910" s="18">
        <v>10092</v>
      </c>
      <c r="B910" s="19">
        <v>5</v>
      </c>
      <c r="C910" s="19">
        <f t="shared" si="69"/>
        <v>100920005</v>
      </c>
      <c r="D910" s="23" t="s">
        <v>1350</v>
      </c>
      <c r="E910" s="20" t="s">
        <v>109</v>
      </c>
      <c r="I910" s="21" t="s">
        <v>206</v>
      </c>
      <c r="J910" s="21"/>
      <c r="K910" s="21"/>
      <c r="L910" s="21"/>
      <c r="M910" s="21"/>
      <c r="N910" s="21" t="s">
        <v>163</v>
      </c>
      <c r="O910" s="21" t="s">
        <v>163</v>
      </c>
      <c r="P910" s="114"/>
      <c r="Q910" s="114" t="s">
        <v>2041</v>
      </c>
      <c r="R910" s="114"/>
      <c r="S910" s="114"/>
      <c r="T910" s="114" t="s">
        <v>2307</v>
      </c>
      <c r="U910" s="117" t="s">
        <v>2688</v>
      </c>
      <c r="V910" s="21" t="s">
        <v>109</v>
      </c>
      <c r="W910" s="21" t="s">
        <v>1</v>
      </c>
      <c r="X910" s="21"/>
      <c r="Z910" s="21"/>
      <c r="AA910" s="21"/>
      <c r="AB910" s="21"/>
      <c r="AC910" s="21">
        <v>92</v>
      </c>
      <c r="AD910" s="21"/>
      <c r="AE910" s="39"/>
      <c r="AF910" s="24" t="s">
        <v>2043</v>
      </c>
      <c r="AG910" s="21"/>
      <c r="AH910" s="25">
        <v>100925</v>
      </c>
      <c r="AI910" s="25" t="s">
        <v>266</v>
      </c>
      <c r="AK910" s="27" t="s">
        <v>375</v>
      </c>
      <c r="AL910" s="27"/>
      <c r="AX910" s="27"/>
      <c r="AY910" s="27"/>
      <c r="BK910" s="27"/>
      <c r="BL910" s="27"/>
      <c r="BX910" s="27"/>
      <c r="BY910" s="27"/>
      <c r="CH910" s="29"/>
    </row>
    <row r="911" spans="1:86" x14ac:dyDescent="0.2">
      <c r="A911" s="18">
        <v>10093</v>
      </c>
      <c r="B911" s="19">
        <v>1</v>
      </c>
      <c r="C911" s="19">
        <f t="shared" si="69"/>
        <v>100930001</v>
      </c>
      <c r="D911" s="23" t="s">
        <v>1373</v>
      </c>
      <c r="E911" s="20" t="s">
        <v>109</v>
      </c>
      <c r="I911" s="21" t="s">
        <v>206</v>
      </c>
      <c r="J911" s="21"/>
      <c r="K911" s="21"/>
      <c r="L911" s="21"/>
      <c r="M911" s="21"/>
      <c r="N911" s="21" t="s">
        <v>163</v>
      </c>
      <c r="O911" s="21" t="s">
        <v>163</v>
      </c>
      <c r="P911" s="114"/>
      <c r="Q911" s="114" t="s">
        <v>2041</v>
      </c>
      <c r="R911" s="114"/>
      <c r="S911" s="114"/>
      <c r="T911" s="114" t="s">
        <v>2307</v>
      </c>
      <c r="U911" s="117" t="s">
        <v>2689</v>
      </c>
      <c r="V911" s="21" t="s">
        <v>109</v>
      </c>
      <c r="W911" s="21" t="s">
        <v>1</v>
      </c>
      <c r="X911" s="21"/>
      <c r="Z911" s="21"/>
      <c r="AA911" s="21"/>
      <c r="AB911" s="21"/>
      <c r="AC911" s="21">
        <v>93</v>
      </c>
      <c r="AD911" s="21"/>
      <c r="AE911" s="39"/>
      <c r="AF911" s="24" t="s">
        <v>2043</v>
      </c>
      <c r="AG911" s="21"/>
      <c r="AI911" s="25" t="s">
        <v>176</v>
      </c>
      <c r="AK911" s="27" t="s">
        <v>136</v>
      </c>
      <c r="AL911" s="27"/>
      <c r="AX911" s="27"/>
      <c r="AY911" s="27"/>
      <c r="BK911" s="27"/>
      <c r="BL911" s="27"/>
      <c r="BX911" s="27"/>
      <c r="BY911" s="27"/>
      <c r="CH911" s="29"/>
    </row>
    <row r="912" spans="1:86" x14ac:dyDescent="0.2">
      <c r="A912" s="18">
        <v>10093</v>
      </c>
      <c r="B912" s="19">
        <v>2</v>
      </c>
      <c r="C912" s="19">
        <f t="shared" si="69"/>
        <v>100930002</v>
      </c>
      <c r="D912" s="23" t="s">
        <v>1373</v>
      </c>
      <c r="E912" s="20" t="s">
        <v>109</v>
      </c>
      <c r="I912" s="21" t="s">
        <v>206</v>
      </c>
      <c r="J912" s="21"/>
      <c r="K912" s="21"/>
      <c r="L912" s="21"/>
      <c r="M912" s="21"/>
      <c r="N912" s="21" t="s">
        <v>163</v>
      </c>
      <c r="O912" s="21" t="s">
        <v>163</v>
      </c>
      <c r="P912" s="114"/>
      <c r="Q912" s="114" t="s">
        <v>2041</v>
      </c>
      <c r="R912" s="114"/>
      <c r="S912" s="114"/>
      <c r="T912" s="114" t="s">
        <v>2307</v>
      </c>
      <c r="U912" s="117" t="s">
        <v>2690</v>
      </c>
      <c r="V912" s="21" t="s">
        <v>109</v>
      </c>
      <c r="W912" s="21" t="s">
        <v>1</v>
      </c>
      <c r="X912" s="21"/>
      <c r="Z912" s="21"/>
      <c r="AA912" s="21"/>
      <c r="AB912" s="21"/>
      <c r="AC912" s="21">
        <v>93</v>
      </c>
      <c r="AD912" s="21"/>
      <c r="AE912" s="39"/>
      <c r="AF912" s="24" t="s">
        <v>2043</v>
      </c>
      <c r="AG912" s="21"/>
      <c r="AI912" s="25" t="s">
        <v>260</v>
      </c>
      <c r="AK912" s="27" t="s">
        <v>139</v>
      </c>
      <c r="AL912" s="27"/>
      <c r="AX912" s="27"/>
      <c r="AY912" s="27"/>
      <c r="BK912" s="27"/>
      <c r="BL912" s="27"/>
      <c r="BX912" s="27"/>
      <c r="BY912" s="27"/>
      <c r="CH912" s="29"/>
    </row>
    <row r="913" spans="1:107" x14ac:dyDescent="0.2">
      <c r="A913" s="18">
        <v>10093</v>
      </c>
      <c r="B913" s="19">
        <v>3</v>
      </c>
      <c r="C913" s="19">
        <f t="shared" si="69"/>
        <v>100930003</v>
      </c>
      <c r="D913" s="23" t="s">
        <v>1373</v>
      </c>
      <c r="E913" s="20" t="s">
        <v>109</v>
      </c>
      <c r="I913" s="21" t="s">
        <v>206</v>
      </c>
      <c r="J913" s="21"/>
      <c r="K913" s="21"/>
      <c r="L913" s="21"/>
      <c r="M913" s="21"/>
      <c r="N913" s="21" t="s">
        <v>163</v>
      </c>
      <c r="O913" s="21" t="s">
        <v>163</v>
      </c>
      <c r="P913" s="114"/>
      <c r="Q913" s="114" t="s">
        <v>2041</v>
      </c>
      <c r="R913" s="114"/>
      <c r="S913" s="114"/>
      <c r="T913" s="114" t="s">
        <v>2307</v>
      </c>
      <c r="U913" s="117" t="s">
        <v>2691</v>
      </c>
      <c r="V913" s="21" t="s">
        <v>109</v>
      </c>
      <c r="W913" s="21" t="s">
        <v>1</v>
      </c>
      <c r="X913" s="21"/>
      <c r="Z913" s="21"/>
      <c r="AA913" s="21"/>
      <c r="AB913" s="21"/>
      <c r="AC913" s="21">
        <v>93</v>
      </c>
      <c r="AD913" s="21"/>
      <c r="AE913" s="39"/>
      <c r="AF913" s="24" t="s">
        <v>2043</v>
      </c>
      <c r="AG913" s="21"/>
      <c r="AH913" s="25">
        <v>100933</v>
      </c>
      <c r="AI913" s="25" t="s">
        <v>264</v>
      </c>
      <c r="AK913" s="27" t="s">
        <v>373</v>
      </c>
      <c r="AL913" s="27"/>
      <c r="AX913" s="27"/>
      <c r="AY913" s="27"/>
      <c r="BK913" s="27"/>
      <c r="BL913" s="27"/>
      <c r="BX913" s="27"/>
      <c r="BY913" s="27"/>
      <c r="CH913" s="29"/>
    </row>
    <row r="914" spans="1:107" ht="12.75" customHeight="1" x14ac:dyDescent="0.2">
      <c r="A914" s="18">
        <v>10093</v>
      </c>
      <c r="B914" s="19">
        <v>4</v>
      </c>
      <c r="C914" s="19">
        <f t="shared" si="69"/>
        <v>100930004</v>
      </c>
      <c r="D914" s="23" t="s">
        <v>1373</v>
      </c>
      <c r="E914" s="20" t="s">
        <v>109</v>
      </c>
      <c r="I914" s="21" t="s">
        <v>206</v>
      </c>
      <c r="J914" s="21"/>
      <c r="K914" s="21"/>
      <c r="L914" s="21"/>
      <c r="M914" s="21"/>
      <c r="N914" s="21" t="s">
        <v>163</v>
      </c>
      <c r="O914" s="21" t="s">
        <v>163</v>
      </c>
      <c r="P914" s="114"/>
      <c r="Q914" s="114" t="s">
        <v>2041</v>
      </c>
      <c r="R914" s="114"/>
      <c r="S914" s="114"/>
      <c r="T914" s="114" t="s">
        <v>2307</v>
      </c>
      <c r="U914" s="117" t="s">
        <v>2692</v>
      </c>
      <c r="V914" s="21" t="s">
        <v>109</v>
      </c>
      <c r="W914" s="21" t="s">
        <v>1</v>
      </c>
      <c r="X914" s="21"/>
      <c r="Z914" s="21"/>
      <c r="AA914" s="21"/>
      <c r="AB914" s="21"/>
      <c r="AC914" s="21">
        <v>93</v>
      </c>
      <c r="AD914" s="21"/>
      <c r="AE914" s="39"/>
      <c r="AF914" s="24" t="s">
        <v>2043</v>
      </c>
      <c r="AG914" s="21"/>
      <c r="AH914" s="25">
        <v>100934</v>
      </c>
      <c r="AI914" s="25" t="s">
        <v>265</v>
      </c>
      <c r="AK914" s="27" t="s">
        <v>374</v>
      </c>
      <c r="AL914" s="27"/>
      <c r="AX914" s="27"/>
      <c r="AY914" s="27"/>
      <c r="BK914" s="27"/>
      <c r="BL914" s="27"/>
      <c r="BX914" s="27"/>
      <c r="BY914" s="27"/>
      <c r="CH914" s="29"/>
    </row>
    <row r="915" spans="1:107" x14ac:dyDescent="0.2">
      <c r="A915" s="18">
        <v>10093</v>
      </c>
      <c r="B915" s="19">
        <v>5</v>
      </c>
      <c r="C915" s="19">
        <f t="shared" si="69"/>
        <v>100930005</v>
      </c>
      <c r="D915" s="23" t="s">
        <v>1373</v>
      </c>
      <c r="E915" s="20" t="s">
        <v>109</v>
      </c>
      <c r="I915" s="21" t="s">
        <v>206</v>
      </c>
      <c r="J915" s="21"/>
      <c r="K915" s="21"/>
      <c r="L915" s="21"/>
      <c r="M915" s="21"/>
      <c r="N915" s="21" t="s">
        <v>163</v>
      </c>
      <c r="O915" s="21" t="s">
        <v>163</v>
      </c>
      <c r="P915" s="114"/>
      <c r="Q915" s="114" t="s">
        <v>2041</v>
      </c>
      <c r="R915" s="114"/>
      <c r="S915" s="114"/>
      <c r="T915" s="114" t="s">
        <v>2307</v>
      </c>
      <c r="U915" s="117" t="s">
        <v>2693</v>
      </c>
      <c r="V915" s="21" t="s">
        <v>109</v>
      </c>
      <c r="W915" s="21" t="s">
        <v>1</v>
      </c>
      <c r="X915" s="21"/>
      <c r="Z915" s="21"/>
      <c r="AA915" s="21"/>
      <c r="AB915" s="21"/>
      <c r="AC915" s="21">
        <v>93</v>
      </c>
      <c r="AD915" s="21"/>
      <c r="AE915" s="39"/>
      <c r="AF915" s="24" t="s">
        <v>2043</v>
      </c>
      <c r="AG915" s="21"/>
      <c r="AH915" s="25">
        <v>100935</v>
      </c>
      <c r="AI915" s="25" t="s">
        <v>266</v>
      </c>
      <c r="AK915" s="27" t="s">
        <v>375</v>
      </c>
      <c r="AL915" s="27"/>
      <c r="AX915" s="27"/>
      <c r="AY915" s="27"/>
      <c r="BK915" s="27"/>
      <c r="BL915" s="27"/>
      <c r="BX915" s="27"/>
      <c r="BY915" s="27"/>
      <c r="CH915" s="29"/>
    </row>
    <row r="916" spans="1:107" x14ac:dyDescent="0.2">
      <c r="A916" s="18">
        <v>10094</v>
      </c>
      <c r="B916" s="19">
        <v>1</v>
      </c>
      <c r="C916" s="19">
        <f t="shared" si="69"/>
        <v>100940001</v>
      </c>
      <c r="D916" s="23" t="s">
        <v>1473</v>
      </c>
      <c r="E916" s="20" t="s">
        <v>109</v>
      </c>
      <c r="I916" s="21" t="s">
        <v>206</v>
      </c>
      <c r="J916" s="21"/>
      <c r="K916" s="21"/>
      <c r="L916" s="21"/>
      <c r="M916" s="21"/>
      <c r="N916" s="21" t="s">
        <v>163</v>
      </c>
      <c r="O916" s="21" t="s">
        <v>163</v>
      </c>
      <c r="P916" s="114"/>
      <c r="Q916" s="114" t="s">
        <v>2041</v>
      </c>
      <c r="R916" s="114"/>
      <c r="S916" s="114"/>
      <c r="T916" s="114" t="s">
        <v>2307</v>
      </c>
      <c r="U916" s="117" t="s">
        <v>2694</v>
      </c>
      <c r="V916" s="21" t="s">
        <v>109</v>
      </c>
      <c r="W916" s="21" t="s">
        <v>1</v>
      </c>
      <c r="X916" s="21"/>
      <c r="Z916" s="21"/>
      <c r="AA916" s="21"/>
      <c r="AB916" s="21"/>
      <c r="AC916" s="21" t="s">
        <v>1474</v>
      </c>
      <c r="AD916" s="21"/>
      <c r="AE916" s="39"/>
      <c r="AF916" s="24" t="s">
        <v>2043</v>
      </c>
      <c r="AG916" s="21"/>
      <c r="AI916" s="25" t="s">
        <v>176</v>
      </c>
      <c r="AK916" s="27" t="s">
        <v>136</v>
      </c>
      <c r="AL916" s="27"/>
      <c r="AX916" s="27"/>
      <c r="AY916" s="27"/>
      <c r="BK916" s="27"/>
      <c r="BL916" s="27"/>
      <c r="BX916" s="27"/>
      <c r="BY916" s="27"/>
      <c r="CH916" s="29"/>
    </row>
    <row r="917" spans="1:107" x14ac:dyDescent="0.2">
      <c r="A917" s="18">
        <v>10094</v>
      </c>
      <c r="B917" s="19">
        <v>2</v>
      </c>
      <c r="C917" s="19">
        <f t="shared" si="69"/>
        <v>100940002</v>
      </c>
      <c r="D917" s="23" t="s">
        <v>1473</v>
      </c>
      <c r="E917" s="20" t="s">
        <v>109</v>
      </c>
      <c r="I917" s="21" t="s">
        <v>206</v>
      </c>
      <c r="J917" s="21"/>
      <c r="K917" s="21"/>
      <c r="L917" s="21"/>
      <c r="M917" s="21"/>
      <c r="N917" s="21" t="s">
        <v>163</v>
      </c>
      <c r="O917" s="21" t="s">
        <v>163</v>
      </c>
      <c r="P917" s="114"/>
      <c r="Q917" s="114" t="s">
        <v>2041</v>
      </c>
      <c r="R917" s="114"/>
      <c r="S917" s="114"/>
      <c r="T917" s="114" t="s">
        <v>2307</v>
      </c>
      <c r="U917" s="117" t="s">
        <v>2695</v>
      </c>
      <c r="V917" s="21" t="s">
        <v>109</v>
      </c>
      <c r="W917" s="21" t="s">
        <v>1</v>
      </c>
      <c r="X917" s="21"/>
      <c r="Z917" s="21"/>
      <c r="AA917" s="21"/>
      <c r="AB917" s="21"/>
      <c r="AC917" s="21" t="s">
        <v>1474</v>
      </c>
      <c r="AD917" s="21"/>
      <c r="AE917" s="39"/>
      <c r="AF917" s="24" t="s">
        <v>2043</v>
      </c>
      <c r="AG917" s="21"/>
      <c r="AI917" s="25" t="s">
        <v>260</v>
      </c>
      <c r="AK917" s="27" t="s">
        <v>139</v>
      </c>
      <c r="AL917" s="27"/>
      <c r="AX917" s="27"/>
      <c r="AY917" s="27"/>
      <c r="BK917" s="27"/>
      <c r="BL917" s="27"/>
      <c r="BX917" s="27"/>
      <c r="BY917" s="27"/>
      <c r="CH917" s="29"/>
    </row>
    <row r="918" spans="1:107" x14ac:dyDescent="0.2">
      <c r="A918" s="18">
        <v>10094</v>
      </c>
      <c r="B918" s="19">
        <v>3</v>
      </c>
      <c r="C918" s="19">
        <f t="shared" si="69"/>
        <v>100940003</v>
      </c>
      <c r="D918" s="23" t="s">
        <v>1473</v>
      </c>
      <c r="E918" s="20" t="s">
        <v>109</v>
      </c>
      <c r="I918" s="21" t="s">
        <v>206</v>
      </c>
      <c r="J918" s="21"/>
      <c r="K918" s="21"/>
      <c r="L918" s="21"/>
      <c r="M918" s="21"/>
      <c r="N918" s="21" t="s">
        <v>163</v>
      </c>
      <c r="O918" s="21" t="s">
        <v>163</v>
      </c>
      <c r="P918" s="114"/>
      <c r="Q918" s="114" t="s">
        <v>2041</v>
      </c>
      <c r="R918" s="114"/>
      <c r="S918" s="114"/>
      <c r="T918" s="114" t="s">
        <v>2307</v>
      </c>
      <c r="U918" s="117" t="s">
        <v>2696</v>
      </c>
      <c r="V918" s="21" t="s">
        <v>109</v>
      </c>
      <c r="W918" s="21" t="s">
        <v>1</v>
      </c>
      <c r="X918" s="21"/>
      <c r="Z918" s="21"/>
      <c r="AA918" s="21"/>
      <c r="AB918" s="21"/>
      <c r="AC918" s="21" t="s">
        <v>1474</v>
      </c>
      <c r="AD918" s="21"/>
      <c r="AE918" s="39"/>
      <c r="AF918" s="24" t="s">
        <v>2043</v>
      </c>
      <c r="AG918" s="21"/>
      <c r="AH918" s="25" t="s">
        <v>1475</v>
      </c>
      <c r="AI918" s="25" t="s">
        <v>264</v>
      </c>
      <c r="AK918" s="27" t="s">
        <v>373</v>
      </c>
      <c r="AL918" s="27"/>
      <c r="AX918" s="27"/>
      <c r="AY918" s="27"/>
      <c r="BK918" s="27"/>
      <c r="BL918" s="27"/>
      <c r="BX918" s="27"/>
      <c r="BY918" s="27"/>
      <c r="CH918" s="29"/>
    </row>
    <row r="919" spans="1:107" ht="12.75" customHeight="1" x14ac:dyDescent="0.2">
      <c r="A919" s="18">
        <v>10094</v>
      </c>
      <c r="B919" s="19">
        <v>4</v>
      </c>
      <c r="C919" s="19">
        <f t="shared" si="69"/>
        <v>100940004</v>
      </c>
      <c r="D919" s="23" t="s">
        <v>1473</v>
      </c>
      <c r="E919" s="20" t="s">
        <v>109</v>
      </c>
      <c r="I919" s="21" t="s">
        <v>206</v>
      </c>
      <c r="J919" s="21"/>
      <c r="K919" s="21"/>
      <c r="L919" s="21"/>
      <c r="M919" s="21"/>
      <c r="N919" s="21" t="s">
        <v>163</v>
      </c>
      <c r="O919" s="21" t="s">
        <v>163</v>
      </c>
      <c r="P919" s="114"/>
      <c r="Q919" s="114" t="s">
        <v>2041</v>
      </c>
      <c r="R919" s="114"/>
      <c r="S919" s="114"/>
      <c r="T919" s="114" t="s">
        <v>2307</v>
      </c>
      <c r="U919" s="117" t="s">
        <v>2697</v>
      </c>
      <c r="V919" s="21" t="s">
        <v>109</v>
      </c>
      <c r="W919" s="21" t="s">
        <v>1</v>
      </c>
      <c r="X919" s="21"/>
      <c r="Z919" s="21"/>
      <c r="AA919" s="21"/>
      <c r="AB919" s="21"/>
      <c r="AC919" s="21" t="s">
        <v>1474</v>
      </c>
      <c r="AD919" s="21"/>
      <c r="AE919" s="39"/>
      <c r="AF919" s="24" t="s">
        <v>2043</v>
      </c>
      <c r="AG919" s="21"/>
      <c r="AH919" s="25" t="s">
        <v>1476</v>
      </c>
      <c r="AI919" s="25" t="s">
        <v>265</v>
      </c>
      <c r="AK919" s="27" t="s">
        <v>374</v>
      </c>
      <c r="AL919" s="27"/>
      <c r="AX919" s="27"/>
      <c r="AY919" s="27"/>
      <c r="BK919" s="27"/>
      <c r="BL919" s="27"/>
      <c r="BX919" s="27"/>
      <c r="BY919" s="27"/>
      <c r="CH919" s="29"/>
    </row>
    <row r="920" spans="1:107" x14ac:dyDescent="0.2">
      <c r="A920" s="18">
        <v>10094</v>
      </c>
      <c r="B920" s="19">
        <v>5</v>
      </c>
      <c r="C920" s="19">
        <f t="shared" si="69"/>
        <v>100940005</v>
      </c>
      <c r="D920" s="23" t="s">
        <v>1473</v>
      </c>
      <c r="E920" s="20" t="s">
        <v>109</v>
      </c>
      <c r="I920" s="21" t="s">
        <v>206</v>
      </c>
      <c r="J920" s="21"/>
      <c r="K920" s="21"/>
      <c r="L920" s="21"/>
      <c r="M920" s="21"/>
      <c r="N920" s="21" t="s">
        <v>163</v>
      </c>
      <c r="O920" s="21" t="s">
        <v>163</v>
      </c>
      <c r="P920" s="114"/>
      <c r="Q920" s="114" t="s">
        <v>2041</v>
      </c>
      <c r="R920" s="114"/>
      <c r="S920" s="114"/>
      <c r="T920" s="114" t="s">
        <v>2307</v>
      </c>
      <c r="U920" s="117" t="s">
        <v>2698</v>
      </c>
      <c r="V920" s="21" t="s">
        <v>109</v>
      </c>
      <c r="W920" s="21" t="s">
        <v>1</v>
      </c>
      <c r="X920" s="21"/>
      <c r="Z920" s="21"/>
      <c r="AA920" s="21"/>
      <c r="AB920" s="21"/>
      <c r="AC920" s="21" t="s">
        <v>1474</v>
      </c>
      <c r="AD920" s="21"/>
      <c r="AE920" s="39"/>
      <c r="AF920" s="24" t="s">
        <v>2043</v>
      </c>
      <c r="AG920" s="21"/>
      <c r="AH920" s="25" t="s">
        <v>1477</v>
      </c>
      <c r="AI920" s="25" t="s">
        <v>266</v>
      </c>
      <c r="AK920" s="27" t="s">
        <v>375</v>
      </c>
      <c r="AL920" s="27"/>
      <c r="AX920" s="27"/>
      <c r="AY920" s="27"/>
      <c r="BK920" s="27"/>
      <c r="BL920" s="27"/>
      <c r="BX920" s="27"/>
      <c r="BY920" s="27"/>
      <c r="CH920" s="29"/>
    </row>
    <row r="921" spans="1:107" x14ac:dyDescent="0.2">
      <c r="A921" s="18">
        <v>10095</v>
      </c>
      <c r="B921" s="19">
        <v>1</v>
      </c>
      <c r="C921" s="19">
        <f t="shared" si="69"/>
        <v>100950001</v>
      </c>
      <c r="D921" s="23" t="s">
        <v>1610</v>
      </c>
      <c r="E921" s="20" t="s">
        <v>109</v>
      </c>
      <c r="I921" s="21" t="s">
        <v>206</v>
      </c>
      <c r="J921" s="21"/>
      <c r="K921" s="21"/>
      <c r="L921" s="21"/>
      <c r="M921" s="21"/>
      <c r="N921" s="21" t="s">
        <v>163</v>
      </c>
      <c r="O921" s="21" t="s">
        <v>163</v>
      </c>
      <c r="P921" s="114"/>
      <c r="Q921" s="114" t="s">
        <v>2041</v>
      </c>
      <c r="R921" s="114"/>
      <c r="S921" s="114"/>
      <c r="T921" s="114" t="s">
        <v>2307</v>
      </c>
      <c r="U921" s="117" t="s">
        <v>2699</v>
      </c>
      <c r="V921" s="21" t="s">
        <v>109</v>
      </c>
      <c r="W921" s="21" t="s">
        <v>1</v>
      </c>
      <c r="X921" s="21"/>
      <c r="Z921" s="21"/>
      <c r="AA921" s="21"/>
      <c r="AB921" s="21"/>
      <c r="AC921" s="21">
        <v>95</v>
      </c>
      <c r="AD921" s="21"/>
      <c r="AE921" s="39"/>
      <c r="AF921" s="24" t="s">
        <v>2043</v>
      </c>
      <c r="AG921" s="21"/>
      <c r="AI921" s="25" t="s">
        <v>176</v>
      </c>
      <c r="AK921" s="27" t="s">
        <v>136</v>
      </c>
      <c r="AL921" s="27"/>
      <c r="AX921" s="27"/>
      <c r="AY921" s="27"/>
      <c r="BK921" s="27"/>
      <c r="BL921" s="27"/>
      <c r="BX921" s="27"/>
      <c r="BY921" s="27"/>
      <c r="CH921" s="29"/>
    </row>
    <row r="922" spans="1:107" x14ac:dyDescent="0.2">
      <c r="A922" s="18">
        <v>10095</v>
      </c>
      <c r="B922" s="19">
        <v>2</v>
      </c>
      <c r="C922" s="19">
        <f t="shared" si="69"/>
        <v>100950002</v>
      </c>
      <c r="D922" s="23" t="s">
        <v>1610</v>
      </c>
      <c r="E922" s="20" t="s">
        <v>109</v>
      </c>
      <c r="I922" s="21" t="s">
        <v>206</v>
      </c>
      <c r="J922" s="21"/>
      <c r="K922" s="21"/>
      <c r="L922" s="21"/>
      <c r="M922" s="21"/>
      <c r="N922" s="21" t="s">
        <v>163</v>
      </c>
      <c r="O922" s="21" t="s">
        <v>163</v>
      </c>
      <c r="P922" s="114"/>
      <c r="Q922" s="114" t="s">
        <v>2041</v>
      </c>
      <c r="R922" s="114"/>
      <c r="S922" s="114"/>
      <c r="T922" s="114" t="s">
        <v>2307</v>
      </c>
      <c r="U922" s="117" t="s">
        <v>2700</v>
      </c>
      <c r="V922" s="21" t="s">
        <v>109</v>
      </c>
      <c r="W922" s="21" t="s">
        <v>1</v>
      </c>
      <c r="X922" s="21"/>
      <c r="Z922" s="21"/>
      <c r="AA922" s="21"/>
      <c r="AB922" s="21"/>
      <c r="AC922" s="21">
        <v>95</v>
      </c>
      <c r="AD922" s="21"/>
      <c r="AE922" s="39"/>
      <c r="AF922" s="24" t="s">
        <v>2043</v>
      </c>
      <c r="AG922" s="21"/>
      <c r="AI922" s="25" t="s">
        <v>260</v>
      </c>
      <c r="AK922" s="27" t="s">
        <v>139</v>
      </c>
      <c r="AL922" s="27"/>
      <c r="AX922" s="27"/>
      <c r="AY922" s="27"/>
      <c r="BK922" s="27"/>
      <c r="BL922" s="27"/>
      <c r="BX922" s="27"/>
      <c r="BY922" s="27"/>
      <c r="CH922" s="29"/>
    </row>
    <row r="923" spans="1:107" x14ac:dyDescent="0.2">
      <c r="A923" s="18">
        <v>10095</v>
      </c>
      <c r="B923" s="19">
        <v>3</v>
      </c>
      <c r="C923" s="19">
        <f t="shared" si="69"/>
        <v>100950003</v>
      </c>
      <c r="D923" s="23" t="s">
        <v>1610</v>
      </c>
      <c r="E923" s="20" t="s">
        <v>109</v>
      </c>
      <c r="I923" s="21" t="s">
        <v>206</v>
      </c>
      <c r="J923" s="21"/>
      <c r="K923" s="21"/>
      <c r="L923" s="21"/>
      <c r="M923" s="21"/>
      <c r="N923" s="21" t="s">
        <v>163</v>
      </c>
      <c r="O923" s="21" t="s">
        <v>163</v>
      </c>
      <c r="P923" s="114"/>
      <c r="Q923" s="114" t="s">
        <v>2041</v>
      </c>
      <c r="R923" s="114"/>
      <c r="S923" s="114"/>
      <c r="T923" s="114" t="s">
        <v>2307</v>
      </c>
      <c r="U923" s="117" t="s">
        <v>2701</v>
      </c>
      <c r="V923" s="21" t="s">
        <v>109</v>
      </c>
      <c r="W923" s="21" t="s">
        <v>1</v>
      </c>
      <c r="X923" s="21"/>
      <c r="Z923" s="21"/>
      <c r="AA923" s="21"/>
      <c r="AB923" s="21"/>
      <c r="AC923" s="21">
        <v>95</v>
      </c>
      <c r="AD923" s="21"/>
      <c r="AE923" s="39"/>
      <c r="AF923" s="24" t="s">
        <v>2043</v>
      </c>
      <c r="AG923" s="21"/>
      <c r="AH923" s="25">
        <v>100953</v>
      </c>
      <c r="AI923" s="25" t="s">
        <v>264</v>
      </c>
      <c r="AK923" s="27" t="s">
        <v>373</v>
      </c>
      <c r="AL923" s="27"/>
      <c r="AX923" s="27"/>
      <c r="AY923" s="27"/>
      <c r="BK923" s="27"/>
      <c r="BL923" s="27"/>
      <c r="BX923" s="27"/>
      <c r="BY923" s="27"/>
      <c r="CH923" s="29"/>
    </row>
    <row r="924" spans="1:107" ht="12.75" customHeight="1" x14ac:dyDescent="0.2">
      <c r="A924" s="18">
        <v>10095</v>
      </c>
      <c r="B924" s="19">
        <v>4</v>
      </c>
      <c r="C924" s="19">
        <f t="shared" si="69"/>
        <v>100950004</v>
      </c>
      <c r="D924" s="23" t="s">
        <v>1610</v>
      </c>
      <c r="E924" s="20" t="s">
        <v>109</v>
      </c>
      <c r="I924" s="21" t="s">
        <v>206</v>
      </c>
      <c r="J924" s="21"/>
      <c r="K924" s="21"/>
      <c r="L924" s="21"/>
      <c r="M924" s="21"/>
      <c r="N924" s="21" t="s">
        <v>163</v>
      </c>
      <c r="O924" s="21" t="s">
        <v>163</v>
      </c>
      <c r="P924" s="114"/>
      <c r="Q924" s="114" t="s">
        <v>2041</v>
      </c>
      <c r="R924" s="114"/>
      <c r="S924" s="114"/>
      <c r="T924" s="114" t="s">
        <v>2307</v>
      </c>
      <c r="U924" s="117" t="s">
        <v>2702</v>
      </c>
      <c r="V924" s="21" t="s">
        <v>109</v>
      </c>
      <c r="W924" s="21" t="s">
        <v>1</v>
      </c>
      <c r="X924" s="21"/>
      <c r="Z924" s="21"/>
      <c r="AA924" s="21"/>
      <c r="AB924" s="21"/>
      <c r="AC924" s="21">
        <v>95</v>
      </c>
      <c r="AD924" s="21"/>
      <c r="AE924" s="39"/>
      <c r="AF924" s="24" t="s">
        <v>2043</v>
      </c>
      <c r="AG924" s="21"/>
      <c r="AH924" s="25">
        <v>100954</v>
      </c>
      <c r="AI924" s="25" t="s">
        <v>265</v>
      </c>
      <c r="AK924" s="27" t="s">
        <v>374</v>
      </c>
      <c r="AL924" s="27"/>
      <c r="AX924" s="27"/>
      <c r="AY924" s="27"/>
      <c r="BK924" s="27"/>
      <c r="BL924" s="27"/>
      <c r="BX924" s="27"/>
      <c r="BY924" s="27"/>
      <c r="CH924" s="29"/>
    </row>
    <row r="925" spans="1:107" x14ac:dyDescent="0.2">
      <c r="A925" s="18">
        <v>10095</v>
      </c>
      <c r="B925" s="19">
        <v>5</v>
      </c>
      <c r="C925" s="19">
        <f t="shared" si="69"/>
        <v>100950005</v>
      </c>
      <c r="D925" s="23" t="s">
        <v>1610</v>
      </c>
      <c r="E925" s="20" t="s">
        <v>109</v>
      </c>
      <c r="I925" s="21" t="s">
        <v>206</v>
      </c>
      <c r="J925" s="21"/>
      <c r="K925" s="21"/>
      <c r="L925" s="21"/>
      <c r="M925" s="21"/>
      <c r="N925" s="21" t="s">
        <v>163</v>
      </c>
      <c r="O925" s="21" t="s">
        <v>163</v>
      </c>
      <c r="P925" s="114"/>
      <c r="Q925" s="114" t="s">
        <v>2041</v>
      </c>
      <c r="R925" s="114"/>
      <c r="S925" s="114"/>
      <c r="T925" s="114" t="s">
        <v>2307</v>
      </c>
      <c r="U925" s="117" t="s">
        <v>2703</v>
      </c>
      <c r="V925" s="21" t="s">
        <v>109</v>
      </c>
      <c r="W925" s="21" t="s">
        <v>1</v>
      </c>
      <c r="X925" s="21"/>
      <c r="Z925" s="21"/>
      <c r="AA925" s="21"/>
      <c r="AB925" s="21"/>
      <c r="AC925" s="21">
        <v>95</v>
      </c>
      <c r="AD925" s="21"/>
      <c r="AE925" s="39"/>
      <c r="AF925" s="24" t="s">
        <v>2043</v>
      </c>
      <c r="AG925" s="21"/>
      <c r="AH925" s="25">
        <v>100955</v>
      </c>
      <c r="AI925" s="25" t="s">
        <v>266</v>
      </c>
      <c r="AK925" s="27" t="s">
        <v>375</v>
      </c>
      <c r="AL925" s="27"/>
      <c r="AX925" s="27"/>
      <c r="AY925" s="27"/>
      <c r="BK925" s="27"/>
      <c r="BL925" s="27"/>
      <c r="BX925" s="27"/>
      <c r="BY925" s="27"/>
      <c r="CH925" s="29"/>
    </row>
    <row r="926" spans="1:107" s="57" customFormat="1" x14ac:dyDescent="0.2">
      <c r="A926" s="55">
        <v>10096</v>
      </c>
      <c r="B926" s="56">
        <v>1</v>
      </c>
      <c r="C926" s="56">
        <f t="shared" si="69"/>
        <v>100960001</v>
      </c>
      <c r="D926" s="57" t="s">
        <v>1809</v>
      </c>
      <c r="E926" s="58" t="s">
        <v>109</v>
      </c>
      <c r="F926" s="58"/>
      <c r="G926" s="58"/>
      <c r="H926" s="58"/>
      <c r="I926" s="59" t="s">
        <v>206</v>
      </c>
      <c r="J926" s="59"/>
      <c r="K926" s="59"/>
      <c r="L926" s="59"/>
      <c r="M926" s="59"/>
      <c r="N926" s="59" t="s">
        <v>163</v>
      </c>
      <c r="O926" s="59" t="s">
        <v>163</v>
      </c>
      <c r="P926" s="59"/>
      <c r="Q926" s="59" t="s">
        <v>2041</v>
      </c>
      <c r="R926" s="59"/>
      <c r="S926" s="59"/>
      <c r="T926" s="59" t="s">
        <v>2307</v>
      </c>
      <c r="U926" s="122" t="s">
        <v>2704</v>
      </c>
      <c r="V926" s="59" t="s">
        <v>109</v>
      </c>
      <c r="W926" s="59" t="s">
        <v>1</v>
      </c>
      <c r="X926" s="59"/>
      <c r="Z926" s="59"/>
      <c r="AA926" s="59"/>
      <c r="AB926" s="59"/>
      <c r="AC926" s="59">
        <v>96</v>
      </c>
      <c r="AD926" s="59"/>
      <c r="AE926" s="60"/>
      <c r="AF926" s="24" t="s">
        <v>2043</v>
      </c>
      <c r="AG926" s="59"/>
      <c r="AH926" s="61"/>
      <c r="AI926" s="61" t="s">
        <v>176</v>
      </c>
      <c r="AJ926" s="61"/>
      <c r="AK926" s="62" t="s">
        <v>136</v>
      </c>
      <c r="AL926" s="62"/>
      <c r="AM926" s="63"/>
      <c r="AN926" s="63"/>
      <c r="AO926" s="63"/>
      <c r="AP926" s="63"/>
      <c r="AQ926" s="63"/>
      <c r="AR926" s="63"/>
      <c r="AS926" s="63"/>
      <c r="AT926" s="63"/>
      <c r="AU926" s="61"/>
      <c r="AV926" s="61"/>
      <c r="AW926" s="61"/>
      <c r="AX926" s="62"/>
      <c r="AY926" s="62"/>
      <c r="AZ926" s="63"/>
      <c r="BA926" s="63"/>
      <c r="BB926" s="63"/>
      <c r="BC926" s="63"/>
      <c r="BD926" s="63"/>
      <c r="BE926" s="63"/>
      <c r="BF926" s="63"/>
      <c r="BG926" s="63"/>
      <c r="BH926" s="61"/>
      <c r="BI926" s="61"/>
      <c r="BJ926" s="61"/>
      <c r="BK926" s="62"/>
      <c r="BL926" s="62"/>
      <c r="BM926" s="63"/>
      <c r="BN926" s="63"/>
      <c r="BO926" s="63"/>
      <c r="BP926" s="63"/>
      <c r="BQ926" s="63"/>
      <c r="BR926" s="63"/>
      <c r="BS926" s="63"/>
      <c r="BT926" s="63"/>
      <c r="BU926" s="61"/>
      <c r="BV926" s="61"/>
      <c r="BW926" s="61"/>
      <c r="BX926" s="62"/>
      <c r="BY926" s="62"/>
      <c r="BZ926" s="63"/>
      <c r="CA926" s="63"/>
      <c r="CB926" s="63"/>
      <c r="CC926" s="63"/>
      <c r="CD926" s="63"/>
      <c r="CE926" s="63"/>
      <c r="CF926" s="63"/>
      <c r="CG926" s="63"/>
      <c r="CH926" s="64"/>
      <c r="CJ926" s="63"/>
      <c r="CT926" s="65"/>
      <c r="CU926" s="65"/>
      <c r="CV926" s="65"/>
      <c r="CW926" s="65"/>
      <c r="CX926" s="65"/>
      <c r="CY926" s="65"/>
      <c r="CZ926" s="65"/>
      <c r="DA926" s="65"/>
      <c r="DB926" s="65"/>
      <c r="DC926" s="63"/>
    </row>
    <row r="927" spans="1:107" s="57" customFormat="1" x14ac:dyDescent="0.2">
      <c r="A927" s="55">
        <v>10096</v>
      </c>
      <c r="B927" s="56">
        <v>2</v>
      </c>
      <c r="C927" s="56">
        <f t="shared" si="69"/>
        <v>100960002</v>
      </c>
      <c r="D927" s="57" t="s">
        <v>1809</v>
      </c>
      <c r="E927" s="58" t="s">
        <v>109</v>
      </c>
      <c r="F927" s="58"/>
      <c r="G927" s="58"/>
      <c r="H927" s="58"/>
      <c r="I927" s="59" t="s">
        <v>206</v>
      </c>
      <c r="J927" s="59"/>
      <c r="K927" s="59"/>
      <c r="L927" s="59"/>
      <c r="M927" s="59"/>
      <c r="N927" s="59" t="s">
        <v>163</v>
      </c>
      <c r="O927" s="59" t="s">
        <v>163</v>
      </c>
      <c r="P927" s="59"/>
      <c r="Q927" s="59" t="s">
        <v>2041</v>
      </c>
      <c r="R927" s="59"/>
      <c r="S927" s="59"/>
      <c r="T927" s="59" t="s">
        <v>2307</v>
      </c>
      <c r="U927" s="122" t="s">
        <v>2705</v>
      </c>
      <c r="V927" s="59" t="s">
        <v>109</v>
      </c>
      <c r="W927" s="59" t="s">
        <v>1</v>
      </c>
      <c r="X927" s="59"/>
      <c r="Z927" s="59"/>
      <c r="AA927" s="59"/>
      <c r="AB927" s="59"/>
      <c r="AC927" s="59">
        <v>96</v>
      </c>
      <c r="AD927" s="59"/>
      <c r="AE927" s="60"/>
      <c r="AF927" s="24" t="s">
        <v>2043</v>
      </c>
      <c r="AG927" s="59"/>
      <c r="AH927" s="61"/>
      <c r="AI927" s="61" t="s">
        <v>260</v>
      </c>
      <c r="AJ927" s="61"/>
      <c r="AK927" s="62" t="s">
        <v>139</v>
      </c>
      <c r="AL927" s="62"/>
      <c r="AM927" s="63"/>
      <c r="AN927" s="63"/>
      <c r="AO927" s="63"/>
      <c r="AP927" s="63"/>
      <c r="AQ927" s="63"/>
      <c r="AR927" s="63"/>
      <c r="AS927" s="63"/>
      <c r="AT927" s="63"/>
      <c r="AU927" s="61"/>
      <c r="AV927" s="61"/>
      <c r="AW927" s="61"/>
      <c r="AX927" s="62"/>
      <c r="AY927" s="62"/>
      <c r="AZ927" s="63"/>
      <c r="BA927" s="63"/>
      <c r="BB927" s="63"/>
      <c r="BC927" s="63"/>
      <c r="BD927" s="63"/>
      <c r="BE927" s="63"/>
      <c r="BF927" s="63"/>
      <c r="BG927" s="63"/>
      <c r="BH927" s="61"/>
      <c r="BI927" s="61"/>
      <c r="BJ927" s="61"/>
      <c r="BK927" s="62"/>
      <c r="BL927" s="62"/>
      <c r="BM927" s="63"/>
      <c r="BN927" s="63"/>
      <c r="BO927" s="63"/>
      <c r="BP927" s="63"/>
      <c r="BQ927" s="63"/>
      <c r="BR927" s="63"/>
      <c r="BS927" s="63"/>
      <c r="BT927" s="63"/>
      <c r="BU927" s="61"/>
      <c r="BV927" s="61"/>
      <c r="BW927" s="61"/>
      <c r="BX927" s="62"/>
      <c r="BY927" s="62"/>
      <c r="BZ927" s="63"/>
      <c r="CA927" s="63"/>
      <c r="CB927" s="63"/>
      <c r="CC927" s="63"/>
      <c r="CD927" s="63"/>
      <c r="CE927" s="63"/>
      <c r="CF927" s="63"/>
      <c r="CG927" s="63"/>
      <c r="CH927" s="64"/>
      <c r="CJ927" s="63"/>
      <c r="CT927" s="65"/>
      <c r="CU927" s="65"/>
      <c r="CV927" s="65"/>
      <c r="CW927" s="65"/>
      <c r="CX927" s="65"/>
      <c r="CY927" s="65"/>
      <c r="CZ927" s="65"/>
      <c r="DA927" s="65"/>
      <c r="DB927" s="65"/>
      <c r="DC927" s="63"/>
    </row>
    <row r="928" spans="1:107" s="57" customFormat="1" x14ac:dyDescent="0.2">
      <c r="A928" s="55">
        <v>10096</v>
      </c>
      <c r="B928" s="56">
        <v>3</v>
      </c>
      <c r="C928" s="56">
        <f t="shared" si="69"/>
        <v>100960003</v>
      </c>
      <c r="D928" s="57" t="s">
        <v>1809</v>
      </c>
      <c r="E928" s="58" t="s">
        <v>109</v>
      </c>
      <c r="F928" s="58"/>
      <c r="G928" s="58"/>
      <c r="H928" s="58"/>
      <c r="I928" s="59" t="s">
        <v>206</v>
      </c>
      <c r="J928" s="59"/>
      <c r="K928" s="59"/>
      <c r="L928" s="59"/>
      <c r="M928" s="59"/>
      <c r="N928" s="59" t="s">
        <v>163</v>
      </c>
      <c r="O928" s="59" t="s">
        <v>163</v>
      </c>
      <c r="P928" s="59"/>
      <c r="Q928" s="59" t="s">
        <v>2041</v>
      </c>
      <c r="R928" s="59"/>
      <c r="S928" s="59"/>
      <c r="T928" s="59" t="s">
        <v>2307</v>
      </c>
      <c r="U928" s="122" t="s">
        <v>2706</v>
      </c>
      <c r="V928" s="59" t="s">
        <v>109</v>
      </c>
      <c r="W928" s="59" t="s">
        <v>1</v>
      </c>
      <c r="X928" s="59"/>
      <c r="Z928" s="59"/>
      <c r="AA928" s="59"/>
      <c r="AB928" s="59"/>
      <c r="AC928" s="59">
        <v>96</v>
      </c>
      <c r="AD928" s="59"/>
      <c r="AE928" s="60"/>
      <c r="AF928" s="24" t="s">
        <v>2043</v>
      </c>
      <c r="AG928" s="59"/>
      <c r="AH928" s="61">
        <v>100963</v>
      </c>
      <c r="AI928" s="61" t="s">
        <v>264</v>
      </c>
      <c r="AJ928" s="61"/>
      <c r="AK928" s="62" t="s">
        <v>373</v>
      </c>
      <c r="AL928" s="62"/>
      <c r="AM928" s="63"/>
      <c r="AN928" s="63"/>
      <c r="AO928" s="63"/>
      <c r="AP928" s="63"/>
      <c r="AQ928" s="63"/>
      <c r="AR928" s="63"/>
      <c r="AS928" s="63"/>
      <c r="AT928" s="63"/>
      <c r="AU928" s="61"/>
      <c r="AV928" s="61"/>
      <c r="AW928" s="61"/>
      <c r="AX928" s="62"/>
      <c r="AY928" s="62"/>
      <c r="AZ928" s="63"/>
      <c r="BA928" s="63"/>
      <c r="BB928" s="63"/>
      <c r="BC928" s="63"/>
      <c r="BD928" s="63"/>
      <c r="BE928" s="63"/>
      <c r="BF928" s="63"/>
      <c r="BG928" s="63"/>
      <c r="BH928" s="61"/>
      <c r="BI928" s="61"/>
      <c r="BJ928" s="61"/>
      <c r="BK928" s="62"/>
      <c r="BL928" s="62"/>
      <c r="BM928" s="63"/>
      <c r="BN928" s="63"/>
      <c r="BO928" s="63"/>
      <c r="BP928" s="63"/>
      <c r="BQ928" s="63"/>
      <c r="BR928" s="63"/>
      <c r="BS928" s="63"/>
      <c r="BT928" s="63"/>
      <c r="BU928" s="61"/>
      <c r="BV928" s="61"/>
      <c r="BW928" s="61"/>
      <c r="BX928" s="62"/>
      <c r="BY928" s="62"/>
      <c r="BZ928" s="63"/>
      <c r="CA928" s="63"/>
      <c r="CB928" s="63"/>
      <c r="CC928" s="63"/>
      <c r="CD928" s="63"/>
      <c r="CE928" s="63"/>
      <c r="CF928" s="63"/>
      <c r="CG928" s="63"/>
      <c r="CH928" s="64"/>
      <c r="CJ928" s="63"/>
      <c r="CT928" s="65"/>
      <c r="CU928" s="65"/>
      <c r="CV928" s="65"/>
      <c r="CW928" s="65"/>
      <c r="CX928" s="65"/>
      <c r="CY928" s="65"/>
      <c r="CZ928" s="65"/>
      <c r="DA928" s="65"/>
      <c r="DB928" s="65"/>
      <c r="DC928" s="63"/>
    </row>
    <row r="929" spans="1:107" s="57" customFormat="1" ht="12.75" customHeight="1" x14ac:dyDescent="0.2">
      <c r="A929" s="55">
        <v>10096</v>
      </c>
      <c r="B929" s="56">
        <v>4</v>
      </c>
      <c r="C929" s="56">
        <f t="shared" si="69"/>
        <v>100960004</v>
      </c>
      <c r="D929" s="57" t="s">
        <v>1809</v>
      </c>
      <c r="E929" s="58" t="s">
        <v>109</v>
      </c>
      <c r="F929" s="58"/>
      <c r="G929" s="58"/>
      <c r="H929" s="58"/>
      <c r="I929" s="59" t="s">
        <v>206</v>
      </c>
      <c r="J929" s="59"/>
      <c r="K929" s="59"/>
      <c r="L929" s="59"/>
      <c r="M929" s="59"/>
      <c r="N929" s="59" t="s">
        <v>163</v>
      </c>
      <c r="O929" s="59" t="s">
        <v>163</v>
      </c>
      <c r="P929" s="59"/>
      <c r="Q929" s="59" t="s">
        <v>2041</v>
      </c>
      <c r="R929" s="59"/>
      <c r="S929" s="59"/>
      <c r="T929" s="59" t="s">
        <v>2307</v>
      </c>
      <c r="U929" s="122" t="s">
        <v>2707</v>
      </c>
      <c r="V929" s="59" t="s">
        <v>109</v>
      </c>
      <c r="W929" s="59" t="s">
        <v>1</v>
      </c>
      <c r="X929" s="59"/>
      <c r="Z929" s="59"/>
      <c r="AA929" s="59"/>
      <c r="AB929" s="59"/>
      <c r="AC929" s="59">
        <v>96</v>
      </c>
      <c r="AD929" s="59"/>
      <c r="AE929" s="60"/>
      <c r="AF929" s="24" t="s">
        <v>2043</v>
      </c>
      <c r="AG929" s="59"/>
      <c r="AH929" s="61">
        <v>100964</v>
      </c>
      <c r="AI929" s="61" t="s">
        <v>265</v>
      </c>
      <c r="AJ929" s="61"/>
      <c r="AK929" s="62" t="s">
        <v>374</v>
      </c>
      <c r="AL929" s="62"/>
      <c r="AM929" s="63"/>
      <c r="AN929" s="63"/>
      <c r="AO929" s="63"/>
      <c r="AP929" s="63"/>
      <c r="AQ929" s="63"/>
      <c r="AR929" s="63"/>
      <c r="AS929" s="63"/>
      <c r="AT929" s="63"/>
      <c r="AU929" s="61"/>
      <c r="AV929" s="61"/>
      <c r="AW929" s="61"/>
      <c r="AX929" s="62"/>
      <c r="AY929" s="62"/>
      <c r="AZ929" s="63"/>
      <c r="BA929" s="63"/>
      <c r="BB929" s="63"/>
      <c r="BC929" s="63"/>
      <c r="BD929" s="63"/>
      <c r="BE929" s="63"/>
      <c r="BF929" s="63"/>
      <c r="BG929" s="63"/>
      <c r="BH929" s="61"/>
      <c r="BI929" s="61"/>
      <c r="BJ929" s="61"/>
      <c r="BK929" s="62"/>
      <c r="BL929" s="62"/>
      <c r="BM929" s="63"/>
      <c r="BN929" s="63"/>
      <c r="BO929" s="63"/>
      <c r="BP929" s="63"/>
      <c r="BQ929" s="63"/>
      <c r="BR929" s="63"/>
      <c r="BS929" s="63"/>
      <c r="BT929" s="63"/>
      <c r="BU929" s="61"/>
      <c r="BV929" s="61"/>
      <c r="BW929" s="61"/>
      <c r="BX929" s="62"/>
      <c r="BY929" s="62"/>
      <c r="BZ929" s="63"/>
      <c r="CA929" s="63"/>
      <c r="CB929" s="63"/>
      <c r="CC929" s="63"/>
      <c r="CD929" s="63"/>
      <c r="CE929" s="63"/>
      <c r="CF929" s="63"/>
      <c r="CG929" s="63"/>
      <c r="CH929" s="64"/>
      <c r="CJ929" s="63"/>
      <c r="CT929" s="65"/>
      <c r="CU929" s="65"/>
      <c r="CV929" s="65"/>
      <c r="CW929" s="65"/>
      <c r="CX929" s="65"/>
      <c r="CY929" s="65"/>
      <c r="CZ929" s="65"/>
      <c r="DA929" s="65"/>
      <c r="DB929" s="65"/>
      <c r="DC929" s="63"/>
    </row>
    <row r="930" spans="1:107" s="57" customFormat="1" x14ac:dyDescent="0.2">
      <c r="A930" s="55">
        <v>10096</v>
      </c>
      <c r="B930" s="56">
        <v>5</v>
      </c>
      <c r="C930" s="56">
        <f t="shared" si="69"/>
        <v>100960005</v>
      </c>
      <c r="D930" s="57" t="s">
        <v>1809</v>
      </c>
      <c r="E930" s="58" t="s">
        <v>109</v>
      </c>
      <c r="F930" s="58"/>
      <c r="G930" s="58"/>
      <c r="H930" s="58"/>
      <c r="I930" s="59" t="s">
        <v>206</v>
      </c>
      <c r="J930" s="59"/>
      <c r="K930" s="59"/>
      <c r="L930" s="59"/>
      <c r="M930" s="59"/>
      <c r="N930" s="59" t="s">
        <v>163</v>
      </c>
      <c r="O930" s="59" t="s">
        <v>163</v>
      </c>
      <c r="P930" s="59"/>
      <c r="Q930" s="59" t="s">
        <v>2041</v>
      </c>
      <c r="R930" s="59"/>
      <c r="S930" s="59"/>
      <c r="T930" s="59" t="s">
        <v>2307</v>
      </c>
      <c r="U930" s="122" t="s">
        <v>2708</v>
      </c>
      <c r="V930" s="59" t="s">
        <v>109</v>
      </c>
      <c r="W930" s="59" t="s">
        <v>1</v>
      </c>
      <c r="X930" s="59"/>
      <c r="Z930" s="59"/>
      <c r="AA930" s="59"/>
      <c r="AB930" s="59"/>
      <c r="AC930" s="59">
        <v>96</v>
      </c>
      <c r="AD930" s="59"/>
      <c r="AE930" s="60"/>
      <c r="AF930" s="24" t="s">
        <v>2043</v>
      </c>
      <c r="AG930" s="59"/>
      <c r="AH930" s="61">
        <v>100965</v>
      </c>
      <c r="AI930" s="61" t="s">
        <v>266</v>
      </c>
      <c r="AJ930" s="61"/>
      <c r="AK930" s="62">
        <v>1960</v>
      </c>
      <c r="AL930" s="62"/>
      <c r="AM930" s="63"/>
      <c r="AN930" s="63"/>
      <c r="AO930" s="63"/>
      <c r="AP930" s="63"/>
      <c r="AQ930" s="63"/>
      <c r="AR930" s="63"/>
      <c r="AS930" s="63"/>
      <c r="AT930" s="63"/>
      <c r="AU930" s="61"/>
      <c r="AV930" s="61"/>
      <c r="AW930" s="61"/>
      <c r="AX930" s="62"/>
      <c r="AY930" s="62"/>
      <c r="AZ930" s="63"/>
      <c r="BA930" s="63"/>
      <c r="BB930" s="63"/>
      <c r="BC930" s="63"/>
      <c r="BD930" s="63"/>
      <c r="BE930" s="63"/>
      <c r="BF930" s="63"/>
      <c r="BG930" s="63"/>
      <c r="BH930" s="61"/>
      <c r="BI930" s="61"/>
      <c r="BJ930" s="61"/>
      <c r="BK930" s="62"/>
      <c r="BL930" s="62"/>
      <c r="BM930" s="63"/>
      <c r="BN930" s="63"/>
      <c r="BO930" s="63"/>
      <c r="BP930" s="63"/>
      <c r="BQ930" s="63"/>
      <c r="BR930" s="63"/>
      <c r="BS930" s="63"/>
      <c r="BT930" s="63"/>
      <c r="BU930" s="61"/>
      <c r="BV930" s="61"/>
      <c r="BW930" s="61"/>
      <c r="BX930" s="62"/>
      <c r="BY930" s="62"/>
      <c r="BZ930" s="63"/>
      <c r="CA930" s="63"/>
      <c r="CB930" s="63"/>
      <c r="CC930" s="63"/>
      <c r="CD930" s="63"/>
      <c r="CE930" s="63"/>
      <c r="CF930" s="63"/>
      <c r="CG930" s="63"/>
      <c r="CH930" s="64"/>
      <c r="CJ930" s="63"/>
      <c r="CT930" s="65"/>
      <c r="CU930" s="65"/>
      <c r="CV930" s="65"/>
      <c r="CW930" s="65"/>
      <c r="CX930" s="65"/>
      <c r="CY930" s="65"/>
      <c r="CZ930" s="65"/>
      <c r="DA930" s="65"/>
      <c r="DB930" s="65"/>
      <c r="DC930" s="63"/>
    </row>
    <row r="931" spans="1:107" s="57" customFormat="1" x14ac:dyDescent="0.2">
      <c r="A931" s="55">
        <v>10097</v>
      </c>
      <c r="B931" s="56">
        <v>1</v>
      </c>
      <c r="C931" s="56">
        <f t="shared" ref="C931:C935" si="73">A931*10000+B931</f>
        <v>100970001</v>
      </c>
      <c r="D931" s="57" t="s">
        <v>2121</v>
      </c>
      <c r="E931" s="58" t="s">
        <v>109</v>
      </c>
      <c r="F931" s="58"/>
      <c r="G931" s="58"/>
      <c r="H931" s="58"/>
      <c r="I931" s="59" t="s">
        <v>206</v>
      </c>
      <c r="J931" s="59"/>
      <c r="K931" s="59"/>
      <c r="L931" s="59"/>
      <c r="M931" s="59"/>
      <c r="N931" s="59" t="s">
        <v>163</v>
      </c>
      <c r="O931" s="59" t="s">
        <v>163</v>
      </c>
      <c r="P931" s="59"/>
      <c r="Q931" s="59" t="s">
        <v>2041</v>
      </c>
      <c r="R931" s="59"/>
      <c r="S931" s="59"/>
      <c r="T931" s="59" t="s">
        <v>2307</v>
      </c>
      <c r="U931" s="122" t="s">
        <v>2709</v>
      </c>
      <c r="V931" s="59" t="s">
        <v>109</v>
      </c>
      <c r="W931" s="59" t="s">
        <v>1</v>
      </c>
      <c r="X931" s="59"/>
      <c r="Z931" s="59"/>
      <c r="AA931" s="59"/>
      <c r="AB931" s="59"/>
      <c r="AC931" s="59">
        <v>97</v>
      </c>
      <c r="AD931" s="59"/>
      <c r="AE931" s="60"/>
      <c r="AF931" s="24" t="s">
        <v>2043</v>
      </c>
      <c r="AG931" s="59"/>
      <c r="AH931" s="61"/>
      <c r="AI931" s="61" t="s">
        <v>176</v>
      </c>
      <c r="AJ931" s="61"/>
      <c r="AK931" s="62" t="s">
        <v>136</v>
      </c>
      <c r="AL931" s="62"/>
      <c r="AM931" s="63"/>
      <c r="AN931" s="63"/>
      <c r="AO931" s="63"/>
      <c r="AP931" s="63"/>
      <c r="AQ931" s="63"/>
      <c r="AR931" s="63"/>
      <c r="AS931" s="63"/>
      <c r="AT931" s="63"/>
      <c r="AU931" s="61"/>
      <c r="AV931" s="61"/>
      <c r="AW931" s="61"/>
      <c r="AX931" s="62"/>
      <c r="AY931" s="62"/>
      <c r="AZ931" s="63"/>
      <c r="BA931" s="63"/>
      <c r="BB931" s="63"/>
      <c r="BC931" s="63"/>
      <c r="BD931" s="63"/>
      <c r="BE931" s="63"/>
      <c r="BF931" s="63"/>
      <c r="BG931" s="63"/>
      <c r="BH931" s="61"/>
      <c r="BI931" s="61"/>
      <c r="BJ931" s="61"/>
      <c r="BK931" s="62"/>
      <c r="BL931" s="62"/>
      <c r="BM931" s="63"/>
      <c r="BN931" s="63"/>
      <c r="BO931" s="63"/>
      <c r="BP931" s="63"/>
      <c r="BQ931" s="63"/>
      <c r="BR931" s="63"/>
      <c r="BS931" s="63"/>
      <c r="BT931" s="63"/>
      <c r="BU931" s="61"/>
      <c r="BV931" s="61"/>
      <c r="BW931" s="61"/>
      <c r="BX931" s="62"/>
      <c r="BY931" s="62"/>
      <c r="BZ931" s="63"/>
      <c r="CA931" s="63"/>
      <c r="CB931" s="63"/>
      <c r="CC931" s="63"/>
      <c r="CD931" s="63"/>
      <c r="CE931" s="63"/>
      <c r="CF931" s="63"/>
      <c r="CG931" s="63"/>
      <c r="CH931" s="64"/>
      <c r="CJ931" s="63"/>
      <c r="CT931" s="65"/>
      <c r="CU931" s="65"/>
      <c r="CV931" s="65"/>
      <c r="CW931" s="65"/>
      <c r="CX931" s="65"/>
      <c r="CY931" s="65"/>
      <c r="CZ931" s="65"/>
      <c r="DA931" s="65"/>
      <c r="DB931" s="65"/>
      <c r="DC931" s="63"/>
    </row>
    <row r="932" spans="1:107" s="57" customFormat="1" x14ac:dyDescent="0.2">
      <c r="A932" s="55">
        <v>10097</v>
      </c>
      <c r="B932" s="56">
        <v>2</v>
      </c>
      <c r="C932" s="56">
        <f t="shared" si="73"/>
        <v>100970002</v>
      </c>
      <c r="D932" s="57" t="s">
        <v>2121</v>
      </c>
      <c r="E932" s="58" t="s">
        <v>109</v>
      </c>
      <c r="F932" s="58"/>
      <c r="G932" s="58"/>
      <c r="H932" s="58"/>
      <c r="I932" s="59" t="s">
        <v>206</v>
      </c>
      <c r="J932" s="59"/>
      <c r="K932" s="59"/>
      <c r="L932" s="59"/>
      <c r="M932" s="59"/>
      <c r="N932" s="59" t="s">
        <v>163</v>
      </c>
      <c r="O932" s="59" t="s">
        <v>163</v>
      </c>
      <c r="P932" s="59"/>
      <c r="Q932" s="59" t="s">
        <v>2041</v>
      </c>
      <c r="R932" s="59"/>
      <c r="S932" s="59"/>
      <c r="T932" s="59" t="s">
        <v>2307</v>
      </c>
      <c r="U932" s="122" t="s">
        <v>2710</v>
      </c>
      <c r="V932" s="59" t="s">
        <v>109</v>
      </c>
      <c r="W932" s="59" t="s">
        <v>1</v>
      </c>
      <c r="X932" s="59"/>
      <c r="Z932" s="59"/>
      <c r="AA932" s="59"/>
      <c r="AB932" s="59"/>
      <c r="AC932" s="59">
        <v>97</v>
      </c>
      <c r="AD932" s="59"/>
      <c r="AE932" s="60"/>
      <c r="AF932" s="24" t="s">
        <v>2043</v>
      </c>
      <c r="AG932" s="59"/>
      <c r="AH932" s="61"/>
      <c r="AI932" s="61" t="s">
        <v>260</v>
      </c>
      <c r="AJ932" s="61"/>
      <c r="AK932" s="62" t="s">
        <v>139</v>
      </c>
      <c r="AL932" s="62"/>
      <c r="AM932" s="63"/>
      <c r="AN932" s="63"/>
      <c r="AO932" s="63"/>
      <c r="AP932" s="63"/>
      <c r="AQ932" s="63"/>
      <c r="AR932" s="63"/>
      <c r="AS932" s="63"/>
      <c r="AT932" s="63"/>
      <c r="AU932" s="61"/>
      <c r="AV932" s="61"/>
      <c r="AW932" s="61"/>
      <c r="AX932" s="62"/>
      <c r="AY932" s="62"/>
      <c r="AZ932" s="63"/>
      <c r="BA932" s="63"/>
      <c r="BB932" s="63"/>
      <c r="BC932" s="63"/>
      <c r="BD932" s="63"/>
      <c r="BE932" s="63"/>
      <c r="BF932" s="63"/>
      <c r="BG932" s="63"/>
      <c r="BH932" s="61"/>
      <c r="BI932" s="61"/>
      <c r="BJ932" s="61"/>
      <c r="BK932" s="62"/>
      <c r="BL932" s="62"/>
      <c r="BM932" s="63"/>
      <c r="BN932" s="63"/>
      <c r="BO932" s="63"/>
      <c r="BP932" s="63"/>
      <c r="BQ932" s="63"/>
      <c r="BR932" s="63"/>
      <c r="BS932" s="63"/>
      <c r="BT932" s="63"/>
      <c r="BU932" s="61"/>
      <c r="BV932" s="61"/>
      <c r="BW932" s="61"/>
      <c r="BX932" s="62"/>
      <c r="BY932" s="62"/>
      <c r="BZ932" s="63"/>
      <c r="CA932" s="63"/>
      <c r="CB932" s="63"/>
      <c r="CC932" s="63"/>
      <c r="CD932" s="63"/>
      <c r="CE932" s="63"/>
      <c r="CF932" s="63"/>
      <c r="CG932" s="63"/>
      <c r="CH932" s="64"/>
      <c r="CJ932" s="63"/>
      <c r="CT932" s="65"/>
      <c r="CU932" s="65"/>
      <c r="CV932" s="65"/>
      <c r="CW932" s="65"/>
      <c r="CX932" s="65"/>
      <c r="CY932" s="65"/>
      <c r="CZ932" s="65"/>
      <c r="DA932" s="65"/>
      <c r="DB932" s="65"/>
      <c r="DC932" s="63"/>
    </row>
    <row r="933" spans="1:107" s="57" customFormat="1" x14ac:dyDescent="0.2">
      <c r="A933" s="55">
        <v>10097</v>
      </c>
      <c r="B933" s="56">
        <v>3</v>
      </c>
      <c r="C933" s="56">
        <f t="shared" si="73"/>
        <v>100970003</v>
      </c>
      <c r="D933" s="57" t="s">
        <v>2121</v>
      </c>
      <c r="E933" s="58" t="s">
        <v>109</v>
      </c>
      <c r="F933" s="58"/>
      <c r="G933" s="58"/>
      <c r="H933" s="58"/>
      <c r="I933" s="59" t="s">
        <v>206</v>
      </c>
      <c r="J933" s="59"/>
      <c r="K933" s="59"/>
      <c r="L933" s="59"/>
      <c r="M933" s="59"/>
      <c r="N933" s="59" t="s">
        <v>163</v>
      </c>
      <c r="O933" s="59" t="s">
        <v>163</v>
      </c>
      <c r="P933" s="59"/>
      <c r="Q933" s="59" t="s">
        <v>2041</v>
      </c>
      <c r="R933" s="59"/>
      <c r="S933" s="59"/>
      <c r="T933" s="59" t="s">
        <v>2307</v>
      </c>
      <c r="U933" s="122" t="s">
        <v>2711</v>
      </c>
      <c r="V933" s="59" t="s">
        <v>109</v>
      </c>
      <c r="W933" s="59" t="s">
        <v>1</v>
      </c>
      <c r="X933" s="59"/>
      <c r="Z933" s="59"/>
      <c r="AA933" s="59"/>
      <c r="AB933" s="59"/>
      <c r="AC933" s="59">
        <v>97</v>
      </c>
      <c r="AD933" s="59"/>
      <c r="AE933" s="60"/>
      <c r="AF933" s="24" t="s">
        <v>2043</v>
      </c>
      <c r="AG933" s="59"/>
      <c r="AH933" s="61">
        <v>100973</v>
      </c>
      <c r="AI933" s="61" t="s">
        <v>264</v>
      </c>
      <c r="AJ933" s="61"/>
      <c r="AK933" s="62" t="s">
        <v>373</v>
      </c>
      <c r="AL933" s="62"/>
      <c r="AM933" s="63"/>
      <c r="AN933" s="63"/>
      <c r="AO933" s="63"/>
      <c r="AP933" s="63"/>
      <c r="AQ933" s="63"/>
      <c r="AR933" s="63"/>
      <c r="AS933" s="63"/>
      <c r="AT933" s="63"/>
      <c r="AU933" s="61"/>
      <c r="AV933" s="61"/>
      <c r="AW933" s="61"/>
      <c r="AX933" s="62"/>
      <c r="AY933" s="62"/>
      <c r="AZ933" s="63"/>
      <c r="BA933" s="63"/>
      <c r="BB933" s="63"/>
      <c r="BC933" s="63"/>
      <c r="BD933" s="63"/>
      <c r="BE933" s="63"/>
      <c r="BF933" s="63"/>
      <c r="BG933" s="63"/>
      <c r="BH933" s="61"/>
      <c r="BI933" s="61"/>
      <c r="BJ933" s="61"/>
      <c r="BK933" s="62"/>
      <c r="BL933" s="62"/>
      <c r="BM933" s="63"/>
      <c r="BN933" s="63"/>
      <c r="BO933" s="63"/>
      <c r="BP933" s="63"/>
      <c r="BQ933" s="63"/>
      <c r="BR933" s="63"/>
      <c r="BS933" s="63"/>
      <c r="BT933" s="63"/>
      <c r="BU933" s="61"/>
      <c r="BV933" s="61"/>
      <c r="BW933" s="61"/>
      <c r="BX933" s="62"/>
      <c r="BY933" s="62"/>
      <c r="BZ933" s="63"/>
      <c r="CA933" s="63"/>
      <c r="CB933" s="63"/>
      <c r="CC933" s="63"/>
      <c r="CD933" s="63"/>
      <c r="CE933" s="63"/>
      <c r="CF933" s="63"/>
      <c r="CG933" s="63"/>
      <c r="CH933" s="64"/>
      <c r="CJ933" s="63"/>
      <c r="CT933" s="65"/>
      <c r="CU933" s="65"/>
      <c r="CV933" s="65"/>
      <c r="CW933" s="65"/>
      <c r="CX933" s="65"/>
      <c r="CY933" s="65"/>
      <c r="CZ933" s="65"/>
      <c r="DA933" s="65"/>
      <c r="DB933" s="65"/>
      <c r="DC933" s="63"/>
    </row>
    <row r="934" spans="1:107" s="57" customFormat="1" ht="12.75" customHeight="1" x14ac:dyDescent="0.2">
      <c r="A934" s="55">
        <v>10097</v>
      </c>
      <c r="B934" s="56">
        <v>4</v>
      </c>
      <c r="C934" s="56">
        <f t="shared" si="73"/>
        <v>100970004</v>
      </c>
      <c r="D934" s="57" t="s">
        <v>2121</v>
      </c>
      <c r="E934" s="58" t="s">
        <v>109</v>
      </c>
      <c r="F934" s="58"/>
      <c r="G934" s="58"/>
      <c r="H934" s="58"/>
      <c r="I934" s="59" t="s">
        <v>206</v>
      </c>
      <c r="J934" s="59"/>
      <c r="K934" s="59"/>
      <c r="L934" s="59"/>
      <c r="M934" s="59"/>
      <c r="N934" s="59" t="s">
        <v>163</v>
      </c>
      <c r="O934" s="59" t="s">
        <v>163</v>
      </c>
      <c r="P934" s="59"/>
      <c r="Q934" s="59" t="s">
        <v>2041</v>
      </c>
      <c r="R934" s="59"/>
      <c r="S934" s="59"/>
      <c r="T934" s="59" t="s">
        <v>2307</v>
      </c>
      <c r="U934" s="122" t="s">
        <v>2712</v>
      </c>
      <c r="V934" s="59" t="s">
        <v>109</v>
      </c>
      <c r="W934" s="59" t="s">
        <v>1</v>
      </c>
      <c r="X934" s="59"/>
      <c r="Z934" s="59"/>
      <c r="AA934" s="59"/>
      <c r="AB934" s="59"/>
      <c r="AC934" s="59">
        <v>97</v>
      </c>
      <c r="AD934" s="59"/>
      <c r="AE934" s="60"/>
      <c r="AF934" s="24" t="s">
        <v>2043</v>
      </c>
      <c r="AG934" s="59"/>
      <c r="AH934" s="61">
        <v>100974</v>
      </c>
      <c r="AI934" s="61" t="s">
        <v>265</v>
      </c>
      <c r="AJ934" s="61"/>
      <c r="AK934" s="62" t="s">
        <v>374</v>
      </c>
      <c r="AL934" s="62"/>
      <c r="AM934" s="63"/>
      <c r="AN934" s="63"/>
      <c r="AO934" s="63"/>
      <c r="AP934" s="63"/>
      <c r="AQ934" s="63"/>
      <c r="AR934" s="63"/>
      <c r="AS934" s="63"/>
      <c r="AT934" s="63"/>
      <c r="AU934" s="61"/>
      <c r="AV934" s="61"/>
      <c r="AW934" s="61"/>
      <c r="AX934" s="62"/>
      <c r="AY934" s="62"/>
      <c r="AZ934" s="63"/>
      <c r="BA934" s="63"/>
      <c r="BB934" s="63"/>
      <c r="BC934" s="63"/>
      <c r="BD934" s="63"/>
      <c r="BE934" s="63"/>
      <c r="BF934" s="63"/>
      <c r="BG934" s="63"/>
      <c r="BH934" s="61"/>
      <c r="BI934" s="61"/>
      <c r="BJ934" s="61"/>
      <c r="BK934" s="62"/>
      <c r="BL934" s="62"/>
      <c r="BM934" s="63"/>
      <c r="BN934" s="63"/>
      <c r="BO934" s="63"/>
      <c r="BP934" s="63"/>
      <c r="BQ934" s="63"/>
      <c r="BR934" s="63"/>
      <c r="BS934" s="63"/>
      <c r="BT934" s="63"/>
      <c r="BU934" s="61"/>
      <c r="BV934" s="61"/>
      <c r="BW934" s="61"/>
      <c r="BX934" s="62"/>
      <c r="BY934" s="62"/>
      <c r="BZ934" s="63"/>
      <c r="CA934" s="63"/>
      <c r="CB934" s="63"/>
      <c r="CC934" s="63"/>
      <c r="CD934" s="63"/>
      <c r="CE934" s="63"/>
      <c r="CF934" s="63"/>
      <c r="CG934" s="63"/>
      <c r="CH934" s="64"/>
      <c r="CJ934" s="63"/>
      <c r="CT934" s="65"/>
      <c r="CU934" s="65"/>
      <c r="CV934" s="65"/>
      <c r="CW934" s="65"/>
      <c r="CX934" s="65"/>
      <c r="CY934" s="65"/>
      <c r="CZ934" s="65"/>
      <c r="DA934" s="65"/>
      <c r="DB934" s="65"/>
      <c r="DC934" s="63"/>
    </row>
    <row r="935" spans="1:107" s="57" customFormat="1" x14ac:dyDescent="0.2">
      <c r="A935" s="55">
        <v>10097</v>
      </c>
      <c r="B935" s="56">
        <v>5</v>
      </c>
      <c r="C935" s="56">
        <f t="shared" si="73"/>
        <v>100970005</v>
      </c>
      <c r="D935" s="57" t="s">
        <v>2121</v>
      </c>
      <c r="E935" s="58" t="s">
        <v>109</v>
      </c>
      <c r="F935" s="58"/>
      <c r="G935" s="58"/>
      <c r="H935" s="58"/>
      <c r="I935" s="59" t="s">
        <v>206</v>
      </c>
      <c r="J935" s="59"/>
      <c r="K935" s="59"/>
      <c r="L935" s="59"/>
      <c r="M935" s="59"/>
      <c r="N935" s="59" t="s">
        <v>163</v>
      </c>
      <c r="O935" s="59" t="s">
        <v>163</v>
      </c>
      <c r="P935" s="59"/>
      <c r="Q935" s="59" t="s">
        <v>2041</v>
      </c>
      <c r="R935" s="59"/>
      <c r="S935" s="59"/>
      <c r="T935" s="59" t="s">
        <v>2307</v>
      </c>
      <c r="U935" s="122" t="s">
        <v>2713</v>
      </c>
      <c r="V935" s="59" t="s">
        <v>109</v>
      </c>
      <c r="W935" s="59" t="s">
        <v>1</v>
      </c>
      <c r="X935" s="59"/>
      <c r="Z935" s="59"/>
      <c r="AA935" s="59"/>
      <c r="AB935" s="59"/>
      <c r="AC935" s="59">
        <v>97</v>
      </c>
      <c r="AD935" s="59"/>
      <c r="AE935" s="60"/>
      <c r="AF935" s="24" t="s">
        <v>2043</v>
      </c>
      <c r="AG935" s="59"/>
      <c r="AH935" s="61">
        <v>100975</v>
      </c>
      <c r="AI935" s="61" t="s">
        <v>266</v>
      </c>
      <c r="AJ935" s="61"/>
      <c r="AK935" s="62">
        <v>1960</v>
      </c>
      <c r="AL935" s="62"/>
      <c r="AM935" s="63"/>
      <c r="AN935" s="63"/>
      <c r="AO935" s="63"/>
      <c r="AP935" s="63"/>
      <c r="AQ935" s="63"/>
      <c r="AR935" s="63"/>
      <c r="AS935" s="63"/>
      <c r="AT935" s="63"/>
      <c r="AU935" s="61"/>
      <c r="AV935" s="61"/>
      <c r="AW935" s="61"/>
      <c r="AX935" s="62"/>
      <c r="AY935" s="62"/>
      <c r="AZ935" s="63"/>
      <c r="BA935" s="63"/>
      <c r="BB935" s="63"/>
      <c r="BC935" s="63"/>
      <c r="BD935" s="63"/>
      <c r="BE935" s="63"/>
      <c r="BF935" s="63"/>
      <c r="BG935" s="63"/>
      <c r="BH935" s="61"/>
      <c r="BI935" s="61"/>
      <c r="BJ935" s="61"/>
      <c r="BK935" s="62"/>
      <c r="BL935" s="62"/>
      <c r="BM935" s="63"/>
      <c r="BN935" s="63"/>
      <c r="BO935" s="63"/>
      <c r="BP935" s="63"/>
      <c r="BQ935" s="63"/>
      <c r="BR935" s="63"/>
      <c r="BS935" s="63"/>
      <c r="BT935" s="63"/>
      <c r="BU935" s="61"/>
      <c r="BV935" s="61"/>
      <c r="BW935" s="61"/>
      <c r="BX935" s="62"/>
      <c r="BY935" s="62"/>
      <c r="BZ935" s="63"/>
      <c r="CA935" s="63"/>
      <c r="CB935" s="63"/>
      <c r="CC935" s="63"/>
      <c r="CD935" s="63"/>
      <c r="CE935" s="63"/>
      <c r="CF935" s="63"/>
      <c r="CG935" s="63"/>
      <c r="CH935" s="64"/>
      <c r="CJ935" s="63"/>
      <c r="CT935" s="65"/>
      <c r="CU935" s="65"/>
      <c r="CV935" s="65"/>
      <c r="CW935" s="65"/>
      <c r="CX935" s="65"/>
      <c r="CY935" s="65"/>
      <c r="CZ935" s="65"/>
      <c r="DA935" s="65"/>
      <c r="DB935" s="65"/>
      <c r="DC935" s="63"/>
    </row>
    <row r="936" spans="1:107" s="57" customFormat="1" x14ac:dyDescent="0.2">
      <c r="A936" s="55">
        <v>10098</v>
      </c>
      <c r="B936" s="56">
        <v>1</v>
      </c>
      <c r="C936" s="56">
        <f t="shared" ref="C936:C940" si="74">A936*10000+B936</f>
        <v>100980001</v>
      </c>
      <c r="D936" s="57" t="s">
        <v>3374</v>
      </c>
      <c r="E936" s="58" t="s">
        <v>109</v>
      </c>
      <c r="F936" s="58"/>
      <c r="G936" s="58"/>
      <c r="H936" s="58"/>
      <c r="I936" s="59" t="s">
        <v>206</v>
      </c>
      <c r="J936" s="59"/>
      <c r="K936" s="59"/>
      <c r="L936" s="59"/>
      <c r="M936" s="59"/>
      <c r="N936" s="59" t="s">
        <v>163</v>
      </c>
      <c r="O936" s="59" t="s">
        <v>163</v>
      </c>
      <c r="P936" s="59"/>
      <c r="Q936" s="59" t="s">
        <v>2041</v>
      </c>
      <c r="R936" s="59"/>
      <c r="S936" s="59"/>
      <c r="T936" s="59" t="s">
        <v>2307</v>
      </c>
      <c r="U936" s="122" t="s">
        <v>3375</v>
      </c>
      <c r="V936" s="59" t="s">
        <v>109</v>
      </c>
      <c r="W936" s="59" t="s">
        <v>1</v>
      </c>
      <c r="X936" s="59"/>
      <c r="Z936" s="59"/>
      <c r="AA936" s="59"/>
      <c r="AB936" s="59"/>
      <c r="AC936" s="59">
        <v>98</v>
      </c>
      <c r="AD936" s="59"/>
      <c r="AE936" s="60"/>
      <c r="AF936" s="24" t="s">
        <v>2043</v>
      </c>
      <c r="AG936" s="59"/>
      <c r="AH936" s="61"/>
      <c r="AI936" s="61" t="s">
        <v>176</v>
      </c>
      <c r="AJ936" s="61"/>
      <c r="AK936" s="62" t="s">
        <v>136</v>
      </c>
      <c r="AL936" s="62"/>
      <c r="AM936" s="63"/>
      <c r="AN936" s="63"/>
      <c r="AO936" s="63"/>
      <c r="AP936" s="63"/>
      <c r="AQ936" s="63"/>
      <c r="AR936" s="63"/>
      <c r="AS936" s="63"/>
      <c r="AT936" s="63"/>
      <c r="AU936" s="61"/>
      <c r="AV936" s="61"/>
      <c r="AW936" s="61"/>
      <c r="AX936" s="62"/>
      <c r="AY936" s="62"/>
      <c r="AZ936" s="63"/>
      <c r="BA936" s="63"/>
      <c r="BB936" s="63"/>
      <c r="BC936" s="63"/>
      <c r="BD936" s="63"/>
      <c r="BE936" s="63"/>
      <c r="BF936" s="63"/>
      <c r="BG936" s="63"/>
      <c r="BH936" s="61"/>
      <c r="BI936" s="61"/>
      <c r="BJ936" s="61"/>
      <c r="BK936" s="62"/>
      <c r="BL936" s="62"/>
      <c r="BM936" s="63"/>
      <c r="BN936" s="63"/>
      <c r="BO936" s="63"/>
      <c r="BP936" s="63"/>
      <c r="BQ936" s="63"/>
      <c r="BR936" s="63"/>
      <c r="BS936" s="63"/>
      <c r="BT936" s="63"/>
      <c r="BU936" s="61"/>
      <c r="BV936" s="61"/>
      <c r="BW936" s="61"/>
      <c r="BX936" s="62"/>
      <c r="BY936" s="62"/>
      <c r="BZ936" s="63"/>
      <c r="CA936" s="63"/>
      <c r="CB936" s="63"/>
      <c r="CC936" s="63"/>
      <c r="CD936" s="63"/>
      <c r="CE936" s="63"/>
      <c r="CF936" s="63"/>
      <c r="CG936" s="63"/>
      <c r="CH936" s="64"/>
      <c r="CJ936" s="63"/>
      <c r="CT936" s="65"/>
      <c r="CU936" s="65"/>
      <c r="CV936" s="65"/>
      <c r="CW936" s="65"/>
      <c r="CX936" s="65"/>
      <c r="CY936" s="65"/>
      <c r="CZ936" s="65"/>
      <c r="DA936" s="65"/>
      <c r="DB936" s="65"/>
      <c r="DC936" s="63"/>
    </row>
    <row r="937" spans="1:107" s="57" customFormat="1" x14ac:dyDescent="0.2">
      <c r="A937" s="55">
        <v>10098</v>
      </c>
      <c r="B937" s="56">
        <v>2</v>
      </c>
      <c r="C937" s="56">
        <f t="shared" si="74"/>
        <v>100980002</v>
      </c>
      <c r="D937" s="57" t="s">
        <v>3374</v>
      </c>
      <c r="E937" s="58" t="s">
        <v>109</v>
      </c>
      <c r="F937" s="58"/>
      <c r="G937" s="58"/>
      <c r="H937" s="58"/>
      <c r="I937" s="59" t="s">
        <v>206</v>
      </c>
      <c r="J937" s="59"/>
      <c r="K937" s="59"/>
      <c r="L937" s="59"/>
      <c r="M937" s="59"/>
      <c r="N937" s="59" t="s">
        <v>163</v>
      </c>
      <c r="O937" s="59" t="s">
        <v>163</v>
      </c>
      <c r="P937" s="59"/>
      <c r="Q937" s="59" t="s">
        <v>2041</v>
      </c>
      <c r="R937" s="59"/>
      <c r="S937" s="59"/>
      <c r="T937" s="59" t="s">
        <v>2307</v>
      </c>
      <c r="U937" s="122" t="s">
        <v>3376</v>
      </c>
      <c r="V937" s="59" t="s">
        <v>109</v>
      </c>
      <c r="W937" s="59" t="s">
        <v>1</v>
      </c>
      <c r="X937" s="59"/>
      <c r="Z937" s="59"/>
      <c r="AA937" s="59"/>
      <c r="AB937" s="59"/>
      <c r="AC937" s="59">
        <v>98</v>
      </c>
      <c r="AD937" s="59"/>
      <c r="AE937" s="60"/>
      <c r="AF937" s="24" t="s">
        <v>2043</v>
      </c>
      <c r="AG937" s="59"/>
      <c r="AH937" s="61"/>
      <c r="AI937" s="61" t="s">
        <v>260</v>
      </c>
      <c r="AJ937" s="61"/>
      <c r="AK937" s="62" t="s">
        <v>139</v>
      </c>
      <c r="AL937" s="62"/>
      <c r="AM937" s="63"/>
      <c r="AN937" s="63"/>
      <c r="AO937" s="63"/>
      <c r="AP937" s="63"/>
      <c r="AQ937" s="63"/>
      <c r="AR937" s="63"/>
      <c r="AS937" s="63"/>
      <c r="AT937" s="63"/>
      <c r="AU937" s="61"/>
      <c r="AV937" s="61"/>
      <c r="AW937" s="61"/>
      <c r="AX937" s="62"/>
      <c r="AY937" s="62"/>
      <c r="AZ937" s="63"/>
      <c r="BA937" s="63"/>
      <c r="BB937" s="63"/>
      <c r="BC937" s="63"/>
      <c r="BD937" s="63"/>
      <c r="BE937" s="63"/>
      <c r="BF937" s="63"/>
      <c r="BG937" s="63"/>
      <c r="BH937" s="61"/>
      <c r="BI937" s="61"/>
      <c r="BJ937" s="61"/>
      <c r="BK937" s="62"/>
      <c r="BL937" s="62"/>
      <c r="BM937" s="63"/>
      <c r="BN937" s="63"/>
      <c r="BO937" s="63"/>
      <c r="BP937" s="63"/>
      <c r="BQ937" s="63"/>
      <c r="BR937" s="63"/>
      <c r="BS937" s="63"/>
      <c r="BT937" s="63"/>
      <c r="BU937" s="61"/>
      <c r="BV937" s="61"/>
      <c r="BW937" s="61"/>
      <c r="BX937" s="62"/>
      <c r="BY937" s="62"/>
      <c r="BZ937" s="63"/>
      <c r="CA937" s="63"/>
      <c r="CB937" s="63"/>
      <c r="CC937" s="63"/>
      <c r="CD937" s="63"/>
      <c r="CE937" s="63"/>
      <c r="CF937" s="63"/>
      <c r="CG937" s="63"/>
      <c r="CH937" s="64"/>
      <c r="CJ937" s="63"/>
      <c r="CT937" s="65"/>
      <c r="CU937" s="65"/>
      <c r="CV937" s="65"/>
      <c r="CW937" s="65"/>
      <c r="CX937" s="65"/>
      <c r="CY937" s="65"/>
      <c r="CZ937" s="65"/>
      <c r="DA937" s="65"/>
      <c r="DB937" s="65"/>
      <c r="DC937" s="63"/>
    </row>
    <row r="938" spans="1:107" s="57" customFormat="1" x14ac:dyDescent="0.2">
      <c r="A938" s="55">
        <v>10098</v>
      </c>
      <c r="B938" s="56">
        <v>3</v>
      </c>
      <c r="C938" s="56">
        <f t="shared" si="74"/>
        <v>100980003</v>
      </c>
      <c r="D938" s="57" t="s">
        <v>3374</v>
      </c>
      <c r="E938" s="58" t="s">
        <v>109</v>
      </c>
      <c r="F938" s="58"/>
      <c r="G938" s="58"/>
      <c r="H938" s="58"/>
      <c r="I938" s="59" t="s">
        <v>206</v>
      </c>
      <c r="J938" s="59"/>
      <c r="K938" s="59"/>
      <c r="L938" s="59"/>
      <c r="M938" s="59"/>
      <c r="N938" s="59" t="s">
        <v>163</v>
      </c>
      <c r="O938" s="59" t="s">
        <v>163</v>
      </c>
      <c r="P938" s="59"/>
      <c r="Q938" s="59" t="s">
        <v>2041</v>
      </c>
      <c r="R938" s="59"/>
      <c r="S938" s="59"/>
      <c r="T938" s="59" t="s">
        <v>2307</v>
      </c>
      <c r="U938" s="122" t="s">
        <v>3377</v>
      </c>
      <c r="V938" s="59" t="s">
        <v>109</v>
      </c>
      <c r="W938" s="59" t="s">
        <v>1</v>
      </c>
      <c r="X938" s="59"/>
      <c r="Z938" s="59"/>
      <c r="AA938" s="59"/>
      <c r="AB938" s="59"/>
      <c r="AC938" s="59">
        <v>98</v>
      </c>
      <c r="AD938" s="59"/>
      <c r="AE938" s="60"/>
      <c r="AF938" s="24" t="s">
        <v>2043</v>
      </c>
      <c r="AG938" s="59"/>
      <c r="AH938" s="61">
        <v>100983</v>
      </c>
      <c r="AI938" s="61" t="s">
        <v>264</v>
      </c>
      <c r="AJ938" s="61"/>
      <c r="AK938" s="62" t="s">
        <v>373</v>
      </c>
      <c r="AL938" s="62"/>
      <c r="AM938" s="63"/>
      <c r="AN938" s="63"/>
      <c r="AO938" s="63"/>
      <c r="AP938" s="63"/>
      <c r="AQ938" s="63"/>
      <c r="AR938" s="63"/>
      <c r="AS938" s="63"/>
      <c r="AT938" s="63"/>
      <c r="AU938" s="61"/>
      <c r="AV938" s="61"/>
      <c r="AW938" s="61"/>
      <c r="AX938" s="62"/>
      <c r="AY938" s="62"/>
      <c r="AZ938" s="63"/>
      <c r="BA938" s="63"/>
      <c r="BB938" s="63"/>
      <c r="BC938" s="63"/>
      <c r="BD938" s="63"/>
      <c r="BE938" s="63"/>
      <c r="BF938" s="63"/>
      <c r="BG938" s="63"/>
      <c r="BH938" s="61"/>
      <c r="BI938" s="61"/>
      <c r="BJ938" s="61"/>
      <c r="BK938" s="62"/>
      <c r="BL938" s="62"/>
      <c r="BM938" s="63"/>
      <c r="BN938" s="63"/>
      <c r="BO938" s="63"/>
      <c r="BP938" s="63"/>
      <c r="BQ938" s="63"/>
      <c r="BR938" s="63"/>
      <c r="BS938" s="63"/>
      <c r="BT938" s="63"/>
      <c r="BU938" s="61"/>
      <c r="BV938" s="61"/>
      <c r="BW938" s="61"/>
      <c r="BX938" s="62"/>
      <c r="BY938" s="62"/>
      <c r="BZ938" s="63"/>
      <c r="CA938" s="63"/>
      <c r="CB938" s="63"/>
      <c r="CC938" s="63"/>
      <c r="CD938" s="63"/>
      <c r="CE938" s="63"/>
      <c r="CF938" s="63"/>
      <c r="CG938" s="63"/>
      <c r="CH938" s="64"/>
      <c r="CJ938" s="63"/>
      <c r="CT938" s="65"/>
      <c r="CU938" s="65"/>
      <c r="CV938" s="65"/>
      <c r="CW938" s="65"/>
      <c r="CX938" s="65"/>
      <c r="CY938" s="65"/>
      <c r="CZ938" s="65"/>
      <c r="DA938" s="65"/>
      <c r="DB938" s="65"/>
      <c r="DC938" s="63"/>
    </row>
    <row r="939" spans="1:107" s="57" customFormat="1" ht="12.75" customHeight="1" x14ac:dyDescent="0.2">
      <c r="A939" s="55">
        <v>10098</v>
      </c>
      <c r="B939" s="56">
        <v>4</v>
      </c>
      <c r="C939" s="56">
        <f t="shared" si="74"/>
        <v>100980004</v>
      </c>
      <c r="D939" s="57" t="s">
        <v>3374</v>
      </c>
      <c r="E939" s="58" t="s">
        <v>109</v>
      </c>
      <c r="F939" s="58"/>
      <c r="G939" s="58"/>
      <c r="H939" s="58"/>
      <c r="I939" s="59" t="s">
        <v>206</v>
      </c>
      <c r="J939" s="59"/>
      <c r="K939" s="59"/>
      <c r="L939" s="59"/>
      <c r="M939" s="59"/>
      <c r="N939" s="59" t="s">
        <v>163</v>
      </c>
      <c r="O939" s="59" t="s">
        <v>163</v>
      </c>
      <c r="P939" s="59"/>
      <c r="Q939" s="59" t="s">
        <v>2041</v>
      </c>
      <c r="R939" s="59"/>
      <c r="S939" s="59"/>
      <c r="T939" s="59" t="s">
        <v>2307</v>
      </c>
      <c r="U939" s="122" t="s">
        <v>3378</v>
      </c>
      <c r="V939" s="59" t="s">
        <v>109</v>
      </c>
      <c r="W939" s="59" t="s">
        <v>1</v>
      </c>
      <c r="X939" s="59"/>
      <c r="Z939" s="59"/>
      <c r="AA939" s="59"/>
      <c r="AB939" s="59"/>
      <c r="AC939" s="59">
        <v>98</v>
      </c>
      <c r="AD939" s="59"/>
      <c r="AE939" s="60"/>
      <c r="AF939" s="24" t="s">
        <v>2043</v>
      </c>
      <c r="AG939" s="59"/>
      <c r="AH939" s="61">
        <v>100984</v>
      </c>
      <c r="AI939" s="61" t="s">
        <v>265</v>
      </c>
      <c r="AJ939" s="61"/>
      <c r="AK939" s="62" t="s">
        <v>374</v>
      </c>
      <c r="AL939" s="62"/>
      <c r="AM939" s="63"/>
      <c r="AN939" s="63"/>
      <c r="AO939" s="63"/>
      <c r="AP939" s="63"/>
      <c r="AQ939" s="63"/>
      <c r="AR939" s="63"/>
      <c r="AS939" s="63"/>
      <c r="AT939" s="63"/>
      <c r="AU939" s="61"/>
      <c r="AV939" s="61"/>
      <c r="AW939" s="61"/>
      <c r="AX939" s="62"/>
      <c r="AY939" s="62"/>
      <c r="AZ939" s="63"/>
      <c r="BA939" s="63"/>
      <c r="BB939" s="63"/>
      <c r="BC939" s="63"/>
      <c r="BD939" s="63"/>
      <c r="BE939" s="63"/>
      <c r="BF939" s="63"/>
      <c r="BG939" s="63"/>
      <c r="BH939" s="61"/>
      <c r="BI939" s="61"/>
      <c r="BJ939" s="61"/>
      <c r="BK939" s="62"/>
      <c r="BL939" s="62"/>
      <c r="BM939" s="63"/>
      <c r="BN939" s="63"/>
      <c r="BO939" s="63"/>
      <c r="BP939" s="63"/>
      <c r="BQ939" s="63"/>
      <c r="BR939" s="63"/>
      <c r="BS939" s="63"/>
      <c r="BT939" s="63"/>
      <c r="BU939" s="61"/>
      <c r="BV939" s="61"/>
      <c r="BW939" s="61"/>
      <c r="BX939" s="62"/>
      <c r="BY939" s="62"/>
      <c r="BZ939" s="63"/>
      <c r="CA939" s="63"/>
      <c r="CB939" s="63"/>
      <c r="CC939" s="63"/>
      <c r="CD939" s="63"/>
      <c r="CE939" s="63"/>
      <c r="CF939" s="63"/>
      <c r="CG939" s="63"/>
      <c r="CH939" s="64"/>
      <c r="CJ939" s="63"/>
      <c r="CT939" s="65"/>
      <c r="CU939" s="65"/>
      <c r="CV939" s="65"/>
      <c r="CW939" s="65"/>
      <c r="CX939" s="65"/>
      <c r="CY939" s="65"/>
      <c r="CZ939" s="65"/>
      <c r="DA939" s="65"/>
      <c r="DB939" s="65"/>
      <c r="DC939" s="63"/>
    </row>
    <row r="940" spans="1:107" s="57" customFormat="1" x14ac:dyDescent="0.2">
      <c r="A940" s="55">
        <v>10098</v>
      </c>
      <c r="B940" s="56">
        <v>5</v>
      </c>
      <c r="C940" s="56">
        <f t="shared" si="74"/>
        <v>100980005</v>
      </c>
      <c r="D940" s="57" t="s">
        <v>3374</v>
      </c>
      <c r="E940" s="58" t="s">
        <v>109</v>
      </c>
      <c r="F940" s="58"/>
      <c r="G940" s="58"/>
      <c r="H940" s="58"/>
      <c r="I940" s="59" t="s">
        <v>206</v>
      </c>
      <c r="J940" s="59"/>
      <c r="K940" s="59"/>
      <c r="L940" s="59"/>
      <c r="M940" s="59"/>
      <c r="N940" s="59" t="s">
        <v>163</v>
      </c>
      <c r="O940" s="59" t="s">
        <v>163</v>
      </c>
      <c r="P940" s="59"/>
      <c r="Q940" s="59" t="s">
        <v>2041</v>
      </c>
      <c r="R940" s="59"/>
      <c r="S940" s="59"/>
      <c r="T940" s="59" t="s">
        <v>2307</v>
      </c>
      <c r="U940" s="122" t="s">
        <v>3379</v>
      </c>
      <c r="V940" s="59" t="s">
        <v>109</v>
      </c>
      <c r="W940" s="59" t="s">
        <v>1</v>
      </c>
      <c r="X940" s="59"/>
      <c r="Z940" s="59"/>
      <c r="AA940" s="59"/>
      <c r="AB940" s="59"/>
      <c r="AC940" s="59">
        <v>98</v>
      </c>
      <c r="AD940" s="59"/>
      <c r="AE940" s="60"/>
      <c r="AF940" s="24" t="s">
        <v>2043</v>
      </c>
      <c r="AG940" s="59"/>
      <c r="AH940" s="61">
        <v>100985</v>
      </c>
      <c r="AI940" s="61" t="s">
        <v>266</v>
      </c>
      <c r="AJ940" s="61"/>
      <c r="AK940" s="62">
        <v>1960</v>
      </c>
      <c r="AL940" s="62"/>
      <c r="AM940" s="63"/>
      <c r="AN940" s="63"/>
      <c r="AO940" s="63"/>
      <c r="AP940" s="63"/>
      <c r="AQ940" s="63"/>
      <c r="AR940" s="63"/>
      <c r="AS940" s="63"/>
      <c r="AT940" s="63"/>
      <c r="AU940" s="61"/>
      <c r="AV940" s="61"/>
      <c r="AW940" s="61"/>
      <c r="AX940" s="62"/>
      <c r="AY940" s="62"/>
      <c r="AZ940" s="63"/>
      <c r="BA940" s="63"/>
      <c r="BB940" s="63"/>
      <c r="BC940" s="63"/>
      <c r="BD940" s="63"/>
      <c r="BE940" s="63"/>
      <c r="BF940" s="63"/>
      <c r="BG940" s="63"/>
      <c r="BH940" s="61"/>
      <c r="BI940" s="61"/>
      <c r="BJ940" s="61"/>
      <c r="BK940" s="62"/>
      <c r="BL940" s="62"/>
      <c r="BM940" s="63"/>
      <c r="BN940" s="63"/>
      <c r="BO940" s="63"/>
      <c r="BP940" s="63"/>
      <c r="BQ940" s="63"/>
      <c r="BR940" s="63"/>
      <c r="BS940" s="63"/>
      <c r="BT940" s="63"/>
      <c r="BU940" s="61"/>
      <c r="BV940" s="61"/>
      <c r="BW940" s="61"/>
      <c r="BX940" s="62"/>
      <c r="BY940" s="62"/>
      <c r="BZ940" s="63"/>
      <c r="CA940" s="63"/>
      <c r="CB940" s="63"/>
      <c r="CC940" s="63"/>
      <c r="CD940" s="63"/>
      <c r="CE940" s="63"/>
      <c r="CF940" s="63"/>
      <c r="CG940" s="63"/>
      <c r="CH940" s="64"/>
      <c r="CJ940" s="63"/>
      <c r="CT940" s="65"/>
      <c r="CU940" s="65"/>
      <c r="CV940" s="65"/>
      <c r="CW940" s="65"/>
      <c r="CX940" s="65"/>
      <c r="CY940" s="65"/>
      <c r="CZ940" s="65"/>
      <c r="DA940" s="65"/>
      <c r="DB940" s="65"/>
      <c r="DC940" s="63"/>
    </row>
    <row r="941" spans="1:107" s="57" customFormat="1" x14ac:dyDescent="0.2">
      <c r="A941" s="55">
        <v>10099</v>
      </c>
      <c r="B941" s="56">
        <v>1</v>
      </c>
      <c r="C941" s="56">
        <f t="shared" ref="C941:C947" si="75">A941*10000+B941</f>
        <v>100990001</v>
      </c>
      <c r="D941" s="57" t="s">
        <v>4065</v>
      </c>
      <c r="E941" s="58" t="s">
        <v>109</v>
      </c>
      <c r="F941" s="58"/>
      <c r="G941" s="58"/>
      <c r="H941" s="58"/>
      <c r="I941" s="59" t="s">
        <v>206</v>
      </c>
      <c r="J941" s="59"/>
      <c r="K941" s="59"/>
      <c r="L941" s="59"/>
      <c r="M941" s="59"/>
      <c r="N941" s="59" t="s">
        <v>163</v>
      </c>
      <c r="O941" s="59" t="s">
        <v>163</v>
      </c>
      <c r="P941" s="59"/>
      <c r="Q941" s="59" t="s">
        <v>2041</v>
      </c>
      <c r="R941" s="59"/>
      <c r="S941" s="59"/>
      <c r="T941" s="59" t="s">
        <v>2307</v>
      </c>
      <c r="U941" s="122" t="s">
        <v>4066</v>
      </c>
      <c r="V941" s="59" t="s">
        <v>109</v>
      </c>
      <c r="W941" s="59" t="s">
        <v>1</v>
      </c>
      <c r="X941" s="59"/>
      <c r="Z941" s="59"/>
      <c r="AA941" s="59"/>
      <c r="AB941" s="59"/>
      <c r="AC941" s="59">
        <v>99</v>
      </c>
      <c r="AD941" s="59"/>
      <c r="AE941" s="60"/>
      <c r="AF941" s="24" t="s">
        <v>2043</v>
      </c>
      <c r="AG941" s="59"/>
      <c r="AH941" s="61"/>
      <c r="AI941" s="61" t="s">
        <v>176</v>
      </c>
      <c r="AJ941" s="61"/>
      <c r="AK941" s="62" t="s">
        <v>136</v>
      </c>
      <c r="AL941" s="62"/>
      <c r="AM941" s="63"/>
      <c r="AN941" s="63"/>
      <c r="AO941" s="63"/>
      <c r="AP941" s="63"/>
      <c r="AQ941" s="63"/>
      <c r="AR941" s="63"/>
      <c r="AS941" s="63"/>
      <c r="AT941" s="63"/>
      <c r="AU941" s="61"/>
      <c r="AV941" s="61"/>
      <c r="AW941" s="61"/>
      <c r="AX941" s="62"/>
      <c r="AY941" s="62"/>
      <c r="AZ941" s="63"/>
      <c r="BA941" s="63"/>
      <c r="BB941" s="63"/>
      <c r="BC941" s="63"/>
      <c r="BD941" s="63"/>
      <c r="BE941" s="63"/>
      <c r="BF941" s="63"/>
      <c r="BG941" s="63"/>
      <c r="BH941" s="61"/>
      <c r="BI941" s="61"/>
      <c r="BJ941" s="61"/>
      <c r="BK941" s="62"/>
      <c r="BL941" s="62"/>
      <c r="BM941" s="63"/>
      <c r="BN941" s="63"/>
      <c r="BO941" s="63"/>
      <c r="BP941" s="63"/>
      <c r="BQ941" s="63"/>
      <c r="BR941" s="63"/>
      <c r="BS941" s="63"/>
      <c r="BT941" s="63"/>
      <c r="BU941" s="61"/>
      <c r="BV941" s="61"/>
      <c r="BW941" s="61"/>
      <c r="BX941" s="62"/>
      <c r="BY941" s="62"/>
      <c r="BZ941" s="63"/>
      <c r="CA941" s="63"/>
      <c r="CB941" s="63"/>
      <c r="CC941" s="63"/>
      <c r="CD941" s="63"/>
      <c r="CE941" s="63"/>
      <c r="CF941" s="63"/>
      <c r="CG941" s="63"/>
      <c r="CH941" s="64"/>
      <c r="CJ941" s="63"/>
      <c r="CT941" s="65"/>
      <c r="CU941" s="65"/>
      <c r="CV941" s="65"/>
      <c r="CW941" s="65"/>
      <c r="CX941" s="65"/>
      <c r="CY941" s="65"/>
      <c r="CZ941" s="65"/>
      <c r="DA941" s="65"/>
      <c r="DB941" s="65"/>
      <c r="DC941" s="63"/>
    </row>
    <row r="942" spans="1:107" s="57" customFormat="1" x14ac:dyDescent="0.2">
      <c r="A942" s="55">
        <v>10099</v>
      </c>
      <c r="B942" s="56">
        <v>2</v>
      </c>
      <c r="C942" s="56">
        <f t="shared" si="75"/>
        <v>100990002</v>
      </c>
      <c r="D942" s="57" t="s">
        <v>4065</v>
      </c>
      <c r="E942" s="58" t="s">
        <v>109</v>
      </c>
      <c r="F942" s="58"/>
      <c r="G942" s="58"/>
      <c r="H942" s="58"/>
      <c r="I942" s="59" t="s">
        <v>206</v>
      </c>
      <c r="J942" s="59"/>
      <c r="K942" s="59"/>
      <c r="L942" s="59"/>
      <c r="M942" s="59"/>
      <c r="N942" s="59" t="s">
        <v>163</v>
      </c>
      <c r="O942" s="59" t="s">
        <v>163</v>
      </c>
      <c r="P942" s="59"/>
      <c r="Q942" s="59" t="s">
        <v>2041</v>
      </c>
      <c r="R942" s="59"/>
      <c r="S942" s="59"/>
      <c r="T942" s="59" t="s">
        <v>2307</v>
      </c>
      <c r="U942" s="122" t="s">
        <v>4067</v>
      </c>
      <c r="V942" s="59" t="s">
        <v>109</v>
      </c>
      <c r="W942" s="59" t="s">
        <v>1</v>
      </c>
      <c r="X942" s="59"/>
      <c r="Z942" s="59"/>
      <c r="AA942" s="59"/>
      <c r="AB942" s="59"/>
      <c r="AC942" s="59">
        <v>99</v>
      </c>
      <c r="AD942" s="59"/>
      <c r="AE942" s="60"/>
      <c r="AF942" s="24" t="s">
        <v>2043</v>
      </c>
      <c r="AG942" s="59"/>
      <c r="AH942" s="61"/>
      <c r="AI942" s="61" t="s">
        <v>260</v>
      </c>
      <c r="AJ942" s="61"/>
      <c r="AK942" s="62" t="s">
        <v>139</v>
      </c>
      <c r="AL942" s="62"/>
      <c r="AM942" s="63"/>
      <c r="AN942" s="63"/>
      <c r="AO942" s="63"/>
      <c r="AP942" s="63"/>
      <c r="AQ942" s="63"/>
      <c r="AR942" s="63"/>
      <c r="AS942" s="63"/>
      <c r="AT942" s="63"/>
      <c r="AU942" s="61"/>
      <c r="AV942" s="61"/>
      <c r="AW942" s="61"/>
      <c r="AX942" s="62"/>
      <c r="AY942" s="62"/>
      <c r="AZ942" s="63"/>
      <c r="BA942" s="63"/>
      <c r="BB942" s="63"/>
      <c r="BC942" s="63"/>
      <c r="BD942" s="63"/>
      <c r="BE942" s="63"/>
      <c r="BF942" s="63"/>
      <c r="BG942" s="63"/>
      <c r="BH942" s="61"/>
      <c r="BI942" s="61"/>
      <c r="BJ942" s="61"/>
      <c r="BK942" s="62"/>
      <c r="BL942" s="62"/>
      <c r="BM942" s="63"/>
      <c r="BN942" s="63"/>
      <c r="BO942" s="63"/>
      <c r="BP942" s="63"/>
      <c r="BQ942" s="63"/>
      <c r="BR942" s="63"/>
      <c r="BS942" s="63"/>
      <c r="BT942" s="63"/>
      <c r="BU942" s="61"/>
      <c r="BV942" s="61"/>
      <c r="BW942" s="61"/>
      <c r="BX942" s="62"/>
      <c r="BY942" s="62"/>
      <c r="BZ942" s="63"/>
      <c r="CA942" s="63"/>
      <c r="CB942" s="63"/>
      <c r="CC942" s="63"/>
      <c r="CD942" s="63"/>
      <c r="CE942" s="63"/>
      <c r="CF942" s="63"/>
      <c r="CG942" s="63"/>
      <c r="CH942" s="64"/>
      <c r="CJ942" s="63"/>
      <c r="CT942" s="65"/>
      <c r="CU942" s="65"/>
      <c r="CV942" s="65"/>
      <c r="CW942" s="65"/>
      <c r="CX942" s="65"/>
      <c r="CY942" s="65"/>
      <c r="CZ942" s="65"/>
      <c r="DA942" s="65"/>
      <c r="DB942" s="65"/>
      <c r="DC942" s="63"/>
    </row>
    <row r="943" spans="1:107" s="57" customFormat="1" x14ac:dyDescent="0.2">
      <c r="A943" s="55">
        <v>10099</v>
      </c>
      <c r="B943" s="56">
        <v>3</v>
      </c>
      <c r="C943" s="56">
        <f t="shared" si="75"/>
        <v>100990003</v>
      </c>
      <c r="D943" s="57" t="s">
        <v>4065</v>
      </c>
      <c r="E943" s="58" t="s">
        <v>109</v>
      </c>
      <c r="F943" s="58"/>
      <c r="G943" s="58"/>
      <c r="H943" s="58"/>
      <c r="I943" s="59" t="s">
        <v>206</v>
      </c>
      <c r="J943" s="59"/>
      <c r="K943" s="59"/>
      <c r="L943" s="59"/>
      <c r="M943" s="59"/>
      <c r="N943" s="59" t="s">
        <v>163</v>
      </c>
      <c r="O943" s="59" t="s">
        <v>163</v>
      </c>
      <c r="P943" s="59"/>
      <c r="Q943" s="59" t="s">
        <v>2041</v>
      </c>
      <c r="R943" s="59"/>
      <c r="S943" s="59"/>
      <c r="T943" s="59" t="s">
        <v>2307</v>
      </c>
      <c r="U943" s="122" t="s">
        <v>4068</v>
      </c>
      <c r="V943" s="59" t="s">
        <v>109</v>
      </c>
      <c r="W943" s="59" t="s">
        <v>1</v>
      </c>
      <c r="X943" s="59"/>
      <c r="Z943" s="59"/>
      <c r="AA943" s="59"/>
      <c r="AB943" s="59"/>
      <c r="AC943" s="59">
        <v>99</v>
      </c>
      <c r="AD943" s="59"/>
      <c r="AE943" s="60"/>
      <c r="AF943" s="24" t="s">
        <v>2043</v>
      </c>
      <c r="AG943" s="59"/>
      <c r="AH943" s="61">
        <v>100993</v>
      </c>
      <c r="AI943" s="61" t="s">
        <v>264</v>
      </c>
      <c r="AJ943" s="61"/>
      <c r="AK943" s="62" t="s">
        <v>373</v>
      </c>
      <c r="AL943" s="62"/>
      <c r="AM943" s="63"/>
      <c r="AN943" s="63"/>
      <c r="AO943" s="63"/>
      <c r="AP943" s="63"/>
      <c r="AQ943" s="63"/>
      <c r="AR943" s="63"/>
      <c r="AS943" s="63"/>
      <c r="AT943" s="63"/>
      <c r="AU943" s="61"/>
      <c r="AV943" s="61"/>
      <c r="AW943" s="61"/>
      <c r="AX943" s="62"/>
      <c r="AY943" s="62"/>
      <c r="AZ943" s="63"/>
      <c r="BA943" s="63"/>
      <c r="BB943" s="63"/>
      <c r="BC943" s="63"/>
      <c r="BD943" s="63"/>
      <c r="BE943" s="63"/>
      <c r="BF943" s="63"/>
      <c r="BG943" s="63"/>
      <c r="BH943" s="61"/>
      <c r="BI943" s="61"/>
      <c r="BJ943" s="61"/>
      <c r="BK943" s="62"/>
      <c r="BL943" s="62"/>
      <c r="BM943" s="63"/>
      <c r="BN943" s="63"/>
      <c r="BO943" s="63"/>
      <c r="BP943" s="63"/>
      <c r="BQ943" s="63"/>
      <c r="BR943" s="63"/>
      <c r="BS943" s="63"/>
      <c r="BT943" s="63"/>
      <c r="BU943" s="61"/>
      <c r="BV943" s="61"/>
      <c r="BW943" s="61"/>
      <c r="BX943" s="62"/>
      <c r="BY943" s="62"/>
      <c r="BZ943" s="63"/>
      <c r="CA943" s="63"/>
      <c r="CB943" s="63"/>
      <c r="CC943" s="63"/>
      <c r="CD943" s="63"/>
      <c r="CE943" s="63"/>
      <c r="CF943" s="63"/>
      <c r="CG943" s="63"/>
      <c r="CH943" s="64"/>
      <c r="CJ943" s="63"/>
      <c r="CT943" s="65"/>
      <c r="CU943" s="65"/>
      <c r="CV943" s="65"/>
      <c r="CW943" s="65"/>
      <c r="CX943" s="65"/>
      <c r="CY943" s="65"/>
      <c r="CZ943" s="65"/>
      <c r="DA943" s="65"/>
      <c r="DB943" s="65"/>
      <c r="DC943" s="63"/>
    </row>
    <row r="944" spans="1:107" s="57" customFormat="1" ht="12.75" customHeight="1" x14ac:dyDescent="0.2">
      <c r="A944" s="55">
        <v>10099</v>
      </c>
      <c r="B944" s="56">
        <v>4</v>
      </c>
      <c r="C944" s="56">
        <f t="shared" si="75"/>
        <v>100990004</v>
      </c>
      <c r="D944" s="57" t="s">
        <v>4065</v>
      </c>
      <c r="E944" s="58" t="s">
        <v>109</v>
      </c>
      <c r="F944" s="58"/>
      <c r="G944" s="58"/>
      <c r="H944" s="58"/>
      <c r="I944" s="59" t="s">
        <v>206</v>
      </c>
      <c r="J944" s="59"/>
      <c r="K944" s="59"/>
      <c r="L944" s="59"/>
      <c r="M944" s="59"/>
      <c r="N944" s="59" t="s">
        <v>163</v>
      </c>
      <c r="O944" s="59" t="s">
        <v>163</v>
      </c>
      <c r="P944" s="59"/>
      <c r="Q944" s="59" t="s">
        <v>2041</v>
      </c>
      <c r="R944" s="59"/>
      <c r="S944" s="59"/>
      <c r="T944" s="59" t="s">
        <v>2307</v>
      </c>
      <c r="U944" s="122" t="s">
        <v>4069</v>
      </c>
      <c r="V944" s="59" t="s">
        <v>109</v>
      </c>
      <c r="W944" s="59" t="s">
        <v>1</v>
      </c>
      <c r="X944" s="59"/>
      <c r="Z944" s="59"/>
      <c r="AA944" s="59"/>
      <c r="AB944" s="59"/>
      <c r="AC944" s="59">
        <v>99</v>
      </c>
      <c r="AD944" s="59"/>
      <c r="AE944" s="60"/>
      <c r="AF944" s="24" t="s">
        <v>2043</v>
      </c>
      <c r="AG944" s="59"/>
      <c r="AH944" s="61">
        <v>100994</v>
      </c>
      <c r="AI944" s="61" t="s">
        <v>265</v>
      </c>
      <c r="AJ944" s="61"/>
      <c r="AK944" s="62" t="s">
        <v>374</v>
      </c>
      <c r="AL944" s="62"/>
      <c r="AM944" s="63"/>
      <c r="AN944" s="63"/>
      <c r="AO944" s="63"/>
      <c r="AP944" s="63"/>
      <c r="AQ944" s="63"/>
      <c r="AR944" s="63"/>
      <c r="AS944" s="63"/>
      <c r="AT944" s="63"/>
      <c r="AU944" s="61"/>
      <c r="AV944" s="61"/>
      <c r="AW944" s="61"/>
      <c r="AX944" s="62"/>
      <c r="AY944" s="62"/>
      <c r="AZ944" s="63"/>
      <c r="BA944" s="63"/>
      <c r="BB944" s="63"/>
      <c r="BC944" s="63"/>
      <c r="BD944" s="63"/>
      <c r="BE944" s="63"/>
      <c r="BF944" s="63"/>
      <c r="BG944" s="63"/>
      <c r="BH944" s="61"/>
      <c r="BI944" s="61"/>
      <c r="BJ944" s="61"/>
      <c r="BK944" s="62"/>
      <c r="BL944" s="62"/>
      <c r="BM944" s="63"/>
      <c r="BN944" s="63"/>
      <c r="BO944" s="63"/>
      <c r="BP944" s="63"/>
      <c r="BQ944" s="63"/>
      <c r="BR944" s="63"/>
      <c r="BS944" s="63"/>
      <c r="BT944" s="63"/>
      <c r="BU944" s="61"/>
      <c r="BV944" s="61"/>
      <c r="BW944" s="61"/>
      <c r="BX944" s="62"/>
      <c r="BY944" s="62"/>
      <c r="BZ944" s="63"/>
      <c r="CA944" s="63"/>
      <c r="CB944" s="63"/>
      <c r="CC944" s="63"/>
      <c r="CD944" s="63"/>
      <c r="CE944" s="63"/>
      <c r="CF944" s="63"/>
      <c r="CG944" s="63"/>
      <c r="CH944" s="64"/>
      <c r="CJ944" s="63"/>
      <c r="CT944" s="65"/>
      <c r="CU944" s="65"/>
      <c r="CV944" s="65"/>
      <c r="CW944" s="65"/>
      <c r="CX944" s="65"/>
      <c r="CY944" s="65"/>
      <c r="CZ944" s="65"/>
      <c r="DA944" s="65"/>
      <c r="DB944" s="65"/>
      <c r="DC944" s="63"/>
    </row>
    <row r="945" spans="1:107" s="57" customFormat="1" x14ac:dyDescent="0.2">
      <c r="A945" s="55">
        <v>10099</v>
      </c>
      <c r="B945" s="56">
        <v>5</v>
      </c>
      <c r="C945" s="56">
        <f>A945*10000+B945</f>
        <v>100990005</v>
      </c>
      <c r="D945" s="57" t="s">
        <v>4065</v>
      </c>
      <c r="E945" s="58" t="s">
        <v>109</v>
      </c>
      <c r="F945" s="58"/>
      <c r="G945" s="58"/>
      <c r="H945" s="58"/>
      <c r="I945" s="59" t="s">
        <v>206</v>
      </c>
      <c r="J945" s="59"/>
      <c r="K945" s="59"/>
      <c r="L945" s="59"/>
      <c r="M945" s="59"/>
      <c r="N945" s="59" t="s">
        <v>163</v>
      </c>
      <c r="O945" s="59" t="s">
        <v>163</v>
      </c>
      <c r="P945" s="59"/>
      <c r="Q945" s="59" t="s">
        <v>2041</v>
      </c>
      <c r="R945" s="59"/>
      <c r="S945" s="59"/>
      <c r="T945" s="59" t="s">
        <v>2307</v>
      </c>
      <c r="U945" s="122" t="s">
        <v>4070</v>
      </c>
      <c r="V945" s="59" t="s">
        <v>109</v>
      </c>
      <c r="W945" s="59" t="s">
        <v>1</v>
      </c>
      <c r="X945" s="59"/>
      <c r="Z945" s="59"/>
      <c r="AA945" s="59"/>
      <c r="AB945" s="59"/>
      <c r="AC945" s="59">
        <v>99</v>
      </c>
      <c r="AD945" s="59"/>
      <c r="AE945" s="60"/>
      <c r="AF945" s="24" t="s">
        <v>2043</v>
      </c>
      <c r="AG945" s="59"/>
      <c r="AH945" s="61">
        <v>100995</v>
      </c>
      <c r="AI945" s="61" t="s">
        <v>266</v>
      </c>
      <c r="AJ945" s="61"/>
      <c r="AK945" s="62">
        <v>1960</v>
      </c>
      <c r="AL945" s="62"/>
      <c r="AM945" s="63"/>
      <c r="AN945" s="63"/>
      <c r="AO945" s="63"/>
      <c r="AP945" s="63"/>
      <c r="AQ945" s="63"/>
      <c r="AR945" s="63"/>
      <c r="AS945" s="63"/>
      <c r="AT945" s="63"/>
      <c r="AU945" s="61"/>
      <c r="AV945" s="61"/>
      <c r="AW945" s="61"/>
      <c r="AX945" s="62"/>
      <c r="AY945" s="62"/>
      <c r="AZ945" s="63"/>
      <c r="BA945" s="63"/>
      <c r="BB945" s="63"/>
      <c r="BC945" s="63"/>
      <c r="BD945" s="63"/>
      <c r="BE945" s="63"/>
      <c r="BF945" s="63"/>
      <c r="BG945" s="63"/>
      <c r="BH945" s="61"/>
      <c r="BI945" s="61"/>
      <c r="BJ945" s="61"/>
      <c r="BK945" s="62"/>
      <c r="BL945" s="62"/>
      <c r="BM945" s="63"/>
      <c r="BN945" s="63"/>
      <c r="BO945" s="63"/>
      <c r="BP945" s="63"/>
      <c r="BQ945" s="63"/>
      <c r="BR945" s="63"/>
      <c r="BS945" s="63"/>
      <c r="BT945" s="63"/>
      <c r="BU945" s="61"/>
      <c r="BV945" s="61"/>
      <c r="BW945" s="61"/>
      <c r="BX945" s="62"/>
      <c r="BY945" s="62"/>
      <c r="BZ945" s="63"/>
      <c r="CA945" s="63"/>
      <c r="CB945" s="63"/>
      <c r="CC945" s="63"/>
      <c r="CD945" s="63"/>
      <c r="CE945" s="63"/>
      <c r="CF945" s="63"/>
      <c r="CG945" s="63"/>
      <c r="CH945" s="64"/>
      <c r="CJ945" s="63"/>
      <c r="CT945" s="65"/>
      <c r="CU945" s="65"/>
      <c r="CV945" s="65"/>
      <c r="CW945" s="65"/>
      <c r="CX945" s="65"/>
      <c r="CY945" s="65"/>
      <c r="CZ945" s="65"/>
      <c r="DA945" s="65"/>
      <c r="DB945" s="65"/>
      <c r="DC945" s="63"/>
    </row>
    <row r="946" spans="1:107" s="57" customFormat="1" x14ac:dyDescent="0.2">
      <c r="A946" s="55">
        <v>10100</v>
      </c>
      <c r="B946" s="56">
        <v>1</v>
      </c>
      <c r="C946" s="56">
        <f t="shared" ref="C946" si="76">A946*10000+B946</f>
        <v>101000001</v>
      </c>
      <c r="D946" s="57" t="s">
        <v>4326</v>
      </c>
      <c r="E946" s="58" t="s">
        <v>109</v>
      </c>
      <c r="F946" s="58"/>
      <c r="G946" s="58"/>
      <c r="H946" s="58"/>
      <c r="I946" s="59" t="s">
        <v>206</v>
      </c>
      <c r="J946" s="59"/>
      <c r="K946" s="59"/>
      <c r="L946" s="59"/>
      <c r="M946" s="59"/>
      <c r="N946" s="59" t="s">
        <v>163</v>
      </c>
      <c r="O946" s="59" t="s">
        <v>163</v>
      </c>
      <c r="P946" s="59"/>
      <c r="Q946" s="59" t="s">
        <v>2041</v>
      </c>
      <c r="R946" s="59"/>
      <c r="S946" s="59"/>
      <c r="T946" s="59" t="s">
        <v>2307</v>
      </c>
      <c r="U946" s="122" t="s">
        <v>4339</v>
      </c>
      <c r="V946" s="59" t="s">
        <v>109</v>
      </c>
      <c r="W946" s="59" t="s">
        <v>1</v>
      </c>
      <c r="X946" s="59"/>
      <c r="Z946" s="59"/>
      <c r="AA946" s="59"/>
      <c r="AB946" s="59"/>
      <c r="AC946" s="59">
        <v>100</v>
      </c>
      <c r="AD946" s="59"/>
      <c r="AE946" s="60"/>
      <c r="AF946" s="24" t="s">
        <v>2043</v>
      </c>
      <c r="AG946" s="59"/>
      <c r="AH946" s="61" t="s">
        <v>4335</v>
      </c>
      <c r="AI946" s="61" t="s">
        <v>264</v>
      </c>
      <c r="AJ946" s="61"/>
      <c r="AK946" s="62" t="s">
        <v>373</v>
      </c>
      <c r="AL946" s="62"/>
      <c r="AM946" s="63"/>
      <c r="AN946" s="63"/>
      <c r="AO946" s="63"/>
      <c r="AP946" s="63"/>
      <c r="AQ946" s="63"/>
      <c r="AR946" s="63"/>
      <c r="AS946" s="63"/>
      <c r="AT946" s="63"/>
      <c r="AU946" s="61"/>
      <c r="AV946" s="61"/>
      <c r="AW946" s="61"/>
      <c r="AX946" s="62"/>
      <c r="AY946" s="62"/>
      <c r="AZ946" s="63"/>
      <c r="BA946" s="63"/>
      <c r="BB946" s="63"/>
      <c r="BC946" s="63"/>
      <c r="BD946" s="63"/>
      <c r="BE946" s="63"/>
      <c r="BF946" s="63"/>
      <c r="BG946" s="63"/>
      <c r="BH946" s="61"/>
      <c r="BI946" s="61"/>
      <c r="BJ946" s="61"/>
      <c r="BK946" s="62"/>
      <c r="BL946" s="62"/>
      <c r="BM946" s="63"/>
      <c r="BN946" s="63"/>
      <c r="BO946" s="63"/>
      <c r="BP946" s="63"/>
      <c r="BQ946" s="63"/>
      <c r="BR946" s="63"/>
      <c r="BS946" s="63"/>
      <c r="BT946" s="63"/>
      <c r="BU946" s="61"/>
      <c r="BV946" s="61"/>
      <c r="BW946" s="61"/>
      <c r="BX946" s="62"/>
      <c r="BY946" s="62"/>
      <c r="BZ946" s="63"/>
      <c r="CA946" s="63"/>
      <c r="CB946" s="63"/>
      <c r="CC946" s="63"/>
      <c r="CD946" s="63"/>
      <c r="CE946" s="63"/>
      <c r="CF946" s="63"/>
      <c r="CG946" s="63"/>
      <c r="CH946" s="64"/>
      <c r="CJ946" s="63"/>
      <c r="CT946" s="65"/>
      <c r="CU946" s="65"/>
      <c r="CV946" s="65"/>
      <c r="CW946" s="65"/>
      <c r="CX946" s="65"/>
      <c r="CY946" s="65"/>
      <c r="CZ946" s="65"/>
      <c r="DA946" s="65"/>
      <c r="DB946" s="65"/>
      <c r="DC946" s="63"/>
    </row>
    <row r="947" spans="1:107" s="57" customFormat="1" x14ac:dyDescent="0.2">
      <c r="A947" s="55">
        <v>10100</v>
      </c>
      <c r="B947" s="56">
        <v>2</v>
      </c>
      <c r="C947" s="56">
        <f t="shared" si="75"/>
        <v>101000002</v>
      </c>
      <c r="D947" s="57" t="s">
        <v>4326</v>
      </c>
      <c r="E947" s="58" t="s">
        <v>109</v>
      </c>
      <c r="F947" s="58"/>
      <c r="G947" s="58"/>
      <c r="H947" s="58"/>
      <c r="I947" s="59" t="s">
        <v>206</v>
      </c>
      <c r="J947" s="59"/>
      <c r="K947" s="59"/>
      <c r="L947" s="59"/>
      <c r="M947" s="59"/>
      <c r="N947" s="59" t="s">
        <v>163</v>
      </c>
      <c r="O947" s="59" t="s">
        <v>163</v>
      </c>
      <c r="P947" s="59"/>
      <c r="Q947" s="59" t="s">
        <v>2041</v>
      </c>
      <c r="R947" s="59"/>
      <c r="S947" s="59"/>
      <c r="T947" s="59" t="s">
        <v>2307</v>
      </c>
      <c r="U947" s="122" t="s">
        <v>4340</v>
      </c>
      <c r="V947" s="59" t="s">
        <v>109</v>
      </c>
      <c r="W947" s="59" t="s">
        <v>1</v>
      </c>
      <c r="X947" s="59"/>
      <c r="Z947" s="59"/>
      <c r="AA947" s="59"/>
      <c r="AB947" s="59"/>
      <c r="AC947" s="59">
        <v>100</v>
      </c>
      <c r="AD947" s="59"/>
      <c r="AE947" s="60"/>
      <c r="AF947" s="24" t="s">
        <v>2043</v>
      </c>
      <c r="AG947" s="59"/>
      <c r="AH947" s="61" t="s">
        <v>4335</v>
      </c>
      <c r="AI947" s="61" t="s">
        <v>264</v>
      </c>
      <c r="AJ947" s="61"/>
      <c r="AK947" s="62" t="s">
        <v>373</v>
      </c>
      <c r="AL947" s="62"/>
      <c r="AM947" s="63"/>
      <c r="AN947" s="63"/>
      <c r="AO947" s="63"/>
      <c r="AP947" s="63"/>
      <c r="AQ947" s="63"/>
      <c r="AR947" s="63"/>
      <c r="AS947" s="63"/>
      <c r="AT947" s="63"/>
      <c r="AU947" s="61"/>
      <c r="AV947" s="61"/>
      <c r="AW947" s="61"/>
      <c r="AX947" s="62"/>
      <c r="AY947" s="62"/>
      <c r="AZ947" s="63"/>
      <c r="BA947" s="63"/>
      <c r="BB947" s="63"/>
      <c r="BC947" s="63"/>
      <c r="BD947" s="63"/>
      <c r="BE947" s="63"/>
      <c r="BF947" s="63"/>
      <c r="BG947" s="63"/>
      <c r="BH947" s="61"/>
      <c r="BI947" s="61"/>
      <c r="BJ947" s="61"/>
      <c r="BK947" s="62"/>
      <c r="BL947" s="62"/>
      <c r="BM947" s="63"/>
      <c r="BN947" s="63"/>
      <c r="BO947" s="63"/>
      <c r="BP947" s="63"/>
      <c r="BQ947" s="63"/>
      <c r="BR947" s="63"/>
      <c r="BS947" s="63"/>
      <c r="BT947" s="63"/>
      <c r="BU947" s="61"/>
      <c r="BV947" s="61"/>
      <c r="BW947" s="61"/>
      <c r="BX947" s="62"/>
      <c r="BY947" s="62"/>
      <c r="BZ947" s="63"/>
      <c r="CA947" s="63"/>
      <c r="CB947" s="63"/>
      <c r="CC947" s="63"/>
      <c r="CD947" s="63"/>
      <c r="CE947" s="63"/>
      <c r="CF947" s="63"/>
      <c r="CG947" s="63"/>
      <c r="CH947" s="64"/>
      <c r="CJ947" s="63"/>
      <c r="CT947" s="65"/>
      <c r="CU947" s="65"/>
      <c r="CV947" s="65"/>
      <c r="CW947" s="65"/>
      <c r="CX947" s="65"/>
      <c r="CY947" s="65"/>
      <c r="CZ947" s="65"/>
      <c r="DA947" s="65"/>
      <c r="DB947" s="65"/>
      <c r="DC947" s="63"/>
    </row>
    <row r="948" spans="1:107" s="57" customFormat="1" x14ac:dyDescent="0.2">
      <c r="A948" s="55">
        <v>10100</v>
      </c>
      <c r="B948" s="56">
        <v>3</v>
      </c>
      <c r="C948" s="56">
        <f t="shared" ref="C948:C952" si="77">A948*10000+B948</f>
        <v>101000003</v>
      </c>
      <c r="D948" s="57" t="s">
        <v>4326</v>
      </c>
      <c r="E948" s="58" t="s">
        <v>109</v>
      </c>
      <c r="F948" s="58"/>
      <c r="G948" s="58"/>
      <c r="H948" s="58"/>
      <c r="I948" s="59" t="s">
        <v>206</v>
      </c>
      <c r="J948" s="59"/>
      <c r="K948" s="59"/>
      <c r="L948" s="59"/>
      <c r="M948" s="59"/>
      <c r="N948" s="59" t="s">
        <v>163</v>
      </c>
      <c r="O948" s="59" t="s">
        <v>163</v>
      </c>
      <c r="P948" s="59"/>
      <c r="Q948" s="59" t="s">
        <v>2041</v>
      </c>
      <c r="R948" s="59"/>
      <c r="S948" s="59"/>
      <c r="T948" s="59" t="s">
        <v>2307</v>
      </c>
      <c r="U948" s="122" t="s">
        <v>4327</v>
      </c>
      <c r="V948" s="59" t="s">
        <v>109</v>
      </c>
      <c r="W948" s="59" t="s">
        <v>1</v>
      </c>
      <c r="X948" s="59"/>
      <c r="Z948" s="59"/>
      <c r="AA948" s="59"/>
      <c r="AB948" s="59"/>
      <c r="AC948" s="59">
        <v>100</v>
      </c>
      <c r="AD948" s="59"/>
      <c r="AE948" s="60"/>
      <c r="AF948" s="24" t="s">
        <v>2043</v>
      </c>
      <c r="AG948" s="59"/>
      <c r="AH948" s="61" t="s">
        <v>4335</v>
      </c>
      <c r="AI948" s="61" t="s">
        <v>264</v>
      </c>
      <c r="AJ948" s="61"/>
      <c r="AK948" s="62" t="s">
        <v>373</v>
      </c>
      <c r="AL948" s="62"/>
      <c r="AM948" s="63"/>
      <c r="AN948" s="63"/>
      <c r="AO948" s="63"/>
      <c r="AP948" s="63"/>
      <c r="AQ948" s="63"/>
      <c r="AR948" s="63"/>
      <c r="AS948" s="63"/>
      <c r="AT948" s="63"/>
      <c r="AU948" s="61"/>
      <c r="AV948" s="61"/>
      <c r="AW948" s="61"/>
      <c r="AX948" s="62"/>
      <c r="AY948" s="62"/>
      <c r="AZ948" s="63"/>
      <c r="BA948" s="63"/>
      <c r="BB948" s="63"/>
      <c r="BC948" s="63"/>
      <c r="BD948" s="63"/>
      <c r="BE948" s="63"/>
      <c r="BF948" s="63"/>
      <c r="BG948" s="63"/>
      <c r="BH948" s="61"/>
      <c r="BI948" s="61"/>
      <c r="BJ948" s="61"/>
      <c r="BK948" s="62"/>
      <c r="BL948" s="62"/>
      <c r="BM948" s="63"/>
      <c r="BN948" s="63"/>
      <c r="BO948" s="63"/>
      <c r="BP948" s="63"/>
      <c r="BQ948" s="63"/>
      <c r="BR948" s="63"/>
      <c r="BS948" s="63"/>
      <c r="BT948" s="63"/>
      <c r="BU948" s="61"/>
      <c r="BV948" s="61"/>
      <c r="BW948" s="61"/>
      <c r="BX948" s="62"/>
      <c r="BY948" s="62"/>
      <c r="BZ948" s="63"/>
      <c r="CA948" s="63"/>
      <c r="CB948" s="63"/>
      <c r="CC948" s="63"/>
      <c r="CD948" s="63"/>
      <c r="CE948" s="63"/>
      <c r="CF948" s="63"/>
      <c r="CG948" s="63"/>
      <c r="CH948" s="64"/>
      <c r="CJ948" s="63"/>
      <c r="CT948" s="65"/>
      <c r="CU948" s="65"/>
      <c r="CV948" s="65"/>
      <c r="CW948" s="65"/>
      <c r="CX948" s="65"/>
      <c r="CY948" s="65"/>
      <c r="CZ948" s="65"/>
      <c r="DA948" s="65"/>
      <c r="DB948" s="65"/>
      <c r="DC948" s="63"/>
    </row>
    <row r="949" spans="1:107" s="57" customFormat="1" ht="12.75" customHeight="1" x14ac:dyDescent="0.2">
      <c r="A949" s="55">
        <v>10100</v>
      </c>
      <c r="B949" s="56">
        <v>4</v>
      </c>
      <c r="C949" s="56">
        <f t="shared" si="77"/>
        <v>101000004</v>
      </c>
      <c r="D949" s="57" t="s">
        <v>4326</v>
      </c>
      <c r="E949" s="58" t="s">
        <v>109</v>
      </c>
      <c r="F949" s="58"/>
      <c r="G949" s="58"/>
      <c r="H949" s="58"/>
      <c r="I949" s="59" t="s">
        <v>206</v>
      </c>
      <c r="J949" s="59"/>
      <c r="K949" s="59"/>
      <c r="L949" s="59"/>
      <c r="M949" s="59"/>
      <c r="N949" s="59" t="s">
        <v>163</v>
      </c>
      <c r="O949" s="59" t="s">
        <v>163</v>
      </c>
      <c r="P949" s="59"/>
      <c r="Q949" s="59" t="s">
        <v>2041</v>
      </c>
      <c r="R949" s="59"/>
      <c r="S949" s="59"/>
      <c r="T949" s="59" t="s">
        <v>2307</v>
      </c>
      <c r="U949" s="122" t="s">
        <v>4328</v>
      </c>
      <c r="V949" s="59" t="s">
        <v>109</v>
      </c>
      <c r="W949" s="59" t="s">
        <v>1</v>
      </c>
      <c r="X949" s="59"/>
      <c r="Z949" s="59"/>
      <c r="AA949" s="59"/>
      <c r="AB949" s="59"/>
      <c r="AC949" s="59">
        <v>100</v>
      </c>
      <c r="AD949" s="59"/>
      <c r="AE949" s="60"/>
      <c r="AF949" s="24" t="s">
        <v>2043</v>
      </c>
      <c r="AG949" s="59"/>
      <c r="AH949" s="61" t="s">
        <v>4336</v>
      </c>
      <c r="AI949" s="61" t="s">
        <v>265</v>
      </c>
      <c r="AJ949" s="61"/>
      <c r="AK949" s="62" t="s">
        <v>374</v>
      </c>
      <c r="AL949" s="62"/>
      <c r="AM949" s="63"/>
      <c r="AN949" s="63"/>
      <c r="AO949" s="63"/>
      <c r="AP949" s="63"/>
      <c r="AQ949" s="63"/>
      <c r="AR949" s="63"/>
      <c r="AS949" s="63"/>
      <c r="AT949" s="63"/>
      <c r="AU949" s="61"/>
      <c r="AV949" s="61"/>
      <c r="AW949" s="61"/>
      <c r="AX949" s="62"/>
      <c r="AY949" s="62"/>
      <c r="AZ949" s="63"/>
      <c r="BA949" s="63"/>
      <c r="BB949" s="63"/>
      <c r="BC949" s="63"/>
      <c r="BD949" s="63"/>
      <c r="BE949" s="63"/>
      <c r="BF949" s="63"/>
      <c r="BG949" s="63"/>
      <c r="BH949" s="61"/>
      <c r="BI949" s="61"/>
      <c r="BJ949" s="61"/>
      <c r="BK949" s="62"/>
      <c r="BL949" s="62"/>
      <c r="BM949" s="63"/>
      <c r="BN949" s="63"/>
      <c r="BO949" s="63"/>
      <c r="BP949" s="63"/>
      <c r="BQ949" s="63"/>
      <c r="BR949" s="63"/>
      <c r="BS949" s="63"/>
      <c r="BT949" s="63"/>
      <c r="BU949" s="61"/>
      <c r="BV949" s="61"/>
      <c r="BW949" s="61"/>
      <c r="BX949" s="62"/>
      <c r="BY949" s="62"/>
      <c r="BZ949" s="63"/>
      <c r="CA949" s="63"/>
      <c r="CB949" s="63"/>
      <c r="CC949" s="63"/>
      <c r="CD949" s="63"/>
      <c r="CE949" s="63"/>
      <c r="CF949" s="63"/>
      <c r="CG949" s="63"/>
      <c r="CH949" s="64"/>
      <c r="CJ949" s="63"/>
      <c r="CT949" s="65"/>
      <c r="CU949" s="65"/>
      <c r="CV949" s="65"/>
      <c r="CW949" s="65"/>
      <c r="CX949" s="65"/>
      <c r="CY949" s="65"/>
      <c r="CZ949" s="65"/>
      <c r="DA949" s="65"/>
      <c r="DB949" s="65"/>
      <c r="DC949" s="63"/>
    </row>
    <row r="950" spans="1:107" s="57" customFormat="1" x14ac:dyDescent="0.2">
      <c r="A950" s="55">
        <v>10100</v>
      </c>
      <c r="B950" s="56">
        <v>5</v>
      </c>
      <c r="C950" s="56">
        <f t="shared" si="77"/>
        <v>101000005</v>
      </c>
      <c r="D950" s="57" t="s">
        <v>4326</v>
      </c>
      <c r="E950" s="58" t="s">
        <v>109</v>
      </c>
      <c r="F950" s="58"/>
      <c r="G950" s="58"/>
      <c r="H950" s="58"/>
      <c r="I950" s="59" t="s">
        <v>206</v>
      </c>
      <c r="J950" s="59"/>
      <c r="K950" s="59"/>
      <c r="L950" s="59"/>
      <c r="M950" s="59"/>
      <c r="N950" s="59" t="s">
        <v>163</v>
      </c>
      <c r="O950" s="59" t="s">
        <v>163</v>
      </c>
      <c r="P950" s="59"/>
      <c r="Q950" s="59" t="s">
        <v>2041</v>
      </c>
      <c r="R950" s="59"/>
      <c r="S950" s="59"/>
      <c r="T950" s="59" t="s">
        <v>2307</v>
      </c>
      <c r="U950" s="122" t="s">
        <v>4329</v>
      </c>
      <c r="V950" s="59" t="s">
        <v>109</v>
      </c>
      <c r="W950" s="59" t="s">
        <v>1</v>
      </c>
      <c r="X950" s="59"/>
      <c r="Z950" s="59"/>
      <c r="AA950" s="59"/>
      <c r="AB950" s="59"/>
      <c r="AC950" s="59">
        <v>100</v>
      </c>
      <c r="AD950" s="59"/>
      <c r="AE950" s="60"/>
      <c r="AF950" s="24" t="s">
        <v>2043</v>
      </c>
      <c r="AG950" s="59"/>
      <c r="AH950" s="61" t="s">
        <v>4337</v>
      </c>
      <c r="AI950" s="61" t="s">
        <v>266</v>
      </c>
      <c r="AJ950" s="61"/>
      <c r="AK950" s="62">
        <v>1960</v>
      </c>
      <c r="AL950" s="62"/>
      <c r="AM950" s="63"/>
      <c r="AN950" s="63"/>
      <c r="AO950" s="63"/>
      <c r="AP950" s="63"/>
      <c r="AQ950" s="63"/>
      <c r="AR950" s="63"/>
      <c r="AS950" s="63"/>
      <c r="AT950" s="63"/>
      <c r="AU950" s="61"/>
      <c r="AV950" s="61"/>
      <c r="AW950" s="61"/>
      <c r="AX950" s="62"/>
      <c r="AY950" s="62"/>
      <c r="AZ950" s="63"/>
      <c r="BA950" s="63"/>
      <c r="BB950" s="63"/>
      <c r="BC950" s="63"/>
      <c r="BD950" s="63"/>
      <c r="BE950" s="63"/>
      <c r="BF950" s="63"/>
      <c r="BG950" s="63"/>
      <c r="BH950" s="61"/>
      <c r="BI950" s="61"/>
      <c r="BJ950" s="61"/>
      <c r="BK950" s="62"/>
      <c r="BL950" s="62"/>
      <c r="BM950" s="63"/>
      <c r="BN950" s="63"/>
      <c r="BO950" s="63"/>
      <c r="BP950" s="63"/>
      <c r="BQ950" s="63"/>
      <c r="BR950" s="63"/>
      <c r="BS950" s="63"/>
      <c r="BT950" s="63"/>
      <c r="BU950" s="61"/>
      <c r="BV950" s="61"/>
      <c r="BW950" s="61"/>
      <c r="BX950" s="62"/>
      <c r="BY950" s="62"/>
      <c r="BZ950" s="63"/>
      <c r="CA950" s="63"/>
      <c r="CB950" s="63"/>
      <c r="CC950" s="63"/>
      <c r="CD950" s="63"/>
      <c r="CE950" s="63"/>
      <c r="CF950" s="63"/>
      <c r="CG950" s="63"/>
      <c r="CH950" s="64"/>
      <c r="CJ950" s="63"/>
      <c r="CT950" s="65"/>
      <c r="CU950" s="65"/>
      <c r="CV950" s="65"/>
      <c r="CW950" s="65"/>
      <c r="CX950" s="65"/>
      <c r="CY950" s="65"/>
      <c r="CZ950" s="65"/>
      <c r="DA950" s="65"/>
      <c r="DB950" s="65"/>
      <c r="DC950" s="63"/>
    </row>
    <row r="951" spans="1:107" s="57" customFormat="1" x14ac:dyDescent="0.2">
      <c r="A951" s="55">
        <v>10101</v>
      </c>
      <c r="B951" s="56">
        <v>1</v>
      </c>
      <c r="C951" s="56">
        <f t="shared" si="77"/>
        <v>101010001</v>
      </c>
      <c r="D951" s="57" t="s">
        <v>4457</v>
      </c>
      <c r="E951" s="58" t="s">
        <v>109</v>
      </c>
      <c r="F951" s="58"/>
      <c r="G951" s="58"/>
      <c r="H951" s="58"/>
      <c r="I951" s="59" t="s">
        <v>206</v>
      </c>
      <c r="J951" s="59"/>
      <c r="K951" s="59"/>
      <c r="L951" s="59"/>
      <c r="M951" s="59"/>
      <c r="N951" s="59" t="s">
        <v>163</v>
      </c>
      <c r="O951" s="59" t="s">
        <v>163</v>
      </c>
      <c r="P951" s="59"/>
      <c r="Q951" s="59" t="s">
        <v>2041</v>
      </c>
      <c r="R951" s="59"/>
      <c r="S951" s="59"/>
      <c r="T951" s="59" t="s">
        <v>2307</v>
      </c>
      <c r="U951" s="122" t="s">
        <v>4458</v>
      </c>
      <c r="V951" s="59" t="s">
        <v>109</v>
      </c>
      <c r="W951" s="59" t="s">
        <v>1</v>
      </c>
      <c r="X951" s="59"/>
      <c r="Z951" s="59"/>
      <c r="AA951" s="59"/>
      <c r="AB951" s="59"/>
      <c r="AC951" s="59" t="s">
        <v>4463</v>
      </c>
      <c r="AD951" s="59"/>
      <c r="AE951" s="60"/>
      <c r="AF951" s="24" t="s">
        <v>2043</v>
      </c>
      <c r="AG951" s="59"/>
      <c r="AH951" s="61"/>
      <c r="AI951" s="61" t="s">
        <v>176</v>
      </c>
      <c r="AJ951" s="61"/>
      <c r="AK951" s="62" t="s">
        <v>136</v>
      </c>
      <c r="AL951" s="62"/>
      <c r="AM951" s="63"/>
      <c r="AN951" s="63"/>
      <c r="AO951" s="63"/>
      <c r="AP951" s="63"/>
      <c r="AQ951" s="63"/>
      <c r="AR951" s="63"/>
      <c r="AS951" s="63"/>
      <c r="AT951" s="63"/>
      <c r="AU951" s="61"/>
      <c r="AV951" s="61"/>
      <c r="AW951" s="61"/>
      <c r="AX951" s="62"/>
      <c r="AY951" s="62"/>
      <c r="AZ951" s="63"/>
      <c r="BA951" s="63"/>
      <c r="BB951" s="63"/>
      <c r="BC951" s="63"/>
      <c r="BD951" s="63"/>
      <c r="BE951" s="63"/>
      <c r="BF951" s="63"/>
      <c r="BG951" s="63"/>
      <c r="BH951" s="61"/>
      <c r="BI951" s="61"/>
      <c r="BJ951" s="61"/>
      <c r="BK951" s="62"/>
      <c r="BL951" s="62"/>
      <c r="BM951" s="63"/>
      <c r="BN951" s="63"/>
      <c r="BO951" s="63"/>
      <c r="BP951" s="63"/>
      <c r="BQ951" s="63"/>
      <c r="BR951" s="63"/>
      <c r="BS951" s="63"/>
      <c r="BT951" s="63"/>
      <c r="BU951" s="61"/>
      <c r="BV951" s="61"/>
      <c r="BW951" s="61"/>
      <c r="BX951" s="62"/>
      <c r="BY951" s="62"/>
      <c r="BZ951" s="63"/>
      <c r="CA951" s="63"/>
      <c r="CB951" s="63"/>
      <c r="CC951" s="63"/>
      <c r="CD951" s="63"/>
      <c r="CE951" s="63"/>
      <c r="CF951" s="63"/>
      <c r="CG951" s="63"/>
      <c r="CH951" s="64"/>
      <c r="CJ951" s="63"/>
      <c r="CT951" s="65"/>
      <c r="CU951" s="65"/>
      <c r="CV951" s="65"/>
      <c r="CW951" s="65"/>
      <c r="CX951" s="65"/>
      <c r="CY951" s="65"/>
      <c r="CZ951" s="65"/>
      <c r="DA951" s="65"/>
      <c r="DB951" s="65"/>
      <c r="DC951" s="63"/>
    </row>
    <row r="952" spans="1:107" s="57" customFormat="1" x14ac:dyDescent="0.2">
      <c r="A952" s="55">
        <v>10101</v>
      </c>
      <c r="B952" s="56">
        <v>2</v>
      </c>
      <c r="C952" s="56">
        <f t="shared" si="77"/>
        <v>101010002</v>
      </c>
      <c r="D952" s="57" t="s">
        <v>4457</v>
      </c>
      <c r="E952" s="58" t="s">
        <v>109</v>
      </c>
      <c r="F952" s="58"/>
      <c r="G952" s="58"/>
      <c r="H952" s="58"/>
      <c r="I952" s="59" t="s">
        <v>206</v>
      </c>
      <c r="J952" s="59"/>
      <c r="K952" s="59"/>
      <c r="L952" s="59"/>
      <c r="M952" s="59"/>
      <c r="N952" s="59" t="s">
        <v>163</v>
      </c>
      <c r="O952" s="59" t="s">
        <v>163</v>
      </c>
      <c r="P952" s="59"/>
      <c r="Q952" s="59" t="s">
        <v>2041</v>
      </c>
      <c r="R952" s="59"/>
      <c r="S952" s="59"/>
      <c r="T952" s="59" t="s">
        <v>2307</v>
      </c>
      <c r="U952" s="122" t="s">
        <v>4459</v>
      </c>
      <c r="V952" s="59" t="s">
        <v>109</v>
      </c>
      <c r="W952" s="59" t="s">
        <v>1</v>
      </c>
      <c r="X952" s="59"/>
      <c r="Z952" s="59"/>
      <c r="AA952" s="59"/>
      <c r="AB952" s="59"/>
      <c r="AC952" s="59" t="s">
        <v>4463</v>
      </c>
      <c r="AD952" s="59"/>
      <c r="AE952" s="60"/>
      <c r="AF952" s="24" t="s">
        <v>2043</v>
      </c>
      <c r="AG952" s="59"/>
      <c r="AH952" s="61"/>
      <c r="AI952" s="61" t="s">
        <v>260</v>
      </c>
      <c r="AJ952" s="61"/>
      <c r="AK952" s="62" t="s">
        <v>139</v>
      </c>
      <c r="AL952" s="62"/>
      <c r="AM952" s="63"/>
      <c r="AN952" s="63"/>
      <c r="AO952" s="63"/>
      <c r="AP952" s="63"/>
      <c r="AQ952" s="63"/>
      <c r="AR952" s="63"/>
      <c r="AS952" s="63"/>
      <c r="AT952" s="63"/>
      <c r="AU952" s="61"/>
      <c r="AV952" s="61"/>
      <c r="AW952" s="61"/>
      <c r="AX952" s="62"/>
      <c r="AY952" s="62"/>
      <c r="AZ952" s="63"/>
      <c r="BA952" s="63"/>
      <c r="BB952" s="63"/>
      <c r="BC952" s="63"/>
      <c r="BD952" s="63"/>
      <c r="BE952" s="63"/>
      <c r="BF952" s="63"/>
      <c r="BG952" s="63"/>
      <c r="BH952" s="61"/>
      <c r="BI952" s="61"/>
      <c r="BJ952" s="61"/>
      <c r="BK952" s="62"/>
      <c r="BL952" s="62"/>
      <c r="BM952" s="63"/>
      <c r="BN952" s="63"/>
      <c r="BO952" s="63"/>
      <c r="BP952" s="63"/>
      <c r="BQ952" s="63"/>
      <c r="BR952" s="63"/>
      <c r="BS952" s="63"/>
      <c r="BT952" s="63"/>
      <c r="BU952" s="61"/>
      <c r="BV952" s="61"/>
      <c r="BW952" s="61"/>
      <c r="BX952" s="62"/>
      <c r="BY952" s="62"/>
      <c r="BZ952" s="63"/>
      <c r="CA952" s="63"/>
      <c r="CB952" s="63"/>
      <c r="CC952" s="63"/>
      <c r="CD952" s="63"/>
      <c r="CE952" s="63"/>
      <c r="CF952" s="63"/>
      <c r="CG952" s="63"/>
      <c r="CH952" s="64"/>
      <c r="CJ952" s="63"/>
      <c r="CT952" s="65"/>
      <c r="CU952" s="65"/>
      <c r="CV952" s="65"/>
      <c r="CW952" s="65"/>
      <c r="CX952" s="65"/>
      <c r="CY952" s="65"/>
      <c r="CZ952" s="65"/>
      <c r="DA952" s="65"/>
      <c r="DB952" s="65"/>
      <c r="DC952" s="63"/>
    </row>
    <row r="953" spans="1:107" s="57" customFormat="1" x14ac:dyDescent="0.2">
      <c r="A953" s="55">
        <v>10101</v>
      </c>
      <c r="B953" s="56">
        <v>3</v>
      </c>
      <c r="C953" s="56">
        <f t="shared" ref="C953:C957" si="78">A953*10000+B953</f>
        <v>101010003</v>
      </c>
      <c r="D953" s="57" t="s">
        <v>4457</v>
      </c>
      <c r="E953" s="58" t="s">
        <v>109</v>
      </c>
      <c r="F953" s="58"/>
      <c r="G953" s="58"/>
      <c r="H953" s="58"/>
      <c r="I953" s="59" t="s">
        <v>206</v>
      </c>
      <c r="J953" s="59"/>
      <c r="K953" s="59"/>
      <c r="L953" s="59"/>
      <c r="M953" s="59"/>
      <c r="N953" s="59" t="s">
        <v>163</v>
      </c>
      <c r="O953" s="59" t="s">
        <v>163</v>
      </c>
      <c r="P953" s="59"/>
      <c r="Q953" s="59" t="s">
        <v>2041</v>
      </c>
      <c r="R953" s="59"/>
      <c r="S953" s="59"/>
      <c r="T953" s="59" t="s">
        <v>2307</v>
      </c>
      <c r="U953" s="122" t="s">
        <v>4460</v>
      </c>
      <c r="V953" s="59" t="s">
        <v>109</v>
      </c>
      <c r="W953" s="59" t="s">
        <v>1</v>
      </c>
      <c r="X953" s="59"/>
      <c r="Z953" s="59"/>
      <c r="AA953" s="59"/>
      <c r="AB953" s="59"/>
      <c r="AC953" s="59" t="s">
        <v>4463</v>
      </c>
      <c r="AD953" s="59"/>
      <c r="AE953" s="60"/>
      <c r="AF953" s="24" t="s">
        <v>2043</v>
      </c>
      <c r="AG953" s="59"/>
      <c r="AH953" s="61" t="s">
        <v>4464</v>
      </c>
      <c r="AI953" s="61" t="s">
        <v>264</v>
      </c>
      <c r="AJ953" s="61"/>
      <c r="AK953" s="62" t="s">
        <v>373</v>
      </c>
      <c r="AL953" s="62"/>
      <c r="AM953" s="63"/>
      <c r="AN953" s="63"/>
      <c r="AO953" s="63"/>
      <c r="AP953" s="63"/>
      <c r="AQ953" s="63"/>
      <c r="AR953" s="63"/>
      <c r="AS953" s="63"/>
      <c r="AT953" s="63"/>
      <c r="AU953" s="61"/>
      <c r="AV953" s="61"/>
      <c r="AW953" s="61"/>
      <c r="AX953" s="62"/>
      <c r="AY953" s="62"/>
      <c r="AZ953" s="63"/>
      <c r="BA953" s="63"/>
      <c r="BB953" s="63"/>
      <c r="BC953" s="63"/>
      <c r="BD953" s="63"/>
      <c r="BE953" s="63"/>
      <c r="BF953" s="63"/>
      <c r="BG953" s="63"/>
      <c r="BH953" s="61"/>
      <c r="BI953" s="61"/>
      <c r="BJ953" s="61"/>
      <c r="BK953" s="62"/>
      <c r="BL953" s="62"/>
      <c r="BM953" s="63"/>
      <c r="BN953" s="63"/>
      <c r="BO953" s="63"/>
      <c r="BP953" s="63"/>
      <c r="BQ953" s="63"/>
      <c r="BR953" s="63"/>
      <c r="BS953" s="63"/>
      <c r="BT953" s="63"/>
      <c r="BU953" s="61"/>
      <c r="BV953" s="61"/>
      <c r="BW953" s="61"/>
      <c r="BX953" s="62"/>
      <c r="BY953" s="62"/>
      <c r="BZ953" s="63"/>
      <c r="CA953" s="63"/>
      <c r="CB953" s="63"/>
      <c r="CC953" s="63"/>
      <c r="CD953" s="63"/>
      <c r="CE953" s="63"/>
      <c r="CF953" s="63"/>
      <c r="CG953" s="63"/>
      <c r="CH953" s="64"/>
      <c r="CJ953" s="63"/>
      <c r="CT953" s="65"/>
      <c r="CU953" s="65"/>
      <c r="CV953" s="65"/>
      <c r="CW953" s="65"/>
      <c r="CX953" s="65"/>
      <c r="CY953" s="65"/>
      <c r="CZ953" s="65"/>
      <c r="DA953" s="65"/>
      <c r="DB953" s="65"/>
      <c r="DC953" s="63"/>
    </row>
    <row r="954" spans="1:107" s="57" customFormat="1" ht="12.75" customHeight="1" x14ac:dyDescent="0.2">
      <c r="A954" s="55">
        <v>10101</v>
      </c>
      <c r="B954" s="56">
        <v>4</v>
      </c>
      <c r="C954" s="56">
        <f t="shared" si="78"/>
        <v>101010004</v>
      </c>
      <c r="D954" s="57" t="s">
        <v>4457</v>
      </c>
      <c r="E954" s="58" t="s">
        <v>109</v>
      </c>
      <c r="F954" s="58"/>
      <c r="G954" s="58"/>
      <c r="H954" s="58"/>
      <c r="I954" s="59" t="s">
        <v>206</v>
      </c>
      <c r="J954" s="59"/>
      <c r="K954" s="59"/>
      <c r="L954" s="59"/>
      <c r="M954" s="59"/>
      <c r="N954" s="59" t="s">
        <v>163</v>
      </c>
      <c r="O954" s="59" t="s">
        <v>163</v>
      </c>
      <c r="P954" s="59"/>
      <c r="Q954" s="59" t="s">
        <v>2041</v>
      </c>
      <c r="R954" s="59"/>
      <c r="S954" s="59"/>
      <c r="T954" s="59" t="s">
        <v>2307</v>
      </c>
      <c r="U954" s="122" t="s">
        <v>4461</v>
      </c>
      <c r="V954" s="59" t="s">
        <v>109</v>
      </c>
      <c r="W954" s="59" t="s">
        <v>1</v>
      </c>
      <c r="X954" s="59"/>
      <c r="Z954" s="59"/>
      <c r="AA954" s="59"/>
      <c r="AB954" s="59"/>
      <c r="AC954" s="59" t="s">
        <v>4463</v>
      </c>
      <c r="AD954" s="59"/>
      <c r="AE954" s="60"/>
      <c r="AF954" s="24" t="s">
        <v>2043</v>
      </c>
      <c r="AG954" s="59"/>
      <c r="AH954" s="61" t="s">
        <v>4465</v>
      </c>
      <c r="AI954" s="61" t="s">
        <v>265</v>
      </c>
      <c r="AJ954" s="61"/>
      <c r="AK954" s="62" t="s">
        <v>374</v>
      </c>
      <c r="AL954" s="62"/>
      <c r="AM954" s="63"/>
      <c r="AN954" s="63"/>
      <c r="AO954" s="63"/>
      <c r="AP954" s="63"/>
      <c r="AQ954" s="63"/>
      <c r="AR954" s="63"/>
      <c r="AS954" s="63"/>
      <c r="AT954" s="63"/>
      <c r="AU954" s="61"/>
      <c r="AV954" s="61"/>
      <c r="AW954" s="61"/>
      <c r="AX954" s="62"/>
      <c r="AY954" s="62"/>
      <c r="AZ954" s="63"/>
      <c r="BA954" s="63"/>
      <c r="BB954" s="63"/>
      <c r="BC954" s="63"/>
      <c r="BD954" s="63"/>
      <c r="BE954" s="63"/>
      <c r="BF954" s="63"/>
      <c r="BG954" s="63"/>
      <c r="BH954" s="61"/>
      <c r="BI954" s="61"/>
      <c r="BJ954" s="61"/>
      <c r="BK954" s="62"/>
      <c r="BL954" s="62"/>
      <c r="BM954" s="63"/>
      <c r="BN954" s="63"/>
      <c r="BO954" s="63"/>
      <c r="BP954" s="63"/>
      <c r="BQ954" s="63"/>
      <c r="BR954" s="63"/>
      <c r="BS954" s="63"/>
      <c r="BT954" s="63"/>
      <c r="BU954" s="61"/>
      <c r="BV954" s="61"/>
      <c r="BW954" s="61"/>
      <c r="BX954" s="62"/>
      <c r="BY954" s="62"/>
      <c r="BZ954" s="63"/>
      <c r="CA954" s="63"/>
      <c r="CB954" s="63"/>
      <c r="CC954" s="63"/>
      <c r="CD954" s="63"/>
      <c r="CE954" s="63"/>
      <c r="CF954" s="63"/>
      <c r="CG954" s="63"/>
      <c r="CH954" s="64"/>
      <c r="CJ954" s="63"/>
      <c r="CT954" s="65"/>
      <c r="CU954" s="65"/>
      <c r="CV954" s="65"/>
      <c r="CW954" s="65"/>
      <c r="CX954" s="65"/>
      <c r="CY954" s="65"/>
      <c r="CZ954" s="65"/>
      <c r="DA954" s="65"/>
      <c r="DB954" s="65"/>
      <c r="DC954" s="63"/>
    </row>
    <row r="955" spans="1:107" s="57" customFormat="1" x14ac:dyDescent="0.2">
      <c r="A955" s="55">
        <v>10101</v>
      </c>
      <c r="B955" s="56">
        <v>5</v>
      </c>
      <c r="C955" s="56">
        <f t="shared" si="78"/>
        <v>101010005</v>
      </c>
      <c r="D955" s="57" t="s">
        <v>4457</v>
      </c>
      <c r="E955" s="58" t="s">
        <v>109</v>
      </c>
      <c r="F955" s="58"/>
      <c r="G955" s="58"/>
      <c r="H955" s="58"/>
      <c r="I955" s="59" t="s">
        <v>206</v>
      </c>
      <c r="J955" s="59"/>
      <c r="K955" s="59"/>
      <c r="L955" s="59"/>
      <c r="M955" s="59"/>
      <c r="N955" s="59" t="s">
        <v>163</v>
      </c>
      <c r="O955" s="59" t="s">
        <v>163</v>
      </c>
      <c r="P955" s="59"/>
      <c r="Q955" s="59" t="s">
        <v>2041</v>
      </c>
      <c r="R955" s="59"/>
      <c r="S955" s="59"/>
      <c r="T955" s="59" t="s">
        <v>2307</v>
      </c>
      <c r="U955" s="122" t="s">
        <v>4462</v>
      </c>
      <c r="V955" s="59" t="s">
        <v>109</v>
      </c>
      <c r="W955" s="59" t="s">
        <v>1</v>
      </c>
      <c r="X955" s="59"/>
      <c r="Z955" s="59"/>
      <c r="AA955" s="59"/>
      <c r="AB955" s="59"/>
      <c r="AC955" s="59" t="s">
        <v>4463</v>
      </c>
      <c r="AD955" s="59"/>
      <c r="AE955" s="60"/>
      <c r="AF955" s="24" t="s">
        <v>2043</v>
      </c>
      <c r="AG955" s="59"/>
      <c r="AH955" s="61" t="s">
        <v>4466</v>
      </c>
      <c r="AI955" s="61" t="s">
        <v>266</v>
      </c>
      <c r="AJ955" s="61"/>
      <c r="AK955" s="62">
        <v>1960</v>
      </c>
      <c r="AL955" s="62"/>
      <c r="AM955" s="63"/>
      <c r="AN955" s="63"/>
      <c r="AO955" s="63"/>
      <c r="AP955" s="63"/>
      <c r="AQ955" s="63"/>
      <c r="AR955" s="63"/>
      <c r="AS955" s="63"/>
      <c r="AT955" s="63"/>
      <c r="AU955" s="61"/>
      <c r="AV955" s="61"/>
      <c r="AW955" s="61"/>
      <c r="AX955" s="62"/>
      <c r="AY955" s="62"/>
      <c r="AZ955" s="63"/>
      <c r="BA955" s="63"/>
      <c r="BB955" s="63"/>
      <c r="BC955" s="63"/>
      <c r="BD955" s="63"/>
      <c r="BE955" s="63"/>
      <c r="BF955" s="63"/>
      <c r="BG955" s="63"/>
      <c r="BH955" s="61"/>
      <c r="BI955" s="61"/>
      <c r="BJ955" s="61"/>
      <c r="BK955" s="62"/>
      <c r="BL955" s="62"/>
      <c r="BM955" s="63"/>
      <c r="BN955" s="63"/>
      <c r="BO955" s="63"/>
      <c r="BP955" s="63"/>
      <c r="BQ955" s="63"/>
      <c r="BR955" s="63"/>
      <c r="BS955" s="63"/>
      <c r="BT955" s="63"/>
      <c r="BU955" s="61"/>
      <c r="BV955" s="61"/>
      <c r="BW955" s="61"/>
      <c r="BX955" s="62"/>
      <c r="BY955" s="62"/>
      <c r="BZ955" s="63"/>
      <c r="CA955" s="63"/>
      <c r="CB955" s="63"/>
      <c r="CC955" s="63"/>
      <c r="CD955" s="63"/>
      <c r="CE955" s="63"/>
      <c r="CF955" s="63"/>
      <c r="CG955" s="63"/>
      <c r="CH955" s="64"/>
      <c r="CJ955" s="63"/>
      <c r="CT955" s="65"/>
      <c r="CU955" s="65"/>
      <c r="CV955" s="65"/>
      <c r="CW955" s="65"/>
      <c r="CX955" s="65"/>
      <c r="CY955" s="65"/>
      <c r="CZ955" s="65"/>
      <c r="DA955" s="65"/>
      <c r="DB955" s="65"/>
      <c r="DC955" s="63"/>
    </row>
    <row r="956" spans="1:107" s="57" customFormat="1" x14ac:dyDescent="0.2">
      <c r="A956" s="55">
        <v>10102</v>
      </c>
      <c r="B956" s="56">
        <v>1</v>
      </c>
      <c r="C956" s="56">
        <f t="shared" si="78"/>
        <v>101020001</v>
      </c>
      <c r="D956" s="57" t="s">
        <v>4546</v>
      </c>
      <c r="E956" s="58" t="s">
        <v>109</v>
      </c>
      <c r="F956" s="58"/>
      <c r="G956" s="58"/>
      <c r="H956" s="58"/>
      <c r="I956" s="59" t="s">
        <v>206</v>
      </c>
      <c r="J956" s="59"/>
      <c r="K956" s="59"/>
      <c r="L956" s="59"/>
      <c r="M956" s="59"/>
      <c r="N956" s="59" t="s">
        <v>163</v>
      </c>
      <c r="O956" s="59" t="s">
        <v>163</v>
      </c>
      <c r="P956" s="59"/>
      <c r="Q956" s="59" t="s">
        <v>2041</v>
      </c>
      <c r="R956" s="59"/>
      <c r="S956" s="59"/>
      <c r="T956" s="59" t="s">
        <v>2307</v>
      </c>
      <c r="U956" s="122" t="s">
        <v>4547</v>
      </c>
      <c r="V956" s="59" t="s">
        <v>109</v>
      </c>
      <c r="W956" s="59" t="s">
        <v>1</v>
      </c>
      <c r="X956" s="59"/>
      <c r="Z956" s="59"/>
      <c r="AA956" s="59"/>
      <c r="AB956" s="59"/>
      <c r="AC956" s="59">
        <v>102</v>
      </c>
      <c r="AD956" s="59"/>
      <c r="AE956" s="60"/>
      <c r="AF956" s="24" t="s">
        <v>2043</v>
      </c>
      <c r="AG956" s="59"/>
      <c r="AH956" s="61"/>
      <c r="AI956" s="61" t="s">
        <v>176</v>
      </c>
      <c r="AJ956" s="61"/>
      <c r="AK956" s="62" t="s">
        <v>136</v>
      </c>
      <c r="AL956" s="62"/>
      <c r="AM956" s="63"/>
      <c r="AN956" s="63"/>
      <c r="AO956" s="63"/>
      <c r="AP956" s="63"/>
      <c r="AQ956" s="63"/>
      <c r="AR956" s="63"/>
      <c r="AS956" s="63"/>
      <c r="AT956" s="63"/>
      <c r="AU956" s="61"/>
      <c r="AV956" s="61"/>
      <c r="AW956" s="61"/>
      <c r="AX956" s="62"/>
      <c r="AY956" s="62"/>
      <c r="AZ956" s="63"/>
      <c r="BA956" s="63"/>
      <c r="BB956" s="63"/>
      <c r="BC956" s="63"/>
      <c r="BD956" s="63"/>
      <c r="BE956" s="63"/>
      <c r="BF956" s="63"/>
      <c r="BG956" s="63"/>
      <c r="BH956" s="61"/>
      <c r="BI956" s="61"/>
      <c r="BJ956" s="61"/>
      <c r="BK956" s="62"/>
      <c r="BL956" s="62"/>
      <c r="BM956" s="63"/>
      <c r="BN956" s="63"/>
      <c r="BO956" s="63"/>
      <c r="BP956" s="63"/>
      <c r="BQ956" s="63"/>
      <c r="BR956" s="63"/>
      <c r="BS956" s="63"/>
      <c r="BT956" s="63"/>
      <c r="BU956" s="61"/>
      <c r="BV956" s="61"/>
      <c r="BW956" s="61"/>
      <c r="BX956" s="62"/>
      <c r="BY956" s="62"/>
      <c r="BZ956" s="63"/>
      <c r="CA956" s="63"/>
      <c r="CB956" s="63"/>
      <c r="CC956" s="63"/>
      <c r="CD956" s="63"/>
      <c r="CE956" s="63"/>
      <c r="CF956" s="63"/>
      <c r="CG956" s="63"/>
      <c r="CH956" s="64"/>
      <c r="CJ956" s="63"/>
      <c r="CT956" s="65"/>
      <c r="CU956" s="65"/>
      <c r="CV956" s="65"/>
      <c r="CW956" s="65"/>
      <c r="CX956" s="65"/>
      <c r="CY956" s="65"/>
      <c r="CZ956" s="65"/>
      <c r="DA956" s="65"/>
      <c r="DB956" s="65"/>
      <c r="DC956" s="63"/>
    </row>
    <row r="957" spans="1:107" s="57" customFormat="1" x14ac:dyDescent="0.2">
      <c r="A957" s="55">
        <v>10102</v>
      </c>
      <c r="B957" s="56">
        <v>2</v>
      </c>
      <c r="C957" s="56">
        <f t="shared" si="78"/>
        <v>101020002</v>
      </c>
      <c r="D957" s="57" t="s">
        <v>4546</v>
      </c>
      <c r="E957" s="58" t="s">
        <v>109</v>
      </c>
      <c r="F957" s="58"/>
      <c r="G957" s="58"/>
      <c r="H957" s="58"/>
      <c r="I957" s="59" t="s">
        <v>206</v>
      </c>
      <c r="J957" s="59"/>
      <c r="K957" s="59"/>
      <c r="L957" s="59"/>
      <c r="M957" s="59"/>
      <c r="N957" s="59" t="s">
        <v>163</v>
      </c>
      <c r="O957" s="59" t="s">
        <v>163</v>
      </c>
      <c r="P957" s="59"/>
      <c r="Q957" s="59" t="s">
        <v>2041</v>
      </c>
      <c r="R957" s="59"/>
      <c r="S957" s="59"/>
      <c r="T957" s="59" t="s">
        <v>2307</v>
      </c>
      <c r="U957" s="122" t="s">
        <v>4548</v>
      </c>
      <c r="V957" s="59" t="s">
        <v>109</v>
      </c>
      <c r="W957" s="59" t="s">
        <v>1</v>
      </c>
      <c r="X957" s="59"/>
      <c r="Z957" s="59"/>
      <c r="AA957" s="59"/>
      <c r="AB957" s="59"/>
      <c r="AC957" s="59">
        <v>102</v>
      </c>
      <c r="AD957" s="59"/>
      <c r="AE957" s="60"/>
      <c r="AF957" s="24" t="s">
        <v>2043</v>
      </c>
      <c r="AG957" s="59"/>
      <c r="AH957" s="61"/>
      <c r="AI957" s="61" t="s">
        <v>260</v>
      </c>
      <c r="AJ957" s="61"/>
      <c r="AK957" s="62" t="s">
        <v>139</v>
      </c>
      <c r="AL957" s="62"/>
      <c r="AM957" s="63"/>
      <c r="AN957" s="63"/>
      <c r="AO957" s="63"/>
      <c r="AP957" s="63"/>
      <c r="AQ957" s="63"/>
      <c r="AR957" s="63"/>
      <c r="AS957" s="63"/>
      <c r="AT957" s="63"/>
      <c r="AU957" s="61"/>
      <c r="AV957" s="61"/>
      <c r="AW957" s="61"/>
      <c r="AX957" s="62"/>
      <c r="AY957" s="62"/>
      <c r="AZ957" s="63"/>
      <c r="BA957" s="63"/>
      <c r="BB957" s="63"/>
      <c r="BC957" s="63"/>
      <c r="BD957" s="63"/>
      <c r="BE957" s="63"/>
      <c r="BF957" s="63"/>
      <c r="BG957" s="63"/>
      <c r="BH957" s="61"/>
      <c r="BI957" s="61"/>
      <c r="BJ957" s="61"/>
      <c r="BK957" s="62"/>
      <c r="BL957" s="62"/>
      <c r="BM957" s="63"/>
      <c r="BN957" s="63"/>
      <c r="BO957" s="63"/>
      <c r="BP957" s="63"/>
      <c r="BQ957" s="63"/>
      <c r="BR957" s="63"/>
      <c r="BS957" s="63"/>
      <c r="BT957" s="63"/>
      <c r="BU957" s="61"/>
      <c r="BV957" s="61"/>
      <c r="BW957" s="61"/>
      <c r="BX957" s="62"/>
      <c r="BY957" s="62"/>
      <c r="BZ957" s="63"/>
      <c r="CA957" s="63"/>
      <c r="CB957" s="63"/>
      <c r="CC957" s="63"/>
      <c r="CD957" s="63"/>
      <c r="CE957" s="63"/>
      <c r="CF957" s="63"/>
      <c r="CG957" s="63"/>
      <c r="CH957" s="64"/>
      <c r="CJ957" s="63"/>
      <c r="CT957" s="65"/>
      <c r="CU957" s="65"/>
      <c r="CV957" s="65"/>
      <c r="CW957" s="65"/>
      <c r="CX957" s="65"/>
      <c r="CY957" s="65"/>
      <c r="CZ957" s="65"/>
      <c r="DA957" s="65"/>
      <c r="DB957" s="65"/>
      <c r="DC957" s="63"/>
    </row>
    <row r="958" spans="1:107" s="57" customFormat="1" x14ac:dyDescent="0.2">
      <c r="A958" s="55">
        <v>10102</v>
      </c>
      <c r="B958" s="56">
        <v>3</v>
      </c>
      <c r="C958" s="56">
        <f t="shared" ref="C958:C962" si="79">A958*10000+B958</f>
        <v>101020003</v>
      </c>
      <c r="D958" s="57" t="s">
        <v>4546</v>
      </c>
      <c r="E958" s="58" t="s">
        <v>109</v>
      </c>
      <c r="F958" s="58"/>
      <c r="G958" s="58"/>
      <c r="H958" s="58"/>
      <c r="I958" s="59" t="s">
        <v>206</v>
      </c>
      <c r="J958" s="59"/>
      <c r="K958" s="59"/>
      <c r="L958" s="59"/>
      <c r="M958" s="59"/>
      <c r="N958" s="59" t="s">
        <v>163</v>
      </c>
      <c r="O958" s="59" t="s">
        <v>163</v>
      </c>
      <c r="P958" s="59"/>
      <c r="Q958" s="59" t="s">
        <v>2041</v>
      </c>
      <c r="R958" s="59"/>
      <c r="S958" s="59"/>
      <c r="T958" s="59" t="s">
        <v>2307</v>
      </c>
      <c r="U958" s="122" t="s">
        <v>4549</v>
      </c>
      <c r="V958" s="59" t="s">
        <v>109</v>
      </c>
      <c r="W958" s="59" t="s">
        <v>1</v>
      </c>
      <c r="X958" s="59"/>
      <c r="Z958" s="59"/>
      <c r="AA958" s="59"/>
      <c r="AB958" s="59"/>
      <c r="AC958" s="59">
        <v>102</v>
      </c>
      <c r="AD958" s="59"/>
      <c r="AE958" s="60"/>
      <c r="AF958" s="24" t="s">
        <v>2043</v>
      </c>
      <c r="AG958" s="59"/>
      <c r="AH958" s="61">
        <v>101023</v>
      </c>
      <c r="AI958" s="61" t="s">
        <v>264</v>
      </c>
      <c r="AJ958" s="61"/>
      <c r="AK958" s="62" t="s">
        <v>373</v>
      </c>
      <c r="AL958" s="62"/>
      <c r="AM958" s="63"/>
      <c r="AN958" s="63"/>
      <c r="AO958" s="63"/>
      <c r="AP958" s="63"/>
      <c r="AQ958" s="63"/>
      <c r="AR958" s="63"/>
      <c r="AS958" s="63"/>
      <c r="AT958" s="63"/>
      <c r="AU958" s="61"/>
      <c r="AV958" s="61"/>
      <c r="AW958" s="61"/>
      <c r="AX958" s="62"/>
      <c r="AY958" s="62"/>
      <c r="AZ958" s="63"/>
      <c r="BA958" s="63"/>
      <c r="BB958" s="63"/>
      <c r="BC958" s="63"/>
      <c r="BD958" s="63"/>
      <c r="BE958" s="63"/>
      <c r="BF958" s="63"/>
      <c r="BG958" s="63"/>
      <c r="BH958" s="61"/>
      <c r="BI958" s="61"/>
      <c r="BJ958" s="61"/>
      <c r="BK958" s="62"/>
      <c r="BL958" s="62"/>
      <c r="BM958" s="63"/>
      <c r="BN958" s="63"/>
      <c r="BO958" s="63"/>
      <c r="BP958" s="63"/>
      <c r="BQ958" s="63"/>
      <c r="BR958" s="63"/>
      <c r="BS958" s="63"/>
      <c r="BT958" s="63"/>
      <c r="BU958" s="61"/>
      <c r="BV958" s="61"/>
      <c r="BW958" s="61"/>
      <c r="BX958" s="62"/>
      <c r="BY958" s="62"/>
      <c r="BZ958" s="63"/>
      <c r="CA958" s="63"/>
      <c r="CB958" s="63"/>
      <c r="CC958" s="63"/>
      <c r="CD958" s="63"/>
      <c r="CE958" s="63"/>
      <c r="CF958" s="63"/>
      <c r="CG958" s="63"/>
      <c r="CH958" s="64"/>
      <c r="CJ958" s="63"/>
      <c r="CT958" s="65"/>
      <c r="CU958" s="65"/>
      <c r="CV958" s="65"/>
      <c r="CW958" s="65"/>
      <c r="CX958" s="65"/>
      <c r="CY958" s="65"/>
      <c r="CZ958" s="65"/>
      <c r="DA958" s="65"/>
      <c r="DB958" s="65"/>
      <c r="DC958" s="63"/>
    </row>
    <row r="959" spans="1:107" s="57" customFormat="1" ht="12.75" customHeight="1" x14ac:dyDescent="0.2">
      <c r="A959" s="55">
        <v>10102</v>
      </c>
      <c r="B959" s="56">
        <v>4</v>
      </c>
      <c r="C959" s="56">
        <f t="shared" si="79"/>
        <v>101020004</v>
      </c>
      <c r="D959" s="57" t="s">
        <v>4546</v>
      </c>
      <c r="E959" s="58" t="s">
        <v>109</v>
      </c>
      <c r="F959" s="58"/>
      <c r="G959" s="58"/>
      <c r="H959" s="58"/>
      <c r="I959" s="59" t="s">
        <v>206</v>
      </c>
      <c r="J959" s="59"/>
      <c r="K959" s="59"/>
      <c r="L959" s="59"/>
      <c r="M959" s="59"/>
      <c r="N959" s="59" t="s">
        <v>163</v>
      </c>
      <c r="O959" s="59" t="s">
        <v>163</v>
      </c>
      <c r="P959" s="59"/>
      <c r="Q959" s="59" t="s">
        <v>2041</v>
      </c>
      <c r="R959" s="59"/>
      <c r="S959" s="59"/>
      <c r="T959" s="59" t="s">
        <v>2307</v>
      </c>
      <c r="U959" s="122" t="s">
        <v>4550</v>
      </c>
      <c r="V959" s="59" t="s">
        <v>109</v>
      </c>
      <c r="W959" s="59" t="s">
        <v>1</v>
      </c>
      <c r="X959" s="59"/>
      <c r="Z959" s="59"/>
      <c r="AA959" s="59"/>
      <c r="AB959" s="59"/>
      <c r="AC959" s="59">
        <v>102</v>
      </c>
      <c r="AD959" s="59"/>
      <c r="AE959" s="60"/>
      <c r="AF959" s="24" t="s">
        <v>2043</v>
      </c>
      <c r="AG959" s="59"/>
      <c r="AH959" s="61">
        <v>101024</v>
      </c>
      <c r="AI959" s="61" t="s">
        <v>265</v>
      </c>
      <c r="AJ959" s="61"/>
      <c r="AK959" s="62" t="s">
        <v>374</v>
      </c>
      <c r="AL959" s="62"/>
      <c r="AM959" s="63"/>
      <c r="AN959" s="63"/>
      <c r="AO959" s="63"/>
      <c r="AP959" s="63"/>
      <c r="AQ959" s="63"/>
      <c r="AR959" s="63"/>
      <c r="AS959" s="63"/>
      <c r="AT959" s="63"/>
      <c r="AU959" s="61"/>
      <c r="AV959" s="61"/>
      <c r="AW959" s="61"/>
      <c r="AX959" s="62"/>
      <c r="AY959" s="62"/>
      <c r="AZ959" s="63"/>
      <c r="BA959" s="63"/>
      <c r="BB959" s="63"/>
      <c r="BC959" s="63"/>
      <c r="BD959" s="63"/>
      <c r="BE959" s="63"/>
      <c r="BF959" s="63"/>
      <c r="BG959" s="63"/>
      <c r="BH959" s="61"/>
      <c r="BI959" s="61"/>
      <c r="BJ959" s="61"/>
      <c r="BK959" s="62"/>
      <c r="BL959" s="62"/>
      <c r="BM959" s="63"/>
      <c r="BN959" s="63"/>
      <c r="BO959" s="63"/>
      <c r="BP959" s="63"/>
      <c r="BQ959" s="63"/>
      <c r="BR959" s="63"/>
      <c r="BS959" s="63"/>
      <c r="BT959" s="63"/>
      <c r="BU959" s="61"/>
      <c r="BV959" s="61"/>
      <c r="BW959" s="61"/>
      <c r="BX959" s="62"/>
      <c r="BY959" s="62"/>
      <c r="BZ959" s="63"/>
      <c r="CA959" s="63"/>
      <c r="CB959" s="63"/>
      <c r="CC959" s="63"/>
      <c r="CD959" s="63"/>
      <c r="CE959" s="63"/>
      <c r="CF959" s="63"/>
      <c r="CG959" s="63"/>
      <c r="CH959" s="64"/>
      <c r="CJ959" s="63"/>
      <c r="CT959" s="65"/>
      <c r="CU959" s="65"/>
      <c r="CV959" s="65"/>
      <c r="CW959" s="65"/>
      <c r="CX959" s="65"/>
      <c r="CY959" s="65"/>
      <c r="CZ959" s="65"/>
      <c r="DA959" s="65"/>
      <c r="DB959" s="65"/>
      <c r="DC959" s="63"/>
    </row>
    <row r="960" spans="1:107" s="57" customFormat="1" x14ac:dyDescent="0.2">
      <c r="A960" s="55">
        <v>10102</v>
      </c>
      <c r="B960" s="56">
        <v>5</v>
      </c>
      <c r="C960" s="56">
        <f t="shared" si="79"/>
        <v>101020005</v>
      </c>
      <c r="D960" s="57" t="s">
        <v>4546</v>
      </c>
      <c r="E960" s="58" t="s">
        <v>109</v>
      </c>
      <c r="F960" s="58"/>
      <c r="G960" s="58"/>
      <c r="H960" s="58"/>
      <c r="I960" s="59" t="s">
        <v>206</v>
      </c>
      <c r="J960" s="59"/>
      <c r="K960" s="59"/>
      <c r="L960" s="59"/>
      <c r="M960" s="59"/>
      <c r="N960" s="59" t="s">
        <v>163</v>
      </c>
      <c r="O960" s="59" t="s">
        <v>163</v>
      </c>
      <c r="P960" s="59"/>
      <c r="Q960" s="59" t="s">
        <v>2041</v>
      </c>
      <c r="R960" s="59"/>
      <c r="S960" s="59"/>
      <c r="T960" s="59" t="s">
        <v>2307</v>
      </c>
      <c r="U960" s="122" t="s">
        <v>4551</v>
      </c>
      <c r="V960" s="59" t="s">
        <v>109</v>
      </c>
      <c r="W960" s="59" t="s">
        <v>1</v>
      </c>
      <c r="X960" s="59"/>
      <c r="Z960" s="59"/>
      <c r="AA960" s="59"/>
      <c r="AB960" s="59"/>
      <c r="AC960" s="59" t="s">
        <v>4348</v>
      </c>
      <c r="AD960" s="59"/>
      <c r="AE960" s="60"/>
      <c r="AF960" s="24" t="s">
        <v>2043</v>
      </c>
      <c r="AG960" s="59"/>
      <c r="AH960" s="61">
        <v>101025</v>
      </c>
      <c r="AI960" s="61" t="s">
        <v>266</v>
      </c>
      <c r="AJ960" s="61"/>
      <c r="AK960" s="62">
        <v>1960</v>
      </c>
      <c r="AL960" s="62"/>
      <c r="AM960" s="63"/>
      <c r="AN960" s="63"/>
      <c r="AO960" s="63"/>
      <c r="AP960" s="63"/>
      <c r="AQ960" s="63"/>
      <c r="AR960" s="63"/>
      <c r="AS960" s="63"/>
      <c r="AT960" s="63"/>
      <c r="AU960" s="61"/>
      <c r="AV960" s="61"/>
      <c r="AW960" s="61"/>
      <c r="AX960" s="62"/>
      <c r="AY960" s="62"/>
      <c r="AZ960" s="63"/>
      <c r="BA960" s="63"/>
      <c r="BB960" s="63"/>
      <c r="BC960" s="63"/>
      <c r="BD960" s="63"/>
      <c r="BE960" s="63"/>
      <c r="BF960" s="63"/>
      <c r="BG960" s="63"/>
      <c r="BH960" s="61"/>
      <c r="BI960" s="61"/>
      <c r="BJ960" s="61"/>
      <c r="BK960" s="62"/>
      <c r="BL960" s="62"/>
      <c r="BM960" s="63"/>
      <c r="BN960" s="63"/>
      <c r="BO960" s="63"/>
      <c r="BP960" s="63"/>
      <c r="BQ960" s="63"/>
      <c r="BR960" s="63"/>
      <c r="BS960" s="63"/>
      <c r="BT960" s="63"/>
      <c r="BU960" s="61"/>
      <c r="BV960" s="61"/>
      <c r="BW960" s="61"/>
      <c r="BX960" s="62"/>
      <c r="BY960" s="62"/>
      <c r="BZ960" s="63"/>
      <c r="CA960" s="63"/>
      <c r="CB960" s="63"/>
      <c r="CC960" s="63"/>
      <c r="CD960" s="63"/>
      <c r="CE960" s="63"/>
      <c r="CF960" s="63"/>
      <c r="CG960" s="63"/>
      <c r="CH960" s="64"/>
      <c r="CJ960" s="63"/>
      <c r="CT960" s="65"/>
      <c r="CU960" s="65"/>
      <c r="CV960" s="65"/>
      <c r="CW960" s="65"/>
      <c r="CX960" s="65"/>
      <c r="CY960" s="65"/>
      <c r="CZ960" s="65"/>
      <c r="DA960" s="65"/>
      <c r="DB960" s="65"/>
      <c r="DC960" s="63"/>
    </row>
    <row r="961" spans="1:107" s="57" customFormat="1" x14ac:dyDescent="0.2">
      <c r="A961" s="55">
        <v>10111</v>
      </c>
      <c r="B961" s="56">
        <v>1</v>
      </c>
      <c r="C961" s="56">
        <f t="shared" si="79"/>
        <v>101110001</v>
      </c>
      <c r="D961" s="57" t="s">
        <v>4786</v>
      </c>
      <c r="E961" s="58" t="s">
        <v>109</v>
      </c>
      <c r="F961" s="58"/>
      <c r="G961" s="58"/>
      <c r="H961" s="58"/>
      <c r="I961" s="59" t="s">
        <v>206</v>
      </c>
      <c r="J961" s="59"/>
      <c r="K961" s="59"/>
      <c r="L961" s="59"/>
      <c r="M961" s="59"/>
      <c r="N961" s="59" t="s">
        <v>163</v>
      </c>
      <c r="O961" s="59" t="s">
        <v>163</v>
      </c>
      <c r="P961" s="59"/>
      <c r="Q961" s="59" t="s">
        <v>2041</v>
      </c>
      <c r="R961" s="59"/>
      <c r="S961" s="59"/>
      <c r="T961" s="59" t="s">
        <v>2307</v>
      </c>
      <c r="U961" s="122" t="s">
        <v>4778</v>
      </c>
      <c r="V961" s="59" t="s">
        <v>109</v>
      </c>
      <c r="W961" s="59" t="s">
        <v>1</v>
      </c>
      <c r="X961" s="59"/>
      <c r="Z961" s="59"/>
      <c r="AA961" s="59"/>
      <c r="AB961" s="59"/>
      <c r="AC961" s="59" t="s">
        <v>4348</v>
      </c>
      <c r="AD961" s="59"/>
      <c r="AE961" s="60"/>
      <c r="AF961" s="24" t="s">
        <v>2043</v>
      </c>
      <c r="AG961" s="59"/>
      <c r="AH961" s="61"/>
      <c r="AI961" s="61" t="s">
        <v>176</v>
      </c>
      <c r="AJ961" s="61"/>
      <c r="AK961" s="62" t="s">
        <v>136</v>
      </c>
      <c r="AL961" s="62"/>
      <c r="AM961" s="63"/>
      <c r="AN961" s="63"/>
      <c r="AO961" s="63"/>
      <c r="AP961" s="63"/>
      <c r="AQ961" s="63"/>
      <c r="AR961" s="63"/>
      <c r="AS961" s="63"/>
      <c r="AT961" s="63"/>
      <c r="AU961" s="61"/>
      <c r="AV961" s="61"/>
      <c r="AW961" s="61"/>
      <c r="AX961" s="62"/>
      <c r="AY961" s="62"/>
      <c r="AZ961" s="63"/>
      <c r="BA961" s="63"/>
      <c r="BB961" s="63"/>
      <c r="BC961" s="63"/>
      <c r="BD961" s="63"/>
      <c r="BE961" s="63"/>
      <c r="BF961" s="63"/>
      <c r="BG961" s="63"/>
      <c r="BH961" s="61"/>
      <c r="BI961" s="61"/>
      <c r="BJ961" s="61"/>
      <c r="BK961" s="62"/>
      <c r="BL961" s="62"/>
      <c r="BM961" s="63"/>
      <c r="BN961" s="63"/>
      <c r="BO961" s="63"/>
      <c r="BP961" s="63"/>
      <c r="BQ961" s="63"/>
      <c r="BR961" s="63"/>
      <c r="BS961" s="63"/>
      <c r="BT961" s="63"/>
      <c r="BU961" s="61"/>
      <c r="BV961" s="61"/>
      <c r="BW961" s="61"/>
      <c r="BX961" s="62"/>
      <c r="BY961" s="62"/>
      <c r="BZ961" s="63"/>
      <c r="CA961" s="63"/>
      <c r="CB961" s="63"/>
      <c r="CC961" s="63"/>
      <c r="CD961" s="63"/>
      <c r="CE961" s="63"/>
      <c r="CF961" s="63"/>
      <c r="CG961" s="63"/>
      <c r="CH961" s="64"/>
      <c r="CJ961" s="63"/>
      <c r="CT961" s="65"/>
      <c r="CU961" s="65"/>
      <c r="CV961" s="65"/>
      <c r="CW961" s="65"/>
      <c r="CX961" s="65"/>
      <c r="CY961" s="65"/>
      <c r="CZ961" s="65"/>
      <c r="DA961" s="65"/>
      <c r="DB961" s="65"/>
      <c r="DC961" s="63"/>
    </row>
    <row r="962" spans="1:107" s="57" customFormat="1" x14ac:dyDescent="0.2">
      <c r="A962" s="55">
        <v>10111</v>
      </c>
      <c r="B962" s="56">
        <v>2</v>
      </c>
      <c r="C962" s="56">
        <f t="shared" si="79"/>
        <v>101110002</v>
      </c>
      <c r="D962" s="57" t="s">
        <v>4786</v>
      </c>
      <c r="E962" s="58" t="s">
        <v>109</v>
      </c>
      <c r="F962" s="58"/>
      <c r="G962" s="58"/>
      <c r="H962" s="58"/>
      <c r="I962" s="59" t="s">
        <v>206</v>
      </c>
      <c r="J962" s="59"/>
      <c r="K962" s="59"/>
      <c r="L962" s="59"/>
      <c r="M962" s="59"/>
      <c r="N962" s="59" t="s">
        <v>163</v>
      </c>
      <c r="O962" s="59" t="s">
        <v>163</v>
      </c>
      <c r="P962" s="59"/>
      <c r="Q962" s="59" t="s">
        <v>2041</v>
      </c>
      <c r="R962" s="59"/>
      <c r="S962" s="59"/>
      <c r="T962" s="59" t="s">
        <v>2307</v>
      </c>
      <c r="U962" s="122" t="s">
        <v>4779</v>
      </c>
      <c r="V962" s="59" t="s">
        <v>109</v>
      </c>
      <c r="W962" s="59" t="s">
        <v>1</v>
      </c>
      <c r="X962" s="59"/>
      <c r="Z962" s="59"/>
      <c r="AA962" s="59"/>
      <c r="AB962" s="59"/>
      <c r="AC962" s="59" t="s">
        <v>765</v>
      </c>
      <c r="AD962" s="59"/>
      <c r="AE962" s="60"/>
      <c r="AF962" s="24" t="s">
        <v>2043</v>
      </c>
      <c r="AG962" s="59"/>
      <c r="AH962" s="61"/>
      <c r="AI962" s="61" t="s">
        <v>260</v>
      </c>
      <c r="AJ962" s="61"/>
      <c r="AK962" s="62" t="s">
        <v>139</v>
      </c>
      <c r="AL962" s="62"/>
      <c r="AM962" s="63"/>
      <c r="AN962" s="63"/>
      <c r="AO962" s="63"/>
      <c r="AP962" s="63"/>
      <c r="AQ962" s="63"/>
      <c r="AR962" s="63"/>
      <c r="AS962" s="63"/>
      <c r="AT962" s="63"/>
      <c r="AU962" s="61"/>
      <c r="AV962" s="61"/>
      <c r="AW962" s="61"/>
      <c r="AX962" s="62"/>
      <c r="AY962" s="62"/>
      <c r="AZ962" s="63"/>
      <c r="BA962" s="63"/>
      <c r="BB962" s="63"/>
      <c r="BC962" s="63"/>
      <c r="BD962" s="63"/>
      <c r="BE962" s="63"/>
      <c r="BF962" s="63"/>
      <c r="BG962" s="63"/>
      <c r="BH962" s="61"/>
      <c r="BI962" s="61"/>
      <c r="BJ962" s="61"/>
      <c r="BK962" s="62"/>
      <c r="BL962" s="62"/>
      <c r="BM962" s="63"/>
      <c r="BN962" s="63"/>
      <c r="BO962" s="63"/>
      <c r="BP962" s="63"/>
      <c r="BQ962" s="63"/>
      <c r="BR962" s="63"/>
      <c r="BS962" s="63"/>
      <c r="BT962" s="63"/>
      <c r="BU962" s="61"/>
      <c r="BV962" s="61"/>
      <c r="BW962" s="61"/>
      <c r="BX962" s="62"/>
      <c r="BY962" s="62"/>
      <c r="BZ962" s="63"/>
      <c r="CA962" s="63"/>
      <c r="CB962" s="63"/>
      <c r="CC962" s="63"/>
      <c r="CD962" s="63"/>
      <c r="CE962" s="63"/>
      <c r="CF962" s="63"/>
      <c r="CG962" s="63"/>
      <c r="CH962" s="64"/>
      <c r="CJ962" s="63"/>
      <c r="CT962" s="65"/>
      <c r="CU962" s="65"/>
      <c r="CV962" s="65"/>
      <c r="CW962" s="65"/>
      <c r="CX962" s="65"/>
      <c r="CY962" s="65"/>
      <c r="CZ962" s="65"/>
      <c r="DA962" s="65"/>
      <c r="DB962" s="65"/>
      <c r="DC962" s="63"/>
    </row>
    <row r="963" spans="1:107" s="57" customFormat="1" x14ac:dyDescent="0.2">
      <c r="A963" s="55">
        <v>10111</v>
      </c>
      <c r="B963" s="56">
        <v>3</v>
      </c>
      <c r="C963" s="56">
        <f t="shared" ref="C963:C965" si="80">A963*10000+B963</f>
        <v>101110003</v>
      </c>
      <c r="D963" s="57" t="s">
        <v>4786</v>
      </c>
      <c r="E963" s="58" t="s">
        <v>109</v>
      </c>
      <c r="F963" s="58"/>
      <c r="G963" s="58"/>
      <c r="H963" s="58"/>
      <c r="I963" s="59" t="s">
        <v>206</v>
      </c>
      <c r="J963" s="59"/>
      <c r="K963" s="59"/>
      <c r="L963" s="59"/>
      <c r="M963" s="59"/>
      <c r="N963" s="59" t="s">
        <v>163</v>
      </c>
      <c r="O963" s="59" t="s">
        <v>163</v>
      </c>
      <c r="P963" s="59"/>
      <c r="Q963" s="59" t="s">
        <v>2041</v>
      </c>
      <c r="R963" s="59"/>
      <c r="S963" s="59"/>
      <c r="T963" s="59" t="s">
        <v>2307</v>
      </c>
      <c r="U963" s="122" t="s">
        <v>4780</v>
      </c>
      <c r="V963" s="59" t="s">
        <v>109</v>
      </c>
      <c r="W963" s="59" t="s">
        <v>1</v>
      </c>
      <c r="X963" s="59"/>
      <c r="Z963" s="59"/>
      <c r="AA963" s="59"/>
      <c r="AB963" s="59"/>
      <c r="AC963" s="59" t="s">
        <v>765</v>
      </c>
      <c r="AD963" s="59"/>
      <c r="AE963" s="60"/>
      <c r="AF963" s="24" t="s">
        <v>2043</v>
      </c>
      <c r="AG963" s="59"/>
      <c r="AH963" s="61" t="s">
        <v>4783</v>
      </c>
      <c r="AI963" s="61" t="s">
        <v>264</v>
      </c>
      <c r="AJ963" s="61"/>
      <c r="AK963" s="62" t="s">
        <v>373</v>
      </c>
      <c r="AL963" s="62"/>
      <c r="AM963" s="63"/>
      <c r="AN963" s="63"/>
      <c r="AO963" s="63"/>
      <c r="AP963" s="63"/>
      <c r="AQ963" s="63"/>
      <c r="AR963" s="63"/>
      <c r="AS963" s="63"/>
      <c r="AT963" s="63"/>
      <c r="AU963" s="61"/>
      <c r="AV963" s="61"/>
      <c r="AW963" s="61"/>
      <c r="AX963" s="62"/>
      <c r="AY963" s="62"/>
      <c r="AZ963" s="63"/>
      <c r="BA963" s="63"/>
      <c r="BB963" s="63"/>
      <c r="BC963" s="63"/>
      <c r="BD963" s="63"/>
      <c r="BE963" s="63"/>
      <c r="BF963" s="63"/>
      <c r="BG963" s="63"/>
      <c r="BH963" s="61"/>
      <c r="BI963" s="61"/>
      <c r="BJ963" s="61"/>
      <c r="BK963" s="62"/>
      <c r="BL963" s="62"/>
      <c r="BM963" s="63"/>
      <c r="BN963" s="63"/>
      <c r="BO963" s="63"/>
      <c r="BP963" s="63"/>
      <c r="BQ963" s="63"/>
      <c r="BR963" s="63"/>
      <c r="BS963" s="63"/>
      <c r="BT963" s="63"/>
      <c r="BU963" s="61"/>
      <c r="BV963" s="61"/>
      <c r="BW963" s="61"/>
      <c r="BX963" s="62"/>
      <c r="BY963" s="62"/>
      <c r="BZ963" s="63"/>
      <c r="CA963" s="63"/>
      <c r="CB963" s="63"/>
      <c r="CC963" s="63"/>
      <c r="CD963" s="63"/>
      <c r="CE963" s="63"/>
      <c r="CF963" s="63"/>
      <c r="CG963" s="63"/>
      <c r="CH963" s="64"/>
      <c r="CJ963" s="63"/>
      <c r="CT963" s="65"/>
      <c r="CU963" s="65"/>
      <c r="CV963" s="65"/>
      <c r="CW963" s="65"/>
      <c r="CX963" s="65"/>
      <c r="CY963" s="65"/>
      <c r="CZ963" s="65"/>
      <c r="DA963" s="65"/>
      <c r="DB963" s="65"/>
      <c r="DC963" s="63"/>
    </row>
    <row r="964" spans="1:107" s="57" customFormat="1" ht="12.75" customHeight="1" x14ac:dyDescent="0.2">
      <c r="A964" s="55">
        <v>10111</v>
      </c>
      <c r="B964" s="56">
        <v>4</v>
      </c>
      <c r="C964" s="56">
        <f t="shared" si="80"/>
        <v>101110004</v>
      </c>
      <c r="D964" s="57" t="s">
        <v>4786</v>
      </c>
      <c r="E964" s="58" t="s">
        <v>109</v>
      </c>
      <c r="F964" s="58"/>
      <c r="G964" s="58"/>
      <c r="H964" s="58"/>
      <c r="I964" s="59" t="s">
        <v>206</v>
      </c>
      <c r="J964" s="59"/>
      <c r="K964" s="59"/>
      <c r="L964" s="59"/>
      <c r="M964" s="59"/>
      <c r="N964" s="59" t="s">
        <v>163</v>
      </c>
      <c r="O964" s="59" t="s">
        <v>163</v>
      </c>
      <c r="P964" s="59"/>
      <c r="Q964" s="59" t="s">
        <v>2041</v>
      </c>
      <c r="R964" s="59"/>
      <c r="S964" s="59"/>
      <c r="T964" s="59" t="s">
        <v>2307</v>
      </c>
      <c r="U964" s="122" t="s">
        <v>4781</v>
      </c>
      <c r="V964" s="59" t="s">
        <v>109</v>
      </c>
      <c r="W964" s="59" t="s">
        <v>1</v>
      </c>
      <c r="X964" s="59"/>
      <c r="Z964" s="59"/>
      <c r="AA964" s="59"/>
      <c r="AB964" s="59"/>
      <c r="AC964" s="59" t="s">
        <v>765</v>
      </c>
      <c r="AD964" s="59"/>
      <c r="AE964" s="60"/>
      <c r="AF964" s="24" t="s">
        <v>2043</v>
      </c>
      <c r="AG964" s="59"/>
      <c r="AH964" s="61" t="s">
        <v>4784</v>
      </c>
      <c r="AI964" s="61" t="s">
        <v>265</v>
      </c>
      <c r="AJ964" s="61"/>
      <c r="AK964" s="62" t="s">
        <v>374</v>
      </c>
      <c r="AL964" s="62"/>
      <c r="AM964" s="63"/>
      <c r="AN964" s="63"/>
      <c r="AO964" s="63"/>
      <c r="AP964" s="63"/>
      <c r="AQ964" s="63"/>
      <c r="AR964" s="63"/>
      <c r="AS964" s="63"/>
      <c r="AT964" s="63"/>
      <c r="AU964" s="61"/>
      <c r="AV964" s="61"/>
      <c r="AW964" s="61"/>
      <c r="AX964" s="62"/>
      <c r="AY964" s="62"/>
      <c r="AZ964" s="63"/>
      <c r="BA964" s="63"/>
      <c r="BB964" s="63"/>
      <c r="BC964" s="63"/>
      <c r="BD964" s="63"/>
      <c r="BE964" s="63"/>
      <c r="BF964" s="63"/>
      <c r="BG964" s="63"/>
      <c r="BH964" s="61"/>
      <c r="BI964" s="61"/>
      <c r="BJ964" s="61"/>
      <c r="BK964" s="62"/>
      <c r="BL964" s="62"/>
      <c r="BM964" s="63"/>
      <c r="BN964" s="63"/>
      <c r="BO964" s="63"/>
      <c r="BP964" s="63"/>
      <c r="BQ964" s="63"/>
      <c r="BR964" s="63"/>
      <c r="BS964" s="63"/>
      <c r="BT964" s="63"/>
      <c r="BU964" s="61"/>
      <c r="BV964" s="61"/>
      <c r="BW964" s="61"/>
      <c r="BX964" s="62"/>
      <c r="BY964" s="62"/>
      <c r="BZ964" s="63"/>
      <c r="CA964" s="63"/>
      <c r="CB964" s="63"/>
      <c r="CC964" s="63"/>
      <c r="CD964" s="63"/>
      <c r="CE964" s="63"/>
      <c r="CF964" s="63"/>
      <c r="CG964" s="63"/>
      <c r="CH964" s="64"/>
      <c r="CJ964" s="63"/>
      <c r="CT964" s="65"/>
      <c r="CU964" s="65"/>
      <c r="CV964" s="65"/>
      <c r="CW964" s="65"/>
      <c r="CX964" s="65"/>
      <c r="CY964" s="65"/>
      <c r="CZ964" s="65"/>
      <c r="DA964" s="65"/>
      <c r="DB964" s="65"/>
      <c r="DC964" s="63"/>
    </row>
    <row r="965" spans="1:107" s="57" customFormat="1" x14ac:dyDescent="0.2">
      <c r="A965" s="55">
        <v>10111</v>
      </c>
      <c r="B965" s="56">
        <v>5</v>
      </c>
      <c r="C965" s="56">
        <f t="shared" si="80"/>
        <v>101110005</v>
      </c>
      <c r="D965" s="57" t="s">
        <v>4786</v>
      </c>
      <c r="E965" s="58" t="s">
        <v>109</v>
      </c>
      <c r="F965" s="58"/>
      <c r="G965" s="58"/>
      <c r="H965" s="58"/>
      <c r="I965" s="59" t="s">
        <v>206</v>
      </c>
      <c r="J965" s="59"/>
      <c r="K965" s="59"/>
      <c r="L965" s="59"/>
      <c r="M965" s="59"/>
      <c r="N965" s="59" t="s">
        <v>163</v>
      </c>
      <c r="O965" s="59" t="s">
        <v>163</v>
      </c>
      <c r="P965" s="59"/>
      <c r="Q965" s="59" t="s">
        <v>2041</v>
      </c>
      <c r="R965" s="59"/>
      <c r="S965" s="59"/>
      <c r="T965" s="59" t="s">
        <v>2307</v>
      </c>
      <c r="U965" s="122" t="s">
        <v>4782</v>
      </c>
      <c r="V965" s="59" t="s">
        <v>109</v>
      </c>
      <c r="W965" s="59" t="s">
        <v>1</v>
      </c>
      <c r="X965" s="59"/>
      <c r="Z965" s="59"/>
      <c r="AA965" s="59"/>
      <c r="AB965" s="59"/>
      <c r="AC965" s="59" t="s">
        <v>765</v>
      </c>
      <c r="AD965" s="59"/>
      <c r="AE965" s="60"/>
      <c r="AF965" s="24" t="s">
        <v>2043</v>
      </c>
      <c r="AG965" s="59"/>
      <c r="AH965" s="61" t="s">
        <v>4785</v>
      </c>
      <c r="AI965" s="61" t="s">
        <v>266</v>
      </c>
      <c r="AJ965" s="61"/>
      <c r="AK965" s="62">
        <v>1960</v>
      </c>
      <c r="AL965" s="62"/>
      <c r="AM965" s="63"/>
      <c r="AN965" s="63"/>
      <c r="AO965" s="63"/>
      <c r="AP965" s="63"/>
      <c r="AQ965" s="63"/>
      <c r="AR965" s="63"/>
      <c r="AS965" s="63"/>
      <c r="AT965" s="63"/>
      <c r="AU965" s="61"/>
      <c r="AV965" s="61"/>
      <c r="AW965" s="61"/>
      <c r="AX965" s="62"/>
      <c r="AY965" s="62"/>
      <c r="AZ965" s="63"/>
      <c r="BA965" s="63"/>
      <c r="BB965" s="63"/>
      <c r="BC965" s="63"/>
      <c r="BD965" s="63"/>
      <c r="BE965" s="63"/>
      <c r="BF965" s="63"/>
      <c r="BG965" s="63"/>
      <c r="BH965" s="61"/>
      <c r="BI965" s="61"/>
      <c r="BJ965" s="61"/>
      <c r="BK965" s="62"/>
      <c r="BL965" s="62"/>
      <c r="BM965" s="63"/>
      <c r="BN965" s="63"/>
      <c r="BO965" s="63"/>
      <c r="BP965" s="63"/>
      <c r="BQ965" s="63"/>
      <c r="BR965" s="63"/>
      <c r="BS965" s="63"/>
      <c r="BT965" s="63"/>
      <c r="BU965" s="61"/>
      <c r="BV965" s="61"/>
      <c r="BW965" s="61"/>
      <c r="BX965" s="62"/>
      <c r="BY965" s="62"/>
      <c r="BZ965" s="63"/>
      <c r="CA965" s="63"/>
      <c r="CB965" s="63"/>
      <c r="CC965" s="63"/>
      <c r="CD965" s="63"/>
      <c r="CE965" s="63"/>
      <c r="CF965" s="63"/>
      <c r="CG965" s="63"/>
      <c r="CH965" s="64"/>
      <c r="CJ965" s="63"/>
      <c r="CT965" s="65"/>
      <c r="CU965" s="65"/>
      <c r="CV965" s="65"/>
      <c r="CW965" s="65"/>
      <c r="CX965" s="65"/>
      <c r="CY965" s="65"/>
      <c r="CZ965" s="65"/>
      <c r="DA965" s="65"/>
      <c r="DB965" s="65"/>
      <c r="DC965" s="63"/>
    </row>
    <row r="966" spans="1:107" s="14" customFormat="1" ht="17.25" x14ac:dyDescent="0.3">
      <c r="A966" s="8"/>
      <c r="B966" s="8"/>
      <c r="C966" s="8">
        <f t="shared" si="69"/>
        <v>0</v>
      </c>
      <c r="D966" s="8"/>
      <c r="E966" s="9" t="s">
        <v>551</v>
      </c>
      <c r="F966" s="9"/>
      <c r="G966" s="9"/>
      <c r="H966" s="9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1"/>
      <c r="Z966" s="10"/>
      <c r="AA966" s="10"/>
      <c r="AB966" s="10"/>
      <c r="AC966" s="10"/>
      <c r="AD966" s="10"/>
      <c r="AE966" s="12"/>
      <c r="AF966" s="12"/>
      <c r="AG966" s="10"/>
      <c r="AH966" s="13"/>
      <c r="AI966" s="13"/>
      <c r="AJ966" s="13"/>
      <c r="AK966" s="15"/>
      <c r="AL966" s="15"/>
      <c r="AM966" s="15"/>
      <c r="AN966" s="15"/>
      <c r="AO966" s="15"/>
      <c r="AP966" s="15"/>
      <c r="AQ966" s="15"/>
      <c r="AR966" s="15"/>
      <c r="AS966" s="15"/>
      <c r="AT966" s="15"/>
      <c r="AU966" s="13"/>
      <c r="AV966" s="13"/>
      <c r="AW966" s="13"/>
      <c r="AX966" s="31"/>
      <c r="AY966" s="31"/>
      <c r="AZ966" s="15"/>
      <c r="BA966" s="15"/>
      <c r="BB966" s="15"/>
      <c r="BC966" s="15"/>
      <c r="BD966" s="15"/>
      <c r="BE966" s="15"/>
      <c r="BF966" s="15"/>
      <c r="BG966" s="15"/>
      <c r="BH966" s="13"/>
      <c r="BI966" s="13"/>
      <c r="BJ966" s="13"/>
      <c r="BK966" s="31"/>
      <c r="BL966" s="31"/>
      <c r="BM966" s="15"/>
      <c r="BN966" s="15"/>
      <c r="BO966" s="15"/>
      <c r="BP966" s="15"/>
      <c r="BQ966" s="15"/>
      <c r="BR966" s="15"/>
      <c r="BS966" s="15"/>
      <c r="BT966" s="15"/>
      <c r="BU966" s="13"/>
      <c r="BV966" s="13"/>
      <c r="BW966" s="13"/>
      <c r="BX966" s="31"/>
      <c r="BY966" s="31"/>
      <c r="BZ966" s="15"/>
      <c r="CA966" s="15"/>
      <c r="CB966" s="15"/>
      <c r="CC966" s="15"/>
      <c r="CD966" s="15"/>
      <c r="CE966" s="15"/>
      <c r="CF966" s="15"/>
      <c r="CG966" s="15"/>
      <c r="CH966" s="10"/>
      <c r="CI966" s="8"/>
      <c r="CJ966" s="16"/>
      <c r="CK966" s="8"/>
      <c r="CT966" s="17"/>
      <c r="CU966" s="17"/>
      <c r="CV966" s="17"/>
      <c r="CW966" s="17"/>
      <c r="CX966" s="17"/>
      <c r="CY966" s="17"/>
      <c r="CZ966" s="17"/>
      <c r="DA966" s="17"/>
      <c r="DB966" s="17"/>
      <c r="DC966" s="15"/>
    </row>
    <row r="967" spans="1:107" ht="11.25" customHeight="1" x14ac:dyDescent="0.2">
      <c r="A967" s="18">
        <v>10001</v>
      </c>
      <c r="B967" s="19">
        <v>10</v>
      </c>
      <c r="C967" s="19">
        <f t="shared" si="69"/>
        <v>100010010</v>
      </c>
      <c r="D967" s="23" t="s">
        <v>1089</v>
      </c>
      <c r="E967" s="20" t="s">
        <v>1422</v>
      </c>
      <c r="I967" s="22" t="s">
        <v>206</v>
      </c>
      <c r="J967" s="22"/>
      <c r="K967" s="22"/>
      <c r="L967" s="22"/>
      <c r="M967" s="22"/>
      <c r="N967" s="22" t="s">
        <v>163</v>
      </c>
      <c r="O967" s="41" t="s">
        <v>163</v>
      </c>
      <c r="P967" s="41"/>
      <c r="Q967" s="41" t="s">
        <v>2041</v>
      </c>
      <c r="R967" s="41"/>
      <c r="S967" s="41"/>
      <c r="T967" s="41" t="s">
        <v>2714</v>
      </c>
      <c r="U967" s="120" t="s">
        <v>2715</v>
      </c>
      <c r="V967" s="41" t="s">
        <v>109</v>
      </c>
      <c r="W967" s="41" t="s">
        <v>1</v>
      </c>
      <c r="X967" s="41"/>
      <c r="Z967" s="41"/>
      <c r="AA967" s="41"/>
      <c r="AB967" s="42"/>
      <c r="AC967" s="42" t="s">
        <v>181</v>
      </c>
      <c r="AD967" s="42"/>
      <c r="AE967" s="43"/>
      <c r="AF967" s="24" t="s">
        <v>2042</v>
      </c>
      <c r="AG967" s="42"/>
      <c r="AH967" s="27">
        <v>101011</v>
      </c>
      <c r="AI967" s="25" t="s">
        <v>267</v>
      </c>
      <c r="AK967" s="40" t="s">
        <v>635</v>
      </c>
      <c r="AL967" s="40"/>
      <c r="AX967" s="27"/>
      <c r="AY967" s="27"/>
      <c r="BK967" s="27"/>
      <c r="BL967" s="27"/>
      <c r="BX967" s="27"/>
      <c r="BY967" s="27"/>
      <c r="CH967" s="29"/>
    </row>
    <row r="968" spans="1:107" x14ac:dyDescent="0.2">
      <c r="A968" s="18">
        <v>10001</v>
      </c>
      <c r="B968" s="19">
        <v>11</v>
      </c>
      <c r="C968" s="19">
        <f t="shared" si="69"/>
        <v>100010011</v>
      </c>
      <c r="D968" s="23" t="s">
        <v>1090</v>
      </c>
      <c r="E968" s="20" t="s">
        <v>640</v>
      </c>
      <c r="I968" s="22" t="s">
        <v>206</v>
      </c>
      <c r="J968" s="22"/>
      <c r="K968" s="22"/>
      <c r="L968" s="22"/>
      <c r="M968" s="22"/>
      <c r="N968" s="22" t="s">
        <v>163</v>
      </c>
      <c r="O968" s="22" t="s">
        <v>163</v>
      </c>
      <c r="P968" s="22"/>
      <c r="Q968" s="22" t="s">
        <v>2041</v>
      </c>
      <c r="R968" s="22"/>
      <c r="S968" s="22"/>
      <c r="T968" s="22" t="s">
        <v>2714</v>
      </c>
      <c r="U968" s="116" t="s">
        <v>2716</v>
      </c>
      <c r="V968" s="22" t="s">
        <v>109</v>
      </c>
      <c r="W968" s="22" t="s">
        <v>1</v>
      </c>
      <c r="X968" s="22"/>
      <c r="Z968" s="22"/>
      <c r="AA968" s="22"/>
      <c r="AB968" s="22"/>
      <c r="AC968" s="22" t="s">
        <v>181</v>
      </c>
      <c r="AD968" s="22"/>
      <c r="AE968" s="24"/>
      <c r="AF968" s="24" t="s">
        <v>2042</v>
      </c>
      <c r="AG968" s="22"/>
      <c r="AH968" s="27">
        <v>101012</v>
      </c>
      <c r="AI968" s="25" t="s">
        <v>267</v>
      </c>
      <c r="AK968" s="40" t="s">
        <v>636</v>
      </c>
      <c r="AL968" s="40"/>
      <c r="AX968" s="27"/>
      <c r="AY968" s="27"/>
      <c r="BK968" s="27"/>
      <c r="BL968" s="27"/>
      <c r="BX968" s="27"/>
      <c r="BY968" s="27"/>
      <c r="CH968" s="29"/>
    </row>
    <row r="969" spans="1:107" x14ac:dyDescent="0.2">
      <c r="A969" s="18">
        <v>10001</v>
      </c>
      <c r="B969" s="19">
        <v>12</v>
      </c>
      <c r="C969" s="19">
        <f t="shared" si="69"/>
        <v>100010012</v>
      </c>
      <c r="D969" s="23" t="s">
        <v>1091</v>
      </c>
      <c r="E969" s="20" t="s">
        <v>640</v>
      </c>
      <c r="I969" s="22" t="s">
        <v>206</v>
      </c>
      <c r="J969" s="22"/>
      <c r="K969" s="22"/>
      <c r="L969" s="22"/>
      <c r="M969" s="22"/>
      <c r="N969" s="22" t="s">
        <v>163</v>
      </c>
      <c r="O969" s="22" t="s">
        <v>163</v>
      </c>
      <c r="P969" s="22"/>
      <c r="Q969" s="22" t="s">
        <v>2041</v>
      </c>
      <c r="R969" s="22"/>
      <c r="S969" s="22"/>
      <c r="T969" s="22" t="s">
        <v>2714</v>
      </c>
      <c r="U969" s="116" t="s">
        <v>2717</v>
      </c>
      <c r="V969" s="22" t="s">
        <v>109</v>
      </c>
      <c r="W969" s="22" t="s">
        <v>1</v>
      </c>
      <c r="X969" s="22"/>
      <c r="Z969" s="22"/>
      <c r="AA969" s="22"/>
      <c r="AB969" s="22"/>
      <c r="AC969" s="22" t="s">
        <v>181</v>
      </c>
      <c r="AD969" s="22"/>
      <c r="AE969" s="24"/>
      <c r="AF969" s="24" t="s">
        <v>2042</v>
      </c>
      <c r="AG969" s="22"/>
      <c r="AH969" s="27">
        <v>101013</v>
      </c>
      <c r="AI969" s="25" t="s">
        <v>267</v>
      </c>
      <c r="AK969" s="40" t="s">
        <v>637</v>
      </c>
      <c r="AL969" s="40"/>
      <c r="AX969" s="27"/>
      <c r="AY969" s="27"/>
      <c r="BK969" s="27"/>
      <c r="BL969" s="27"/>
      <c r="BX969" s="27"/>
      <c r="BY969" s="27"/>
      <c r="CH969" s="29"/>
    </row>
    <row r="970" spans="1:107" x14ac:dyDescent="0.2">
      <c r="A970" s="18">
        <v>10001</v>
      </c>
      <c r="B970" s="19">
        <v>13</v>
      </c>
      <c r="C970" s="19">
        <f t="shared" si="69"/>
        <v>100010013</v>
      </c>
      <c r="D970" s="23" t="s">
        <v>1092</v>
      </c>
      <c r="E970" s="20" t="s">
        <v>640</v>
      </c>
      <c r="I970" s="22" t="s">
        <v>206</v>
      </c>
      <c r="J970" s="22"/>
      <c r="K970" s="22"/>
      <c r="L970" s="22"/>
      <c r="M970" s="22"/>
      <c r="N970" s="22" t="s">
        <v>163</v>
      </c>
      <c r="O970" s="22" t="s">
        <v>163</v>
      </c>
      <c r="P970" s="22"/>
      <c r="Q970" s="22" t="s">
        <v>2041</v>
      </c>
      <c r="R970" s="22"/>
      <c r="S970" s="22"/>
      <c r="T970" s="22" t="s">
        <v>2714</v>
      </c>
      <c r="U970" s="116" t="s">
        <v>2718</v>
      </c>
      <c r="V970" s="22" t="s">
        <v>109</v>
      </c>
      <c r="W970" s="22" t="s">
        <v>1</v>
      </c>
      <c r="X970" s="22"/>
      <c r="Z970" s="22"/>
      <c r="AA970" s="22"/>
      <c r="AB970" s="22"/>
      <c r="AC970" s="22" t="s">
        <v>181</v>
      </c>
      <c r="AD970" s="22"/>
      <c r="AE970" s="24"/>
      <c r="AF970" s="24" t="s">
        <v>2042</v>
      </c>
      <c r="AG970" s="22"/>
      <c r="AH970" s="27">
        <v>101014</v>
      </c>
      <c r="AI970" s="25" t="s">
        <v>267</v>
      </c>
      <c r="AK970" s="40" t="s">
        <v>638</v>
      </c>
      <c r="AL970" s="40"/>
      <c r="AX970" s="27"/>
      <c r="AY970" s="27"/>
      <c r="BK970" s="27"/>
      <c r="BL970" s="27"/>
      <c r="BX970" s="27"/>
      <c r="BY970" s="27"/>
      <c r="CH970" s="29"/>
    </row>
    <row r="971" spans="1:107" x14ac:dyDescent="0.2">
      <c r="A971" s="18">
        <v>10001</v>
      </c>
      <c r="B971" s="19">
        <v>14</v>
      </c>
      <c r="C971" s="19">
        <f t="shared" si="69"/>
        <v>100010014</v>
      </c>
      <c r="D971" s="23" t="s">
        <v>1093</v>
      </c>
      <c r="E971" s="20" t="s">
        <v>640</v>
      </c>
      <c r="I971" s="22" t="s">
        <v>206</v>
      </c>
      <c r="J971" s="22"/>
      <c r="K971" s="22"/>
      <c r="L971" s="22"/>
      <c r="M971" s="22"/>
      <c r="N971" s="22" t="s">
        <v>163</v>
      </c>
      <c r="O971" s="22" t="s">
        <v>163</v>
      </c>
      <c r="P971" s="22"/>
      <c r="Q971" s="22" t="s">
        <v>2041</v>
      </c>
      <c r="R971" s="22"/>
      <c r="S971" s="22"/>
      <c r="T971" s="22" t="s">
        <v>2714</v>
      </c>
      <c r="U971" s="116" t="s">
        <v>2719</v>
      </c>
      <c r="V971" s="22" t="s">
        <v>109</v>
      </c>
      <c r="W971" s="22" t="s">
        <v>1</v>
      </c>
      <c r="X971" s="22"/>
      <c r="Z971" s="22"/>
      <c r="AA971" s="22"/>
      <c r="AB971" s="22"/>
      <c r="AC971" s="22" t="s">
        <v>181</v>
      </c>
      <c r="AD971" s="22"/>
      <c r="AE971" s="24"/>
      <c r="AF971" s="24" t="s">
        <v>2042</v>
      </c>
      <c r="AG971" s="22"/>
      <c r="AH971" s="27">
        <v>101015</v>
      </c>
      <c r="AI971" s="25" t="s">
        <v>267</v>
      </c>
      <c r="AK971" s="40" t="s">
        <v>639</v>
      </c>
      <c r="AL971" s="40"/>
      <c r="AX971" s="27"/>
      <c r="AY971" s="27"/>
      <c r="BK971" s="27"/>
      <c r="BL971" s="27"/>
      <c r="BX971" s="27"/>
      <c r="BY971" s="27"/>
      <c r="CH971" s="29"/>
    </row>
    <row r="972" spans="1:107" x14ac:dyDescent="0.2">
      <c r="A972" s="18">
        <v>10002</v>
      </c>
      <c r="B972" s="19">
        <v>10</v>
      </c>
      <c r="C972" s="19">
        <f t="shared" si="69"/>
        <v>100020010</v>
      </c>
      <c r="D972" s="23" t="s">
        <v>1094</v>
      </c>
      <c r="E972" s="20" t="s">
        <v>640</v>
      </c>
      <c r="I972" s="22" t="s">
        <v>206</v>
      </c>
      <c r="J972" s="22"/>
      <c r="K972" s="22"/>
      <c r="L972" s="22"/>
      <c r="M972" s="22"/>
      <c r="N972" s="22" t="s">
        <v>163</v>
      </c>
      <c r="O972" s="22" t="s">
        <v>163</v>
      </c>
      <c r="P972" s="22"/>
      <c r="Q972" s="22" t="s">
        <v>2041</v>
      </c>
      <c r="R972" s="22"/>
      <c r="S972" s="22"/>
      <c r="T972" s="22" t="s">
        <v>2714</v>
      </c>
      <c r="U972" s="116" t="s">
        <v>2720</v>
      </c>
      <c r="V972" s="22" t="s">
        <v>109</v>
      </c>
      <c r="W972" s="22" t="s">
        <v>1</v>
      </c>
      <c r="X972" s="22"/>
      <c r="Z972" s="22"/>
      <c r="AA972" s="22"/>
      <c r="AB972" s="22"/>
      <c r="AC972" s="22" t="s">
        <v>156</v>
      </c>
      <c r="AD972" s="22"/>
      <c r="AE972" s="24"/>
      <c r="AF972" s="24" t="s">
        <v>2042</v>
      </c>
      <c r="AG972" s="22"/>
      <c r="AH972" s="25">
        <v>101021</v>
      </c>
      <c r="AI972" s="25" t="s">
        <v>267</v>
      </c>
      <c r="AK972" s="40" t="s">
        <v>635</v>
      </c>
      <c r="AL972" s="40"/>
      <c r="AX972" s="27"/>
      <c r="AY972" s="27"/>
      <c r="BK972" s="27"/>
      <c r="BL972" s="27"/>
      <c r="BX972" s="27"/>
      <c r="BY972" s="27"/>
      <c r="CH972" s="29"/>
    </row>
    <row r="973" spans="1:107" x14ac:dyDescent="0.2">
      <c r="A973" s="18">
        <v>10002</v>
      </c>
      <c r="B973" s="19">
        <v>11</v>
      </c>
      <c r="C973" s="19">
        <f t="shared" si="69"/>
        <v>100020011</v>
      </c>
      <c r="D973" s="23" t="s">
        <v>1095</v>
      </c>
      <c r="E973" s="20" t="s">
        <v>640</v>
      </c>
      <c r="I973" s="22" t="s">
        <v>206</v>
      </c>
      <c r="J973" s="22"/>
      <c r="K973" s="22"/>
      <c r="L973" s="22"/>
      <c r="M973" s="22"/>
      <c r="N973" s="22" t="s">
        <v>163</v>
      </c>
      <c r="O973" s="22" t="s">
        <v>163</v>
      </c>
      <c r="P973" s="22"/>
      <c r="Q973" s="22" t="s">
        <v>2041</v>
      </c>
      <c r="R973" s="22"/>
      <c r="S973" s="22"/>
      <c r="T973" s="22" t="s">
        <v>2714</v>
      </c>
      <c r="U973" s="116" t="s">
        <v>2721</v>
      </c>
      <c r="V973" s="22" t="s">
        <v>109</v>
      </c>
      <c r="W973" s="22" t="s">
        <v>1</v>
      </c>
      <c r="X973" s="22"/>
      <c r="Z973" s="22"/>
      <c r="AA973" s="22"/>
      <c r="AB973" s="22"/>
      <c r="AC973" s="22" t="s">
        <v>156</v>
      </c>
      <c r="AD973" s="22"/>
      <c r="AE973" s="24"/>
      <c r="AF973" s="24" t="s">
        <v>2042</v>
      </c>
      <c r="AG973" s="22"/>
      <c r="AH973" s="25">
        <v>101022</v>
      </c>
      <c r="AI973" s="25" t="s">
        <v>267</v>
      </c>
      <c r="AK973" s="40" t="s">
        <v>636</v>
      </c>
      <c r="AL973" s="40"/>
      <c r="AX973" s="27"/>
      <c r="AY973" s="27"/>
      <c r="BK973" s="27"/>
      <c r="BL973" s="27"/>
      <c r="BX973" s="27"/>
      <c r="BY973" s="27"/>
      <c r="CH973" s="29"/>
    </row>
    <row r="974" spans="1:107" x14ac:dyDescent="0.2">
      <c r="A974" s="18">
        <v>10002</v>
      </c>
      <c r="B974" s="19">
        <v>12</v>
      </c>
      <c r="C974" s="19">
        <f t="shared" si="69"/>
        <v>100020012</v>
      </c>
      <c r="D974" s="23" t="s">
        <v>1096</v>
      </c>
      <c r="E974" s="20" t="s">
        <v>640</v>
      </c>
      <c r="I974" s="22" t="s">
        <v>206</v>
      </c>
      <c r="J974" s="22"/>
      <c r="K974" s="22"/>
      <c r="L974" s="22"/>
      <c r="M974" s="22"/>
      <c r="N974" s="22" t="s">
        <v>163</v>
      </c>
      <c r="O974" s="22" t="s">
        <v>163</v>
      </c>
      <c r="P974" s="22"/>
      <c r="Q974" s="22" t="s">
        <v>2041</v>
      </c>
      <c r="R974" s="22"/>
      <c r="S974" s="22"/>
      <c r="T974" s="22" t="s">
        <v>2714</v>
      </c>
      <c r="U974" s="116" t="s">
        <v>2722</v>
      </c>
      <c r="V974" s="22" t="s">
        <v>109</v>
      </c>
      <c r="W974" s="22" t="s">
        <v>1</v>
      </c>
      <c r="X974" s="22"/>
      <c r="Z974" s="22"/>
      <c r="AA974" s="22"/>
      <c r="AB974" s="22"/>
      <c r="AC974" s="22" t="s">
        <v>156</v>
      </c>
      <c r="AD974" s="22"/>
      <c r="AE974" s="24"/>
      <c r="AF974" s="24" t="s">
        <v>2042</v>
      </c>
      <c r="AG974" s="22"/>
      <c r="AH974" s="25">
        <v>101023</v>
      </c>
      <c r="AI974" s="25" t="s">
        <v>267</v>
      </c>
      <c r="AK974" s="40" t="s">
        <v>637</v>
      </c>
      <c r="AL974" s="40"/>
      <c r="AX974" s="27"/>
      <c r="AY974" s="27"/>
      <c r="BK974" s="27"/>
      <c r="BL974" s="27"/>
      <c r="BX974" s="27"/>
      <c r="BY974" s="27"/>
      <c r="CH974" s="29"/>
    </row>
    <row r="975" spans="1:107" x14ac:dyDescent="0.2">
      <c r="A975" s="18">
        <v>10002</v>
      </c>
      <c r="B975" s="19">
        <v>13</v>
      </c>
      <c r="C975" s="19">
        <f t="shared" si="69"/>
        <v>100020013</v>
      </c>
      <c r="D975" s="23" t="s">
        <v>1097</v>
      </c>
      <c r="E975" s="20" t="s">
        <v>640</v>
      </c>
      <c r="I975" s="22" t="s">
        <v>206</v>
      </c>
      <c r="J975" s="22"/>
      <c r="K975" s="22"/>
      <c r="L975" s="22"/>
      <c r="M975" s="22"/>
      <c r="N975" s="22" t="s">
        <v>163</v>
      </c>
      <c r="O975" s="22" t="s">
        <v>163</v>
      </c>
      <c r="P975" s="22"/>
      <c r="Q975" s="22" t="s">
        <v>2041</v>
      </c>
      <c r="R975" s="22"/>
      <c r="S975" s="22"/>
      <c r="T975" s="22" t="s">
        <v>2714</v>
      </c>
      <c r="U975" s="116" t="s">
        <v>2723</v>
      </c>
      <c r="V975" s="22" t="s">
        <v>109</v>
      </c>
      <c r="W975" s="22" t="s">
        <v>1</v>
      </c>
      <c r="X975" s="22"/>
      <c r="Z975" s="22"/>
      <c r="AA975" s="22"/>
      <c r="AB975" s="22"/>
      <c r="AC975" s="22" t="s">
        <v>156</v>
      </c>
      <c r="AD975" s="22"/>
      <c r="AE975" s="24"/>
      <c r="AF975" s="24" t="s">
        <v>2042</v>
      </c>
      <c r="AG975" s="22"/>
      <c r="AH975" s="25">
        <v>101024</v>
      </c>
      <c r="AI975" s="25" t="s">
        <v>267</v>
      </c>
      <c r="AK975" s="40" t="s">
        <v>638</v>
      </c>
      <c r="AL975" s="40"/>
      <c r="AX975" s="27"/>
      <c r="AY975" s="27"/>
      <c r="BK975" s="27"/>
      <c r="BL975" s="27"/>
      <c r="BX975" s="27"/>
      <c r="BY975" s="27"/>
      <c r="CH975" s="29"/>
    </row>
    <row r="976" spans="1:107" x14ac:dyDescent="0.2">
      <c r="A976" s="18">
        <v>10002</v>
      </c>
      <c r="B976" s="19">
        <v>14</v>
      </c>
      <c r="C976" s="19">
        <f t="shared" si="69"/>
        <v>100020014</v>
      </c>
      <c r="D976" s="23" t="s">
        <v>1098</v>
      </c>
      <c r="E976" s="20" t="s">
        <v>640</v>
      </c>
      <c r="I976" s="22" t="s">
        <v>206</v>
      </c>
      <c r="J976" s="22"/>
      <c r="K976" s="22"/>
      <c r="L976" s="22"/>
      <c r="M976" s="22"/>
      <c r="N976" s="22" t="s">
        <v>163</v>
      </c>
      <c r="O976" s="22" t="s">
        <v>163</v>
      </c>
      <c r="P976" s="22"/>
      <c r="Q976" s="22" t="s">
        <v>2041</v>
      </c>
      <c r="R976" s="22"/>
      <c r="S976" s="22"/>
      <c r="T976" s="22" t="s">
        <v>2714</v>
      </c>
      <c r="U976" s="116" t="s">
        <v>2724</v>
      </c>
      <c r="V976" s="22" t="s">
        <v>109</v>
      </c>
      <c r="W976" s="22" t="s">
        <v>1</v>
      </c>
      <c r="X976" s="22"/>
      <c r="Z976" s="22"/>
      <c r="AA976" s="22"/>
      <c r="AB976" s="22"/>
      <c r="AC976" s="22" t="s">
        <v>156</v>
      </c>
      <c r="AD976" s="22"/>
      <c r="AE976" s="24"/>
      <c r="AF976" s="24" t="s">
        <v>2042</v>
      </c>
      <c r="AG976" s="22"/>
      <c r="AH976" s="25">
        <v>101025</v>
      </c>
      <c r="AI976" s="25" t="s">
        <v>267</v>
      </c>
      <c r="AK976" s="40" t="s">
        <v>639</v>
      </c>
      <c r="AL976" s="40"/>
      <c r="AX976" s="27"/>
      <c r="AY976" s="27"/>
      <c r="BK976" s="27"/>
      <c r="BL976" s="27"/>
      <c r="BX976" s="27"/>
      <c r="BY976" s="27"/>
      <c r="CH976" s="29"/>
    </row>
    <row r="977" spans="1:86" x14ac:dyDescent="0.2">
      <c r="A977" s="18">
        <v>10003</v>
      </c>
      <c r="B977" s="19">
        <v>10</v>
      </c>
      <c r="C977" s="19">
        <f t="shared" si="69"/>
        <v>100030010</v>
      </c>
      <c r="D977" s="23" t="s">
        <v>283</v>
      </c>
      <c r="E977" s="20" t="s">
        <v>640</v>
      </c>
      <c r="I977" s="22" t="s">
        <v>206</v>
      </c>
      <c r="J977" s="22"/>
      <c r="K977" s="22"/>
      <c r="L977" s="22"/>
      <c r="M977" s="22"/>
      <c r="N977" s="22" t="s">
        <v>163</v>
      </c>
      <c r="O977" s="22" t="s">
        <v>163</v>
      </c>
      <c r="P977" s="22"/>
      <c r="Q977" s="22" t="s">
        <v>2041</v>
      </c>
      <c r="R977" s="22"/>
      <c r="S977" s="22"/>
      <c r="T977" s="22" t="s">
        <v>2714</v>
      </c>
      <c r="U977" s="116" t="s">
        <v>2725</v>
      </c>
      <c r="V977" s="22" t="s">
        <v>109</v>
      </c>
      <c r="W977" s="22" t="s">
        <v>1</v>
      </c>
      <c r="X977" s="22"/>
      <c r="Z977" s="22"/>
      <c r="AA977" s="22"/>
      <c r="AB977" s="22"/>
      <c r="AC977" s="22" t="s">
        <v>122</v>
      </c>
      <c r="AD977" s="22"/>
      <c r="AE977" s="24"/>
      <c r="AF977" s="24" t="s">
        <v>2042</v>
      </c>
      <c r="AG977" s="22"/>
      <c r="AH977" s="25">
        <v>101031</v>
      </c>
      <c r="AI977" s="25" t="s">
        <v>267</v>
      </c>
      <c r="AK977" s="40" t="s">
        <v>635</v>
      </c>
      <c r="AL977" s="40"/>
      <c r="AX977" s="27"/>
      <c r="AY977" s="27"/>
      <c r="BK977" s="27"/>
      <c r="BL977" s="27"/>
      <c r="BX977" s="27"/>
      <c r="BY977" s="27"/>
      <c r="CH977" s="29"/>
    </row>
    <row r="978" spans="1:86" x14ac:dyDescent="0.2">
      <c r="A978" s="18">
        <v>10003</v>
      </c>
      <c r="B978" s="19">
        <v>11</v>
      </c>
      <c r="C978" s="19">
        <f t="shared" si="69"/>
        <v>100030011</v>
      </c>
      <c r="D978" s="23" t="s">
        <v>283</v>
      </c>
      <c r="E978" s="20" t="s">
        <v>640</v>
      </c>
      <c r="I978" s="22" t="s">
        <v>206</v>
      </c>
      <c r="J978" s="22"/>
      <c r="K978" s="22"/>
      <c r="L978" s="22"/>
      <c r="M978" s="22"/>
      <c r="N978" s="22" t="s">
        <v>163</v>
      </c>
      <c r="O978" s="22" t="s">
        <v>163</v>
      </c>
      <c r="P978" s="22"/>
      <c r="Q978" s="22" t="s">
        <v>2041</v>
      </c>
      <c r="R978" s="22"/>
      <c r="S978" s="22"/>
      <c r="T978" s="22" t="s">
        <v>2714</v>
      </c>
      <c r="U978" s="116" t="s">
        <v>2726</v>
      </c>
      <c r="V978" s="22" t="s">
        <v>109</v>
      </c>
      <c r="W978" s="22" t="s">
        <v>1</v>
      </c>
      <c r="X978" s="22"/>
      <c r="Z978" s="22"/>
      <c r="AA978" s="22"/>
      <c r="AB978" s="22"/>
      <c r="AC978" s="22" t="s">
        <v>122</v>
      </c>
      <c r="AD978" s="22"/>
      <c r="AE978" s="24"/>
      <c r="AF978" s="24" t="s">
        <v>2042</v>
      </c>
      <c r="AG978" s="22"/>
      <c r="AH978" s="25">
        <v>101032</v>
      </c>
      <c r="AI978" s="25" t="s">
        <v>267</v>
      </c>
      <c r="AK978" s="40" t="s">
        <v>636</v>
      </c>
      <c r="AL978" s="40"/>
      <c r="AX978" s="27"/>
      <c r="AY978" s="27"/>
      <c r="BK978" s="27"/>
      <c r="BL978" s="27"/>
      <c r="BX978" s="27"/>
      <c r="BY978" s="27"/>
      <c r="CH978" s="29"/>
    </row>
    <row r="979" spans="1:86" x14ac:dyDescent="0.2">
      <c r="A979" s="18">
        <v>10003</v>
      </c>
      <c r="B979" s="19">
        <v>12</v>
      </c>
      <c r="C979" s="19">
        <f t="shared" si="69"/>
        <v>100030012</v>
      </c>
      <c r="D979" s="23" t="s">
        <v>283</v>
      </c>
      <c r="E979" s="20" t="s">
        <v>640</v>
      </c>
      <c r="I979" s="22" t="s">
        <v>206</v>
      </c>
      <c r="J979" s="22"/>
      <c r="K979" s="22"/>
      <c r="L979" s="22"/>
      <c r="M979" s="22"/>
      <c r="N979" s="22" t="s">
        <v>163</v>
      </c>
      <c r="O979" s="22" t="s">
        <v>163</v>
      </c>
      <c r="P979" s="22"/>
      <c r="Q979" s="22" t="s">
        <v>2041</v>
      </c>
      <c r="R979" s="22"/>
      <c r="S979" s="22"/>
      <c r="T979" s="22" t="s">
        <v>2714</v>
      </c>
      <c r="U979" s="116" t="s">
        <v>2727</v>
      </c>
      <c r="V979" s="22" t="s">
        <v>109</v>
      </c>
      <c r="W979" s="22" t="s">
        <v>1</v>
      </c>
      <c r="X979" s="22"/>
      <c r="Z979" s="22"/>
      <c r="AA979" s="22"/>
      <c r="AB979" s="22"/>
      <c r="AC979" s="22" t="s">
        <v>122</v>
      </c>
      <c r="AD979" s="22"/>
      <c r="AE979" s="24"/>
      <c r="AF979" s="24" t="s">
        <v>2042</v>
      </c>
      <c r="AG979" s="22"/>
      <c r="AH979" s="25">
        <v>101033</v>
      </c>
      <c r="AI979" s="25" t="s">
        <v>267</v>
      </c>
      <c r="AK979" s="40" t="s">
        <v>637</v>
      </c>
      <c r="AL979" s="40"/>
      <c r="AX979" s="27"/>
      <c r="AY979" s="27"/>
      <c r="BK979" s="27"/>
      <c r="BL979" s="27"/>
      <c r="BX979" s="27"/>
      <c r="BY979" s="27"/>
      <c r="CH979" s="29"/>
    </row>
    <row r="980" spans="1:86" x14ac:dyDescent="0.2">
      <c r="A980" s="18">
        <v>10003</v>
      </c>
      <c r="B980" s="19">
        <v>13</v>
      </c>
      <c r="C980" s="19">
        <f t="shared" si="69"/>
        <v>100030013</v>
      </c>
      <c r="D980" s="23" t="s">
        <v>283</v>
      </c>
      <c r="E980" s="20" t="s">
        <v>640</v>
      </c>
      <c r="I980" s="22" t="s">
        <v>206</v>
      </c>
      <c r="J980" s="22"/>
      <c r="K980" s="22"/>
      <c r="L980" s="22"/>
      <c r="M980" s="22"/>
      <c r="N980" s="22" t="s">
        <v>163</v>
      </c>
      <c r="O980" s="22" t="s">
        <v>163</v>
      </c>
      <c r="P980" s="22"/>
      <c r="Q980" s="22" t="s">
        <v>2041</v>
      </c>
      <c r="R980" s="22"/>
      <c r="S980" s="22"/>
      <c r="T980" s="22" t="s">
        <v>2714</v>
      </c>
      <c r="U980" s="116" t="s">
        <v>2728</v>
      </c>
      <c r="V980" s="22" t="s">
        <v>109</v>
      </c>
      <c r="W980" s="22" t="s">
        <v>1</v>
      </c>
      <c r="X980" s="22"/>
      <c r="Z980" s="22"/>
      <c r="AA980" s="22"/>
      <c r="AB980" s="22"/>
      <c r="AC980" s="22" t="s">
        <v>122</v>
      </c>
      <c r="AD980" s="22"/>
      <c r="AE980" s="24"/>
      <c r="AF980" s="24" t="s">
        <v>2042</v>
      </c>
      <c r="AG980" s="22"/>
      <c r="AH980" s="25">
        <v>101034</v>
      </c>
      <c r="AI980" s="25" t="s">
        <v>267</v>
      </c>
      <c r="AK980" s="40" t="s">
        <v>638</v>
      </c>
      <c r="AL980" s="40"/>
      <c r="AX980" s="27"/>
      <c r="AY980" s="27"/>
      <c r="BK980" s="27"/>
      <c r="BL980" s="27"/>
      <c r="BX980" s="27"/>
      <c r="BY980" s="27"/>
      <c r="CH980" s="29"/>
    </row>
    <row r="981" spans="1:86" x14ac:dyDescent="0.2">
      <c r="A981" s="18">
        <v>10003</v>
      </c>
      <c r="B981" s="19">
        <v>14</v>
      </c>
      <c r="C981" s="19">
        <f t="shared" si="69"/>
        <v>100030014</v>
      </c>
      <c r="D981" s="23" t="s">
        <v>283</v>
      </c>
      <c r="E981" s="20" t="s">
        <v>640</v>
      </c>
      <c r="I981" s="22" t="s">
        <v>206</v>
      </c>
      <c r="J981" s="22"/>
      <c r="K981" s="22"/>
      <c r="L981" s="22"/>
      <c r="M981" s="22"/>
      <c r="N981" s="22" t="s">
        <v>163</v>
      </c>
      <c r="O981" s="22" t="s">
        <v>163</v>
      </c>
      <c r="P981" s="22"/>
      <c r="Q981" s="22" t="s">
        <v>2041</v>
      </c>
      <c r="R981" s="22"/>
      <c r="S981" s="22"/>
      <c r="T981" s="22" t="s">
        <v>2714</v>
      </c>
      <c r="U981" s="116" t="s">
        <v>2729</v>
      </c>
      <c r="V981" s="22" t="s">
        <v>109</v>
      </c>
      <c r="W981" s="22" t="s">
        <v>1</v>
      </c>
      <c r="X981" s="22"/>
      <c r="Z981" s="22"/>
      <c r="AA981" s="22"/>
      <c r="AB981" s="22"/>
      <c r="AC981" s="22" t="s">
        <v>122</v>
      </c>
      <c r="AD981" s="22"/>
      <c r="AE981" s="24"/>
      <c r="AF981" s="24" t="s">
        <v>2042</v>
      </c>
      <c r="AG981" s="22"/>
      <c r="AH981" s="25">
        <v>101035</v>
      </c>
      <c r="AI981" s="25" t="s">
        <v>267</v>
      </c>
      <c r="AK981" s="40" t="s">
        <v>639</v>
      </c>
      <c r="AL981" s="40"/>
      <c r="AX981" s="27"/>
      <c r="AY981" s="27"/>
      <c r="BK981" s="27"/>
      <c r="BL981" s="27"/>
      <c r="BX981" s="27"/>
      <c r="BY981" s="27"/>
      <c r="CH981" s="29"/>
    </row>
    <row r="982" spans="1:86" x14ac:dyDescent="0.2">
      <c r="A982" s="18">
        <v>10004</v>
      </c>
      <c r="B982" s="19">
        <v>10</v>
      </c>
      <c r="C982" s="19">
        <f t="shared" si="69"/>
        <v>100040010</v>
      </c>
      <c r="D982" s="23" t="s">
        <v>284</v>
      </c>
      <c r="E982" s="20" t="s">
        <v>640</v>
      </c>
      <c r="I982" s="22" t="s">
        <v>206</v>
      </c>
      <c r="J982" s="22"/>
      <c r="K982" s="22"/>
      <c r="L982" s="22"/>
      <c r="M982" s="22"/>
      <c r="N982" s="22" t="s">
        <v>163</v>
      </c>
      <c r="O982" s="22" t="s">
        <v>163</v>
      </c>
      <c r="P982" s="22"/>
      <c r="Q982" s="22" t="s">
        <v>2041</v>
      </c>
      <c r="R982" s="22"/>
      <c r="S982" s="22"/>
      <c r="T982" s="22" t="s">
        <v>2714</v>
      </c>
      <c r="U982" s="116" t="s">
        <v>2730</v>
      </c>
      <c r="V982" s="22" t="s">
        <v>109</v>
      </c>
      <c r="W982" s="22" t="s">
        <v>1</v>
      </c>
      <c r="X982" s="22"/>
      <c r="Z982" s="22"/>
      <c r="AA982" s="22"/>
      <c r="AB982" s="22"/>
      <c r="AC982" s="22" t="s">
        <v>168</v>
      </c>
      <c r="AD982" s="22"/>
      <c r="AE982" s="24"/>
      <c r="AF982" s="24" t="s">
        <v>2042</v>
      </c>
      <c r="AG982" s="22"/>
      <c r="AH982" s="25">
        <v>101041</v>
      </c>
      <c r="AI982" s="25" t="s">
        <v>267</v>
      </c>
      <c r="AK982" s="40" t="s">
        <v>635</v>
      </c>
      <c r="AL982" s="40"/>
      <c r="AX982" s="27"/>
      <c r="AY982" s="27"/>
      <c r="BK982" s="27"/>
      <c r="BL982" s="27"/>
      <c r="BX982" s="27"/>
      <c r="BY982" s="27"/>
      <c r="CH982" s="29"/>
    </row>
    <row r="983" spans="1:86" x14ac:dyDescent="0.2">
      <c r="A983" s="18">
        <v>10004</v>
      </c>
      <c r="B983" s="19">
        <v>11</v>
      </c>
      <c r="C983" s="19">
        <f t="shared" si="69"/>
        <v>100040011</v>
      </c>
      <c r="D983" s="23" t="s">
        <v>284</v>
      </c>
      <c r="E983" s="20" t="s">
        <v>640</v>
      </c>
      <c r="I983" s="22" t="s">
        <v>206</v>
      </c>
      <c r="J983" s="22"/>
      <c r="K983" s="22"/>
      <c r="L983" s="22"/>
      <c r="M983" s="22"/>
      <c r="N983" s="22" t="s">
        <v>163</v>
      </c>
      <c r="O983" s="22" t="s">
        <v>163</v>
      </c>
      <c r="P983" s="22"/>
      <c r="Q983" s="22" t="s">
        <v>2041</v>
      </c>
      <c r="R983" s="22"/>
      <c r="S983" s="22"/>
      <c r="T983" s="22" t="s">
        <v>2714</v>
      </c>
      <c r="U983" s="116" t="s">
        <v>2731</v>
      </c>
      <c r="V983" s="22" t="s">
        <v>109</v>
      </c>
      <c r="W983" s="22" t="s">
        <v>1</v>
      </c>
      <c r="X983" s="22"/>
      <c r="Z983" s="22"/>
      <c r="AA983" s="22"/>
      <c r="AB983" s="22"/>
      <c r="AC983" s="22" t="s">
        <v>168</v>
      </c>
      <c r="AD983" s="22"/>
      <c r="AE983" s="24"/>
      <c r="AF983" s="24" t="s">
        <v>2042</v>
      </c>
      <c r="AG983" s="22"/>
      <c r="AH983" s="25">
        <v>101042</v>
      </c>
      <c r="AI983" s="25" t="s">
        <v>267</v>
      </c>
      <c r="AK983" s="40" t="s">
        <v>636</v>
      </c>
      <c r="AL983" s="40"/>
      <c r="AX983" s="27"/>
      <c r="AY983" s="27"/>
      <c r="BK983" s="27"/>
      <c r="BL983" s="27"/>
      <c r="BX983" s="27"/>
      <c r="BY983" s="27"/>
      <c r="CH983" s="29"/>
    </row>
    <row r="984" spans="1:86" x14ac:dyDescent="0.2">
      <c r="A984" s="18">
        <v>10004</v>
      </c>
      <c r="B984" s="19">
        <v>12</v>
      </c>
      <c r="C984" s="19">
        <f t="shared" si="69"/>
        <v>100040012</v>
      </c>
      <c r="D984" s="23" t="s">
        <v>284</v>
      </c>
      <c r="E984" s="20" t="s">
        <v>640</v>
      </c>
      <c r="I984" s="22" t="s">
        <v>206</v>
      </c>
      <c r="J984" s="22"/>
      <c r="K984" s="22"/>
      <c r="L984" s="22"/>
      <c r="M984" s="22"/>
      <c r="N984" s="22" t="s">
        <v>163</v>
      </c>
      <c r="O984" s="22" t="s">
        <v>163</v>
      </c>
      <c r="P984" s="22"/>
      <c r="Q984" s="22" t="s">
        <v>2041</v>
      </c>
      <c r="R984" s="22"/>
      <c r="S984" s="22"/>
      <c r="T984" s="22" t="s">
        <v>2714</v>
      </c>
      <c r="U984" s="116" t="s">
        <v>2732</v>
      </c>
      <c r="V984" s="22" t="s">
        <v>109</v>
      </c>
      <c r="W984" s="22" t="s">
        <v>1</v>
      </c>
      <c r="X984" s="22"/>
      <c r="Z984" s="22"/>
      <c r="AA984" s="22"/>
      <c r="AB984" s="22"/>
      <c r="AC984" s="22" t="s">
        <v>168</v>
      </c>
      <c r="AD984" s="22"/>
      <c r="AE984" s="24"/>
      <c r="AF984" s="24" t="s">
        <v>2042</v>
      </c>
      <c r="AG984" s="22"/>
      <c r="AH984" s="25">
        <v>101043</v>
      </c>
      <c r="AI984" s="25" t="s">
        <v>267</v>
      </c>
      <c r="AK984" s="40" t="s">
        <v>637</v>
      </c>
      <c r="AL984" s="40"/>
      <c r="AX984" s="27"/>
      <c r="AY984" s="27"/>
      <c r="BK984" s="27"/>
      <c r="BL984" s="27"/>
      <c r="BX984" s="27"/>
      <c r="BY984" s="27"/>
      <c r="CH984" s="29"/>
    </row>
    <row r="985" spans="1:86" x14ac:dyDescent="0.2">
      <c r="A985" s="18">
        <v>10004</v>
      </c>
      <c r="B985" s="19">
        <v>13</v>
      </c>
      <c r="C985" s="19">
        <f t="shared" si="69"/>
        <v>100040013</v>
      </c>
      <c r="D985" s="23" t="s">
        <v>284</v>
      </c>
      <c r="E985" s="20" t="s">
        <v>640</v>
      </c>
      <c r="I985" s="22" t="s">
        <v>206</v>
      </c>
      <c r="J985" s="22"/>
      <c r="K985" s="22"/>
      <c r="L985" s="22"/>
      <c r="M985" s="22"/>
      <c r="N985" s="22" t="s">
        <v>163</v>
      </c>
      <c r="O985" s="22" t="s">
        <v>163</v>
      </c>
      <c r="P985" s="22"/>
      <c r="Q985" s="22" t="s">
        <v>2041</v>
      </c>
      <c r="R985" s="22"/>
      <c r="S985" s="22"/>
      <c r="T985" s="22" t="s">
        <v>2714</v>
      </c>
      <c r="U985" s="116" t="s">
        <v>2733</v>
      </c>
      <c r="V985" s="22" t="s">
        <v>109</v>
      </c>
      <c r="W985" s="22" t="s">
        <v>1</v>
      </c>
      <c r="X985" s="22"/>
      <c r="Z985" s="22"/>
      <c r="AA985" s="22"/>
      <c r="AB985" s="22"/>
      <c r="AC985" s="22" t="s">
        <v>168</v>
      </c>
      <c r="AD985" s="22"/>
      <c r="AE985" s="24"/>
      <c r="AF985" s="24" t="s">
        <v>2042</v>
      </c>
      <c r="AG985" s="22"/>
      <c r="AH985" s="25">
        <v>101044</v>
      </c>
      <c r="AI985" s="25" t="s">
        <v>267</v>
      </c>
      <c r="AK985" s="40" t="s">
        <v>638</v>
      </c>
      <c r="AL985" s="40"/>
      <c r="AX985" s="27"/>
      <c r="AY985" s="27"/>
      <c r="BK985" s="27"/>
      <c r="BL985" s="27"/>
      <c r="BX985" s="27"/>
      <c r="BY985" s="27"/>
      <c r="CH985" s="29"/>
    </row>
    <row r="986" spans="1:86" x14ac:dyDescent="0.2">
      <c r="A986" s="18">
        <v>10004</v>
      </c>
      <c r="B986" s="19">
        <v>14</v>
      </c>
      <c r="C986" s="19">
        <f t="shared" si="69"/>
        <v>100040014</v>
      </c>
      <c r="D986" s="23" t="s">
        <v>284</v>
      </c>
      <c r="E986" s="20" t="s">
        <v>640</v>
      </c>
      <c r="I986" s="22" t="s">
        <v>206</v>
      </c>
      <c r="J986" s="22"/>
      <c r="K986" s="22"/>
      <c r="L986" s="22"/>
      <c r="M986" s="22"/>
      <c r="N986" s="22" t="s">
        <v>163</v>
      </c>
      <c r="O986" s="22" t="s">
        <v>163</v>
      </c>
      <c r="P986" s="22"/>
      <c r="Q986" s="22" t="s">
        <v>2041</v>
      </c>
      <c r="R986" s="22"/>
      <c r="S986" s="22"/>
      <c r="T986" s="22" t="s">
        <v>2714</v>
      </c>
      <c r="U986" s="116" t="s">
        <v>2734</v>
      </c>
      <c r="V986" s="22" t="s">
        <v>109</v>
      </c>
      <c r="W986" s="22" t="s">
        <v>1</v>
      </c>
      <c r="X986" s="22"/>
      <c r="Z986" s="22"/>
      <c r="AA986" s="22"/>
      <c r="AB986" s="22"/>
      <c r="AC986" s="22" t="s">
        <v>168</v>
      </c>
      <c r="AD986" s="22"/>
      <c r="AE986" s="24"/>
      <c r="AF986" s="24" t="s">
        <v>2042</v>
      </c>
      <c r="AG986" s="22"/>
      <c r="AH986" s="25">
        <v>101045</v>
      </c>
      <c r="AI986" s="25" t="s">
        <v>267</v>
      </c>
      <c r="AK986" s="40" t="s">
        <v>639</v>
      </c>
      <c r="AL986" s="40"/>
      <c r="AX986" s="27"/>
      <c r="AY986" s="27"/>
      <c r="BK986" s="27"/>
      <c r="BL986" s="27"/>
      <c r="BX986" s="27"/>
      <c r="BY986" s="27"/>
      <c r="CH986" s="29"/>
    </row>
    <row r="987" spans="1:86" x14ac:dyDescent="0.2">
      <c r="A987" s="18">
        <v>10005</v>
      </c>
      <c r="B987" s="19">
        <v>10</v>
      </c>
      <c r="C987" s="19">
        <f t="shared" si="69"/>
        <v>100050010</v>
      </c>
      <c r="D987" s="23" t="s">
        <v>285</v>
      </c>
      <c r="E987" s="20" t="s">
        <v>640</v>
      </c>
      <c r="I987" s="22" t="s">
        <v>206</v>
      </c>
      <c r="J987" s="22"/>
      <c r="K987" s="22"/>
      <c r="L987" s="22"/>
      <c r="M987" s="22"/>
      <c r="N987" s="22" t="s">
        <v>163</v>
      </c>
      <c r="O987" s="22" t="s">
        <v>163</v>
      </c>
      <c r="P987" s="22"/>
      <c r="Q987" s="22" t="s">
        <v>2041</v>
      </c>
      <c r="R987" s="22"/>
      <c r="S987" s="22"/>
      <c r="T987" s="22" t="s">
        <v>2714</v>
      </c>
      <c r="U987" s="116" t="s">
        <v>2735</v>
      </c>
      <c r="V987" s="22" t="s">
        <v>109</v>
      </c>
      <c r="W987" s="22" t="s">
        <v>1</v>
      </c>
      <c r="X987" s="22"/>
      <c r="Z987" s="22"/>
      <c r="AA987" s="22"/>
      <c r="AB987" s="22"/>
      <c r="AC987" s="22" t="s">
        <v>123</v>
      </c>
      <c r="AD987" s="22"/>
      <c r="AE987" s="24"/>
      <c r="AF987" s="24" t="s">
        <v>2042</v>
      </c>
      <c r="AG987" s="22"/>
      <c r="AH987" s="25">
        <v>101051</v>
      </c>
      <c r="AI987" s="25" t="s">
        <v>267</v>
      </c>
      <c r="AK987" s="40" t="s">
        <v>635</v>
      </c>
      <c r="AL987" s="40"/>
      <c r="AX987" s="27"/>
      <c r="AY987" s="27"/>
      <c r="BK987" s="27"/>
      <c r="BL987" s="27"/>
      <c r="BX987" s="27"/>
      <c r="BY987" s="27"/>
      <c r="CH987" s="29"/>
    </row>
    <row r="988" spans="1:86" x14ac:dyDescent="0.2">
      <c r="A988" s="18">
        <v>10005</v>
      </c>
      <c r="B988" s="19">
        <v>11</v>
      </c>
      <c r="C988" s="19">
        <f t="shared" ref="C988:C1051" si="81">A988*10000+B988</f>
        <v>100050011</v>
      </c>
      <c r="D988" s="23" t="s">
        <v>285</v>
      </c>
      <c r="E988" s="20" t="s">
        <v>640</v>
      </c>
      <c r="I988" s="22" t="s">
        <v>206</v>
      </c>
      <c r="J988" s="22"/>
      <c r="K988" s="22"/>
      <c r="L988" s="22"/>
      <c r="M988" s="22"/>
      <c r="N988" s="22" t="s">
        <v>163</v>
      </c>
      <c r="O988" s="22" t="s">
        <v>163</v>
      </c>
      <c r="P988" s="22"/>
      <c r="Q988" s="22" t="s">
        <v>2041</v>
      </c>
      <c r="R988" s="22"/>
      <c r="S988" s="22"/>
      <c r="T988" s="22" t="s">
        <v>2714</v>
      </c>
      <c r="U988" s="116" t="s">
        <v>2736</v>
      </c>
      <c r="V988" s="22" t="s">
        <v>109</v>
      </c>
      <c r="W988" s="22" t="s">
        <v>1</v>
      </c>
      <c r="X988" s="22"/>
      <c r="Z988" s="22"/>
      <c r="AA988" s="22"/>
      <c r="AB988" s="22"/>
      <c r="AC988" s="22" t="s">
        <v>123</v>
      </c>
      <c r="AD988" s="22"/>
      <c r="AE988" s="24"/>
      <c r="AF988" s="24" t="s">
        <v>2042</v>
      </c>
      <c r="AG988" s="22"/>
      <c r="AH988" s="25">
        <v>101052</v>
      </c>
      <c r="AI988" s="25" t="s">
        <v>267</v>
      </c>
      <c r="AK988" s="40" t="s">
        <v>636</v>
      </c>
      <c r="AL988" s="40"/>
      <c r="AX988" s="27"/>
      <c r="AY988" s="27"/>
      <c r="BK988" s="27"/>
      <c r="BL988" s="27"/>
      <c r="BX988" s="27"/>
      <c r="BY988" s="27"/>
      <c r="CH988" s="29"/>
    </row>
    <row r="989" spans="1:86" x14ac:dyDescent="0.2">
      <c r="A989" s="18">
        <v>10005</v>
      </c>
      <c r="B989" s="19">
        <v>12</v>
      </c>
      <c r="C989" s="19">
        <f t="shared" si="81"/>
        <v>100050012</v>
      </c>
      <c r="D989" s="23" t="s">
        <v>285</v>
      </c>
      <c r="E989" s="20" t="s">
        <v>640</v>
      </c>
      <c r="I989" s="22" t="s">
        <v>206</v>
      </c>
      <c r="J989" s="22"/>
      <c r="K989" s="22"/>
      <c r="L989" s="22"/>
      <c r="M989" s="22"/>
      <c r="N989" s="22" t="s">
        <v>163</v>
      </c>
      <c r="O989" s="22" t="s">
        <v>163</v>
      </c>
      <c r="P989" s="22"/>
      <c r="Q989" s="22" t="s">
        <v>2041</v>
      </c>
      <c r="R989" s="22"/>
      <c r="S989" s="22"/>
      <c r="T989" s="22" t="s">
        <v>2714</v>
      </c>
      <c r="U989" s="116" t="s">
        <v>2737</v>
      </c>
      <c r="V989" s="22" t="s">
        <v>109</v>
      </c>
      <c r="W989" s="22" t="s">
        <v>1</v>
      </c>
      <c r="X989" s="22"/>
      <c r="Z989" s="22"/>
      <c r="AA989" s="22"/>
      <c r="AB989" s="22"/>
      <c r="AC989" s="22" t="s">
        <v>123</v>
      </c>
      <c r="AD989" s="22"/>
      <c r="AE989" s="24"/>
      <c r="AF989" s="24" t="s">
        <v>2042</v>
      </c>
      <c r="AG989" s="22"/>
      <c r="AH989" s="25">
        <v>101053</v>
      </c>
      <c r="AI989" s="25" t="s">
        <v>267</v>
      </c>
      <c r="AK989" s="40" t="s">
        <v>637</v>
      </c>
      <c r="AL989" s="40"/>
      <c r="AX989" s="27"/>
      <c r="AY989" s="27"/>
      <c r="BK989" s="27"/>
      <c r="BL989" s="27"/>
      <c r="BX989" s="27"/>
      <c r="BY989" s="27"/>
      <c r="CH989" s="29"/>
    </row>
    <row r="990" spans="1:86" x14ac:dyDescent="0.2">
      <c r="A990" s="18">
        <v>10005</v>
      </c>
      <c r="B990" s="19">
        <v>13</v>
      </c>
      <c r="C990" s="19">
        <f t="shared" si="81"/>
        <v>100050013</v>
      </c>
      <c r="D990" s="23" t="s">
        <v>285</v>
      </c>
      <c r="E990" s="20" t="s">
        <v>640</v>
      </c>
      <c r="I990" s="22" t="s">
        <v>206</v>
      </c>
      <c r="J990" s="22"/>
      <c r="K990" s="22"/>
      <c r="L990" s="22"/>
      <c r="M990" s="22"/>
      <c r="N990" s="22" t="s">
        <v>163</v>
      </c>
      <c r="O990" s="22" t="s">
        <v>163</v>
      </c>
      <c r="P990" s="22"/>
      <c r="Q990" s="22" t="s">
        <v>2041</v>
      </c>
      <c r="R990" s="22"/>
      <c r="S990" s="22"/>
      <c r="T990" s="22" t="s">
        <v>2714</v>
      </c>
      <c r="U990" s="116" t="s">
        <v>2738</v>
      </c>
      <c r="V990" s="22" t="s">
        <v>109</v>
      </c>
      <c r="W990" s="22" t="s">
        <v>1</v>
      </c>
      <c r="X990" s="22"/>
      <c r="Z990" s="22"/>
      <c r="AA990" s="22"/>
      <c r="AB990" s="22"/>
      <c r="AC990" s="22" t="s">
        <v>123</v>
      </c>
      <c r="AD990" s="22"/>
      <c r="AE990" s="24"/>
      <c r="AF990" s="24" t="s">
        <v>2042</v>
      </c>
      <c r="AG990" s="22"/>
      <c r="AH990" s="25">
        <v>101054</v>
      </c>
      <c r="AI990" s="25" t="s">
        <v>267</v>
      </c>
      <c r="AK990" s="40" t="s">
        <v>638</v>
      </c>
      <c r="AL990" s="40"/>
      <c r="AX990" s="27"/>
      <c r="AY990" s="27"/>
      <c r="BK990" s="27"/>
      <c r="BL990" s="27"/>
      <c r="BX990" s="27"/>
      <c r="BY990" s="27"/>
      <c r="CH990" s="29"/>
    </row>
    <row r="991" spans="1:86" x14ac:dyDescent="0.2">
      <c r="A991" s="18">
        <v>10005</v>
      </c>
      <c r="B991" s="19">
        <v>14</v>
      </c>
      <c r="C991" s="19">
        <f t="shared" si="81"/>
        <v>100050014</v>
      </c>
      <c r="D991" s="23" t="s">
        <v>285</v>
      </c>
      <c r="E991" s="20" t="s">
        <v>640</v>
      </c>
      <c r="I991" s="22" t="s">
        <v>206</v>
      </c>
      <c r="J991" s="22"/>
      <c r="K991" s="22"/>
      <c r="L991" s="22"/>
      <c r="M991" s="22"/>
      <c r="N991" s="22" t="s">
        <v>163</v>
      </c>
      <c r="O991" s="22" t="s">
        <v>163</v>
      </c>
      <c r="P991" s="22"/>
      <c r="Q991" s="22" t="s">
        <v>2041</v>
      </c>
      <c r="R991" s="22"/>
      <c r="S991" s="22"/>
      <c r="T991" s="22" t="s">
        <v>2714</v>
      </c>
      <c r="U991" s="116" t="s">
        <v>2739</v>
      </c>
      <c r="V991" s="22" t="s">
        <v>109</v>
      </c>
      <c r="W991" s="22" t="s">
        <v>1</v>
      </c>
      <c r="X991" s="22"/>
      <c r="Z991" s="22"/>
      <c r="AA991" s="22"/>
      <c r="AB991" s="22"/>
      <c r="AC991" s="22" t="s">
        <v>123</v>
      </c>
      <c r="AD991" s="22"/>
      <c r="AE991" s="24"/>
      <c r="AF991" s="24" t="s">
        <v>2042</v>
      </c>
      <c r="AG991" s="22"/>
      <c r="AH991" s="25">
        <v>101055</v>
      </c>
      <c r="AI991" s="25" t="s">
        <v>267</v>
      </c>
      <c r="AK991" s="40" t="s">
        <v>639</v>
      </c>
      <c r="AL991" s="40"/>
      <c r="AX991" s="27"/>
      <c r="AY991" s="27"/>
      <c r="BK991" s="27"/>
      <c r="BL991" s="27"/>
      <c r="BX991" s="27"/>
      <c r="BY991" s="27"/>
      <c r="CH991" s="29"/>
    </row>
    <row r="992" spans="1:86" x14ac:dyDescent="0.2">
      <c r="A992" s="18">
        <v>10006</v>
      </c>
      <c r="B992" s="19">
        <v>10</v>
      </c>
      <c r="C992" s="19">
        <f t="shared" si="81"/>
        <v>100060010</v>
      </c>
      <c r="D992" s="23" t="s">
        <v>286</v>
      </c>
      <c r="E992" s="20" t="s">
        <v>640</v>
      </c>
      <c r="I992" s="22" t="s">
        <v>206</v>
      </c>
      <c r="J992" s="22"/>
      <c r="K992" s="22"/>
      <c r="L992" s="22"/>
      <c r="M992" s="22"/>
      <c r="N992" s="22" t="s">
        <v>163</v>
      </c>
      <c r="O992" s="22" t="s">
        <v>163</v>
      </c>
      <c r="P992" s="22"/>
      <c r="Q992" s="22" t="s">
        <v>2041</v>
      </c>
      <c r="R992" s="22"/>
      <c r="S992" s="22"/>
      <c r="T992" s="22" t="s">
        <v>2714</v>
      </c>
      <c r="U992" s="116" t="s">
        <v>2740</v>
      </c>
      <c r="V992" s="22" t="s">
        <v>109</v>
      </c>
      <c r="W992" s="22" t="s">
        <v>1</v>
      </c>
      <c r="X992" s="22"/>
      <c r="Z992" s="22"/>
      <c r="AA992" s="22"/>
      <c r="AB992" s="22"/>
      <c r="AC992" s="22" t="s">
        <v>120</v>
      </c>
      <c r="AD992" s="22"/>
      <c r="AE992" s="24"/>
      <c r="AF992" s="24" t="s">
        <v>2042</v>
      </c>
      <c r="AG992" s="22"/>
      <c r="AH992" s="25">
        <v>101061</v>
      </c>
      <c r="AI992" s="25" t="s">
        <v>267</v>
      </c>
      <c r="AK992" s="40" t="s">
        <v>635</v>
      </c>
      <c r="AL992" s="40"/>
      <c r="AX992" s="27"/>
      <c r="AY992" s="27"/>
      <c r="BK992" s="27"/>
      <c r="BL992" s="27"/>
      <c r="BX992" s="27"/>
      <c r="BY992" s="27"/>
      <c r="CH992" s="29"/>
    </row>
    <row r="993" spans="1:86" x14ac:dyDescent="0.2">
      <c r="A993" s="18">
        <v>10006</v>
      </c>
      <c r="B993" s="19">
        <v>11</v>
      </c>
      <c r="C993" s="19">
        <f t="shared" si="81"/>
        <v>100060011</v>
      </c>
      <c r="D993" s="23" t="s">
        <v>286</v>
      </c>
      <c r="E993" s="20" t="s">
        <v>640</v>
      </c>
      <c r="I993" s="22" t="s">
        <v>206</v>
      </c>
      <c r="J993" s="22"/>
      <c r="K993" s="22"/>
      <c r="L993" s="22"/>
      <c r="M993" s="22"/>
      <c r="N993" s="22" t="s">
        <v>163</v>
      </c>
      <c r="O993" s="22" t="s">
        <v>163</v>
      </c>
      <c r="P993" s="22"/>
      <c r="Q993" s="22" t="s">
        <v>2041</v>
      </c>
      <c r="R993" s="22"/>
      <c r="S993" s="22"/>
      <c r="T993" s="22" t="s">
        <v>2714</v>
      </c>
      <c r="U993" s="116" t="s">
        <v>2741</v>
      </c>
      <c r="V993" s="22" t="s">
        <v>109</v>
      </c>
      <c r="W993" s="22" t="s">
        <v>1</v>
      </c>
      <c r="X993" s="22"/>
      <c r="Z993" s="22"/>
      <c r="AA993" s="22"/>
      <c r="AB993" s="22"/>
      <c r="AC993" s="22" t="s">
        <v>120</v>
      </c>
      <c r="AD993" s="22"/>
      <c r="AE993" s="24"/>
      <c r="AF993" s="24" t="s">
        <v>2042</v>
      </c>
      <c r="AG993" s="22"/>
      <c r="AH993" s="25">
        <v>101062</v>
      </c>
      <c r="AI993" s="25" t="s">
        <v>267</v>
      </c>
      <c r="AK993" s="40" t="s">
        <v>636</v>
      </c>
      <c r="AL993" s="40"/>
      <c r="AX993" s="27"/>
      <c r="AY993" s="27"/>
      <c r="BK993" s="27"/>
      <c r="BL993" s="27"/>
      <c r="BX993" s="27"/>
      <c r="BY993" s="27"/>
      <c r="CH993" s="29"/>
    </row>
    <row r="994" spans="1:86" x14ac:dyDescent="0.2">
      <c r="A994" s="18">
        <v>10006</v>
      </c>
      <c r="B994" s="19">
        <v>12</v>
      </c>
      <c r="C994" s="19">
        <f t="shared" si="81"/>
        <v>100060012</v>
      </c>
      <c r="D994" s="23" t="s">
        <v>286</v>
      </c>
      <c r="E994" s="20" t="s">
        <v>640</v>
      </c>
      <c r="I994" s="22" t="s">
        <v>206</v>
      </c>
      <c r="J994" s="22"/>
      <c r="K994" s="22"/>
      <c r="L994" s="22"/>
      <c r="M994" s="22"/>
      <c r="N994" s="22" t="s">
        <v>163</v>
      </c>
      <c r="O994" s="22" t="s">
        <v>163</v>
      </c>
      <c r="P994" s="22"/>
      <c r="Q994" s="22" t="s">
        <v>2041</v>
      </c>
      <c r="R994" s="22"/>
      <c r="S994" s="22"/>
      <c r="T994" s="22" t="s">
        <v>2714</v>
      </c>
      <c r="U994" s="116" t="s">
        <v>2742</v>
      </c>
      <c r="V994" s="22" t="s">
        <v>109</v>
      </c>
      <c r="W994" s="22" t="s">
        <v>1</v>
      </c>
      <c r="X994" s="22"/>
      <c r="Z994" s="22"/>
      <c r="AA994" s="22"/>
      <c r="AB994" s="22"/>
      <c r="AC994" s="22" t="s">
        <v>120</v>
      </c>
      <c r="AD994" s="22"/>
      <c r="AE994" s="24"/>
      <c r="AF994" s="24" t="s">
        <v>2042</v>
      </c>
      <c r="AG994" s="22"/>
      <c r="AH994" s="25">
        <v>101063</v>
      </c>
      <c r="AI994" s="25" t="s">
        <v>267</v>
      </c>
      <c r="AK994" s="40" t="s">
        <v>637</v>
      </c>
      <c r="AL994" s="40"/>
      <c r="AX994" s="27"/>
      <c r="AY994" s="27"/>
      <c r="BK994" s="27"/>
      <c r="BL994" s="27"/>
      <c r="BX994" s="27"/>
      <c r="BY994" s="27"/>
      <c r="CH994" s="29"/>
    </row>
    <row r="995" spans="1:86" x14ac:dyDescent="0.2">
      <c r="A995" s="18">
        <v>10006</v>
      </c>
      <c r="B995" s="19">
        <v>13</v>
      </c>
      <c r="C995" s="19">
        <f t="shared" si="81"/>
        <v>100060013</v>
      </c>
      <c r="D995" s="23" t="s">
        <v>286</v>
      </c>
      <c r="E995" s="20" t="s">
        <v>640</v>
      </c>
      <c r="I995" s="22" t="s">
        <v>206</v>
      </c>
      <c r="J995" s="22"/>
      <c r="K995" s="22"/>
      <c r="L995" s="22"/>
      <c r="M995" s="22"/>
      <c r="N995" s="22" t="s">
        <v>163</v>
      </c>
      <c r="O995" s="22" t="s">
        <v>163</v>
      </c>
      <c r="P995" s="22"/>
      <c r="Q995" s="22" t="s">
        <v>2041</v>
      </c>
      <c r="R995" s="22"/>
      <c r="S995" s="22"/>
      <c r="T995" s="22" t="s">
        <v>2714</v>
      </c>
      <c r="U995" s="116" t="s">
        <v>2743</v>
      </c>
      <c r="V995" s="22" t="s">
        <v>109</v>
      </c>
      <c r="W995" s="22" t="s">
        <v>1</v>
      </c>
      <c r="X995" s="22"/>
      <c r="Z995" s="22"/>
      <c r="AA995" s="22"/>
      <c r="AB995" s="22"/>
      <c r="AC995" s="22" t="s">
        <v>120</v>
      </c>
      <c r="AD995" s="22"/>
      <c r="AE995" s="24"/>
      <c r="AF995" s="24" t="s">
        <v>2042</v>
      </c>
      <c r="AG995" s="22"/>
      <c r="AH995" s="25">
        <v>101064</v>
      </c>
      <c r="AI995" s="25" t="s">
        <v>267</v>
      </c>
      <c r="AK995" s="40" t="s">
        <v>638</v>
      </c>
      <c r="AL995" s="40"/>
      <c r="AX995" s="27"/>
      <c r="AY995" s="27"/>
      <c r="BK995" s="27"/>
      <c r="BL995" s="27"/>
      <c r="BX995" s="27"/>
      <c r="BY995" s="27"/>
      <c r="CH995" s="29"/>
    </row>
    <row r="996" spans="1:86" x14ac:dyDescent="0.2">
      <c r="A996" s="18">
        <v>10006</v>
      </c>
      <c r="B996" s="19">
        <v>14</v>
      </c>
      <c r="C996" s="19">
        <f t="shared" si="81"/>
        <v>100060014</v>
      </c>
      <c r="D996" s="23" t="s">
        <v>286</v>
      </c>
      <c r="E996" s="20" t="s">
        <v>640</v>
      </c>
      <c r="I996" s="22" t="s">
        <v>206</v>
      </c>
      <c r="J996" s="22"/>
      <c r="K996" s="22"/>
      <c r="L996" s="22"/>
      <c r="M996" s="22"/>
      <c r="N996" s="22" t="s">
        <v>163</v>
      </c>
      <c r="O996" s="22" t="s">
        <v>163</v>
      </c>
      <c r="P996" s="22"/>
      <c r="Q996" s="22" t="s">
        <v>2041</v>
      </c>
      <c r="R996" s="22"/>
      <c r="S996" s="22"/>
      <c r="T996" s="22" t="s">
        <v>2714</v>
      </c>
      <c r="U996" s="116" t="s">
        <v>2744</v>
      </c>
      <c r="V996" s="22" t="s">
        <v>109</v>
      </c>
      <c r="W996" s="22" t="s">
        <v>1</v>
      </c>
      <c r="X996" s="22"/>
      <c r="Z996" s="22"/>
      <c r="AA996" s="22"/>
      <c r="AB996" s="22"/>
      <c r="AC996" s="22" t="s">
        <v>120</v>
      </c>
      <c r="AD996" s="22"/>
      <c r="AE996" s="24"/>
      <c r="AF996" s="24" t="s">
        <v>2042</v>
      </c>
      <c r="AG996" s="22"/>
      <c r="AH996" s="25">
        <v>101065</v>
      </c>
      <c r="AI996" s="25" t="s">
        <v>267</v>
      </c>
      <c r="AK996" s="40" t="s">
        <v>639</v>
      </c>
      <c r="AL996" s="40"/>
      <c r="AX996" s="27"/>
      <c r="AY996" s="27"/>
      <c r="BK996" s="27"/>
      <c r="BL996" s="27"/>
      <c r="BX996" s="27"/>
      <c r="BY996" s="27"/>
      <c r="CH996" s="29"/>
    </row>
    <row r="997" spans="1:86" x14ac:dyDescent="0.2">
      <c r="A997" s="18">
        <v>10007</v>
      </c>
      <c r="B997" s="19">
        <v>10</v>
      </c>
      <c r="C997" s="19">
        <f t="shared" si="81"/>
        <v>100070010</v>
      </c>
      <c r="D997" s="23" t="s">
        <v>287</v>
      </c>
      <c r="E997" s="20" t="s">
        <v>640</v>
      </c>
      <c r="I997" s="22" t="s">
        <v>206</v>
      </c>
      <c r="J997" s="22"/>
      <c r="K997" s="22"/>
      <c r="L997" s="22"/>
      <c r="M997" s="22"/>
      <c r="N997" s="22" t="s">
        <v>163</v>
      </c>
      <c r="O997" s="22" t="s">
        <v>163</v>
      </c>
      <c r="P997" s="22"/>
      <c r="Q997" s="22" t="s">
        <v>2041</v>
      </c>
      <c r="R997" s="22"/>
      <c r="S997" s="22"/>
      <c r="T997" s="22" t="s">
        <v>2714</v>
      </c>
      <c r="U997" s="116" t="s">
        <v>2745</v>
      </c>
      <c r="V997" s="22" t="s">
        <v>109</v>
      </c>
      <c r="W997" s="22" t="s">
        <v>1</v>
      </c>
      <c r="X997" s="22"/>
      <c r="Z997" s="22"/>
      <c r="AA997" s="22"/>
      <c r="AB997" s="22"/>
      <c r="AC997" s="22" t="s">
        <v>171</v>
      </c>
      <c r="AD997" s="22"/>
      <c r="AE997" s="24"/>
      <c r="AF997" s="24" t="s">
        <v>2042</v>
      </c>
      <c r="AG997" s="22"/>
      <c r="AH997" s="25">
        <v>101071</v>
      </c>
      <c r="AI997" s="25" t="s">
        <v>267</v>
      </c>
      <c r="AK997" s="40" t="s">
        <v>635</v>
      </c>
      <c r="AL997" s="40"/>
      <c r="AX997" s="27"/>
      <c r="AY997" s="27"/>
      <c r="BK997" s="27"/>
      <c r="BL997" s="27"/>
      <c r="BX997" s="27"/>
      <c r="BY997" s="27"/>
      <c r="CH997" s="29"/>
    </row>
    <row r="998" spans="1:86" x14ac:dyDescent="0.2">
      <c r="A998" s="18">
        <v>10007</v>
      </c>
      <c r="B998" s="19">
        <v>11</v>
      </c>
      <c r="C998" s="19">
        <f t="shared" si="81"/>
        <v>100070011</v>
      </c>
      <c r="D998" s="23" t="s">
        <v>287</v>
      </c>
      <c r="E998" s="20" t="s">
        <v>640</v>
      </c>
      <c r="I998" s="22" t="s">
        <v>206</v>
      </c>
      <c r="J998" s="22"/>
      <c r="K998" s="22"/>
      <c r="L998" s="22"/>
      <c r="M998" s="22"/>
      <c r="N998" s="22" t="s">
        <v>163</v>
      </c>
      <c r="O998" s="22" t="s">
        <v>163</v>
      </c>
      <c r="P998" s="22"/>
      <c r="Q998" s="22" t="s">
        <v>2041</v>
      </c>
      <c r="R998" s="22"/>
      <c r="S998" s="22"/>
      <c r="T998" s="22" t="s">
        <v>2714</v>
      </c>
      <c r="U998" s="116" t="s">
        <v>2746</v>
      </c>
      <c r="V998" s="22" t="s">
        <v>109</v>
      </c>
      <c r="W998" s="22" t="s">
        <v>1</v>
      </c>
      <c r="X998" s="22"/>
      <c r="Z998" s="22"/>
      <c r="AA998" s="22"/>
      <c r="AB998" s="22"/>
      <c r="AC998" s="22" t="s">
        <v>171</v>
      </c>
      <c r="AD998" s="22"/>
      <c r="AE998" s="24"/>
      <c r="AF998" s="24" t="s">
        <v>2042</v>
      </c>
      <c r="AG998" s="22"/>
      <c r="AH998" s="25">
        <v>101072</v>
      </c>
      <c r="AI998" s="25" t="s">
        <v>267</v>
      </c>
      <c r="AK998" s="40" t="s">
        <v>636</v>
      </c>
      <c r="AL998" s="40"/>
      <c r="AX998" s="27"/>
      <c r="AY998" s="27"/>
      <c r="BK998" s="27"/>
      <c r="BL998" s="27"/>
      <c r="BX998" s="27"/>
      <c r="BY998" s="27"/>
      <c r="CH998" s="29"/>
    </row>
    <row r="999" spans="1:86" x14ac:dyDescent="0.2">
      <c r="A999" s="18">
        <v>10007</v>
      </c>
      <c r="B999" s="19">
        <v>12</v>
      </c>
      <c r="C999" s="19">
        <f t="shared" si="81"/>
        <v>100070012</v>
      </c>
      <c r="D999" s="23" t="s">
        <v>287</v>
      </c>
      <c r="E999" s="20" t="s">
        <v>640</v>
      </c>
      <c r="I999" s="22" t="s">
        <v>206</v>
      </c>
      <c r="J999" s="22"/>
      <c r="K999" s="22"/>
      <c r="L999" s="22"/>
      <c r="M999" s="22"/>
      <c r="N999" s="22" t="s">
        <v>163</v>
      </c>
      <c r="O999" s="22" t="s">
        <v>163</v>
      </c>
      <c r="P999" s="22"/>
      <c r="Q999" s="22" t="s">
        <v>2041</v>
      </c>
      <c r="R999" s="22"/>
      <c r="S999" s="22"/>
      <c r="T999" s="22" t="s">
        <v>2714</v>
      </c>
      <c r="U999" s="116" t="s">
        <v>2747</v>
      </c>
      <c r="V999" s="22" t="s">
        <v>109</v>
      </c>
      <c r="W999" s="22" t="s">
        <v>1</v>
      </c>
      <c r="X999" s="22"/>
      <c r="Z999" s="22"/>
      <c r="AA999" s="22"/>
      <c r="AB999" s="22"/>
      <c r="AC999" s="22" t="s">
        <v>171</v>
      </c>
      <c r="AD999" s="22"/>
      <c r="AE999" s="24"/>
      <c r="AF999" s="24" t="s">
        <v>2042</v>
      </c>
      <c r="AG999" s="22"/>
      <c r="AH999" s="25">
        <v>101073</v>
      </c>
      <c r="AI999" s="25" t="s">
        <v>267</v>
      </c>
      <c r="AK999" s="40" t="s">
        <v>637</v>
      </c>
      <c r="AL999" s="40"/>
      <c r="AX999" s="27"/>
      <c r="AY999" s="27"/>
      <c r="BK999" s="27"/>
      <c r="BL999" s="27"/>
      <c r="BX999" s="27"/>
      <c r="BY999" s="27"/>
      <c r="CH999" s="29"/>
    </row>
    <row r="1000" spans="1:86" x14ac:dyDescent="0.2">
      <c r="A1000" s="18">
        <v>10007</v>
      </c>
      <c r="B1000" s="19">
        <v>13</v>
      </c>
      <c r="C1000" s="19">
        <f t="shared" si="81"/>
        <v>100070013</v>
      </c>
      <c r="D1000" s="23" t="s">
        <v>287</v>
      </c>
      <c r="E1000" s="20" t="s">
        <v>640</v>
      </c>
      <c r="I1000" s="22" t="s">
        <v>206</v>
      </c>
      <c r="J1000" s="22"/>
      <c r="K1000" s="22"/>
      <c r="L1000" s="22"/>
      <c r="M1000" s="22"/>
      <c r="N1000" s="22" t="s">
        <v>163</v>
      </c>
      <c r="O1000" s="22" t="s">
        <v>163</v>
      </c>
      <c r="P1000" s="22"/>
      <c r="Q1000" s="22" t="s">
        <v>2041</v>
      </c>
      <c r="R1000" s="22"/>
      <c r="S1000" s="22"/>
      <c r="T1000" s="22" t="s">
        <v>2714</v>
      </c>
      <c r="U1000" s="116" t="s">
        <v>2748</v>
      </c>
      <c r="V1000" s="22" t="s">
        <v>109</v>
      </c>
      <c r="W1000" s="22" t="s">
        <v>1</v>
      </c>
      <c r="X1000" s="22"/>
      <c r="Z1000" s="22"/>
      <c r="AA1000" s="22"/>
      <c r="AB1000" s="22"/>
      <c r="AC1000" s="22" t="s">
        <v>171</v>
      </c>
      <c r="AD1000" s="22"/>
      <c r="AE1000" s="24"/>
      <c r="AF1000" s="24" t="s">
        <v>2042</v>
      </c>
      <c r="AG1000" s="22"/>
      <c r="AH1000" s="25">
        <v>101074</v>
      </c>
      <c r="AI1000" s="25" t="s">
        <v>267</v>
      </c>
      <c r="AK1000" s="40" t="s">
        <v>638</v>
      </c>
      <c r="AL1000" s="40"/>
      <c r="AX1000" s="27"/>
      <c r="AY1000" s="27"/>
      <c r="BK1000" s="27"/>
      <c r="BL1000" s="27"/>
      <c r="BX1000" s="27"/>
      <c r="BY1000" s="27"/>
      <c r="CH1000" s="29"/>
    </row>
    <row r="1001" spans="1:86" x14ac:dyDescent="0.2">
      <c r="A1001" s="18">
        <v>10007</v>
      </c>
      <c r="B1001" s="19">
        <v>14</v>
      </c>
      <c r="C1001" s="19">
        <f t="shared" si="81"/>
        <v>100070014</v>
      </c>
      <c r="D1001" s="23" t="s">
        <v>287</v>
      </c>
      <c r="E1001" s="20" t="s">
        <v>640</v>
      </c>
      <c r="I1001" s="22" t="s">
        <v>206</v>
      </c>
      <c r="J1001" s="22"/>
      <c r="K1001" s="22"/>
      <c r="L1001" s="22"/>
      <c r="M1001" s="22"/>
      <c r="N1001" s="22" t="s">
        <v>163</v>
      </c>
      <c r="O1001" s="22" t="s">
        <v>163</v>
      </c>
      <c r="P1001" s="22"/>
      <c r="Q1001" s="22" t="s">
        <v>2041</v>
      </c>
      <c r="R1001" s="22"/>
      <c r="S1001" s="22"/>
      <c r="T1001" s="22" t="s">
        <v>2714</v>
      </c>
      <c r="U1001" s="116" t="s">
        <v>2749</v>
      </c>
      <c r="V1001" s="22" t="s">
        <v>109</v>
      </c>
      <c r="W1001" s="22" t="s">
        <v>1</v>
      </c>
      <c r="X1001" s="22"/>
      <c r="Z1001" s="22"/>
      <c r="AA1001" s="22"/>
      <c r="AB1001" s="22"/>
      <c r="AC1001" s="22" t="s">
        <v>171</v>
      </c>
      <c r="AD1001" s="22"/>
      <c r="AE1001" s="24"/>
      <c r="AF1001" s="24" t="s">
        <v>2042</v>
      </c>
      <c r="AG1001" s="22"/>
      <c r="AH1001" s="25">
        <v>101075</v>
      </c>
      <c r="AI1001" s="25" t="s">
        <v>267</v>
      </c>
      <c r="AK1001" s="40" t="s">
        <v>639</v>
      </c>
      <c r="AL1001" s="40"/>
      <c r="AX1001" s="27"/>
      <c r="AY1001" s="27"/>
      <c r="BK1001" s="27"/>
      <c r="BL1001" s="27"/>
      <c r="BX1001" s="27"/>
      <c r="BY1001" s="27"/>
      <c r="CH1001" s="29"/>
    </row>
    <row r="1002" spans="1:86" x14ac:dyDescent="0.2">
      <c r="A1002" s="18">
        <v>10008</v>
      </c>
      <c r="B1002" s="19">
        <v>10</v>
      </c>
      <c r="C1002" s="19">
        <f t="shared" si="81"/>
        <v>100080010</v>
      </c>
      <c r="D1002" s="23" t="s">
        <v>288</v>
      </c>
      <c r="E1002" s="20" t="s">
        <v>640</v>
      </c>
      <c r="I1002" s="22" t="s">
        <v>206</v>
      </c>
      <c r="J1002" s="22"/>
      <c r="K1002" s="22"/>
      <c r="L1002" s="22"/>
      <c r="M1002" s="22"/>
      <c r="N1002" s="22" t="s">
        <v>163</v>
      </c>
      <c r="O1002" s="22" t="s">
        <v>163</v>
      </c>
      <c r="P1002" s="22"/>
      <c r="Q1002" s="22" t="s">
        <v>2041</v>
      </c>
      <c r="R1002" s="22"/>
      <c r="S1002" s="22"/>
      <c r="T1002" s="22" t="s">
        <v>2714</v>
      </c>
      <c r="U1002" s="116" t="s">
        <v>2750</v>
      </c>
      <c r="V1002" s="22" t="s">
        <v>109</v>
      </c>
      <c r="W1002" s="22" t="s">
        <v>1</v>
      </c>
      <c r="X1002" s="22"/>
      <c r="Z1002" s="22"/>
      <c r="AA1002" s="22"/>
      <c r="AB1002" s="22"/>
      <c r="AC1002" s="22" t="s">
        <v>137</v>
      </c>
      <c r="AD1002" s="22"/>
      <c r="AE1002" s="24"/>
      <c r="AF1002" s="24" t="s">
        <v>2042</v>
      </c>
      <c r="AG1002" s="22"/>
      <c r="AH1002" s="25">
        <v>101081</v>
      </c>
      <c r="AI1002" s="25" t="s">
        <v>267</v>
      </c>
      <c r="AK1002" s="40" t="s">
        <v>635</v>
      </c>
      <c r="AL1002" s="40"/>
      <c r="AX1002" s="27"/>
      <c r="AY1002" s="27"/>
      <c r="BK1002" s="27"/>
      <c r="BL1002" s="27"/>
      <c r="BX1002" s="27"/>
      <c r="BY1002" s="27"/>
      <c r="CH1002" s="29"/>
    </row>
    <row r="1003" spans="1:86" x14ac:dyDescent="0.2">
      <c r="A1003" s="18">
        <v>10008</v>
      </c>
      <c r="B1003" s="19">
        <v>11</v>
      </c>
      <c r="C1003" s="19">
        <f t="shared" si="81"/>
        <v>100080011</v>
      </c>
      <c r="D1003" s="23" t="s">
        <v>288</v>
      </c>
      <c r="E1003" s="20" t="s">
        <v>640</v>
      </c>
      <c r="I1003" s="22" t="s">
        <v>206</v>
      </c>
      <c r="J1003" s="22"/>
      <c r="K1003" s="22"/>
      <c r="L1003" s="22"/>
      <c r="M1003" s="22"/>
      <c r="N1003" s="22" t="s">
        <v>163</v>
      </c>
      <c r="O1003" s="22" t="s">
        <v>163</v>
      </c>
      <c r="P1003" s="22"/>
      <c r="Q1003" s="22" t="s">
        <v>2041</v>
      </c>
      <c r="R1003" s="22"/>
      <c r="S1003" s="22"/>
      <c r="T1003" s="22" t="s">
        <v>2714</v>
      </c>
      <c r="U1003" s="116" t="s">
        <v>2751</v>
      </c>
      <c r="V1003" s="22" t="s">
        <v>109</v>
      </c>
      <c r="W1003" s="22" t="s">
        <v>1</v>
      </c>
      <c r="X1003" s="22"/>
      <c r="Z1003" s="22"/>
      <c r="AA1003" s="22"/>
      <c r="AB1003" s="22"/>
      <c r="AC1003" s="22" t="s">
        <v>137</v>
      </c>
      <c r="AD1003" s="22"/>
      <c r="AE1003" s="24"/>
      <c r="AF1003" s="24" t="s">
        <v>2042</v>
      </c>
      <c r="AG1003" s="22"/>
      <c r="AH1003" s="25">
        <v>101082</v>
      </c>
      <c r="AI1003" s="25" t="s">
        <v>267</v>
      </c>
      <c r="AK1003" s="40" t="s">
        <v>636</v>
      </c>
      <c r="AL1003" s="40"/>
      <c r="AX1003" s="27"/>
      <c r="AY1003" s="27"/>
      <c r="BK1003" s="27"/>
      <c r="BL1003" s="27"/>
      <c r="BX1003" s="27"/>
      <c r="BY1003" s="27"/>
      <c r="CH1003" s="29"/>
    </row>
    <row r="1004" spans="1:86" x14ac:dyDescent="0.2">
      <c r="A1004" s="18">
        <v>10008</v>
      </c>
      <c r="B1004" s="19">
        <v>12</v>
      </c>
      <c r="C1004" s="19">
        <f t="shared" si="81"/>
        <v>100080012</v>
      </c>
      <c r="D1004" s="23" t="s">
        <v>288</v>
      </c>
      <c r="E1004" s="20" t="s">
        <v>640</v>
      </c>
      <c r="I1004" s="22" t="s">
        <v>206</v>
      </c>
      <c r="J1004" s="22"/>
      <c r="K1004" s="22"/>
      <c r="L1004" s="22"/>
      <c r="M1004" s="22"/>
      <c r="N1004" s="22" t="s">
        <v>163</v>
      </c>
      <c r="O1004" s="22" t="s">
        <v>163</v>
      </c>
      <c r="P1004" s="22"/>
      <c r="Q1004" s="22" t="s">
        <v>2041</v>
      </c>
      <c r="R1004" s="22"/>
      <c r="S1004" s="22"/>
      <c r="T1004" s="22" t="s">
        <v>2714</v>
      </c>
      <c r="U1004" s="116" t="s">
        <v>2752</v>
      </c>
      <c r="V1004" s="22" t="s">
        <v>109</v>
      </c>
      <c r="W1004" s="22" t="s">
        <v>1</v>
      </c>
      <c r="X1004" s="22"/>
      <c r="Z1004" s="22"/>
      <c r="AA1004" s="22"/>
      <c r="AB1004" s="22"/>
      <c r="AC1004" s="22" t="s">
        <v>137</v>
      </c>
      <c r="AD1004" s="22"/>
      <c r="AE1004" s="24"/>
      <c r="AF1004" s="24" t="s">
        <v>2042</v>
      </c>
      <c r="AG1004" s="22"/>
      <c r="AH1004" s="25">
        <v>101083</v>
      </c>
      <c r="AI1004" s="25" t="s">
        <v>267</v>
      </c>
      <c r="AK1004" s="40" t="s">
        <v>637</v>
      </c>
      <c r="AL1004" s="40"/>
      <c r="AX1004" s="27"/>
      <c r="AY1004" s="27"/>
      <c r="BK1004" s="27"/>
      <c r="BL1004" s="27"/>
      <c r="BX1004" s="27"/>
      <c r="BY1004" s="27"/>
      <c r="CH1004" s="29"/>
    </row>
    <row r="1005" spans="1:86" x14ac:dyDescent="0.2">
      <c r="A1005" s="18">
        <v>10008</v>
      </c>
      <c r="B1005" s="19">
        <v>13</v>
      </c>
      <c r="C1005" s="19">
        <f t="shared" si="81"/>
        <v>100080013</v>
      </c>
      <c r="D1005" s="23" t="s">
        <v>288</v>
      </c>
      <c r="E1005" s="20" t="s">
        <v>640</v>
      </c>
      <c r="I1005" s="22" t="s">
        <v>206</v>
      </c>
      <c r="J1005" s="22"/>
      <c r="K1005" s="22"/>
      <c r="L1005" s="22"/>
      <c r="M1005" s="22"/>
      <c r="N1005" s="22" t="s">
        <v>163</v>
      </c>
      <c r="O1005" s="22" t="s">
        <v>163</v>
      </c>
      <c r="P1005" s="22"/>
      <c r="Q1005" s="22" t="s">
        <v>2041</v>
      </c>
      <c r="R1005" s="22"/>
      <c r="S1005" s="22"/>
      <c r="T1005" s="22" t="s">
        <v>2714</v>
      </c>
      <c r="U1005" s="116" t="s">
        <v>2753</v>
      </c>
      <c r="V1005" s="22" t="s">
        <v>109</v>
      </c>
      <c r="W1005" s="22" t="s">
        <v>1</v>
      </c>
      <c r="X1005" s="22"/>
      <c r="Z1005" s="22"/>
      <c r="AA1005" s="22"/>
      <c r="AB1005" s="22"/>
      <c r="AC1005" s="22" t="s">
        <v>137</v>
      </c>
      <c r="AD1005" s="22"/>
      <c r="AE1005" s="24"/>
      <c r="AF1005" s="24" t="s">
        <v>2042</v>
      </c>
      <c r="AG1005" s="22"/>
      <c r="AH1005" s="25">
        <v>101084</v>
      </c>
      <c r="AI1005" s="25" t="s">
        <v>267</v>
      </c>
      <c r="AK1005" s="40" t="s">
        <v>638</v>
      </c>
      <c r="AL1005" s="40"/>
      <c r="AX1005" s="27"/>
      <c r="AY1005" s="27"/>
      <c r="BK1005" s="27"/>
      <c r="BL1005" s="27"/>
      <c r="BX1005" s="27"/>
      <c r="BY1005" s="27"/>
      <c r="CH1005" s="29"/>
    </row>
    <row r="1006" spans="1:86" x14ac:dyDescent="0.2">
      <c r="A1006" s="18">
        <v>10008</v>
      </c>
      <c r="B1006" s="19">
        <v>14</v>
      </c>
      <c r="C1006" s="19">
        <f t="shared" si="81"/>
        <v>100080014</v>
      </c>
      <c r="D1006" s="23" t="s">
        <v>288</v>
      </c>
      <c r="E1006" s="20" t="s">
        <v>640</v>
      </c>
      <c r="I1006" s="22" t="s">
        <v>206</v>
      </c>
      <c r="J1006" s="22"/>
      <c r="K1006" s="22"/>
      <c r="L1006" s="22"/>
      <c r="M1006" s="22"/>
      <c r="N1006" s="22" t="s">
        <v>163</v>
      </c>
      <c r="O1006" s="22" t="s">
        <v>163</v>
      </c>
      <c r="P1006" s="22"/>
      <c r="Q1006" s="22" t="s">
        <v>2041</v>
      </c>
      <c r="R1006" s="22"/>
      <c r="S1006" s="22"/>
      <c r="T1006" s="22" t="s">
        <v>2714</v>
      </c>
      <c r="U1006" s="116" t="s">
        <v>2754</v>
      </c>
      <c r="V1006" s="22" t="s">
        <v>109</v>
      </c>
      <c r="W1006" s="22" t="s">
        <v>1</v>
      </c>
      <c r="X1006" s="22"/>
      <c r="Z1006" s="22"/>
      <c r="AA1006" s="22"/>
      <c r="AB1006" s="22"/>
      <c r="AC1006" s="22" t="s">
        <v>137</v>
      </c>
      <c r="AD1006" s="22"/>
      <c r="AE1006" s="24"/>
      <c r="AF1006" s="24" t="s">
        <v>2042</v>
      </c>
      <c r="AG1006" s="22"/>
      <c r="AH1006" s="25">
        <v>101085</v>
      </c>
      <c r="AI1006" s="25" t="s">
        <v>267</v>
      </c>
      <c r="AK1006" s="40" t="s">
        <v>639</v>
      </c>
      <c r="AL1006" s="40"/>
      <c r="AX1006" s="27"/>
      <c r="AY1006" s="27"/>
      <c r="BK1006" s="27"/>
      <c r="BL1006" s="27"/>
      <c r="BX1006" s="27"/>
      <c r="BY1006" s="27"/>
      <c r="CH1006" s="29"/>
    </row>
    <row r="1007" spans="1:86" x14ac:dyDescent="0.2">
      <c r="A1007" s="18">
        <v>10009</v>
      </c>
      <c r="B1007" s="19">
        <v>10</v>
      </c>
      <c r="C1007" s="19">
        <f t="shared" si="81"/>
        <v>100090010</v>
      </c>
      <c r="D1007" s="23" t="s">
        <v>289</v>
      </c>
      <c r="E1007" s="20" t="s">
        <v>640</v>
      </c>
      <c r="I1007" s="22" t="s">
        <v>206</v>
      </c>
      <c r="J1007" s="22"/>
      <c r="K1007" s="22"/>
      <c r="L1007" s="22"/>
      <c r="M1007" s="22"/>
      <c r="N1007" s="22" t="s">
        <v>163</v>
      </c>
      <c r="O1007" s="22" t="s">
        <v>163</v>
      </c>
      <c r="P1007" s="22"/>
      <c r="Q1007" s="22" t="s">
        <v>2041</v>
      </c>
      <c r="R1007" s="22"/>
      <c r="S1007" s="22"/>
      <c r="T1007" s="22" t="s">
        <v>2714</v>
      </c>
      <c r="U1007" s="116" t="s">
        <v>2755</v>
      </c>
      <c r="V1007" s="22" t="s">
        <v>109</v>
      </c>
      <c r="W1007" s="22" t="s">
        <v>1</v>
      </c>
      <c r="X1007" s="22"/>
      <c r="Z1007" s="22"/>
      <c r="AA1007" s="22"/>
      <c r="AB1007" s="22"/>
      <c r="AC1007" s="22" t="s">
        <v>145</v>
      </c>
      <c r="AD1007" s="22"/>
      <c r="AE1007" s="24"/>
      <c r="AF1007" s="24" t="s">
        <v>2042</v>
      </c>
      <c r="AG1007" s="22"/>
      <c r="AH1007" s="25">
        <v>101091</v>
      </c>
      <c r="AI1007" s="25" t="s">
        <v>267</v>
      </c>
      <c r="AK1007" s="40" t="s">
        <v>635</v>
      </c>
      <c r="AL1007" s="40"/>
      <c r="AX1007" s="27"/>
      <c r="AY1007" s="27"/>
      <c r="BK1007" s="27"/>
      <c r="BL1007" s="27"/>
      <c r="BX1007" s="27"/>
      <c r="BY1007" s="27"/>
      <c r="CH1007" s="29"/>
    </row>
    <row r="1008" spans="1:86" x14ac:dyDescent="0.2">
      <c r="A1008" s="18">
        <v>10009</v>
      </c>
      <c r="B1008" s="19">
        <v>11</v>
      </c>
      <c r="C1008" s="19">
        <f t="shared" si="81"/>
        <v>100090011</v>
      </c>
      <c r="D1008" s="23" t="s">
        <v>289</v>
      </c>
      <c r="E1008" s="20" t="s">
        <v>640</v>
      </c>
      <c r="I1008" s="22" t="s">
        <v>206</v>
      </c>
      <c r="J1008" s="22"/>
      <c r="K1008" s="22"/>
      <c r="L1008" s="22"/>
      <c r="M1008" s="22"/>
      <c r="N1008" s="22" t="s">
        <v>163</v>
      </c>
      <c r="O1008" s="22" t="s">
        <v>163</v>
      </c>
      <c r="P1008" s="22"/>
      <c r="Q1008" s="22" t="s">
        <v>2041</v>
      </c>
      <c r="R1008" s="22"/>
      <c r="S1008" s="22"/>
      <c r="T1008" s="22" t="s">
        <v>2714</v>
      </c>
      <c r="U1008" s="116" t="s">
        <v>2756</v>
      </c>
      <c r="V1008" s="22" t="s">
        <v>109</v>
      </c>
      <c r="W1008" s="22" t="s">
        <v>1</v>
      </c>
      <c r="X1008" s="22"/>
      <c r="Z1008" s="22"/>
      <c r="AA1008" s="22"/>
      <c r="AB1008" s="22"/>
      <c r="AC1008" s="22" t="s">
        <v>145</v>
      </c>
      <c r="AD1008" s="22"/>
      <c r="AE1008" s="24"/>
      <c r="AF1008" s="24" t="s">
        <v>2042</v>
      </c>
      <c r="AG1008" s="22"/>
      <c r="AH1008" s="25">
        <v>101092</v>
      </c>
      <c r="AI1008" s="25" t="s">
        <v>267</v>
      </c>
      <c r="AK1008" s="40" t="s">
        <v>636</v>
      </c>
      <c r="AL1008" s="40"/>
      <c r="AX1008" s="27"/>
      <c r="AY1008" s="27"/>
      <c r="BK1008" s="27"/>
      <c r="BL1008" s="27"/>
      <c r="BX1008" s="27"/>
      <c r="BY1008" s="27"/>
      <c r="CH1008" s="29"/>
    </row>
    <row r="1009" spans="1:86" x14ac:dyDescent="0.2">
      <c r="A1009" s="18">
        <v>10009</v>
      </c>
      <c r="B1009" s="19">
        <v>12</v>
      </c>
      <c r="C1009" s="19">
        <f t="shared" si="81"/>
        <v>100090012</v>
      </c>
      <c r="D1009" s="23" t="s">
        <v>289</v>
      </c>
      <c r="E1009" s="20" t="s">
        <v>640</v>
      </c>
      <c r="I1009" s="22" t="s">
        <v>206</v>
      </c>
      <c r="J1009" s="22"/>
      <c r="K1009" s="22"/>
      <c r="L1009" s="22"/>
      <c r="M1009" s="22"/>
      <c r="N1009" s="22" t="s">
        <v>163</v>
      </c>
      <c r="O1009" s="22" t="s">
        <v>163</v>
      </c>
      <c r="P1009" s="22"/>
      <c r="Q1009" s="22" t="s">
        <v>2041</v>
      </c>
      <c r="R1009" s="22"/>
      <c r="S1009" s="22"/>
      <c r="T1009" s="22" t="s">
        <v>2714</v>
      </c>
      <c r="U1009" s="116" t="s">
        <v>2757</v>
      </c>
      <c r="V1009" s="22" t="s">
        <v>109</v>
      </c>
      <c r="W1009" s="22" t="s">
        <v>1</v>
      </c>
      <c r="X1009" s="22"/>
      <c r="Z1009" s="22"/>
      <c r="AA1009" s="22"/>
      <c r="AB1009" s="22"/>
      <c r="AC1009" s="22" t="s">
        <v>145</v>
      </c>
      <c r="AD1009" s="22"/>
      <c r="AE1009" s="24"/>
      <c r="AF1009" s="24" t="s">
        <v>2042</v>
      </c>
      <c r="AG1009" s="22"/>
      <c r="AH1009" s="25">
        <v>101093</v>
      </c>
      <c r="AI1009" s="25" t="s">
        <v>267</v>
      </c>
      <c r="AK1009" s="40" t="s">
        <v>637</v>
      </c>
      <c r="AL1009" s="40"/>
      <c r="AX1009" s="27"/>
      <c r="AY1009" s="27"/>
      <c r="BK1009" s="27"/>
      <c r="BL1009" s="27"/>
      <c r="BX1009" s="27"/>
      <c r="BY1009" s="27"/>
      <c r="CH1009" s="29"/>
    </row>
    <row r="1010" spans="1:86" x14ac:dyDescent="0.2">
      <c r="A1010" s="18">
        <v>10009</v>
      </c>
      <c r="B1010" s="19">
        <v>13</v>
      </c>
      <c r="C1010" s="19">
        <f t="shared" si="81"/>
        <v>100090013</v>
      </c>
      <c r="D1010" s="23" t="s">
        <v>289</v>
      </c>
      <c r="E1010" s="20" t="s">
        <v>640</v>
      </c>
      <c r="I1010" s="22" t="s">
        <v>206</v>
      </c>
      <c r="J1010" s="22"/>
      <c r="K1010" s="22"/>
      <c r="L1010" s="22"/>
      <c r="M1010" s="22"/>
      <c r="N1010" s="22" t="s">
        <v>163</v>
      </c>
      <c r="O1010" s="22" t="s">
        <v>163</v>
      </c>
      <c r="P1010" s="22"/>
      <c r="Q1010" s="22" t="s">
        <v>2041</v>
      </c>
      <c r="R1010" s="22"/>
      <c r="S1010" s="22"/>
      <c r="T1010" s="22" t="s">
        <v>2714</v>
      </c>
      <c r="U1010" s="116" t="s">
        <v>2758</v>
      </c>
      <c r="V1010" s="22" t="s">
        <v>109</v>
      </c>
      <c r="W1010" s="22" t="s">
        <v>1</v>
      </c>
      <c r="X1010" s="22"/>
      <c r="Z1010" s="22"/>
      <c r="AA1010" s="22"/>
      <c r="AB1010" s="22"/>
      <c r="AC1010" s="22" t="s">
        <v>145</v>
      </c>
      <c r="AD1010" s="22"/>
      <c r="AE1010" s="24"/>
      <c r="AF1010" s="24" t="s">
        <v>2042</v>
      </c>
      <c r="AG1010" s="22"/>
      <c r="AH1010" s="25">
        <v>101094</v>
      </c>
      <c r="AI1010" s="25" t="s">
        <v>267</v>
      </c>
      <c r="AK1010" s="40" t="s">
        <v>638</v>
      </c>
      <c r="AL1010" s="40"/>
      <c r="AX1010" s="27"/>
      <c r="AY1010" s="27"/>
      <c r="BK1010" s="27"/>
      <c r="BL1010" s="27"/>
      <c r="BX1010" s="27"/>
      <c r="BY1010" s="27"/>
      <c r="CH1010" s="29"/>
    </row>
    <row r="1011" spans="1:86" x14ac:dyDescent="0.2">
      <c r="A1011" s="18">
        <v>10009</v>
      </c>
      <c r="B1011" s="19">
        <v>14</v>
      </c>
      <c r="C1011" s="19">
        <f t="shared" si="81"/>
        <v>100090014</v>
      </c>
      <c r="D1011" s="23" t="s">
        <v>289</v>
      </c>
      <c r="E1011" s="20" t="s">
        <v>640</v>
      </c>
      <c r="I1011" s="22" t="s">
        <v>206</v>
      </c>
      <c r="J1011" s="22"/>
      <c r="K1011" s="22"/>
      <c r="L1011" s="22"/>
      <c r="M1011" s="22"/>
      <c r="N1011" s="22" t="s">
        <v>163</v>
      </c>
      <c r="O1011" s="22" t="s">
        <v>163</v>
      </c>
      <c r="P1011" s="22"/>
      <c r="Q1011" s="22" t="s">
        <v>2041</v>
      </c>
      <c r="R1011" s="22"/>
      <c r="S1011" s="22"/>
      <c r="T1011" s="22" t="s">
        <v>2714</v>
      </c>
      <c r="U1011" s="116" t="s">
        <v>2759</v>
      </c>
      <c r="V1011" s="22" t="s">
        <v>109</v>
      </c>
      <c r="W1011" s="22" t="s">
        <v>1</v>
      </c>
      <c r="X1011" s="22"/>
      <c r="Z1011" s="22"/>
      <c r="AA1011" s="22"/>
      <c r="AB1011" s="22"/>
      <c r="AC1011" s="22" t="s">
        <v>145</v>
      </c>
      <c r="AD1011" s="22"/>
      <c r="AE1011" s="24"/>
      <c r="AF1011" s="24" t="s">
        <v>2042</v>
      </c>
      <c r="AG1011" s="22"/>
      <c r="AH1011" s="25">
        <v>101095</v>
      </c>
      <c r="AI1011" s="25" t="s">
        <v>267</v>
      </c>
      <c r="AK1011" s="40" t="s">
        <v>639</v>
      </c>
      <c r="AL1011" s="40"/>
      <c r="AX1011" s="27"/>
      <c r="AY1011" s="27"/>
      <c r="BK1011" s="27"/>
      <c r="BL1011" s="27"/>
      <c r="BX1011" s="27"/>
      <c r="BY1011" s="27"/>
      <c r="CH1011" s="29"/>
    </row>
    <row r="1012" spans="1:86" x14ac:dyDescent="0.2">
      <c r="A1012" s="18">
        <v>10010</v>
      </c>
      <c r="B1012" s="19">
        <v>10</v>
      </c>
      <c r="C1012" s="19">
        <f t="shared" si="81"/>
        <v>100100010</v>
      </c>
      <c r="D1012" s="23" t="s">
        <v>290</v>
      </c>
      <c r="E1012" s="20" t="s">
        <v>640</v>
      </c>
      <c r="I1012" s="22" t="s">
        <v>206</v>
      </c>
      <c r="J1012" s="22"/>
      <c r="K1012" s="22"/>
      <c r="L1012" s="22"/>
      <c r="M1012" s="22"/>
      <c r="N1012" s="22" t="s">
        <v>163</v>
      </c>
      <c r="O1012" s="22" t="s">
        <v>163</v>
      </c>
      <c r="P1012" s="22"/>
      <c r="Q1012" s="22" t="s">
        <v>2041</v>
      </c>
      <c r="R1012" s="22"/>
      <c r="S1012" s="22"/>
      <c r="T1012" s="22" t="s">
        <v>2714</v>
      </c>
      <c r="U1012" s="116" t="s">
        <v>2760</v>
      </c>
      <c r="V1012" s="22" t="s">
        <v>109</v>
      </c>
      <c r="W1012" s="22" t="s">
        <v>1</v>
      </c>
      <c r="X1012" s="22"/>
      <c r="Z1012" s="22"/>
      <c r="AA1012" s="22"/>
      <c r="AB1012" s="22"/>
      <c r="AC1012" s="22" t="s">
        <v>146</v>
      </c>
      <c r="AD1012" s="22"/>
      <c r="AE1012" s="24"/>
      <c r="AF1012" s="24" t="s">
        <v>2042</v>
      </c>
      <c r="AG1012" s="22"/>
      <c r="AH1012" s="25">
        <v>101101</v>
      </c>
      <c r="AI1012" s="25" t="s">
        <v>267</v>
      </c>
      <c r="AK1012" s="40" t="s">
        <v>635</v>
      </c>
      <c r="AL1012" s="40"/>
      <c r="AX1012" s="27"/>
      <c r="AY1012" s="27"/>
      <c r="BK1012" s="27"/>
      <c r="BL1012" s="27"/>
      <c r="BX1012" s="27"/>
      <c r="BY1012" s="27"/>
      <c r="CH1012" s="29"/>
    </row>
    <row r="1013" spans="1:86" x14ac:dyDescent="0.2">
      <c r="A1013" s="18">
        <v>10010</v>
      </c>
      <c r="B1013" s="19">
        <v>11</v>
      </c>
      <c r="C1013" s="19">
        <f t="shared" si="81"/>
        <v>100100011</v>
      </c>
      <c r="D1013" s="23" t="s">
        <v>290</v>
      </c>
      <c r="E1013" s="20" t="s">
        <v>640</v>
      </c>
      <c r="I1013" s="22" t="s">
        <v>206</v>
      </c>
      <c r="J1013" s="22"/>
      <c r="K1013" s="22"/>
      <c r="L1013" s="22"/>
      <c r="M1013" s="22"/>
      <c r="N1013" s="22" t="s">
        <v>163</v>
      </c>
      <c r="O1013" s="22" t="s">
        <v>163</v>
      </c>
      <c r="P1013" s="22"/>
      <c r="Q1013" s="22" t="s">
        <v>2041</v>
      </c>
      <c r="R1013" s="22"/>
      <c r="S1013" s="22"/>
      <c r="T1013" s="22" t="s">
        <v>2714</v>
      </c>
      <c r="U1013" s="116" t="s">
        <v>2761</v>
      </c>
      <c r="V1013" s="22" t="s">
        <v>109</v>
      </c>
      <c r="W1013" s="22" t="s">
        <v>1</v>
      </c>
      <c r="X1013" s="22"/>
      <c r="Z1013" s="22"/>
      <c r="AA1013" s="22"/>
      <c r="AB1013" s="22"/>
      <c r="AC1013" s="22" t="s">
        <v>146</v>
      </c>
      <c r="AD1013" s="22"/>
      <c r="AE1013" s="24"/>
      <c r="AF1013" s="24" t="s">
        <v>2042</v>
      </c>
      <c r="AG1013" s="22"/>
      <c r="AH1013" s="25">
        <v>101102</v>
      </c>
      <c r="AI1013" s="25" t="s">
        <v>267</v>
      </c>
      <c r="AK1013" s="40" t="s">
        <v>636</v>
      </c>
      <c r="AL1013" s="40"/>
      <c r="AX1013" s="27"/>
      <c r="AY1013" s="27"/>
      <c r="BK1013" s="27"/>
      <c r="BL1013" s="27"/>
      <c r="BX1013" s="27"/>
      <c r="BY1013" s="27"/>
      <c r="CH1013" s="29"/>
    </row>
    <row r="1014" spans="1:86" x14ac:dyDescent="0.2">
      <c r="A1014" s="18">
        <v>10010</v>
      </c>
      <c r="B1014" s="19">
        <v>12</v>
      </c>
      <c r="C1014" s="19">
        <f t="shared" si="81"/>
        <v>100100012</v>
      </c>
      <c r="D1014" s="23" t="s">
        <v>290</v>
      </c>
      <c r="E1014" s="20" t="s">
        <v>640</v>
      </c>
      <c r="I1014" s="22" t="s">
        <v>206</v>
      </c>
      <c r="J1014" s="22"/>
      <c r="K1014" s="22"/>
      <c r="L1014" s="22"/>
      <c r="M1014" s="22"/>
      <c r="N1014" s="22" t="s">
        <v>163</v>
      </c>
      <c r="O1014" s="22" t="s">
        <v>163</v>
      </c>
      <c r="P1014" s="22"/>
      <c r="Q1014" s="22" t="s">
        <v>2041</v>
      </c>
      <c r="R1014" s="22"/>
      <c r="S1014" s="22"/>
      <c r="T1014" s="22" t="s">
        <v>2714</v>
      </c>
      <c r="U1014" s="116" t="s">
        <v>2762</v>
      </c>
      <c r="V1014" s="22" t="s">
        <v>109</v>
      </c>
      <c r="W1014" s="22" t="s">
        <v>1</v>
      </c>
      <c r="X1014" s="22"/>
      <c r="Z1014" s="22"/>
      <c r="AA1014" s="22"/>
      <c r="AB1014" s="22"/>
      <c r="AC1014" s="22" t="s">
        <v>146</v>
      </c>
      <c r="AD1014" s="22"/>
      <c r="AE1014" s="24"/>
      <c r="AF1014" s="24" t="s">
        <v>2042</v>
      </c>
      <c r="AG1014" s="22"/>
      <c r="AH1014" s="25">
        <v>101103</v>
      </c>
      <c r="AI1014" s="25" t="s">
        <v>267</v>
      </c>
      <c r="AK1014" s="40" t="s">
        <v>637</v>
      </c>
      <c r="AL1014" s="40"/>
      <c r="AX1014" s="27"/>
      <c r="AY1014" s="27"/>
      <c r="BK1014" s="27"/>
      <c r="BL1014" s="27"/>
      <c r="BX1014" s="27"/>
      <c r="BY1014" s="27"/>
      <c r="CH1014" s="29"/>
    </row>
    <row r="1015" spans="1:86" x14ac:dyDescent="0.2">
      <c r="A1015" s="18">
        <v>10010</v>
      </c>
      <c r="B1015" s="19">
        <v>13</v>
      </c>
      <c r="C1015" s="19">
        <f t="shared" si="81"/>
        <v>100100013</v>
      </c>
      <c r="D1015" s="23" t="s">
        <v>290</v>
      </c>
      <c r="E1015" s="20" t="s">
        <v>640</v>
      </c>
      <c r="I1015" s="22" t="s">
        <v>206</v>
      </c>
      <c r="J1015" s="22"/>
      <c r="K1015" s="22"/>
      <c r="L1015" s="22"/>
      <c r="M1015" s="22"/>
      <c r="N1015" s="22" t="s">
        <v>163</v>
      </c>
      <c r="O1015" s="22" t="s">
        <v>163</v>
      </c>
      <c r="P1015" s="22"/>
      <c r="Q1015" s="22" t="s">
        <v>2041</v>
      </c>
      <c r="R1015" s="22"/>
      <c r="S1015" s="22"/>
      <c r="T1015" s="22" t="s">
        <v>2714</v>
      </c>
      <c r="U1015" s="116" t="s">
        <v>2763</v>
      </c>
      <c r="V1015" s="22" t="s">
        <v>109</v>
      </c>
      <c r="W1015" s="22" t="s">
        <v>1</v>
      </c>
      <c r="X1015" s="22"/>
      <c r="Z1015" s="22"/>
      <c r="AA1015" s="22"/>
      <c r="AB1015" s="22"/>
      <c r="AC1015" s="22" t="s">
        <v>146</v>
      </c>
      <c r="AD1015" s="22"/>
      <c r="AE1015" s="24"/>
      <c r="AF1015" s="24" t="s">
        <v>2042</v>
      </c>
      <c r="AG1015" s="22"/>
      <c r="AH1015" s="25">
        <v>101104</v>
      </c>
      <c r="AI1015" s="25" t="s">
        <v>267</v>
      </c>
      <c r="AK1015" s="40" t="s">
        <v>638</v>
      </c>
      <c r="AL1015" s="40"/>
      <c r="AX1015" s="27"/>
      <c r="AY1015" s="27"/>
      <c r="BK1015" s="27"/>
      <c r="BL1015" s="27"/>
      <c r="BX1015" s="27"/>
      <c r="BY1015" s="27"/>
      <c r="CH1015" s="29"/>
    </row>
    <row r="1016" spans="1:86" x14ac:dyDescent="0.2">
      <c r="A1016" s="18">
        <v>10010</v>
      </c>
      <c r="B1016" s="19">
        <v>14</v>
      </c>
      <c r="C1016" s="19">
        <f t="shared" si="81"/>
        <v>100100014</v>
      </c>
      <c r="D1016" s="23" t="s">
        <v>290</v>
      </c>
      <c r="E1016" s="20" t="s">
        <v>640</v>
      </c>
      <c r="I1016" s="22" t="s">
        <v>206</v>
      </c>
      <c r="J1016" s="22"/>
      <c r="K1016" s="22"/>
      <c r="L1016" s="22"/>
      <c r="M1016" s="22"/>
      <c r="N1016" s="22" t="s">
        <v>163</v>
      </c>
      <c r="O1016" s="22" t="s">
        <v>163</v>
      </c>
      <c r="P1016" s="22"/>
      <c r="Q1016" s="22" t="s">
        <v>2041</v>
      </c>
      <c r="R1016" s="22"/>
      <c r="S1016" s="22"/>
      <c r="T1016" s="22" t="s">
        <v>2714</v>
      </c>
      <c r="U1016" s="116" t="s">
        <v>2764</v>
      </c>
      <c r="V1016" s="22" t="s">
        <v>109</v>
      </c>
      <c r="W1016" s="22" t="s">
        <v>1</v>
      </c>
      <c r="X1016" s="22"/>
      <c r="Z1016" s="22"/>
      <c r="AA1016" s="22"/>
      <c r="AB1016" s="22"/>
      <c r="AC1016" s="22" t="s">
        <v>146</v>
      </c>
      <c r="AD1016" s="22"/>
      <c r="AE1016" s="24"/>
      <c r="AF1016" s="24" t="s">
        <v>2042</v>
      </c>
      <c r="AG1016" s="22"/>
      <c r="AH1016" s="25">
        <v>101105</v>
      </c>
      <c r="AI1016" s="25" t="s">
        <v>267</v>
      </c>
      <c r="AK1016" s="40" t="s">
        <v>639</v>
      </c>
      <c r="AL1016" s="40"/>
      <c r="AX1016" s="27"/>
      <c r="AY1016" s="27"/>
      <c r="BK1016" s="27"/>
      <c r="BL1016" s="27"/>
      <c r="BX1016" s="27"/>
      <c r="BY1016" s="27"/>
      <c r="CH1016" s="29"/>
    </row>
    <row r="1017" spans="1:86" x14ac:dyDescent="0.2">
      <c r="A1017" s="18">
        <v>10011</v>
      </c>
      <c r="B1017" s="19">
        <v>10</v>
      </c>
      <c r="C1017" s="19">
        <f t="shared" si="81"/>
        <v>100110010</v>
      </c>
      <c r="D1017" s="23" t="s">
        <v>291</v>
      </c>
      <c r="E1017" s="20" t="s">
        <v>640</v>
      </c>
      <c r="I1017" s="22" t="s">
        <v>206</v>
      </c>
      <c r="J1017" s="22"/>
      <c r="K1017" s="22"/>
      <c r="L1017" s="22"/>
      <c r="M1017" s="22"/>
      <c r="N1017" s="22" t="s">
        <v>163</v>
      </c>
      <c r="O1017" s="22" t="s">
        <v>163</v>
      </c>
      <c r="P1017" s="22"/>
      <c r="Q1017" s="22" t="s">
        <v>2041</v>
      </c>
      <c r="R1017" s="22"/>
      <c r="S1017" s="22"/>
      <c r="T1017" s="22" t="s">
        <v>2714</v>
      </c>
      <c r="U1017" s="116" t="s">
        <v>2765</v>
      </c>
      <c r="V1017" s="22" t="s">
        <v>109</v>
      </c>
      <c r="W1017" s="22" t="s">
        <v>1</v>
      </c>
      <c r="X1017" s="22"/>
      <c r="Z1017" s="22"/>
      <c r="AA1017" s="22"/>
      <c r="AB1017" s="22"/>
      <c r="AC1017" s="22" t="s">
        <v>175</v>
      </c>
      <c r="AD1017" s="22"/>
      <c r="AE1017" s="24"/>
      <c r="AF1017" s="24" t="s">
        <v>2042</v>
      </c>
      <c r="AG1017" s="22"/>
      <c r="AH1017" s="25">
        <v>101111</v>
      </c>
      <c r="AI1017" s="25" t="s">
        <v>267</v>
      </c>
      <c r="AK1017" s="40" t="s">
        <v>635</v>
      </c>
      <c r="AL1017" s="40"/>
      <c r="AX1017" s="27"/>
      <c r="AY1017" s="27"/>
      <c r="BK1017" s="27"/>
      <c r="BL1017" s="27"/>
      <c r="BX1017" s="27"/>
      <c r="BY1017" s="27"/>
      <c r="CH1017" s="29"/>
    </row>
    <row r="1018" spans="1:86" x14ac:dyDescent="0.2">
      <c r="A1018" s="18">
        <v>10011</v>
      </c>
      <c r="B1018" s="19">
        <v>11</v>
      </c>
      <c r="C1018" s="19">
        <f t="shared" si="81"/>
        <v>100110011</v>
      </c>
      <c r="D1018" s="23" t="s">
        <v>291</v>
      </c>
      <c r="E1018" s="20" t="s">
        <v>640</v>
      </c>
      <c r="I1018" s="22" t="s">
        <v>206</v>
      </c>
      <c r="J1018" s="22"/>
      <c r="K1018" s="22"/>
      <c r="L1018" s="22"/>
      <c r="M1018" s="22"/>
      <c r="N1018" s="22" t="s">
        <v>163</v>
      </c>
      <c r="O1018" s="22" t="s">
        <v>163</v>
      </c>
      <c r="P1018" s="22"/>
      <c r="Q1018" s="22" t="s">
        <v>2041</v>
      </c>
      <c r="R1018" s="22"/>
      <c r="S1018" s="22"/>
      <c r="T1018" s="22" t="s">
        <v>2714</v>
      </c>
      <c r="U1018" s="116" t="s">
        <v>2766</v>
      </c>
      <c r="V1018" s="22" t="s">
        <v>109</v>
      </c>
      <c r="W1018" s="22" t="s">
        <v>1</v>
      </c>
      <c r="X1018" s="22"/>
      <c r="Z1018" s="22"/>
      <c r="AA1018" s="22"/>
      <c r="AB1018" s="22"/>
      <c r="AC1018" s="22" t="s">
        <v>175</v>
      </c>
      <c r="AD1018" s="22"/>
      <c r="AE1018" s="24"/>
      <c r="AF1018" s="24" t="s">
        <v>2042</v>
      </c>
      <c r="AG1018" s="22"/>
      <c r="AH1018" s="25">
        <v>101112</v>
      </c>
      <c r="AI1018" s="25" t="s">
        <v>267</v>
      </c>
      <c r="AK1018" s="40" t="s">
        <v>636</v>
      </c>
      <c r="AL1018" s="40"/>
      <c r="AX1018" s="27"/>
      <c r="AY1018" s="27"/>
      <c r="BK1018" s="27"/>
      <c r="BL1018" s="27"/>
      <c r="BX1018" s="27"/>
      <c r="BY1018" s="27"/>
      <c r="CH1018" s="29"/>
    </row>
    <row r="1019" spans="1:86" x14ac:dyDescent="0.2">
      <c r="A1019" s="18">
        <v>10011</v>
      </c>
      <c r="B1019" s="19">
        <v>12</v>
      </c>
      <c r="C1019" s="19">
        <f t="shared" si="81"/>
        <v>100110012</v>
      </c>
      <c r="D1019" s="23" t="s">
        <v>291</v>
      </c>
      <c r="E1019" s="20" t="s">
        <v>640</v>
      </c>
      <c r="I1019" s="22" t="s">
        <v>206</v>
      </c>
      <c r="J1019" s="22"/>
      <c r="K1019" s="22"/>
      <c r="L1019" s="22"/>
      <c r="M1019" s="22"/>
      <c r="N1019" s="22" t="s">
        <v>163</v>
      </c>
      <c r="O1019" s="22" t="s">
        <v>163</v>
      </c>
      <c r="P1019" s="22"/>
      <c r="Q1019" s="22" t="s">
        <v>2041</v>
      </c>
      <c r="R1019" s="22"/>
      <c r="S1019" s="22"/>
      <c r="T1019" s="22" t="s">
        <v>2714</v>
      </c>
      <c r="U1019" s="116" t="s">
        <v>2767</v>
      </c>
      <c r="V1019" s="22" t="s">
        <v>109</v>
      </c>
      <c r="W1019" s="22" t="s">
        <v>1</v>
      </c>
      <c r="X1019" s="22"/>
      <c r="Z1019" s="22"/>
      <c r="AA1019" s="22"/>
      <c r="AB1019" s="22"/>
      <c r="AC1019" s="22" t="s">
        <v>175</v>
      </c>
      <c r="AD1019" s="22"/>
      <c r="AE1019" s="24"/>
      <c r="AF1019" s="24" t="s">
        <v>2042</v>
      </c>
      <c r="AG1019" s="22"/>
      <c r="AH1019" s="25">
        <v>101113</v>
      </c>
      <c r="AI1019" s="25" t="s">
        <v>267</v>
      </c>
      <c r="AK1019" s="40" t="s">
        <v>637</v>
      </c>
      <c r="AL1019" s="40"/>
      <c r="AX1019" s="27"/>
      <c r="AY1019" s="27"/>
      <c r="BK1019" s="27"/>
      <c r="BL1019" s="27"/>
      <c r="BX1019" s="27"/>
      <c r="BY1019" s="27"/>
      <c r="CH1019" s="29"/>
    </row>
    <row r="1020" spans="1:86" x14ac:dyDescent="0.2">
      <c r="A1020" s="18">
        <v>10011</v>
      </c>
      <c r="B1020" s="19">
        <v>13</v>
      </c>
      <c r="C1020" s="19">
        <f t="shared" si="81"/>
        <v>100110013</v>
      </c>
      <c r="D1020" s="23" t="s">
        <v>291</v>
      </c>
      <c r="E1020" s="20" t="s">
        <v>640</v>
      </c>
      <c r="I1020" s="22" t="s">
        <v>206</v>
      </c>
      <c r="J1020" s="22"/>
      <c r="K1020" s="22"/>
      <c r="L1020" s="22"/>
      <c r="M1020" s="22"/>
      <c r="N1020" s="22" t="s">
        <v>163</v>
      </c>
      <c r="O1020" s="22" t="s">
        <v>163</v>
      </c>
      <c r="P1020" s="22"/>
      <c r="Q1020" s="22" t="s">
        <v>2041</v>
      </c>
      <c r="R1020" s="22"/>
      <c r="S1020" s="22"/>
      <c r="T1020" s="22" t="s">
        <v>2714</v>
      </c>
      <c r="U1020" s="116" t="s">
        <v>2768</v>
      </c>
      <c r="V1020" s="22" t="s">
        <v>109</v>
      </c>
      <c r="W1020" s="22" t="s">
        <v>1</v>
      </c>
      <c r="X1020" s="22"/>
      <c r="Z1020" s="22"/>
      <c r="AA1020" s="22"/>
      <c r="AB1020" s="22"/>
      <c r="AC1020" s="22" t="s">
        <v>175</v>
      </c>
      <c r="AD1020" s="22"/>
      <c r="AE1020" s="24"/>
      <c r="AF1020" s="24" t="s">
        <v>2042</v>
      </c>
      <c r="AG1020" s="22"/>
      <c r="AH1020" s="25">
        <v>101114</v>
      </c>
      <c r="AI1020" s="25" t="s">
        <v>267</v>
      </c>
      <c r="AK1020" s="40" t="s">
        <v>638</v>
      </c>
      <c r="AL1020" s="40"/>
      <c r="AX1020" s="27"/>
      <c r="AY1020" s="27"/>
      <c r="BK1020" s="27"/>
      <c r="BL1020" s="27"/>
      <c r="BX1020" s="27"/>
      <c r="BY1020" s="27"/>
      <c r="CH1020" s="29"/>
    </row>
    <row r="1021" spans="1:86" x14ac:dyDescent="0.2">
      <c r="A1021" s="18">
        <v>10011</v>
      </c>
      <c r="B1021" s="19">
        <v>14</v>
      </c>
      <c r="C1021" s="19">
        <f t="shared" si="81"/>
        <v>100110014</v>
      </c>
      <c r="D1021" s="23" t="s">
        <v>291</v>
      </c>
      <c r="E1021" s="20" t="s">
        <v>640</v>
      </c>
      <c r="I1021" s="22" t="s">
        <v>206</v>
      </c>
      <c r="J1021" s="22"/>
      <c r="K1021" s="22"/>
      <c r="L1021" s="22"/>
      <c r="M1021" s="22"/>
      <c r="N1021" s="22" t="s">
        <v>163</v>
      </c>
      <c r="O1021" s="22" t="s">
        <v>163</v>
      </c>
      <c r="P1021" s="22"/>
      <c r="Q1021" s="22" t="s">
        <v>2041</v>
      </c>
      <c r="R1021" s="22"/>
      <c r="S1021" s="22"/>
      <c r="T1021" s="22" t="s">
        <v>2714</v>
      </c>
      <c r="U1021" s="116" t="s">
        <v>2769</v>
      </c>
      <c r="V1021" s="22" t="s">
        <v>109</v>
      </c>
      <c r="W1021" s="22" t="s">
        <v>1</v>
      </c>
      <c r="X1021" s="22"/>
      <c r="Z1021" s="22"/>
      <c r="AA1021" s="22"/>
      <c r="AB1021" s="22"/>
      <c r="AC1021" s="22" t="s">
        <v>175</v>
      </c>
      <c r="AD1021" s="22"/>
      <c r="AE1021" s="24"/>
      <c r="AF1021" s="24" t="s">
        <v>2042</v>
      </c>
      <c r="AG1021" s="22"/>
      <c r="AH1021" s="25">
        <v>101115</v>
      </c>
      <c r="AI1021" s="25" t="s">
        <v>267</v>
      </c>
      <c r="AK1021" s="40" t="s">
        <v>639</v>
      </c>
      <c r="AL1021" s="40"/>
      <c r="AX1021" s="27"/>
      <c r="AY1021" s="27"/>
      <c r="BK1021" s="27"/>
      <c r="BL1021" s="27"/>
      <c r="BX1021" s="27"/>
      <c r="BY1021" s="27"/>
      <c r="CH1021" s="29"/>
    </row>
    <row r="1022" spans="1:86" x14ac:dyDescent="0.2">
      <c r="A1022" s="18">
        <v>10012</v>
      </c>
      <c r="B1022" s="19">
        <v>10</v>
      </c>
      <c r="C1022" s="19">
        <f t="shared" si="81"/>
        <v>100120010</v>
      </c>
      <c r="D1022" s="23" t="s">
        <v>292</v>
      </c>
      <c r="E1022" s="20" t="s">
        <v>640</v>
      </c>
      <c r="I1022" s="22" t="s">
        <v>206</v>
      </c>
      <c r="J1022" s="22"/>
      <c r="K1022" s="22"/>
      <c r="L1022" s="22"/>
      <c r="M1022" s="22"/>
      <c r="N1022" s="22" t="s">
        <v>163</v>
      </c>
      <c r="O1022" s="22" t="s">
        <v>163</v>
      </c>
      <c r="P1022" s="22"/>
      <c r="Q1022" s="22" t="s">
        <v>2041</v>
      </c>
      <c r="R1022" s="22"/>
      <c r="S1022" s="22"/>
      <c r="T1022" s="22" t="s">
        <v>2714</v>
      </c>
      <c r="U1022" s="116" t="s">
        <v>2770</v>
      </c>
      <c r="V1022" s="22" t="s">
        <v>109</v>
      </c>
      <c r="W1022" s="22" t="s">
        <v>1</v>
      </c>
      <c r="X1022" s="22"/>
      <c r="Z1022" s="22"/>
      <c r="AA1022" s="22"/>
      <c r="AB1022" s="22"/>
      <c r="AC1022" s="22" t="s">
        <v>147</v>
      </c>
      <c r="AD1022" s="22"/>
      <c r="AE1022" s="24"/>
      <c r="AF1022" s="24" t="s">
        <v>2042</v>
      </c>
      <c r="AG1022" s="22"/>
      <c r="AH1022" s="25">
        <v>101121</v>
      </c>
      <c r="AI1022" s="25" t="s">
        <v>267</v>
      </c>
      <c r="AK1022" s="40" t="s">
        <v>635</v>
      </c>
      <c r="AL1022" s="40"/>
      <c r="AX1022" s="27"/>
      <c r="AY1022" s="27"/>
      <c r="BK1022" s="27"/>
      <c r="BL1022" s="27"/>
      <c r="BX1022" s="27"/>
      <c r="BY1022" s="27"/>
      <c r="CH1022" s="29"/>
    </row>
    <row r="1023" spans="1:86" x14ac:dyDescent="0.2">
      <c r="A1023" s="18">
        <v>10012</v>
      </c>
      <c r="B1023" s="19">
        <v>11</v>
      </c>
      <c r="C1023" s="19">
        <f t="shared" si="81"/>
        <v>100120011</v>
      </c>
      <c r="D1023" s="23" t="s">
        <v>292</v>
      </c>
      <c r="E1023" s="20" t="s">
        <v>640</v>
      </c>
      <c r="I1023" s="22" t="s">
        <v>206</v>
      </c>
      <c r="J1023" s="22"/>
      <c r="K1023" s="22"/>
      <c r="L1023" s="22"/>
      <c r="M1023" s="22"/>
      <c r="N1023" s="22" t="s">
        <v>163</v>
      </c>
      <c r="O1023" s="22" t="s">
        <v>163</v>
      </c>
      <c r="P1023" s="22"/>
      <c r="Q1023" s="22" t="s">
        <v>2041</v>
      </c>
      <c r="R1023" s="22"/>
      <c r="S1023" s="22"/>
      <c r="T1023" s="22" t="s">
        <v>2714</v>
      </c>
      <c r="U1023" s="116" t="s">
        <v>2771</v>
      </c>
      <c r="V1023" s="22" t="s">
        <v>109</v>
      </c>
      <c r="W1023" s="22" t="s">
        <v>1</v>
      </c>
      <c r="X1023" s="22"/>
      <c r="Z1023" s="22"/>
      <c r="AA1023" s="22"/>
      <c r="AB1023" s="22"/>
      <c r="AC1023" s="22" t="s">
        <v>147</v>
      </c>
      <c r="AD1023" s="22"/>
      <c r="AE1023" s="24"/>
      <c r="AF1023" s="24" t="s">
        <v>2042</v>
      </c>
      <c r="AG1023" s="22"/>
      <c r="AH1023" s="25">
        <v>101122</v>
      </c>
      <c r="AI1023" s="25" t="s">
        <v>267</v>
      </c>
      <c r="AK1023" s="40" t="s">
        <v>636</v>
      </c>
      <c r="AL1023" s="40"/>
      <c r="AX1023" s="27"/>
      <c r="AY1023" s="27"/>
      <c r="BK1023" s="27"/>
      <c r="BL1023" s="27"/>
      <c r="BX1023" s="27"/>
      <c r="BY1023" s="27"/>
      <c r="CH1023" s="29"/>
    </row>
    <row r="1024" spans="1:86" x14ac:dyDescent="0.2">
      <c r="A1024" s="18">
        <v>10012</v>
      </c>
      <c r="B1024" s="19">
        <v>12</v>
      </c>
      <c r="C1024" s="19">
        <f t="shared" si="81"/>
        <v>100120012</v>
      </c>
      <c r="D1024" s="23" t="s">
        <v>292</v>
      </c>
      <c r="E1024" s="20" t="s">
        <v>640</v>
      </c>
      <c r="I1024" s="22" t="s">
        <v>206</v>
      </c>
      <c r="J1024" s="22"/>
      <c r="K1024" s="22"/>
      <c r="L1024" s="22"/>
      <c r="M1024" s="22"/>
      <c r="N1024" s="22" t="s">
        <v>163</v>
      </c>
      <c r="O1024" s="22" t="s">
        <v>163</v>
      </c>
      <c r="P1024" s="22"/>
      <c r="Q1024" s="22" t="s">
        <v>2041</v>
      </c>
      <c r="R1024" s="22"/>
      <c r="S1024" s="22"/>
      <c r="T1024" s="22" t="s">
        <v>2714</v>
      </c>
      <c r="U1024" s="116" t="s">
        <v>2772</v>
      </c>
      <c r="V1024" s="22" t="s">
        <v>109</v>
      </c>
      <c r="W1024" s="22" t="s">
        <v>1</v>
      </c>
      <c r="X1024" s="22"/>
      <c r="Z1024" s="22"/>
      <c r="AA1024" s="22"/>
      <c r="AB1024" s="22"/>
      <c r="AC1024" s="22" t="s">
        <v>147</v>
      </c>
      <c r="AD1024" s="22"/>
      <c r="AE1024" s="24"/>
      <c r="AF1024" s="24" t="s">
        <v>2042</v>
      </c>
      <c r="AG1024" s="22"/>
      <c r="AH1024" s="25">
        <v>101123</v>
      </c>
      <c r="AI1024" s="25" t="s">
        <v>267</v>
      </c>
      <c r="AK1024" s="40" t="s">
        <v>637</v>
      </c>
      <c r="AL1024" s="40"/>
      <c r="AX1024" s="27"/>
      <c r="AY1024" s="27"/>
      <c r="BK1024" s="27"/>
      <c r="BL1024" s="27"/>
      <c r="BX1024" s="27"/>
      <c r="BY1024" s="27"/>
      <c r="CH1024" s="29"/>
    </row>
    <row r="1025" spans="1:86" x14ac:dyDescent="0.2">
      <c r="A1025" s="18">
        <v>10012</v>
      </c>
      <c r="B1025" s="19">
        <v>13</v>
      </c>
      <c r="C1025" s="19">
        <f t="shared" si="81"/>
        <v>100120013</v>
      </c>
      <c r="D1025" s="23" t="s">
        <v>292</v>
      </c>
      <c r="E1025" s="20" t="s">
        <v>640</v>
      </c>
      <c r="I1025" s="22" t="s">
        <v>206</v>
      </c>
      <c r="J1025" s="22"/>
      <c r="K1025" s="22"/>
      <c r="L1025" s="22"/>
      <c r="M1025" s="22"/>
      <c r="N1025" s="22" t="s">
        <v>163</v>
      </c>
      <c r="O1025" s="22" t="s">
        <v>163</v>
      </c>
      <c r="P1025" s="22"/>
      <c r="Q1025" s="22" t="s">
        <v>2041</v>
      </c>
      <c r="R1025" s="22"/>
      <c r="S1025" s="22"/>
      <c r="T1025" s="22" t="s">
        <v>2714</v>
      </c>
      <c r="U1025" s="116" t="s">
        <v>2773</v>
      </c>
      <c r="V1025" s="22" t="s">
        <v>109</v>
      </c>
      <c r="W1025" s="22" t="s">
        <v>1</v>
      </c>
      <c r="X1025" s="22"/>
      <c r="Z1025" s="22"/>
      <c r="AA1025" s="22"/>
      <c r="AB1025" s="22"/>
      <c r="AC1025" s="22" t="s">
        <v>147</v>
      </c>
      <c r="AD1025" s="22"/>
      <c r="AE1025" s="24"/>
      <c r="AF1025" s="24" t="s">
        <v>2042</v>
      </c>
      <c r="AG1025" s="22"/>
      <c r="AH1025" s="25">
        <v>101124</v>
      </c>
      <c r="AI1025" s="25" t="s">
        <v>267</v>
      </c>
      <c r="AK1025" s="40" t="s">
        <v>638</v>
      </c>
      <c r="AL1025" s="40"/>
      <c r="AX1025" s="27"/>
      <c r="AY1025" s="27"/>
      <c r="BK1025" s="27"/>
      <c r="BL1025" s="27"/>
      <c r="BX1025" s="27"/>
      <c r="BY1025" s="27"/>
      <c r="CH1025" s="29"/>
    </row>
    <row r="1026" spans="1:86" x14ac:dyDescent="0.2">
      <c r="A1026" s="18">
        <v>10012</v>
      </c>
      <c r="B1026" s="19">
        <v>14</v>
      </c>
      <c r="C1026" s="19">
        <f t="shared" si="81"/>
        <v>100120014</v>
      </c>
      <c r="D1026" s="23" t="s">
        <v>292</v>
      </c>
      <c r="E1026" s="20" t="s">
        <v>1424</v>
      </c>
      <c r="I1026" s="22" t="s">
        <v>206</v>
      </c>
      <c r="J1026" s="22"/>
      <c r="K1026" s="22"/>
      <c r="L1026" s="22"/>
      <c r="M1026" s="22"/>
      <c r="N1026" s="22" t="s">
        <v>163</v>
      </c>
      <c r="O1026" s="22" t="s">
        <v>163</v>
      </c>
      <c r="P1026" s="22"/>
      <c r="Q1026" s="22" t="s">
        <v>2041</v>
      </c>
      <c r="R1026" s="22"/>
      <c r="S1026" s="22"/>
      <c r="T1026" s="22" t="s">
        <v>2714</v>
      </c>
      <c r="U1026" s="116" t="s">
        <v>2774</v>
      </c>
      <c r="V1026" s="22" t="s">
        <v>109</v>
      </c>
      <c r="W1026" s="22" t="s">
        <v>1</v>
      </c>
      <c r="X1026" s="22"/>
      <c r="Z1026" s="22"/>
      <c r="AA1026" s="22"/>
      <c r="AB1026" s="22"/>
      <c r="AC1026" s="22" t="s">
        <v>147</v>
      </c>
      <c r="AD1026" s="22"/>
      <c r="AE1026" s="24"/>
      <c r="AF1026" s="24" t="s">
        <v>2042</v>
      </c>
      <c r="AG1026" s="22"/>
      <c r="AH1026" s="25">
        <v>101125</v>
      </c>
      <c r="AI1026" s="25" t="s">
        <v>267</v>
      </c>
      <c r="AK1026" s="40" t="s">
        <v>639</v>
      </c>
      <c r="AL1026" s="40"/>
      <c r="AX1026" s="27"/>
      <c r="AY1026" s="27"/>
      <c r="BK1026" s="27"/>
      <c r="BL1026" s="27"/>
      <c r="BX1026" s="27"/>
      <c r="BY1026" s="27"/>
      <c r="CH1026" s="29"/>
    </row>
    <row r="1027" spans="1:86" x14ac:dyDescent="0.2">
      <c r="A1027" s="18">
        <v>10013</v>
      </c>
      <c r="B1027" s="19">
        <v>10</v>
      </c>
      <c r="C1027" s="19">
        <f t="shared" si="81"/>
        <v>100130010</v>
      </c>
      <c r="D1027" s="23" t="s">
        <v>293</v>
      </c>
      <c r="E1027" s="20" t="s">
        <v>640</v>
      </c>
      <c r="I1027" s="22" t="s">
        <v>206</v>
      </c>
      <c r="J1027" s="22"/>
      <c r="K1027" s="22"/>
      <c r="L1027" s="22"/>
      <c r="M1027" s="22"/>
      <c r="N1027" s="22" t="s">
        <v>163</v>
      </c>
      <c r="O1027" s="22" t="s">
        <v>163</v>
      </c>
      <c r="P1027" s="22"/>
      <c r="Q1027" s="22" t="s">
        <v>2041</v>
      </c>
      <c r="R1027" s="22"/>
      <c r="S1027" s="22"/>
      <c r="T1027" s="22" t="s">
        <v>2714</v>
      </c>
      <c r="U1027" s="116" t="s">
        <v>2775</v>
      </c>
      <c r="V1027" s="22" t="s">
        <v>109</v>
      </c>
      <c r="W1027" s="22" t="s">
        <v>1</v>
      </c>
      <c r="X1027" s="22"/>
      <c r="Z1027" s="22"/>
      <c r="AA1027" s="22"/>
      <c r="AB1027" s="22"/>
      <c r="AC1027" s="22" t="s">
        <v>148</v>
      </c>
      <c r="AD1027" s="22"/>
      <c r="AE1027" s="24"/>
      <c r="AF1027" s="24" t="s">
        <v>2042</v>
      </c>
      <c r="AG1027" s="22"/>
      <c r="AH1027" s="25">
        <v>101131</v>
      </c>
      <c r="AI1027" s="25" t="s">
        <v>267</v>
      </c>
      <c r="AK1027" s="40" t="s">
        <v>635</v>
      </c>
      <c r="AL1027" s="40"/>
      <c r="AX1027" s="27"/>
      <c r="AY1027" s="27"/>
      <c r="BK1027" s="27"/>
      <c r="BL1027" s="27"/>
      <c r="BX1027" s="27"/>
      <c r="BY1027" s="27"/>
      <c r="CH1027" s="29"/>
    </row>
    <row r="1028" spans="1:86" x14ac:dyDescent="0.2">
      <c r="A1028" s="18">
        <v>10013</v>
      </c>
      <c r="B1028" s="19">
        <v>11</v>
      </c>
      <c r="C1028" s="19">
        <f t="shared" si="81"/>
        <v>100130011</v>
      </c>
      <c r="D1028" s="23" t="s">
        <v>293</v>
      </c>
      <c r="E1028" s="20" t="s">
        <v>640</v>
      </c>
      <c r="I1028" s="22" t="s">
        <v>206</v>
      </c>
      <c r="J1028" s="22"/>
      <c r="K1028" s="22"/>
      <c r="L1028" s="22"/>
      <c r="M1028" s="22"/>
      <c r="N1028" s="22" t="s">
        <v>163</v>
      </c>
      <c r="O1028" s="22" t="s">
        <v>163</v>
      </c>
      <c r="P1028" s="22"/>
      <c r="Q1028" s="22" t="s">
        <v>2041</v>
      </c>
      <c r="R1028" s="22"/>
      <c r="S1028" s="22"/>
      <c r="T1028" s="22" t="s">
        <v>2714</v>
      </c>
      <c r="U1028" s="116" t="s">
        <v>2776</v>
      </c>
      <c r="V1028" s="22" t="s">
        <v>109</v>
      </c>
      <c r="W1028" s="22" t="s">
        <v>1</v>
      </c>
      <c r="X1028" s="22"/>
      <c r="Z1028" s="22"/>
      <c r="AA1028" s="22"/>
      <c r="AB1028" s="22"/>
      <c r="AC1028" s="22" t="s">
        <v>148</v>
      </c>
      <c r="AD1028" s="22"/>
      <c r="AE1028" s="24"/>
      <c r="AF1028" s="24" t="s">
        <v>2042</v>
      </c>
      <c r="AG1028" s="22"/>
      <c r="AH1028" s="25">
        <v>101132</v>
      </c>
      <c r="AI1028" s="25" t="s">
        <v>267</v>
      </c>
      <c r="AK1028" s="40" t="s">
        <v>636</v>
      </c>
      <c r="AL1028" s="40"/>
      <c r="AX1028" s="27"/>
      <c r="AY1028" s="27"/>
      <c r="BK1028" s="27"/>
      <c r="BL1028" s="27"/>
      <c r="BX1028" s="27"/>
      <c r="BY1028" s="27"/>
      <c r="CH1028" s="29"/>
    </row>
    <row r="1029" spans="1:86" x14ac:dyDescent="0.2">
      <c r="A1029" s="18">
        <v>10013</v>
      </c>
      <c r="B1029" s="19">
        <v>12</v>
      </c>
      <c r="C1029" s="19">
        <f t="shared" si="81"/>
        <v>100130012</v>
      </c>
      <c r="D1029" s="23" t="s">
        <v>293</v>
      </c>
      <c r="E1029" s="20" t="s">
        <v>640</v>
      </c>
      <c r="I1029" s="22" t="s">
        <v>206</v>
      </c>
      <c r="J1029" s="22"/>
      <c r="K1029" s="22"/>
      <c r="L1029" s="22"/>
      <c r="M1029" s="22"/>
      <c r="N1029" s="22" t="s">
        <v>163</v>
      </c>
      <c r="O1029" s="22" t="s">
        <v>163</v>
      </c>
      <c r="P1029" s="22"/>
      <c r="Q1029" s="22" t="s">
        <v>2041</v>
      </c>
      <c r="R1029" s="22"/>
      <c r="S1029" s="22"/>
      <c r="T1029" s="22" t="s">
        <v>2714</v>
      </c>
      <c r="U1029" s="116" t="s">
        <v>2777</v>
      </c>
      <c r="V1029" s="22" t="s">
        <v>109</v>
      </c>
      <c r="W1029" s="22" t="s">
        <v>1</v>
      </c>
      <c r="X1029" s="22"/>
      <c r="Z1029" s="22"/>
      <c r="AA1029" s="22"/>
      <c r="AB1029" s="22"/>
      <c r="AC1029" s="22" t="s">
        <v>148</v>
      </c>
      <c r="AD1029" s="22"/>
      <c r="AE1029" s="24"/>
      <c r="AF1029" s="24" t="s">
        <v>2042</v>
      </c>
      <c r="AG1029" s="22"/>
      <c r="AH1029" s="25">
        <v>101133</v>
      </c>
      <c r="AI1029" s="25" t="s">
        <v>267</v>
      </c>
      <c r="AK1029" s="40" t="s">
        <v>637</v>
      </c>
      <c r="AL1029" s="40"/>
      <c r="AX1029" s="27"/>
      <c r="AY1029" s="27"/>
      <c r="BK1029" s="27"/>
      <c r="BL1029" s="27"/>
      <c r="BX1029" s="27"/>
      <c r="BY1029" s="27"/>
      <c r="CH1029" s="29"/>
    </row>
    <row r="1030" spans="1:86" x14ac:dyDescent="0.2">
      <c r="A1030" s="18">
        <v>10013</v>
      </c>
      <c r="B1030" s="19">
        <v>13</v>
      </c>
      <c r="C1030" s="19">
        <f t="shared" si="81"/>
        <v>100130013</v>
      </c>
      <c r="D1030" s="23" t="s">
        <v>293</v>
      </c>
      <c r="E1030" s="20" t="s">
        <v>640</v>
      </c>
      <c r="I1030" s="22" t="s">
        <v>206</v>
      </c>
      <c r="J1030" s="22"/>
      <c r="K1030" s="22"/>
      <c r="L1030" s="22"/>
      <c r="M1030" s="22"/>
      <c r="N1030" s="22" t="s">
        <v>163</v>
      </c>
      <c r="O1030" s="22" t="s">
        <v>163</v>
      </c>
      <c r="P1030" s="22"/>
      <c r="Q1030" s="22" t="s">
        <v>2041</v>
      </c>
      <c r="R1030" s="22"/>
      <c r="S1030" s="22"/>
      <c r="T1030" s="22" t="s">
        <v>2714</v>
      </c>
      <c r="U1030" s="116" t="s">
        <v>2778</v>
      </c>
      <c r="V1030" s="22" t="s">
        <v>109</v>
      </c>
      <c r="W1030" s="22" t="s">
        <v>1</v>
      </c>
      <c r="X1030" s="22"/>
      <c r="Z1030" s="22"/>
      <c r="AA1030" s="22"/>
      <c r="AB1030" s="22"/>
      <c r="AC1030" s="22" t="s">
        <v>148</v>
      </c>
      <c r="AD1030" s="22"/>
      <c r="AE1030" s="24"/>
      <c r="AF1030" s="24" t="s">
        <v>2042</v>
      </c>
      <c r="AG1030" s="22"/>
      <c r="AH1030" s="25">
        <v>101134</v>
      </c>
      <c r="AI1030" s="25" t="s">
        <v>267</v>
      </c>
      <c r="AK1030" s="40" t="s">
        <v>638</v>
      </c>
      <c r="AL1030" s="40"/>
      <c r="AX1030" s="27"/>
      <c r="AY1030" s="27"/>
      <c r="BK1030" s="27"/>
      <c r="BL1030" s="27"/>
      <c r="BX1030" s="27"/>
      <c r="BY1030" s="27"/>
      <c r="CH1030" s="29"/>
    </row>
    <row r="1031" spans="1:86" x14ac:dyDescent="0.2">
      <c r="A1031" s="18">
        <v>10013</v>
      </c>
      <c r="B1031" s="19">
        <v>14</v>
      </c>
      <c r="C1031" s="19">
        <f t="shared" si="81"/>
        <v>100130014</v>
      </c>
      <c r="D1031" s="23" t="s">
        <v>293</v>
      </c>
      <c r="E1031" s="20" t="s">
        <v>640</v>
      </c>
      <c r="I1031" s="22" t="s">
        <v>206</v>
      </c>
      <c r="J1031" s="22"/>
      <c r="K1031" s="22"/>
      <c r="L1031" s="22"/>
      <c r="M1031" s="22"/>
      <c r="N1031" s="22" t="s">
        <v>163</v>
      </c>
      <c r="O1031" s="22" t="s">
        <v>163</v>
      </c>
      <c r="P1031" s="22"/>
      <c r="Q1031" s="22" t="s">
        <v>2041</v>
      </c>
      <c r="R1031" s="22"/>
      <c r="S1031" s="22"/>
      <c r="T1031" s="22" t="s">
        <v>2714</v>
      </c>
      <c r="U1031" s="116" t="s">
        <v>2779</v>
      </c>
      <c r="V1031" s="22" t="s">
        <v>109</v>
      </c>
      <c r="W1031" s="22" t="s">
        <v>1</v>
      </c>
      <c r="X1031" s="22"/>
      <c r="Z1031" s="22"/>
      <c r="AA1031" s="22"/>
      <c r="AB1031" s="22"/>
      <c r="AC1031" s="22" t="s">
        <v>148</v>
      </c>
      <c r="AD1031" s="22"/>
      <c r="AE1031" s="24"/>
      <c r="AF1031" s="24" t="s">
        <v>2042</v>
      </c>
      <c r="AG1031" s="22"/>
      <c r="AH1031" s="25">
        <v>101135</v>
      </c>
      <c r="AI1031" s="25" t="s">
        <v>267</v>
      </c>
      <c r="AK1031" s="40" t="s">
        <v>639</v>
      </c>
      <c r="AL1031" s="40"/>
      <c r="AX1031" s="27"/>
      <c r="AY1031" s="27"/>
      <c r="BK1031" s="27"/>
      <c r="BL1031" s="27"/>
      <c r="BX1031" s="27"/>
      <c r="BY1031" s="27"/>
      <c r="CH1031" s="29"/>
    </row>
    <row r="1032" spans="1:86" x14ac:dyDescent="0.2">
      <c r="A1032" s="18">
        <v>10014</v>
      </c>
      <c r="B1032" s="19">
        <v>10</v>
      </c>
      <c r="C1032" s="19">
        <f t="shared" si="81"/>
        <v>100140010</v>
      </c>
      <c r="D1032" s="23" t="s">
        <v>294</v>
      </c>
      <c r="E1032" s="20" t="s">
        <v>640</v>
      </c>
      <c r="I1032" s="22" t="s">
        <v>206</v>
      </c>
      <c r="J1032" s="22"/>
      <c r="K1032" s="22"/>
      <c r="L1032" s="22"/>
      <c r="M1032" s="22"/>
      <c r="N1032" s="22" t="s">
        <v>163</v>
      </c>
      <c r="O1032" s="22" t="s">
        <v>163</v>
      </c>
      <c r="P1032" s="22"/>
      <c r="Q1032" s="22" t="s">
        <v>2041</v>
      </c>
      <c r="R1032" s="22"/>
      <c r="S1032" s="22"/>
      <c r="T1032" s="22" t="s">
        <v>2714</v>
      </c>
      <c r="U1032" s="116" t="s">
        <v>2780</v>
      </c>
      <c r="V1032" s="22" t="s">
        <v>109</v>
      </c>
      <c r="W1032" s="22" t="s">
        <v>1</v>
      </c>
      <c r="X1032" s="22"/>
      <c r="Z1032" s="22"/>
      <c r="AA1032" s="22"/>
      <c r="AB1032" s="22"/>
      <c r="AC1032" s="22" t="s">
        <v>170</v>
      </c>
      <c r="AD1032" s="22"/>
      <c r="AE1032" s="24"/>
      <c r="AF1032" s="24" t="s">
        <v>2042</v>
      </c>
      <c r="AG1032" s="22"/>
      <c r="AH1032" s="25">
        <v>101141</v>
      </c>
      <c r="AI1032" s="25" t="s">
        <v>267</v>
      </c>
      <c r="AK1032" s="40" t="s">
        <v>635</v>
      </c>
      <c r="AL1032" s="40"/>
      <c r="AX1032" s="27"/>
      <c r="AY1032" s="27"/>
      <c r="BK1032" s="27"/>
      <c r="BL1032" s="27"/>
      <c r="BX1032" s="27"/>
      <c r="BY1032" s="27"/>
      <c r="CH1032" s="29"/>
    </row>
    <row r="1033" spans="1:86" x14ac:dyDescent="0.2">
      <c r="A1033" s="18">
        <v>10014</v>
      </c>
      <c r="B1033" s="19">
        <v>11</v>
      </c>
      <c r="C1033" s="19">
        <f t="shared" si="81"/>
        <v>100140011</v>
      </c>
      <c r="D1033" s="23" t="s">
        <v>294</v>
      </c>
      <c r="E1033" s="20" t="s">
        <v>640</v>
      </c>
      <c r="I1033" s="22" t="s">
        <v>206</v>
      </c>
      <c r="J1033" s="22"/>
      <c r="K1033" s="22"/>
      <c r="L1033" s="22"/>
      <c r="M1033" s="22"/>
      <c r="N1033" s="22" t="s">
        <v>163</v>
      </c>
      <c r="O1033" s="22" t="s">
        <v>163</v>
      </c>
      <c r="P1033" s="22"/>
      <c r="Q1033" s="22" t="s">
        <v>2041</v>
      </c>
      <c r="R1033" s="22"/>
      <c r="S1033" s="22"/>
      <c r="T1033" s="22" t="s">
        <v>2714</v>
      </c>
      <c r="U1033" s="116" t="s">
        <v>2781</v>
      </c>
      <c r="V1033" s="22" t="s">
        <v>109</v>
      </c>
      <c r="W1033" s="22" t="s">
        <v>1</v>
      </c>
      <c r="X1033" s="22"/>
      <c r="Z1033" s="22"/>
      <c r="AA1033" s="22"/>
      <c r="AB1033" s="22"/>
      <c r="AC1033" s="22" t="s">
        <v>170</v>
      </c>
      <c r="AD1033" s="22"/>
      <c r="AE1033" s="24"/>
      <c r="AF1033" s="24" t="s">
        <v>2042</v>
      </c>
      <c r="AG1033" s="22"/>
      <c r="AH1033" s="25">
        <v>101142</v>
      </c>
      <c r="AI1033" s="25" t="s">
        <v>267</v>
      </c>
      <c r="AK1033" s="40" t="s">
        <v>636</v>
      </c>
      <c r="AL1033" s="40"/>
      <c r="AX1033" s="27"/>
      <c r="AY1033" s="27"/>
      <c r="BK1033" s="27"/>
      <c r="BL1033" s="27"/>
      <c r="BX1033" s="27"/>
      <c r="BY1033" s="27"/>
      <c r="CH1033" s="29"/>
    </row>
    <row r="1034" spans="1:86" x14ac:dyDescent="0.2">
      <c r="A1034" s="18">
        <v>10014</v>
      </c>
      <c r="B1034" s="19">
        <v>12</v>
      </c>
      <c r="C1034" s="19">
        <f t="shared" si="81"/>
        <v>100140012</v>
      </c>
      <c r="D1034" s="23" t="s">
        <v>294</v>
      </c>
      <c r="E1034" s="20" t="s">
        <v>640</v>
      </c>
      <c r="I1034" s="22" t="s">
        <v>206</v>
      </c>
      <c r="J1034" s="22"/>
      <c r="K1034" s="22"/>
      <c r="L1034" s="22"/>
      <c r="M1034" s="22"/>
      <c r="N1034" s="22" t="s">
        <v>163</v>
      </c>
      <c r="O1034" s="22" t="s">
        <v>163</v>
      </c>
      <c r="P1034" s="22"/>
      <c r="Q1034" s="22" t="s">
        <v>2041</v>
      </c>
      <c r="R1034" s="22"/>
      <c r="S1034" s="22"/>
      <c r="T1034" s="22" t="s">
        <v>2714</v>
      </c>
      <c r="U1034" s="116" t="s">
        <v>2782</v>
      </c>
      <c r="V1034" s="22" t="s">
        <v>109</v>
      </c>
      <c r="W1034" s="22" t="s">
        <v>1</v>
      </c>
      <c r="X1034" s="22"/>
      <c r="Z1034" s="22"/>
      <c r="AA1034" s="22"/>
      <c r="AB1034" s="22"/>
      <c r="AC1034" s="22" t="s">
        <v>170</v>
      </c>
      <c r="AD1034" s="22"/>
      <c r="AE1034" s="24"/>
      <c r="AF1034" s="24" t="s">
        <v>2042</v>
      </c>
      <c r="AG1034" s="22"/>
      <c r="AH1034" s="25">
        <v>101143</v>
      </c>
      <c r="AI1034" s="25" t="s">
        <v>267</v>
      </c>
      <c r="AK1034" s="40" t="s">
        <v>637</v>
      </c>
      <c r="AL1034" s="40"/>
      <c r="AX1034" s="27"/>
      <c r="AY1034" s="27"/>
      <c r="BK1034" s="27"/>
      <c r="BL1034" s="27"/>
      <c r="BX1034" s="27"/>
      <c r="BY1034" s="27"/>
      <c r="CH1034" s="29"/>
    </row>
    <row r="1035" spans="1:86" x14ac:dyDescent="0.2">
      <c r="A1035" s="18">
        <v>10014</v>
      </c>
      <c r="B1035" s="19">
        <v>13</v>
      </c>
      <c r="C1035" s="19">
        <f t="shared" si="81"/>
        <v>100140013</v>
      </c>
      <c r="D1035" s="23" t="s">
        <v>294</v>
      </c>
      <c r="E1035" s="20" t="s">
        <v>640</v>
      </c>
      <c r="I1035" s="22" t="s">
        <v>206</v>
      </c>
      <c r="J1035" s="22"/>
      <c r="K1035" s="22"/>
      <c r="L1035" s="22"/>
      <c r="M1035" s="22"/>
      <c r="N1035" s="22" t="s">
        <v>163</v>
      </c>
      <c r="O1035" s="22" t="s">
        <v>163</v>
      </c>
      <c r="P1035" s="22"/>
      <c r="Q1035" s="22" t="s">
        <v>2041</v>
      </c>
      <c r="R1035" s="22"/>
      <c r="S1035" s="22"/>
      <c r="T1035" s="22" t="s">
        <v>2714</v>
      </c>
      <c r="U1035" s="116" t="s">
        <v>2783</v>
      </c>
      <c r="V1035" s="22" t="s">
        <v>109</v>
      </c>
      <c r="W1035" s="22" t="s">
        <v>1</v>
      </c>
      <c r="X1035" s="22"/>
      <c r="Z1035" s="22"/>
      <c r="AA1035" s="22"/>
      <c r="AB1035" s="22"/>
      <c r="AC1035" s="22" t="s">
        <v>170</v>
      </c>
      <c r="AD1035" s="22"/>
      <c r="AE1035" s="24"/>
      <c r="AF1035" s="24" t="s">
        <v>2042</v>
      </c>
      <c r="AG1035" s="22"/>
      <c r="AH1035" s="25">
        <v>101144</v>
      </c>
      <c r="AI1035" s="25" t="s">
        <v>267</v>
      </c>
      <c r="AK1035" s="40" t="s">
        <v>638</v>
      </c>
      <c r="AL1035" s="40"/>
      <c r="AX1035" s="27"/>
      <c r="AY1035" s="27"/>
      <c r="BK1035" s="27"/>
      <c r="BL1035" s="27"/>
      <c r="BX1035" s="27"/>
      <c r="BY1035" s="27"/>
      <c r="CH1035" s="29"/>
    </row>
    <row r="1036" spans="1:86" x14ac:dyDescent="0.2">
      <c r="A1036" s="18">
        <v>10014</v>
      </c>
      <c r="B1036" s="19">
        <v>14</v>
      </c>
      <c r="C1036" s="19">
        <f t="shared" si="81"/>
        <v>100140014</v>
      </c>
      <c r="D1036" s="23" t="s">
        <v>294</v>
      </c>
      <c r="E1036" s="20" t="s">
        <v>640</v>
      </c>
      <c r="I1036" s="22" t="s">
        <v>206</v>
      </c>
      <c r="J1036" s="22"/>
      <c r="K1036" s="22"/>
      <c r="L1036" s="22"/>
      <c r="M1036" s="22"/>
      <c r="N1036" s="22" t="s">
        <v>163</v>
      </c>
      <c r="O1036" s="22" t="s">
        <v>163</v>
      </c>
      <c r="P1036" s="22"/>
      <c r="Q1036" s="22" t="s">
        <v>2041</v>
      </c>
      <c r="R1036" s="22"/>
      <c r="S1036" s="22"/>
      <c r="T1036" s="22" t="s">
        <v>2714</v>
      </c>
      <c r="U1036" s="116" t="s">
        <v>2784</v>
      </c>
      <c r="V1036" s="22" t="s">
        <v>109</v>
      </c>
      <c r="W1036" s="22" t="s">
        <v>1</v>
      </c>
      <c r="X1036" s="22"/>
      <c r="Z1036" s="22"/>
      <c r="AA1036" s="22"/>
      <c r="AB1036" s="22"/>
      <c r="AC1036" s="22" t="s">
        <v>170</v>
      </c>
      <c r="AD1036" s="22"/>
      <c r="AE1036" s="24"/>
      <c r="AF1036" s="24" t="s">
        <v>2042</v>
      </c>
      <c r="AG1036" s="22"/>
      <c r="AH1036" s="25">
        <v>101145</v>
      </c>
      <c r="AI1036" s="25" t="s">
        <v>267</v>
      </c>
      <c r="AK1036" s="40" t="s">
        <v>639</v>
      </c>
      <c r="AL1036" s="40"/>
      <c r="AX1036" s="27"/>
      <c r="AY1036" s="27"/>
      <c r="BK1036" s="27"/>
      <c r="BL1036" s="27"/>
      <c r="BX1036" s="27"/>
      <c r="BY1036" s="27"/>
      <c r="CH1036" s="29"/>
    </row>
    <row r="1037" spans="1:86" x14ac:dyDescent="0.2">
      <c r="A1037" s="18">
        <v>10015</v>
      </c>
      <c r="B1037" s="19">
        <v>10</v>
      </c>
      <c r="C1037" s="19">
        <f t="shared" si="81"/>
        <v>100150010</v>
      </c>
      <c r="D1037" s="23" t="s">
        <v>295</v>
      </c>
      <c r="E1037" s="20" t="s">
        <v>640</v>
      </c>
      <c r="I1037" s="22" t="s">
        <v>206</v>
      </c>
      <c r="J1037" s="22"/>
      <c r="K1037" s="22"/>
      <c r="L1037" s="22"/>
      <c r="M1037" s="22"/>
      <c r="N1037" s="22" t="s">
        <v>163</v>
      </c>
      <c r="O1037" s="22" t="s">
        <v>163</v>
      </c>
      <c r="P1037" s="22"/>
      <c r="Q1037" s="22" t="s">
        <v>2041</v>
      </c>
      <c r="R1037" s="22"/>
      <c r="S1037" s="22"/>
      <c r="T1037" s="22" t="s">
        <v>2714</v>
      </c>
      <c r="U1037" s="116" t="s">
        <v>2785</v>
      </c>
      <c r="V1037" s="22" t="s">
        <v>109</v>
      </c>
      <c r="W1037" s="22" t="s">
        <v>1</v>
      </c>
      <c r="X1037" s="22"/>
      <c r="Z1037" s="22"/>
      <c r="AA1037" s="22"/>
      <c r="AB1037" s="22"/>
      <c r="AC1037" s="22" t="s">
        <v>176</v>
      </c>
      <c r="AD1037" s="22"/>
      <c r="AE1037" s="24"/>
      <c r="AF1037" s="24" t="s">
        <v>2042</v>
      </c>
      <c r="AG1037" s="22"/>
      <c r="AH1037" s="25">
        <v>101151</v>
      </c>
      <c r="AI1037" s="25" t="s">
        <v>267</v>
      </c>
      <c r="AK1037" s="40" t="s">
        <v>635</v>
      </c>
      <c r="AL1037" s="40"/>
      <c r="AX1037" s="27"/>
      <c r="AY1037" s="27"/>
      <c r="BK1037" s="27"/>
      <c r="BL1037" s="27"/>
      <c r="BX1037" s="27"/>
      <c r="BY1037" s="27"/>
      <c r="CH1037" s="29"/>
    </row>
    <row r="1038" spans="1:86" x14ac:dyDescent="0.2">
      <c r="A1038" s="18">
        <v>10015</v>
      </c>
      <c r="B1038" s="19">
        <v>11</v>
      </c>
      <c r="C1038" s="19">
        <f t="shared" si="81"/>
        <v>100150011</v>
      </c>
      <c r="D1038" s="23" t="s">
        <v>295</v>
      </c>
      <c r="E1038" s="20" t="s">
        <v>640</v>
      </c>
      <c r="I1038" s="22" t="s">
        <v>206</v>
      </c>
      <c r="J1038" s="22"/>
      <c r="K1038" s="22"/>
      <c r="L1038" s="22"/>
      <c r="M1038" s="22"/>
      <c r="N1038" s="22" t="s">
        <v>163</v>
      </c>
      <c r="O1038" s="22" t="s">
        <v>163</v>
      </c>
      <c r="P1038" s="22"/>
      <c r="Q1038" s="22" t="s">
        <v>2041</v>
      </c>
      <c r="R1038" s="22"/>
      <c r="S1038" s="22"/>
      <c r="T1038" s="22" t="s">
        <v>2714</v>
      </c>
      <c r="U1038" s="116" t="s">
        <v>2786</v>
      </c>
      <c r="V1038" s="22" t="s">
        <v>109</v>
      </c>
      <c r="W1038" s="22" t="s">
        <v>1</v>
      </c>
      <c r="X1038" s="22"/>
      <c r="Z1038" s="22"/>
      <c r="AA1038" s="22"/>
      <c r="AB1038" s="22"/>
      <c r="AC1038" s="22" t="s">
        <v>176</v>
      </c>
      <c r="AD1038" s="22"/>
      <c r="AE1038" s="24"/>
      <c r="AF1038" s="24" t="s">
        <v>2042</v>
      </c>
      <c r="AG1038" s="22"/>
      <c r="AH1038" s="25">
        <v>101152</v>
      </c>
      <c r="AI1038" s="25" t="s">
        <v>267</v>
      </c>
      <c r="AK1038" s="40" t="s">
        <v>636</v>
      </c>
      <c r="AL1038" s="40"/>
      <c r="AX1038" s="27"/>
      <c r="AY1038" s="27"/>
      <c r="BK1038" s="27"/>
      <c r="BL1038" s="27"/>
      <c r="BX1038" s="27"/>
      <c r="BY1038" s="27"/>
      <c r="CH1038" s="29"/>
    </row>
    <row r="1039" spans="1:86" x14ac:dyDescent="0.2">
      <c r="A1039" s="18">
        <v>10015</v>
      </c>
      <c r="B1039" s="19">
        <v>12</v>
      </c>
      <c r="C1039" s="19">
        <f t="shared" si="81"/>
        <v>100150012</v>
      </c>
      <c r="D1039" s="23" t="s">
        <v>295</v>
      </c>
      <c r="E1039" s="20" t="s">
        <v>640</v>
      </c>
      <c r="I1039" s="22" t="s">
        <v>206</v>
      </c>
      <c r="J1039" s="22"/>
      <c r="K1039" s="22"/>
      <c r="L1039" s="22"/>
      <c r="M1039" s="22"/>
      <c r="N1039" s="22" t="s">
        <v>163</v>
      </c>
      <c r="O1039" s="22" t="s">
        <v>163</v>
      </c>
      <c r="P1039" s="22"/>
      <c r="Q1039" s="22" t="s">
        <v>2041</v>
      </c>
      <c r="R1039" s="22"/>
      <c r="S1039" s="22"/>
      <c r="T1039" s="22" t="s">
        <v>2714</v>
      </c>
      <c r="U1039" s="116" t="s">
        <v>2787</v>
      </c>
      <c r="V1039" s="22" t="s">
        <v>109</v>
      </c>
      <c r="W1039" s="22" t="s">
        <v>1</v>
      </c>
      <c r="X1039" s="22"/>
      <c r="Z1039" s="22"/>
      <c r="AA1039" s="22"/>
      <c r="AB1039" s="22"/>
      <c r="AC1039" s="22" t="s">
        <v>176</v>
      </c>
      <c r="AD1039" s="22"/>
      <c r="AE1039" s="24"/>
      <c r="AF1039" s="24" t="s">
        <v>2042</v>
      </c>
      <c r="AG1039" s="22"/>
      <c r="AH1039" s="25">
        <v>101153</v>
      </c>
      <c r="AI1039" s="25" t="s">
        <v>267</v>
      </c>
      <c r="AK1039" s="40" t="s">
        <v>637</v>
      </c>
      <c r="AL1039" s="40"/>
      <c r="AX1039" s="27"/>
      <c r="AY1039" s="27"/>
      <c r="BK1039" s="27"/>
      <c r="BL1039" s="27"/>
      <c r="BX1039" s="27"/>
      <c r="BY1039" s="27"/>
      <c r="CH1039" s="29"/>
    </row>
    <row r="1040" spans="1:86" x14ac:dyDescent="0.2">
      <c r="A1040" s="18">
        <v>10015</v>
      </c>
      <c r="B1040" s="19">
        <v>13</v>
      </c>
      <c r="C1040" s="19">
        <f t="shared" si="81"/>
        <v>100150013</v>
      </c>
      <c r="D1040" s="23" t="s">
        <v>295</v>
      </c>
      <c r="E1040" s="20" t="s">
        <v>640</v>
      </c>
      <c r="I1040" s="22" t="s">
        <v>206</v>
      </c>
      <c r="J1040" s="22"/>
      <c r="K1040" s="22"/>
      <c r="L1040" s="22"/>
      <c r="M1040" s="22"/>
      <c r="N1040" s="22" t="s">
        <v>163</v>
      </c>
      <c r="O1040" s="22" t="s">
        <v>163</v>
      </c>
      <c r="P1040" s="22"/>
      <c r="Q1040" s="22" t="s">
        <v>2041</v>
      </c>
      <c r="R1040" s="22"/>
      <c r="S1040" s="22"/>
      <c r="T1040" s="22" t="s">
        <v>2714</v>
      </c>
      <c r="U1040" s="116" t="s">
        <v>2788</v>
      </c>
      <c r="V1040" s="22" t="s">
        <v>109</v>
      </c>
      <c r="W1040" s="22" t="s">
        <v>1</v>
      </c>
      <c r="X1040" s="22"/>
      <c r="Z1040" s="22"/>
      <c r="AA1040" s="22"/>
      <c r="AB1040" s="22"/>
      <c r="AC1040" s="22" t="s">
        <v>176</v>
      </c>
      <c r="AD1040" s="22"/>
      <c r="AE1040" s="24"/>
      <c r="AF1040" s="24" t="s">
        <v>2042</v>
      </c>
      <c r="AG1040" s="22"/>
      <c r="AH1040" s="25">
        <v>101154</v>
      </c>
      <c r="AI1040" s="25" t="s">
        <v>267</v>
      </c>
      <c r="AK1040" s="40" t="s">
        <v>638</v>
      </c>
      <c r="AL1040" s="40"/>
      <c r="AX1040" s="27"/>
      <c r="AY1040" s="27"/>
      <c r="BK1040" s="27"/>
      <c r="BL1040" s="27"/>
      <c r="BX1040" s="27"/>
      <c r="BY1040" s="27"/>
      <c r="CH1040" s="29"/>
    </row>
    <row r="1041" spans="1:86" x14ac:dyDescent="0.2">
      <c r="A1041" s="18">
        <v>10015</v>
      </c>
      <c r="B1041" s="19">
        <v>14</v>
      </c>
      <c r="C1041" s="19">
        <f t="shared" si="81"/>
        <v>100150014</v>
      </c>
      <c r="D1041" s="23" t="s">
        <v>295</v>
      </c>
      <c r="E1041" s="20" t="s">
        <v>640</v>
      </c>
      <c r="I1041" s="22" t="s">
        <v>206</v>
      </c>
      <c r="J1041" s="22"/>
      <c r="K1041" s="22"/>
      <c r="L1041" s="22"/>
      <c r="M1041" s="22"/>
      <c r="N1041" s="22" t="s">
        <v>163</v>
      </c>
      <c r="O1041" s="22" t="s">
        <v>163</v>
      </c>
      <c r="P1041" s="22"/>
      <c r="Q1041" s="22" t="s">
        <v>2041</v>
      </c>
      <c r="R1041" s="22"/>
      <c r="S1041" s="22"/>
      <c r="T1041" s="22" t="s">
        <v>2714</v>
      </c>
      <c r="U1041" s="116" t="s">
        <v>2789</v>
      </c>
      <c r="V1041" s="22" t="s">
        <v>109</v>
      </c>
      <c r="W1041" s="22" t="s">
        <v>1</v>
      </c>
      <c r="X1041" s="22"/>
      <c r="Z1041" s="22"/>
      <c r="AA1041" s="22"/>
      <c r="AB1041" s="22"/>
      <c r="AC1041" s="22" t="s">
        <v>176</v>
      </c>
      <c r="AD1041" s="22"/>
      <c r="AE1041" s="24"/>
      <c r="AF1041" s="24" t="s">
        <v>2042</v>
      </c>
      <c r="AG1041" s="22"/>
      <c r="AH1041" s="25">
        <v>101155</v>
      </c>
      <c r="AI1041" s="25" t="s">
        <v>267</v>
      </c>
      <c r="AK1041" s="40" t="s">
        <v>639</v>
      </c>
      <c r="AL1041" s="40"/>
      <c r="AX1041" s="27"/>
      <c r="AY1041" s="27"/>
      <c r="BK1041" s="27"/>
      <c r="BL1041" s="27"/>
      <c r="BX1041" s="27"/>
      <c r="BY1041" s="27"/>
      <c r="CH1041" s="29"/>
    </row>
    <row r="1042" spans="1:86" x14ac:dyDescent="0.2">
      <c r="A1042" s="18">
        <v>10016</v>
      </c>
      <c r="B1042" s="19">
        <v>10</v>
      </c>
      <c r="C1042" s="19">
        <f t="shared" si="81"/>
        <v>100160010</v>
      </c>
      <c r="D1042" s="23" t="s">
        <v>296</v>
      </c>
      <c r="E1042" s="20" t="s">
        <v>640</v>
      </c>
      <c r="I1042" s="22" t="s">
        <v>206</v>
      </c>
      <c r="J1042" s="22"/>
      <c r="K1042" s="22"/>
      <c r="L1042" s="22"/>
      <c r="M1042" s="22"/>
      <c r="N1042" s="22" t="s">
        <v>163</v>
      </c>
      <c r="O1042" s="22" t="s">
        <v>163</v>
      </c>
      <c r="P1042" s="22"/>
      <c r="Q1042" s="22" t="s">
        <v>2041</v>
      </c>
      <c r="R1042" s="22"/>
      <c r="S1042" s="22"/>
      <c r="T1042" s="22" t="s">
        <v>2714</v>
      </c>
      <c r="U1042" s="116" t="s">
        <v>2790</v>
      </c>
      <c r="V1042" s="22" t="s">
        <v>109</v>
      </c>
      <c r="W1042" s="22" t="s">
        <v>1</v>
      </c>
      <c r="X1042" s="22"/>
      <c r="Z1042" s="22"/>
      <c r="AA1042" s="22"/>
      <c r="AB1042" s="22"/>
      <c r="AC1042" s="22" t="s">
        <v>138</v>
      </c>
      <c r="AD1042" s="22"/>
      <c r="AE1042" s="24"/>
      <c r="AF1042" s="24" t="s">
        <v>2042</v>
      </c>
      <c r="AG1042" s="22"/>
      <c r="AH1042" s="25">
        <v>101161</v>
      </c>
      <c r="AI1042" s="25" t="s">
        <v>267</v>
      </c>
      <c r="AK1042" s="40" t="s">
        <v>635</v>
      </c>
      <c r="AL1042" s="40"/>
      <c r="AX1042" s="27"/>
      <c r="AY1042" s="27"/>
      <c r="BK1042" s="27"/>
      <c r="BL1042" s="27"/>
      <c r="BX1042" s="27"/>
      <c r="BY1042" s="27"/>
      <c r="CH1042" s="29"/>
    </row>
    <row r="1043" spans="1:86" x14ac:dyDescent="0.2">
      <c r="A1043" s="18">
        <v>10016</v>
      </c>
      <c r="B1043" s="19">
        <v>11</v>
      </c>
      <c r="C1043" s="19">
        <f t="shared" si="81"/>
        <v>100160011</v>
      </c>
      <c r="D1043" s="23" t="s">
        <v>296</v>
      </c>
      <c r="E1043" s="20" t="s">
        <v>640</v>
      </c>
      <c r="I1043" s="22" t="s">
        <v>206</v>
      </c>
      <c r="J1043" s="22"/>
      <c r="K1043" s="22"/>
      <c r="L1043" s="22"/>
      <c r="M1043" s="22"/>
      <c r="N1043" s="22" t="s">
        <v>163</v>
      </c>
      <c r="O1043" s="22" t="s">
        <v>163</v>
      </c>
      <c r="P1043" s="22"/>
      <c r="Q1043" s="22" t="s">
        <v>2041</v>
      </c>
      <c r="R1043" s="22"/>
      <c r="S1043" s="22"/>
      <c r="T1043" s="22" t="s">
        <v>2714</v>
      </c>
      <c r="U1043" s="116" t="s">
        <v>2791</v>
      </c>
      <c r="V1043" s="22" t="s">
        <v>109</v>
      </c>
      <c r="W1043" s="22" t="s">
        <v>1</v>
      </c>
      <c r="X1043" s="22"/>
      <c r="Z1043" s="22"/>
      <c r="AA1043" s="22"/>
      <c r="AB1043" s="22"/>
      <c r="AC1043" s="22" t="s">
        <v>138</v>
      </c>
      <c r="AD1043" s="22"/>
      <c r="AE1043" s="24"/>
      <c r="AF1043" s="24" t="s">
        <v>2042</v>
      </c>
      <c r="AG1043" s="22"/>
      <c r="AH1043" s="25">
        <v>101162</v>
      </c>
      <c r="AI1043" s="25" t="s">
        <v>267</v>
      </c>
      <c r="AK1043" s="40" t="s">
        <v>636</v>
      </c>
      <c r="AL1043" s="40"/>
      <c r="AX1043" s="27"/>
      <c r="AY1043" s="27"/>
      <c r="BK1043" s="27"/>
      <c r="BL1043" s="27"/>
      <c r="BX1043" s="27"/>
      <c r="BY1043" s="27"/>
      <c r="CH1043" s="29"/>
    </row>
    <row r="1044" spans="1:86" x14ac:dyDescent="0.2">
      <c r="A1044" s="18">
        <v>10016</v>
      </c>
      <c r="B1044" s="19">
        <v>12</v>
      </c>
      <c r="C1044" s="19">
        <f t="shared" si="81"/>
        <v>100160012</v>
      </c>
      <c r="D1044" s="23" t="s">
        <v>296</v>
      </c>
      <c r="E1044" s="20" t="s">
        <v>640</v>
      </c>
      <c r="I1044" s="22" t="s">
        <v>206</v>
      </c>
      <c r="J1044" s="22"/>
      <c r="K1044" s="22"/>
      <c r="L1044" s="22"/>
      <c r="M1044" s="22"/>
      <c r="N1044" s="22" t="s">
        <v>163</v>
      </c>
      <c r="O1044" s="22" t="s">
        <v>163</v>
      </c>
      <c r="P1044" s="22"/>
      <c r="Q1044" s="22" t="s">
        <v>2041</v>
      </c>
      <c r="R1044" s="22"/>
      <c r="S1044" s="22"/>
      <c r="T1044" s="22" t="s">
        <v>2714</v>
      </c>
      <c r="U1044" s="116" t="s">
        <v>2792</v>
      </c>
      <c r="V1044" s="22" t="s">
        <v>109</v>
      </c>
      <c r="W1044" s="22" t="s">
        <v>1</v>
      </c>
      <c r="X1044" s="22"/>
      <c r="Z1044" s="22"/>
      <c r="AA1044" s="22"/>
      <c r="AB1044" s="22"/>
      <c r="AC1044" s="22" t="s">
        <v>138</v>
      </c>
      <c r="AD1044" s="22"/>
      <c r="AE1044" s="24"/>
      <c r="AF1044" s="24" t="s">
        <v>2042</v>
      </c>
      <c r="AG1044" s="22"/>
      <c r="AH1044" s="25">
        <v>101163</v>
      </c>
      <c r="AI1044" s="25" t="s">
        <v>267</v>
      </c>
      <c r="AK1044" s="40" t="s">
        <v>637</v>
      </c>
      <c r="AL1044" s="40"/>
      <c r="AX1044" s="27"/>
      <c r="AY1044" s="27"/>
      <c r="BK1044" s="27"/>
      <c r="BL1044" s="27"/>
      <c r="BX1044" s="27"/>
      <c r="BY1044" s="27"/>
      <c r="CH1044" s="29"/>
    </row>
    <row r="1045" spans="1:86" x14ac:dyDescent="0.2">
      <c r="A1045" s="18">
        <v>10016</v>
      </c>
      <c r="B1045" s="19">
        <v>13</v>
      </c>
      <c r="C1045" s="19">
        <f t="shared" si="81"/>
        <v>100160013</v>
      </c>
      <c r="D1045" s="23" t="s">
        <v>296</v>
      </c>
      <c r="E1045" s="20" t="s">
        <v>640</v>
      </c>
      <c r="I1045" s="22" t="s">
        <v>206</v>
      </c>
      <c r="J1045" s="22"/>
      <c r="K1045" s="22"/>
      <c r="L1045" s="22"/>
      <c r="M1045" s="22"/>
      <c r="N1045" s="22" t="s">
        <v>163</v>
      </c>
      <c r="O1045" s="22" t="s">
        <v>163</v>
      </c>
      <c r="P1045" s="22"/>
      <c r="Q1045" s="22" t="s">
        <v>2041</v>
      </c>
      <c r="R1045" s="22"/>
      <c r="S1045" s="22"/>
      <c r="T1045" s="22" t="s">
        <v>2714</v>
      </c>
      <c r="U1045" s="116" t="s">
        <v>2793</v>
      </c>
      <c r="V1045" s="22" t="s">
        <v>109</v>
      </c>
      <c r="W1045" s="22" t="s">
        <v>1</v>
      </c>
      <c r="X1045" s="22"/>
      <c r="Z1045" s="22"/>
      <c r="AA1045" s="22"/>
      <c r="AB1045" s="22"/>
      <c r="AC1045" s="22" t="s">
        <v>138</v>
      </c>
      <c r="AD1045" s="22"/>
      <c r="AE1045" s="24"/>
      <c r="AF1045" s="24" t="s">
        <v>2042</v>
      </c>
      <c r="AG1045" s="22"/>
      <c r="AH1045" s="25">
        <v>101164</v>
      </c>
      <c r="AI1045" s="25" t="s">
        <v>267</v>
      </c>
      <c r="AK1045" s="40" t="s">
        <v>638</v>
      </c>
      <c r="AL1045" s="40"/>
      <c r="AX1045" s="27"/>
      <c r="AY1045" s="27"/>
      <c r="BK1045" s="27"/>
      <c r="BL1045" s="27"/>
      <c r="BX1045" s="27"/>
      <c r="BY1045" s="27"/>
      <c r="CH1045" s="29"/>
    </row>
    <row r="1046" spans="1:86" x14ac:dyDescent="0.2">
      <c r="A1046" s="18">
        <v>10016</v>
      </c>
      <c r="B1046" s="19">
        <v>14</v>
      </c>
      <c r="C1046" s="19">
        <f t="shared" si="81"/>
        <v>100160014</v>
      </c>
      <c r="D1046" s="23" t="s">
        <v>296</v>
      </c>
      <c r="E1046" s="20" t="s">
        <v>640</v>
      </c>
      <c r="I1046" s="22" t="s">
        <v>206</v>
      </c>
      <c r="J1046" s="22"/>
      <c r="K1046" s="22"/>
      <c r="L1046" s="22"/>
      <c r="M1046" s="22"/>
      <c r="N1046" s="22" t="s">
        <v>163</v>
      </c>
      <c r="O1046" s="22" t="s">
        <v>163</v>
      </c>
      <c r="P1046" s="22"/>
      <c r="Q1046" s="22" t="s">
        <v>2041</v>
      </c>
      <c r="R1046" s="22"/>
      <c r="S1046" s="22"/>
      <c r="T1046" s="22" t="s">
        <v>2714</v>
      </c>
      <c r="U1046" s="116" t="s">
        <v>2794</v>
      </c>
      <c r="V1046" s="22" t="s">
        <v>109</v>
      </c>
      <c r="W1046" s="22" t="s">
        <v>1</v>
      </c>
      <c r="X1046" s="22"/>
      <c r="Z1046" s="22"/>
      <c r="AA1046" s="22"/>
      <c r="AB1046" s="22"/>
      <c r="AC1046" s="22" t="s">
        <v>138</v>
      </c>
      <c r="AD1046" s="22"/>
      <c r="AE1046" s="24"/>
      <c r="AF1046" s="24" t="s">
        <v>2042</v>
      </c>
      <c r="AG1046" s="22"/>
      <c r="AH1046" s="25">
        <v>101165</v>
      </c>
      <c r="AI1046" s="25" t="s">
        <v>267</v>
      </c>
      <c r="AK1046" s="40" t="s">
        <v>639</v>
      </c>
      <c r="AL1046" s="40"/>
      <c r="AX1046" s="27"/>
      <c r="AY1046" s="27"/>
      <c r="BK1046" s="27"/>
      <c r="BL1046" s="27"/>
      <c r="BX1046" s="27"/>
      <c r="BY1046" s="27"/>
      <c r="CH1046" s="29"/>
    </row>
    <row r="1047" spans="1:86" x14ac:dyDescent="0.2">
      <c r="A1047" s="18">
        <v>10017</v>
      </c>
      <c r="B1047" s="19">
        <v>10</v>
      </c>
      <c r="C1047" s="19">
        <f t="shared" si="81"/>
        <v>100170010</v>
      </c>
      <c r="D1047" s="23" t="s">
        <v>297</v>
      </c>
      <c r="E1047" s="20" t="s">
        <v>640</v>
      </c>
      <c r="I1047" s="22" t="s">
        <v>206</v>
      </c>
      <c r="J1047" s="22"/>
      <c r="K1047" s="22"/>
      <c r="L1047" s="22"/>
      <c r="M1047" s="22"/>
      <c r="N1047" s="22" t="s">
        <v>163</v>
      </c>
      <c r="O1047" s="22" t="s">
        <v>163</v>
      </c>
      <c r="P1047" s="22"/>
      <c r="Q1047" s="22" t="s">
        <v>2041</v>
      </c>
      <c r="R1047" s="22"/>
      <c r="S1047" s="22"/>
      <c r="T1047" s="22" t="s">
        <v>2714</v>
      </c>
      <c r="U1047" s="116" t="s">
        <v>2795</v>
      </c>
      <c r="V1047" s="22" t="s">
        <v>109</v>
      </c>
      <c r="W1047" s="22" t="s">
        <v>1</v>
      </c>
      <c r="X1047" s="22"/>
      <c r="Z1047" s="22"/>
      <c r="AA1047" s="22"/>
      <c r="AB1047" s="22"/>
      <c r="AC1047" s="22" t="s">
        <v>178</v>
      </c>
      <c r="AD1047" s="22"/>
      <c r="AE1047" s="24"/>
      <c r="AF1047" s="24" t="s">
        <v>2042</v>
      </c>
      <c r="AG1047" s="22"/>
      <c r="AH1047" s="25">
        <v>101171</v>
      </c>
      <c r="AI1047" s="25" t="s">
        <v>267</v>
      </c>
      <c r="AK1047" s="40" t="s">
        <v>635</v>
      </c>
      <c r="AL1047" s="40"/>
      <c r="AX1047" s="27"/>
      <c r="AY1047" s="27"/>
      <c r="BK1047" s="27"/>
      <c r="BL1047" s="27"/>
      <c r="BX1047" s="27"/>
      <c r="BY1047" s="27"/>
      <c r="CH1047" s="29"/>
    </row>
    <row r="1048" spans="1:86" x14ac:dyDescent="0.2">
      <c r="A1048" s="18">
        <v>10017</v>
      </c>
      <c r="B1048" s="19">
        <v>11</v>
      </c>
      <c r="C1048" s="19">
        <f t="shared" si="81"/>
        <v>100170011</v>
      </c>
      <c r="D1048" s="23" t="s">
        <v>297</v>
      </c>
      <c r="E1048" s="20" t="s">
        <v>640</v>
      </c>
      <c r="I1048" s="22" t="s">
        <v>206</v>
      </c>
      <c r="J1048" s="22"/>
      <c r="K1048" s="22"/>
      <c r="L1048" s="22"/>
      <c r="M1048" s="22"/>
      <c r="N1048" s="22" t="s">
        <v>163</v>
      </c>
      <c r="O1048" s="22" t="s">
        <v>163</v>
      </c>
      <c r="P1048" s="22"/>
      <c r="Q1048" s="22" t="s">
        <v>2041</v>
      </c>
      <c r="R1048" s="22"/>
      <c r="S1048" s="22"/>
      <c r="T1048" s="22" t="s">
        <v>2714</v>
      </c>
      <c r="U1048" s="116" t="s">
        <v>2796</v>
      </c>
      <c r="V1048" s="22" t="s">
        <v>109</v>
      </c>
      <c r="W1048" s="22" t="s">
        <v>1</v>
      </c>
      <c r="X1048" s="22"/>
      <c r="Z1048" s="22"/>
      <c r="AA1048" s="22"/>
      <c r="AB1048" s="22"/>
      <c r="AC1048" s="22" t="s">
        <v>178</v>
      </c>
      <c r="AD1048" s="22"/>
      <c r="AE1048" s="24"/>
      <c r="AF1048" s="24" t="s">
        <v>2042</v>
      </c>
      <c r="AG1048" s="22"/>
      <c r="AH1048" s="25">
        <v>101172</v>
      </c>
      <c r="AI1048" s="25" t="s">
        <v>267</v>
      </c>
      <c r="AK1048" s="40" t="s">
        <v>636</v>
      </c>
      <c r="AL1048" s="40"/>
      <c r="AX1048" s="27"/>
      <c r="AY1048" s="27"/>
      <c r="BK1048" s="27"/>
      <c r="BL1048" s="27"/>
      <c r="BX1048" s="27"/>
      <c r="BY1048" s="27"/>
      <c r="CH1048" s="29"/>
    </row>
    <row r="1049" spans="1:86" x14ac:dyDescent="0.2">
      <c r="A1049" s="18">
        <v>10017</v>
      </c>
      <c r="B1049" s="19">
        <v>12</v>
      </c>
      <c r="C1049" s="19">
        <f t="shared" si="81"/>
        <v>100170012</v>
      </c>
      <c r="D1049" s="23" t="s">
        <v>297</v>
      </c>
      <c r="E1049" s="20" t="s">
        <v>640</v>
      </c>
      <c r="I1049" s="22" t="s">
        <v>206</v>
      </c>
      <c r="J1049" s="22"/>
      <c r="K1049" s="22"/>
      <c r="L1049" s="22"/>
      <c r="M1049" s="22"/>
      <c r="N1049" s="22" t="s">
        <v>163</v>
      </c>
      <c r="O1049" s="22" t="s">
        <v>163</v>
      </c>
      <c r="P1049" s="22"/>
      <c r="Q1049" s="22" t="s">
        <v>2041</v>
      </c>
      <c r="R1049" s="22"/>
      <c r="S1049" s="22"/>
      <c r="T1049" s="22" t="s">
        <v>2714</v>
      </c>
      <c r="U1049" s="116" t="s">
        <v>2797</v>
      </c>
      <c r="V1049" s="22" t="s">
        <v>109</v>
      </c>
      <c r="W1049" s="22" t="s">
        <v>1</v>
      </c>
      <c r="X1049" s="22"/>
      <c r="Z1049" s="22"/>
      <c r="AA1049" s="22"/>
      <c r="AB1049" s="22"/>
      <c r="AC1049" s="22" t="s">
        <v>178</v>
      </c>
      <c r="AD1049" s="22"/>
      <c r="AE1049" s="24"/>
      <c r="AF1049" s="24" t="s">
        <v>2042</v>
      </c>
      <c r="AG1049" s="22"/>
      <c r="AH1049" s="25">
        <v>101173</v>
      </c>
      <c r="AI1049" s="25" t="s">
        <v>267</v>
      </c>
      <c r="AK1049" s="40" t="s">
        <v>637</v>
      </c>
      <c r="AL1049" s="40"/>
      <c r="AX1049" s="27"/>
      <c r="AY1049" s="27"/>
      <c r="BK1049" s="27"/>
      <c r="BL1049" s="27"/>
      <c r="BX1049" s="27"/>
      <c r="BY1049" s="27"/>
      <c r="CH1049" s="29"/>
    </row>
    <row r="1050" spans="1:86" x14ac:dyDescent="0.2">
      <c r="A1050" s="18">
        <v>10017</v>
      </c>
      <c r="B1050" s="19">
        <v>13</v>
      </c>
      <c r="C1050" s="19">
        <f t="shared" si="81"/>
        <v>100170013</v>
      </c>
      <c r="D1050" s="23" t="s">
        <v>297</v>
      </c>
      <c r="E1050" s="20" t="s">
        <v>640</v>
      </c>
      <c r="I1050" s="22" t="s">
        <v>206</v>
      </c>
      <c r="J1050" s="22"/>
      <c r="K1050" s="22"/>
      <c r="L1050" s="22"/>
      <c r="M1050" s="22"/>
      <c r="N1050" s="22" t="s">
        <v>163</v>
      </c>
      <c r="O1050" s="22" t="s">
        <v>163</v>
      </c>
      <c r="P1050" s="22"/>
      <c r="Q1050" s="22" t="s">
        <v>2041</v>
      </c>
      <c r="R1050" s="22"/>
      <c r="S1050" s="22"/>
      <c r="T1050" s="22" t="s">
        <v>2714</v>
      </c>
      <c r="U1050" s="116" t="s">
        <v>2798</v>
      </c>
      <c r="V1050" s="22" t="s">
        <v>109</v>
      </c>
      <c r="W1050" s="22" t="s">
        <v>1</v>
      </c>
      <c r="X1050" s="22"/>
      <c r="Z1050" s="22"/>
      <c r="AA1050" s="22"/>
      <c r="AB1050" s="22"/>
      <c r="AC1050" s="22" t="s">
        <v>178</v>
      </c>
      <c r="AD1050" s="22"/>
      <c r="AE1050" s="24"/>
      <c r="AF1050" s="24" t="s">
        <v>2042</v>
      </c>
      <c r="AG1050" s="22"/>
      <c r="AH1050" s="25">
        <v>101174</v>
      </c>
      <c r="AI1050" s="25" t="s">
        <v>267</v>
      </c>
      <c r="AK1050" s="40" t="s">
        <v>638</v>
      </c>
      <c r="AL1050" s="40"/>
      <c r="AX1050" s="27"/>
      <c r="AY1050" s="27"/>
      <c r="BK1050" s="27"/>
      <c r="BL1050" s="27"/>
      <c r="BX1050" s="27"/>
      <c r="BY1050" s="27"/>
      <c r="CH1050" s="29"/>
    </row>
    <row r="1051" spans="1:86" x14ac:dyDescent="0.2">
      <c r="A1051" s="18">
        <v>10017</v>
      </c>
      <c r="B1051" s="19">
        <v>14</v>
      </c>
      <c r="C1051" s="19">
        <f t="shared" si="81"/>
        <v>100170014</v>
      </c>
      <c r="D1051" s="23" t="s">
        <v>297</v>
      </c>
      <c r="E1051" s="20" t="s">
        <v>640</v>
      </c>
      <c r="I1051" s="22" t="s">
        <v>206</v>
      </c>
      <c r="J1051" s="22"/>
      <c r="K1051" s="22"/>
      <c r="L1051" s="22"/>
      <c r="M1051" s="22"/>
      <c r="N1051" s="22" t="s">
        <v>163</v>
      </c>
      <c r="O1051" s="22" t="s">
        <v>163</v>
      </c>
      <c r="P1051" s="22"/>
      <c r="Q1051" s="22" t="s">
        <v>2041</v>
      </c>
      <c r="R1051" s="22"/>
      <c r="S1051" s="22"/>
      <c r="T1051" s="22" t="s">
        <v>2714</v>
      </c>
      <c r="U1051" s="116" t="s">
        <v>2799</v>
      </c>
      <c r="V1051" s="22" t="s">
        <v>109</v>
      </c>
      <c r="W1051" s="22" t="s">
        <v>1</v>
      </c>
      <c r="X1051" s="22"/>
      <c r="Z1051" s="22"/>
      <c r="AA1051" s="22"/>
      <c r="AB1051" s="22"/>
      <c r="AC1051" s="22" t="s">
        <v>178</v>
      </c>
      <c r="AD1051" s="22"/>
      <c r="AE1051" s="24"/>
      <c r="AF1051" s="24" t="s">
        <v>2042</v>
      </c>
      <c r="AG1051" s="22"/>
      <c r="AH1051" s="25">
        <v>101175</v>
      </c>
      <c r="AI1051" s="25" t="s">
        <v>267</v>
      </c>
      <c r="AK1051" s="40" t="s">
        <v>639</v>
      </c>
      <c r="AL1051" s="40"/>
      <c r="AX1051" s="27"/>
      <c r="AY1051" s="27"/>
      <c r="BK1051" s="27"/>
      <c r="BL1051" s="27"/>
      <c r="BX1051" s="27"/>
      <c r="BY1051" s="27"/>
      <c r="CH1051" s="29"/>
    </row>
    <row r="1052" spans="1:86" x14ac:dyDescent="0.2">
      <c r="A1052" s="18">
        <v>10018</v>
      </c>
      <c r="B1052" s="19">
        <v>10</v>
      </c>
      <c r="C1052" s="19">
        <f t="shared" ref="C1052:C1115" si="82">A1052*10000+B1052</f>
        <v>100180010</v>
      </c>
      <c r="D1052" s="23" t="s">
        <v>298</v>
      </c>
      <c r="E1052" s="20" t="s">
        <v>640</v>
      </c>
      <c r="I1052" s="22" t="s">
        <v>206</v>
      </c>
      <c r="J1052" s="22"/>
      <c r="K1052" s="22"/>
      <c r="L1052" s="22"/>
      <c r="M1052" s="22"/>
      <c r="N1052" s="22" t="s">
        <v>163</v>
      </c>
      <c r="O1052" s="22" t="s">
        <v>163</v>
      </c>
      <c r="P1052" s="22"/>
      <c r="Q1052" s="22" t="s">
        <v>2041</v>
      </c>
      <c r="R1052" s="22"/>
      <c r="S1052" s="22"/>
      <c r="T1052" s="22" t="s">
        <v>2714</v>
      </c>
      <c r="U1052" s="116" t="s">
        <v>2800</v>
      </c>
      <c r="V1052" s="22" t="s">
        <v>109</v>
      </c>
      <c r="W1052" s="22" t="s">
        <v>1</v>
      </c>
      <c r="X1052" s="22"/>
      <c r="Z1052" s="22"/>
      <c r="AA1052" s="22"/>
      <c r="AB1052" s="22"/>
      <c r="AC1052" s="22" t="s">
        <v>179</v>
      </c>
      <c r="AD1052" s="22"/>
      <c r="AE1052" s="24"/>
      <c r="AF1052" s="24" t="s">
        <v>2042</v>
      </c>
      <c r="AG1052" s="22"/>
      <c r="AH1052" s="25">
        <v>101181</v>
      </c>
      <c r="AI1052" s="25" t="s">
        <v>267</v>
      </c>
      <c r="AK1052" s="40" t="s">
        <v>635</v>
      </c>
      <c r="AL1052" s="40"/>
      <c r="AX1052" s="27"/>
      <c r="AY1052" s="27"/>
      <c r="BK1052" s="27"/>
      <c r="BL1052" s="27"/>
      <c r="BX1052" s="27"/>
      <c r="BY1052" s="27"/>
      <c r="CH1052" s="29"/>
    </row>
    <row r="1053" spans="1:86" x14ac:dyDescent="0.2">
      <c r="A1053" s="18">
        <v>10018</v>
      </c>
      <c r="B1053" s="19">
        <v>11</v>
      </c>
      <c r="C1053" s="19">
        <f t="shared" si="82"/>
        <v>100180011</v>
      </c>
      <c r="D1053" s="23" t="s">
        <v>298</v>
      </c>
      <c r="E1053" s="20" t="s">
        <v>640</v>
      </c>
      <c r="I1053" s="22" t="s">
        <v>206</v>
      </c>
      <c r="J1053" s="22"/>
      <c r="K1053" s="22"/>
      <c r="L1053" s="22"/>
      <c r="M1053" s="22"/>
      <c r="N1053" s="22" t="s">
        <v>163</v>
      </c>
      <c r="O1053" s="22" t="s">
        <v>163</v>
      </c>
      <c r="P1053" s="22"/>
      <c r="Q1053" s="22" t="s">
        <v>2041</v>
      </c>
      <c r="R1053" s="22"/>
      <c r="S1053" s="22"/>
      <c r="T1053" s="22" t="s">
        <v>2714</v>
      </c>
      <c r="U1053" s="116" t="s">
        <v>2801</v>
      </c>
      <c r="V1053" s="22" t="s">
        <v>109</v>
      </c>
      <c r="W1053" s="22" t="s">
        <v>1</v>
      </c>
      <c r="X1053" s="22"/>
      <c r="Z1053" s="22"/>
      <c r="AA1053" s="22"/>
      <c r="AB1053" s="22"/>
      <c r="AC1053" s="22" t="s">
        <v>179</v>
      </c>
      <c r="AD1053" s="22"/>
      <c r="AE1053" s="24"/>
      <c r="AF1053" s="24" t="s">
        <v>2042</v>
      </c>
      <c r="AG1053" s="22"/>
      <c r="AH1053" s="25">
        <v>101182</v>
      </c>
      <c r="AI1053" s="25" t="s">
        <v>267</v>
      </c>
      <c r="AK1053" s="40" t="s">
        <v>636</v>
      </c>
      <c r="AL1053" s="40"/>
      <c r="AX1053" s="27"/>
      <c r="AY1053" s="27"/>
      <c r="BK1053" s="27"/>
      <c r="BL1053" s="27"/>
      <c r="BX1053" s="27"/>
      <c r="BY1053" s="27"/>
      <c r="CH1053" s="29"/>
    </row>
    <row r="1054" spans="1:86" x14ac:dyDescent="0.2">
      <c r="A1054" s="18">
        <v>10018</v>
      </c>
      <c r="B1054" s="19">
        <v>12</v>
      </c>
      <c r="C1054" s="19">
        <f t="shared" si="82"/>
        <v>100180012</v>
      </c>
      <c r="D1054" s="23" t="s">
        <v>298</v>
      </c>
      <c r="E1054" s="20" t="s">
        <v>640</v>
      </c>
      <c r="I1054" s="22" t="s">
        <v>206</v>
      </c>
      <c r="J1054" s="22"/>
      <c r="K1054" s="22"/>
      <c r="L1054" s="22"/>
      <c r="M1054" s="22"/>
      <c r="N1054" s="22" t="s">
        <v>163</v>
      </c>
      <c r="O1054" s="22" t="s">
        <v>163</v>
      </c>
      <c r="P1054" s="22"/>
      <c r="Q1054" s="22" t="s">
        <v>2041</v>
      </c>
      <c r="R1054" s="22"/>
      <c r="S1054" s="22"/>
      <c r="T1054" s="22" t="s">
        <v>2714</v>
      </c>
      <c r="U1054" s="116" t="s">
        <v>2802</v>
      </c>
      <c r="V1054" s="22" t="s">
        <v>109</v>
      </c>
      <c r="W1054" s="22" t="s">
        <v>1</v>
      </c>
      <c r="X1054" s="22"/>
      <c r="Z1054" s="22"/>
      <c r="AA1054" s="22"/>
      <c r="AB1054" s="22"/>
      <c r="AC1054" s="22" t="s">
        <v>179</v>
      </c>
      <c r="AD1054" s="22"/>
      <c r="AE1054" s="24"/>
      <c r="AF1054" s="24" t="s">
        <v>2042</v>
      </c>
      <c r="AG1054" s="22"/>
      <c r="AH1054" s="25">
        <v>101183</v>
      </c>
      <c r="AI1054" s="25" t="s">
        <v>267</v>
      </c>
      <c r="AK1054" s="40" t="s">
        <v>637</v>
      </c>
      <c r="AL1054" s="40"/>
      <c r="AX1054" s="27"/>
      <c r="AY1054" s="27"/>
      <c r="BK1054" s="27"/>
      <c r="BL1054" s="27"/>
      <c r="BX1054" s="27"/>
      <c r="BY1054" s="27"/>
      <c r="CH1054" s="29"/>
    </row>
    <row r="1055" spans="1:86" x14ac:dyDescent="0.2">
      <c r="A1055" s="18">
        <v>10018</v>
      </c>
      <c r="B1055" s="19">
        <v>13</v>
      </c>
      <c r="C1055" s="19">
        <f t="shared" si="82"/>
        <v>100180013</v>
      </c>
      <c r="D1055" s="23" t="s">
        <v>298</v>
      </c>
      <c r="E1055" s="20" t="s">
        <v>640</v>
      </c>
      <c r="I1055" s="22" t="s">
        <v>206</v>
      </c>
      <c r="J1055" s="22"/>
      <c r="K1055" s="22"/>
      <c r="L1055" s="22"/>
      <c r="M1055" s="22"/>
      <c r="N1055" s="22" t="s">
        <v>163</v>
      </c>
      <c r="O1055" s="22" t="s">
        <v>163</v>
      </c>
      <c r="P1055" s="22"/>
      <c r="Q1055" s="22" t="s">
        <v>2041</v>
      </c>
      <c r="R1055" s="22"/>
      <c r="S1055" s="22"/>
      <c r="T1055" s="22" t="s">
        <v>2714</v>
      </c>
      <c r="U1055" s="116" t="s">
        <v>2803</v>
      </c>
      <c r="V1055" s="22" t="s">
        <v>109</v>
      </c>
      <c r="W1055" s="22" t="s">
        <v>1</v>
      </c>
      <c r="X1055" s="22"/>
      <c r="Z1055" s="22"/>
      <c r="AA1055" s="22"/>
      <c r="AB1055" s="22"/>
      <c r="AC1055" s="22" t="s">
        <v>179</v>
      </c>
      <c r="AD1055" s="22"/>
      <c r="AE1055" s="24"/>
      <c r="AF1055" s="24" t="s">
        <v>2042</v>
      </c>
      <c r="AG1055" s="22"/>
      <c r="AH1055" s="25">
        <v>101184</v>
      </c>
      <c r="AI1055" s="25" t="s">
        <v>267</v>
      </c>
      <c r="AK1055" s="40" t="s">
        <v>638</v>
      </c>
      <c r="AL1055" s="40"/>
      <c r="AX1055" s="27"/>
      <c r="AY1055" s="27"/>
      <c r="BK1055" s="27"/>
      <c r="BL1055" s="27"/>
      <c r="BX1055" s="27"/>
      <c r="BY1055" s="27"/>
      <c r="CH1055" s="29"/>
    </row>
    <row r="1056" spans="1:86" x14ac:dyDescent="0.2">
      <c r="A1056" s="18">
        <v>10018</v>
      </c>
      <c r="B1056" s="19">
        <v>14</v>
      </c>
      <c r="C1056" s="19">
        <f t="shared" si="82"/>
        <v>100180014</v>
      </c>
      <c r="D1056" s="23" t="s">
        <v>298</v>
      </c>
      <c r="E1056" s="20" t="s">
        <v>640</v>
      </c>
      <c r="I1056" s="22" t="s">
        <v>206</v>
      </c>
      <c r="J1056" s="22"/>
      <c r="K1056" s="22"/>
      <c r="L1056" s="22"/>
      <c r="M1056" s="22"/>
      <c r="N1056" s="22" t="s">
        <v>163</v>
      </c>
      <c r="O1056" s="22" t="s">
        <v>163</v>
      </c>
      <c r="P1056" s="22"/>
      <c r="Q1056" s="22" t="s">
        <v>2041</v>
      </c>
      <c r="R1056" s="22"/>
      <c r="S1056" s="22"/>
      <c r="T1056" s="22" t="s">
        <v>2714</v>
      </c>
      <c r="U1056" s="116" t="s">
        <v>2804</v>
      </c>
      <c r="V1056" s="22" t="s">
        <v>109</v>
      </c>
      <c r="W1056" s="22" t="s">
        <v>1</v>
      </c>
      <c r="X1056" s="22"/>
      <c r="Z1056" s="22"/>
      <c r="AA1056" s="22"/>
      <c r="AB1056" s="22"/>
      <c r="AC1056" s="22" t="s">
        <v>179</v>
      </c>
      <c r="AD1056" s="22"/>
      <c r="AE1056" s="24"/>
      <c r="AF1056" s="24" t="s">
        <v>2042</v>
      </c>
      <c r="AG1056" s="22"/>
      <c r="AH1056" s="25">
        <v>101185</v>
      </c>
      <c r="AI1056" s="25" t="s">
        <v>267</v>
      </c>
      <c r="AK1056" s="40" t="s">
        <v>639</v>
      </c>
      <c r="AL1056" s="40"/>
      <c r="AX1056" s="27"/>
      <c r="AY1056" s="27"/>
      <c r="BK1056" s="27"/>
      <c r="BL1056" s="27"/>
      <c r="BX1056" s="27"/>
      <c r="BY1056" s="27"/>
      <c r="CH1056" s="29"/>
    </row>
    <row r="1057" spans="1:86" x14ac:dyDescent="0.2">
      <c r="A1057" s="18">
        <v>10019</v>
      </c>
      <c r="B1057" s="19">
        <v>10</v>
      </c>
      <c r="C1057" s="19">
        <f t="shared" si="82"/>
        <v>100190010</v>
      </c>
      <c r="D1057" s="23" t="s">
        <v>299</v>
      </c>
      <c r="E1057" s="20" t="s">
        <v>640</v>
      </c>
      <c r="I1057" s="22" t="s">
        <v>206</v>
      </c>
      <c r="J1057" s="22"/>
      <c r="K1057" s="22"/>
      <c r="L1057" s="22"/>
      <c r="M1057" s="22"/>
      <c r="N1057" s="22" t="s">
        <v>163</v>
      </c>
      <c r="O1057" s="22" t="s">
        <v>163</v>
      </c>
      <c r="P1057" s="22"/>
      <c r="Q1057" s="22" t="s">
        <v>2041</v>
      </c>
      <c r="R1057" s="22"/>
      <c r="S1057" s="22"/>
      <c r="T1057" s="22" t="s">
        <v>2714</v>
      </c>
      <c r="U1057" s="116" t="s">
        <v>2805</v>
      </c>
      <c r="V1057" s="22" t="s">
        <v>109</v>
      </c>
      <c r="W1057" s="22" t="s">
        <v>1</v>
      </c>
      <c r="X1057" s="22"/>
      <c r="Z1057" s="22"/>
      <c r="AA1057" s="22"/>
      <c r="AB1057" s="22"/>
      <c r="AC1057" s="22" t="s">
        <v>177</v>
      </c>
      <c r="AD1057" s="22"/>
      <c r="AE1057" s="24"/>
      <c r="AF1057" s="24" t="s">
        <v>2042</v>
      </c>
      <c r="AG1057" s="22"/>
      <c r="AH1057" s="25">
        <v>101191</v>
      </c>
      <c r="AI1057" s="25" t="s">
        <v>267</v>
      </c>
      <c r="AK1057" s="40" t="s">
        <v>635</v>
      </c>
      <c r="AL1057" s="40"/>
      <c r="AX1057" s="27"/>
      <c r="AY1057" s="27"/>
      <c r="BK1057" s="27"/>
      <c r="BL1057" s="27"/>
      <c r="BX1057" s="27"/>
      <c r="BY1057" s="27"/>
      <c r="CH1057" s="29"/>
    </row>
    <row r="1058" spans="1:86" x14ac:dyDescent="0.2">
      <c r="A1058" s="18">
        <v>10019</v>
      </c>
      <c r="B1058" s="19">
        <v>11</v>
      </c>
      <c r="C1058" s="19">
        <f t="shared" si="82"/>
        <v>100190011</v>
      </c>
      <c r="D1058" s="23" t="s">
        <v>299</v>
      </c>
      <c r="E1058" s="20" t="s">
        <v>640</v>
      </c>
      <c r="I1058" s="22" t="s">
        <v>206</v>
      </c>
      <c r="J1058" s="22"/>
      <c r="K1058" s="22"/>
      <c r="L1058" s="22"/>
      <c r="M1058" s="22"/>
      <c r="N1058" s="22" t="s">
        <v>163</v>
      </c>
      <c r="O1058" s="22" t="s">
        <v>163</v>
      </c>
      <c r="P1058" s="22"/>
      <c r="Q1058" s="22" t="s">
        <v>2041</v>
      </c>
      <c r="R1058" s="22"/>
      <c r="S1058" s="22"/>
      <c r="T1058" s="22" t="s">
        <v>2714</v>
      </c>
      <c r="U1058" s="116" t="s">
        <v>2806</v>
      </c>
      <c r="V1058" s="22" t="s">
        <v>109</v>
      </c>
      <c r="W1058" s="22" t="s">
        <v>1</v>
      </c>
      <c r="X1058" s="22"/>
      <c r="Z1058" s="22"/>
      <c r="AA1058" s="22"/>
      <c r="AB1058" s="22"/>
      <c r="AC1058" s="22" t="s">
        <v>177</v>
      </c>
      <c r="AD1058" s="22"/>
      <c r="AE1058" s="24"/>
      <c r="AF1058" s="24" t="s">
        <v>2042</v>
      </c>
      <c r="AG1058" s="22"/>
      <c r="AH1058" s="25">
        <v>101192</v>
      </c>
      <c r="AI1058" s="25" t="s">
        <v>267</v>
      </c>
      <c r="AK1058" s="40" t="s">
        <v>636</v>
      </c>
      <c r="AL1058" s="40"/>
      <c r="AX1058" s="27"/>
      <c r="AY1058" s="27"/>
      <c r="BK1058" s="27"/>
      <c r="BL1058" s="27"/>
      <c r="BX1058" s="27"/>
      <c r="BY1058" s="27"/>
      <c r="CH1058" s="29"/>
    </row>
    <row r="1059" spans="1:86" x14ac:dyDescent="0.2">
      <c r="A1059" s="18">
        <v>10019</v>
      </c>
      <c r="B1059" s="19">
        <v>12</v>
      </c>
      <c r="C1059" s="19">
        <f t="shared" si="82"/>
        <v>100190012</v>
      </c>
      <c r="D1059" s="23" t="s">
        <v>299</v>
      </c>
      <c r="E1059" s="20" t="s">
        <v>640</v>
      </c>
      <c r="I1059" s="22" t="s">
        <v>206</v>
      </c>
      <c r="J1059" s="22"/>
      <c r="K1059" s="22"/>
      <c r="L1059" s="22"/>
      <c r="M1059" s="22"/>
      <c r="N1059" s="22" t="s">
        <v>163</v>
      </c>
      <c r="O1059" s="22" t="s">
        <v>163</v>
      </c>
      <c r="P1059" s="22"/>
      <c r="Q1059" s="22" t="s">
        <v>2041</v>
      </c>
      <c r="R1059" s="22"/>
      <c r="S1059" s="22"/>
      <c r="T1059" s="22" t="s">
        <v>2714</v>
      </c>
      <c r="U1059" s="116" t="s">
        <v>2807</v>
      </c>
      <c r="V1059" s="22" t="s">
        <v>109</v>
      </c>
      <c r="W1059" s="22" t="s">
        <v>1</v>
      </c>
      <c r="X1059" s="22"/>
      <c r="Z1059" s="22"/>
      <c r="AA1059" s="22"/>
      <c r="AB1059" s="22"/>
      <c r="AC1059" s="22" t="s">
        <v>177</v>
      </c>
      <c r="AD1059" s="22"/>
      <c r="AE1059" s="24"/>
      <c r="AF1059" s="24" t="s">
        <v>2042</v>
      </c>
      <c r="AG1059" s="22"/>
      <c r="AH1059" s="25">
        <v>101193</v>
      </c>
      <c r="AI1059" s="25" t="s">
        <v>267</v>
      </c>
      <c r="AK1059" s="40" t="s">
        <v>637</v>
      </c>
      <c r="AL1059" s="40"/>
      <c r="AX1059" s="27"/>
      <c r="AY1059" s="27"/>
      <c r="BK1059" s="27"/>
      <c r="BL1059" s="27"/>
      <c r="BX1059" s="27"/>
      <c r="BY1059" s="27"/>
      <c r="CH1059" s="29"/>
    </row>
    <row r="1060" spans="1:86" x14ac:dyDescent="0.2">
      <c r="A1060" s="18">
        <v>10019</v>
      </c>
      <c r="B1060" s="19">
        <v>13</v>
      </c>
      <c r="C1060" s="19">
        <f t="shared" si="82"/>
        <v>100190013</v>
      </c>
      <c r="D1060" s="23" t="s">
        <v>299</v>
      </c>
      <c r="E1060" s="20" t="s">
        <v>640</v>
      </c>
      <c r="I1060" s="22" t="s">
        <v>206</v>
      </c>
      <c r="J1060" s="22"/>
      <c r="K1060" s="22"/>
      <c r="L1060" s="22"/>
      <c r="M1060" s="22"/>
      <c r="N1060" s="22" t="s">
        <v>163</v>
      </c>
      <c r="O1060" s="22" t="s">
        <v>163</v>
      </c>
      <c r="P1060" s="22"/>
      <c r="Q1060" s="22" t="s">
        <v>2041</v>
      </c>
      <c r="R1060" s="22"/>
      <c r="S1060" s="22"/>
      <c r="T1060" s="22" t="s">
        <v>2714</v>
      </c>
      <c r="U1060" s="116" t="s">
        <v>2808</v>
      </c>
      <c r="V1060" s="22" t="s">
        <v>109</v>
      </c>
      <c r="W1060" s="22" t="s">
        <v>1</v>
      </c>
      <c r="X1060" s="22"/>
      <c r="Z1060" s="22"/>
      <c r="AA1060" s="22"/>
      <c r="AB1060" s="22"/>
      <c r="AC1060" s="22" t="s">
        <v>177</v>
      </c>
      <c r="AD1060" s="22"/>
      <c r="AE1060" s="24"/>
      <c r="AF1060" s="24" t="s">
        <v>2042</v>
      </c>
      <c r="AG1060" s="22"/>
      <c r="AH1060" s="25">
        <v>101194</v>
      </c>
      <c r="AI1060" s="25" t="s">
        <v>267</v>
      </c>
      <c r="AK1060" s="40" t="s">
        <v>638</v>
      </c>
      <c r="AL1060" s="40"/>
      <c r="AX1060" s="27"/>
      <c r="AY1060" s="27"/>
      <c r="BK1060" s="27"/>
      <c r="BL1060" s="27"/>
      <c r="BX1060" s="27"/>
      <c r="BY1060" s="27"/>
      <c r="CH1060" s="29"/>
    </row>
    <row r="1061" spans="1:86" x14ac:dyDescent="0.2">
      <c r="A1061" s="18">
        <v>10019</v>
      </c>
      <c r="B1061" s="19">
        <v>14</v>
      </c>
      <c r="C1061" s="19">
        <f t="shared" si="82"/>
        <v>100190014</v>
      </c>
      <c r="D1061" s="23" t="s">
        <v>299</v>
      </c>
      <c r="E1061" s="20" t="s">
        <v>640</v>
      </c>
      <c r="I1061" s="22" t="s">
        <v>206</v>
      </c>
      <c r="J1061" s="22"/>
      <c r="K1061" s="22"/>
      <c r="L1061" s="22"/>
      <c r="M1061" s="22"/>
      <c r="N1061" s="22" t="s">
        <v>163</v>
      </c>
      <c r="O1061" s="22" t="s">
        <v>163</v>
      </c>
      <c r="P1061" s="22"/>
      <c r="Q1061" s="22" t="s">
        <v>2041</v>
      </c>
      <c r="R1061" s="22"/>
      <c r="S1061" s="22"/>
      <c r="T1061" s="22" t="s">
        <v>2714</v>
      </c>
      <c r="U1061" s="116" t="s">
        <v>2809</v>
      </c>
      <c r="V1061" s="22" t="s">
        <v>109</v>
      </c>
      <c r="W1061" s="22" t="s">
        <v>1</v>
      </c>
      <c r="X1061" s="22"/>
      <c r="Z1061" s="22"/>
      <c r="AA1061" s="22"/>
      <c r="AB1061" s="22"/>
      <c r="AC1061" s="22" t="s">
        <v>177</v>
      </c>
      <c r="AD1061" s="22"/>
      <c r="AE1061" s="24"/>
      <c r="AF1061" s="24" t="s">
        <v>2042</v>
      </c>
      <c r="AG1061" s="22"/>
      <c r="AH1061" s="25">
        <v>101195</v>
      </c>
      <c r="AI1061" s="25" t="s">
        <v>267</v>
      </c>
      <c r="AK1061" s="40" t="s">
        <v>639</v>
      </c>
      <c r="AL1061" s="40"/>
      <c r="AX1061" s="27"/>
      <c r="AY1061" s="27"/>
      <c r="BK1061" s="27"/>
      <c r="BL1061" s="27"/>
      <c r="BX1061" s="27"/>
      <c r="BY1061" s="27"/>
      <c r="CH1061" s="29"/>
    </row>
    <row r="1062" spans="1:86" x14ac:dyDescent="0.2">
      <c r="A1062" s="18">
        <v>10020</v>
      </c>
      <c r="B1062" s="19">
        <v>10</v>
      </c>
      <c r="C1062" s="19">
        <f t="shared" si="82"/>
        <v>100200010</v>
      </c>
      <c r="D1062" s="23" t="s">
        <v>300</v>
      </c>
      <c r="E1062" s="20" t="s">
        <v>640</v>
      </c>
      <c r="I1062" s="22" t="s">
        <v>206</v>
      </c>
      <c r="J1062" s="22"/>
      <c r="K1062" s="22"/>
      <c r="L1062" s="22"/>
      <c r="M1062" s="22"/>
      <c r="N1062" s="22" t="s">
        <v>163</v>
      </c>
      <c r="O1062" s="22" t="s">
        <v>163</v>
      </c>
      <c r="P1062" s="22"/>
      <c r="Q1062" s="22" t="s">
        <v>2041</v>
      </c>
      <c r="R1062" s="22"/>
      <c r="S1062" s="22"/>
      <c r="T1062" s="22" t="s">
        <v>2714</v>
      </c>
      <c r="U1062" s="116" t="s">
        <v>2810</v>
      </c>
      <c r="V1062" s="22" t="s">
        <v>109</v>
      </c>
      <c r="W1062" s="22" t="s">
        <v>1</v>
      </c>
      <c r="X1062" s="22"/>
      <c r="Z1062" s="22"/>
      <c r="AA1062" s="22"/>
      <c r="AB1062" s="22"/>
      <c r="AC1062" s="22" t="s">
        <v>129</v>
      </c>
      <c r="AD1062" s="22"/>
      <c r="AE1062" s="24"/>
      <c r="AF1062" s="24" t="s">
        <v>2042</v>
      </c>
      <c r="AG1062" s="22"/>
      <c r="AH1062" s="25">
        <v>101201</v>
      </c>
      <c r="AI1062" s="25" t="s">
        <v>267</v>
      </c>
      <c r="AK1062" s="40" t="s">
        <v>635</v>
      </c>
      <c r="AL1062" s="40"/>
      <c r="AX1062" s="27"/>
      <c r="AY1062" s="27"/>
      <c r="BK1062" s="27"/>
      <c r="BL1062" s="27"/>
      <c r="BX1062" s="27"/>
      <c r="BY1062" s="27"/>
      <c r="CH1062" s="29"/>
    </row>
    <row r="1063" spans="1:86" x14ac:dyDescent="0.2">
      <c r="A1063" s="18">
        <v>10020</v>
      </c>
      <c r="B1063" s="19">
        <v>11</v>
      </c>
      <c r="C1063" s="19">
        <f t="shared" si="82"/>
        <v>100200011</v>
      </c>
      <c r="D1063" s="23" t="s">
        <v>300</v>
      </c>
      <c r="E1063" s="20" t="s">
        <v>640</v>
      </c>
      <c r="I1063" s="22" t="s">
        <v>206</v>
      </c>
      <c r="J1063" s="22"/>
      <c r="K1063" s="22"/>
      <c r="L1063" s="22"/>
      <c r="M1063" s="22"/>
      <c r="N1063" s="22" t="s">
        <v>163</v>
      </c>
      <c r="O1063" s="22" t="s">
        <v>163</v>
      </c>
      <c r="P1063" s="22"/>
      <c r="Q1063" s="22" t="s">
        <v>2041</v>
      </c>
      <c r="R1063" s="22"/>
      <c r="S1063" s="22"/>
      <c r="T1063" s="22" t="s">
        <v>2714</v>
      </c>
      <c r="U1063" s="116" t="s">
        <v>2811</v>
      </c>
      <c r="V1063" s="22" t="s">
        <v>109</v>
      </c>
      <c r="W1063" s="22" t="s">
        <v>1</v>
      </c>
      <c r="X1063" s="22"/>
      <c r="Z1063" s="22"/>
      <c r="AA1063" s="22"/>
      <c r="AB1063" s="22"/>
      <c r="AC1063" s="22" t="s">
        <v>129</v>
      </c>
      <c r="AD1063" s="22"/>
      <c r="AE1063" s="24"/>
      <c r="AF1063" s="24" t="s">
        <v>2042</v>
      </c>
      <c r="AG1063" s="22"/>
      <c r="AH1063" s="25">
        <v>101202</v>
      </c>
      <c r="AI1063" s="25" t="s">
        <v>267</v>
      </c>
      <c r="AK1063" s="40" t="s">
        <v>636</v>
      </c>
      <c r="AL1063" s="40"/>
      <c r="AX1063" s="27"/>
      <c r="AY1063" s="27"/>
      <c r="BK1063" s="27"/>
      <c r="BL1063" s="27"/>
      <c r="BX1063" s="27"/>
      <c r="BY1063" s="27"/>
      <c r="CH1063" s="29"/>
    </row>
    <row r="1064" spans="1:86" x14ac:dyDescent="0.2">
      <c r="A1064" s="18">
        <v>10020</v>
      </c>
      <c r="B1064" s="19">
        <v>12</v>
      </c>
      <c r="C1064" s="19">
        <f t="shared" si="82"/>
        <v>100200012</v>
      </c>
      <c r="D1064" s="23" t="s">
        <v>300</v>
      </c>
      <c r="E1064" s="20" t="s">
        <v>640</v>
      </c>
      <c r="I1064" s="22" t="s">
        <v>206</v>
      </c>
      <c r="J1064" s="22"/>
      <c r="K1064" s="22"/>
      <c r="L1064" s="22"/>
      <c r="M1064" s="22"/>
      <c r="N1064" s="22" t="s">
        <v>163</v>
      </c>
      <c r="O1064" s="22" t="s">
        <v>163</v>
      </c>
      <c r="P1064" s="22"/>
      <c r="Q1064" s="22" t="s">
        <v>2041</v>
      </c>
      <c r="R1064" s="22"/>
      <c r="S1064" s="22"/>
      <c r="T1064" s="22" t="s">
        <v>2714</v>
      </c>
      <c r="U1064" s="116" t="s">
        <v>2812</v>
      </c>
      <c r="V1064" s="22" t="s">
        <v>109</v>
      </c>
      <c r="W1064" s="22" t="s">
        <v>1</v>
      </c>
      <c r="X1064" s="22"/>
      <c r="Z1064" s="22"/>
      <c r="AA1064" s="22"/>
      <c r="AB1064" s="22"/>
      <c r="AC1064" s="22" t="s">
        <v>129</v>
      </c>
      <c r="AD1064" s="22"/>
      <c r="AE1064" s="24"/>
      <c r="AF1064" s="24" t="s">
        <v>2042</v>
      </c>
      <c r="AG1064" s="22"/>
      <c r="AH1064" s="25">
        <v>101203</v>
      </c>
      <c r="AI1064" s="25" t="s">
        <v>267</v>
      </c>
      <c r="AK1064" s="40" t="s">
        <v>637</v>
      </c>
      <c r="AL1064" s="40"/>
      <c r="AX1064" s="27"/>
      <c r="AY1064" s="27"/>
      <c r="BK1064" s="27"/>
      <c r="BL1064" s="27"/>
      <c r="BX1064" s="27"/>
      <c r="BY1064" s="27"/>
      <c r="CH1064" s="29"/>
    </row>
    <row r="1065" spans="1:86" x14ac:dyDescent="0.2">
      <c r="A1065" s="18">
        <v>10020</v>
      </c>
      <c r="B1065" s="19">
        <v>13</v>
      </c>
      <c r="C1065" s="19">
        <f t="shared" si="82"/>
        <v>100200013</v>
      </c>
      <c r="D1065" s="23" t="s">
        <v>300</v>
      </c>
      <c r="E1065" s="20" t="s">
        <v>640</v>
      </c>
      <c r="I1065" s="22" t="s">
        <v>206</v>
      </c>
      <c r="J1065" s="22"/>
      <c r="K1065" s="22"/>
      <c r="L1065" s="22"/>
      <c r="M1065" s="22"/>
      <c r="N1065" s="22" t="s">
        <v>163</v>
      </c>
      <c r="O1065" s="22" t="s">
        <v>163</v>
      </c>
      <c r="P1065" s="22"/>
      <c r="Q1065" s="22" t="s">
        <v>2041</v>
      </c>
      <c r="R1065" s="22"/>
      <c r="S1065" s="22"/>
      <c r="T1065" s="22" t="s">
        <v>2714</v>
      </c>
      <c r="U1065" s="116" t="s">
        <v>2813</v>
      </c>
      <c r="V1065" s="22" t="s">
        <v>109</v>
      </c>
      <c r="W1065" s="22" t="s">
        <v>1</v>
      </c>
      <c r="X1065" s="22"/>
      <c r="Z1065" s="22"/>
      <c r="AA1065" s="22"/>
      <c r="AB1065" s="22"/>
      <c r="AC1065" s="22" t="s">
        <v>129</v>
      </c>
      <c r="AD1065" s="22"/>
      <c r="AE1065" s="24"/>
      <c r="AF1065" s="24" t="s">
        <v>2042</v>
      </c>
      <c r="AG1065" s="22"/>
      <c r="AH1065" s="25">
        <v>101204</v>
      </c>
      <c r="AI1065" s="25" t="s">
        <v>267</v>
      </c>
      <c r="AK1065" s="40" t="s">
        <v>638</v>
      </c>
      <c r="AL1065" s="40"/>
      <c r="AX1065" s="27"/>
      <c r="AY1065" s="27"/>
      <c r="BK1065" s="27"/>
      <c r="BL1065" s="27"/>
      <c r="BX1065" s="27"/>
      <c r="BY1065" s="27"/>
      <c r="CH1065" s="29"/>
    </row>
    <row r="1066" spans="1:86" x14ac:dyDescent="0.2">
      <c r="A1066" s="18">
        <v>10020</v>
      </c>
      <c r="B1066" s="19">
        <v>14</v>
      </c>
      <c r="C1066" s="19">
        <f t="shared" si="82"/>
        <v>100200014</v>
      </c>
      <c r="D1066" s="23" t="s">
        <v>300</v>
      </c>
      <c r="E1066" s="20" t="s">
        <v>640</v>
      </c>
      <c r="I1066" s="22" t="s">
        <v>206</v>
      </c>
      <c r="J1066" s="22"/>
      <c r="K1066" s="22"/>
      <c r="L1066" s="22"/>
      <c r="M1066" s="22"/>
      <c r="N1066" s="22" t="s">
        <v>163</v>
      </c>
      <c r="O1066" s="22" t="s">
        <v>163</v>
      </c>
      <c r="P1066" s="22"/>
      <c r="Q1066" s="22" t="s">
        <v>2041</v>
      </c>
      <c r="R1066" s="22"/>
      <c r="S1066" s="22"/>
      <c r="T1066" s="22" t="s">
        <v>2714</v>
      </c>
      <c r="U1066" s="116" t="s">
        <v>2814</v>
      </c>
      <c r="V1066" s="22" t="s">
        <v>109</v>
      </c>
      <c r="W1066" s="22" t="s">
        <v>1</v>
      </c>
      <c r="X1066" s="22"/>
      <c r="Z1066" s="22"/>
      <c r="AA1066" s="22"/>
      <c r="AB1066" s="22"/>
      <c r="AC1066" s="22" t="s">
        <v>129</v>
      </c>
      <c r="AD1066" s="22"/>
      <c r="AE1066" s="24"/>
      <c r="AF1066" s="24" t="s">
        <v>2042</v>
      </c>
      <c r="AG1066" s="22"/>
      <c r="AH1066" s="25">
        <v>101205</v>
      </c>
      <c r="AI1066" s="25" t="s">
        <v>267</v>
      </c>
      <c r="AK1066" s="40" t="s">
        <v>639</v>
      </c>
      <c r="AL1066" s="40"/>
      <c r="AX1066" s="27"/>
      <c r="AY1066" s="27"/>
      <c r="BK1066" s="27"/>
      <c r="BL1066" s="27"/>
      <c r="BX1066" s="27"/>
      <c r="BY1066" s="27"/>
      <c r="CH1066" s="29"/>
    </row>
    <row r="1067" spans="1:86" x14ac:dyDescent="0.2">
      <c r="A1067" s="18">
        <v>10021</v>
      </c>
      <c r="B1067" s="19">
        <v>10</v>
      </c>
      <c r="C1067" s="19">
        <f t="shared" si="82"/>
        <v>100210010</v>
      </c>
      <c r="D1067" s="23" t="s">
        <v>301</v>
      </c>
      <c r="E1067" s="20" t="s">
        <v>640</v>
      </c>
      <c r="I1067" s="22" t="s">
        <v>206</v>
      </c>
      <c r="J1067" s="22"/>
      <c r="K1067" s="22"/>
      <c r="L1067" s="22"/>
      <c r="M1067" s="22"/>
      <c r="N1067" s="22" t="s">
        <v>163</v>
      </c>
      <c r="O1067" s="22" t="s">
        <v>163</v>
      </c>
      <c r="P1067" s="22"/>
      <c r="Q1067" s="22" t="s">
        <v>2041</v>
      </c>
      <c r="R1067" s="22"/>
      <c r="S1067" s="22"/>
      <c r="T1067" s="22" t="s">
        <v>2714</v>
      </c>
      <c r="U1067" s="116" t="s">
        <v>2815</v>
      </c>
      <c r="V1067" s="22" t="s">
        <v>109</v>
      </c>
      <c r="W1067" s="22" t="s">
        <v>1</v>
      </c>
      <c r="X1067" s="22"/>
      <c r="Z1067" s="22"/>
      <c r="AA1067" s="22"/>
      <c r="AB1067" s="22"/>
      <c r="AC1067" s="22" t="s">
        <v>130</v>
      </c>
      <c r="AD1067" s="22"/>
      <c r="AE1067" s="24"/>
      <c r="AF1067" s="24" t="s">
        <v>2042</v>
      </c>
      <c r="AG1067" s="22"/>
      <c r="AH1067" s="25">
        <v>101211</v>
      </c>
      <c r="AI1067" s="25" t="s">
        <v>267</v>
      </c>
      <c r="AK1067" s="40" t="s">
        <v>635</v>
      </c>
      <c r="AL1067" s="40"/>
      <c r="AX1067" s="27"/>
      <c r="AY1067" s="27"/>
      <c r="BK1067" s="27"/>
      <c r="BL1067" s="27"/>
      <c r="BX1067" s="27"/>
      <c r="BY1067" s="27"/>
      <c r="CH1067" s="29"/>
    </row>
    <row r="1068" spans="1:86" x14ac:dyDescent="0.2">
      <c r="A1068" s="18">
        <v>10021</v>
      </c>
      <c r="B1068" s="19">
        <v>11</v>
      </c>
      <c r="C1068" s="19">
        <f t="shared" si="82"/>
        <v>100210011</v>
      </c>
      <c r="D1068" s="23" t="s">
        <v>301</v>
      </c>
      <c r="E1068" s="20" t="s">
        <v>640</v>
      </c>
      <c r="I1068" s="22" t="s">
        <v>206</v>
      </c>
      <c r="J1068" s="22"/>
      <c r="K1068" s="22"/>
      <c r="L1068" s="22"/>
      <c r="M1068" s="22"/>
      <c r="N1068" s="22" t="s">
        <v>163</v>
      </c>
      <c r="O1068" s="22" t="s">
        <v>163</v>
      </c>
      <c r="P1068" s="22"/>
      <c r="Q1068" s="22" t="s">
        <v>2041</v>
      </c>
      <c r="R1068" s="22"/>
      <c r="S1068" s="22"/>
      <c r="T1068" s="22" t="s">
        <v>2714</v>
      </c>
      <c r="U1068" s="116" t="s">
        <v>2816</v>
      </c>
      <c r="V1068" s="22" t="s">
        <v>109</v>
      </c>
      <c r="W1068" s="22" t="s">
        <v>1</v>
      </c>
      <c r="X1068" s="22"/>
      <c r="Z1068" s="22"/>
      <c r="AA1068" s="22"/>
      <c r="AB1068" s="22"/>
      <c r="AC1068" s="22" t="s">
        <v>130</v>
      </c>
      <c r="AD1068" s="22"/>
      <c r="AE1068" s="24"/>
      <c r="AF1068" s="24" t="s">
        <v>2042</v>
      </c>
      <c r="AG1068" s="22"/>
      <c r="AH1068" s="25">
        <v>101212</v>
      </c>
      <c r="AI1068" s="25" t="s">
        <v>267</v>
      </c>
      <c r="AK1068" s="40" t="s">
        <v>636</v>
      </c>
      <c r="AL1068" s="40"/>
      <c r="AX1068" s="27"/>
      <c r="AY1068" s="27"/>
      <c r="BK1068" s="27"/>
      <c r="BL1068" s="27"/>
      <c r="BX1068" s="27"/>
      <c r="BY1068" s="27"/>
      <c r="CH1068" s="29"/>
    </row>
    <row r="1069" spans="1:86" x14ac:dyDescent="0.2">
      <c r="A1069" s="18">
        <v>10021</v>
      </c>
      <c r="B1069" s="19">
        <v>12</v>
      </c>
      <c r="C1069" s="19">
        <f t="shared" si="82"/>
        <v>100210012</v>
      </c>
      <c r="D1069" s="23" t="s">
        <v>301</v>
      </c>
      <c r="E1069" s="20" t="s">
        <v>640</v>
      </c>
      <c r="I1069" s="22" t="s">
        <v>206</v>
      </c>
      <c r="J1069" s="22"/>
      <c r="K1069" s="22"/>
      <c r="L1069" s="22"/>
      <c r="M1069" s="22"/>
      <c r="N1069" s="22" t="s">
        <v>163</v>
      </c>
      <c r="O1069" s="22" t="s">
        <v>163</v>
      </c>
      <c r="P1069" s="22"/>
      <c r="Q1069" s="22" t="s">
        <v>2041</v>
      </c>
      <c r="R1069" s="22"/>
      <c r="S1069" s="22"/>
      <c r="T1069" s="22" t="s">
        <v>2714</v>
      </c>
      <c r="U1069" s="116" t="s">
        <v>2817</v>
      </c>
      <c r="V1069" s="22" t="s">
        <v>109</v>
      </c>
      <c r="W1069" s="22" t="s">
        <v>1</v>
      </c>
      <c r="X1069" s="22"/>
      <c r="Z1069" s="22"/>
      <c r="AA1069" s="22"/>
      <c r="AB1069" s="22"/>
      <c r="AC1069" s="22" t="s">
        <v>130</v>
      </c>
      <c r="AD1069" s="22"/>
      <c r="AE1069" s="24"/>
      <c r="AF1069" s="24" t="s">
        <v>2042</v>
      </c>
      <c r="AG1069" s="22"/>
      <c r="AH1069" s="25">
        <v>101213</v>
      </c>
      <c r="AI1069" s="25" t="s">
        <v>267</v>
      </c>
      <c r="AK1069" s="40" t="s">
        <v>637</v>
      </c>
      <c r="AL1069" s="40"/>
      <c r="AX1069" s="27"/>
      <c r="AY1069" s="27"/>
      <c r="BK1069" s="27"/>
      <c r="BL1069" s="27"/>
      <c r="BX1069" s="27"/>
      <c r="BY1069" s="27"/>
      <c r="CH1069" s="29"/>
    </row>
    <row r="1070" spans="1:86" x14ac:dyDescent="0.2">
      <c r="A1070" s="18">
        <v>10021</v>
      </c>
      <c r="B1070" s="19">
        <v>13</v>
      </c>
      <c r="C1070" s="19">
        <f t="shared" si="82"/>
        <v>100210013</v>
      </c>
      <c r="D1070" s="23" t="s">
        <v>301</v>
      </c>
      <c r="E1070" s="20" t="s">
        <v>640</v>
      </c>
      <c r="I1070" s="22" t="s">
        <v>206</v>
      </c>
      <c r="J1070" s="22"/>
      <c r="K1070" s="22"/>
      <c r="L1070" s="22"/>
      <c r="M1070" s="22"/>
      <c r="N1070" s="22" t="s">
        <v>163</v>
      </c>
      <c r="O1070" s="22" t="s">
        <v>163</v>
      </c>
      <c r="P1070" s="22"/>
      <c r="Q1070" s="22" t="s">
        <v>2041</v>
      </c>
      <c r="R1070" s="22"/>
      <c r="S1070" s="22"/>
      <c r="T1070" s="22" t="s">
        <v>2714</v>
      </c>
      <c r="U1070" s="116" t="s">
        <v>2818</v>
      </c>
      <c r="V1070" s="22" t="s">
        <v>109</v>
      </c>
      <c r="W1070" s="22" t="s">
        <v>1</v>
      </c>
      <c r="X1070" s="22"/>
      <c r="Z1070" s="22"/>
      <c r="AA1070" s="22"/>
      <c r="AB1070" s="22"/>
      <c r="AC1070" s="22" t="s">
        <v>130</v>
      </c>
      <c r="AD1070" s="22"/>
      <c r="AE1070" s="24"/>
      <c r="AF1070" s="24" t="s">
        <v>2042</v>
      </c>
      <c r="AG1070" s="22"/>
      <c r="AH1070" s="25">
        <v>101214</v>
      </c>
      <c r="AI1070" s="25" t="s">
        <v>267</v>
      </c>
      <c r="AK1070" s="40" t="s">
        <v>638</v>
      </c>
      <c r="AL1070" s="40"/>
      <c r="AX1070" s="27"/>
      <c r="AY1070" s="27"/>
      <c r="BK1070" s="27"/>
      <c r="BL1070" s="27"/>
      <c r="BX1070" s="27"/>
      <c r="BY1070" s="27"/>
      <c r="CH1070" s="29"/>
    </row>
    <row r="1071" spans="1:86" x14ac:dyDescent="0.2">
      <c r="A1071" s="18">
        <v>10021</v>
      </c>
      <c r="B1071" s="19">
        <v>14</v>
      </c>
      <c r="C1071" s="19">
        <f t="shared" si="82"/>
        <v>100210014</v>
      </c>
      <c r="D1071" s="23" t="s">
        <v>301</v>
      </c>
      <c r="E1071" s="20" t="s">
        <v>640</v>
      </c>
      <c r="I1071" s="22" t="s">
        <v>206</v>
      </c>
      <c r="J1071" s="22"/>
      <c r="K1071" s="22"/>
      <c r="L1071" s="22"/>
      <c r="M1071" s="22"/>
      <c r="N1071" s="22" t="s">
        <v>163</v>
      </c>
      <c r="O1071" s="22" t="s">
        <v>163</v>
      </c>
      <c r="P1071" s="22"/>
      <c r="Q1071" s="22" t="s">
        <v>2041</v>
      </c>
      <c r="R1071" s="22"/>
      <c r="S1071" s="22"/>
      <c r="T1071" s="22" t="s">
        <v>2714</v>
      </c>
      <c r="U1071" s="116" t="s">
        <v>2819</v>
      </c>
      <c r="V1071" s="22" t="s">
        <v>109</v>
      </c>
      <c r="W1071" s="22" t="s">
        <v>1</v>
      </c>
      <c r="X1071" s="22"/>
      <c r="Z1071" s="22"/>
      <c r="AA1071" s="22"/>
      <c r="AB1071" s="22"/>
      <c r="AC1071" s="22" t="s">
        <v>130</v>
      </c>
      <c r="AD1071" s="22"/>
      <c r="AE1071" s="24"/>
      <c r="AF1071" s="24" t="s">
        <v>2042</v>
      </c>
      <c r="AG1071" s="22"/>
      <c r="AH1071" s="25">
        <v>101215</v>
      </c>
      <c r="AI1071" s="25" t="s">
        <v>267</v>
      </c>
      <c r="AK1071" s="40" t="s">
        <v>639</v>
      </c>
      <c r="AL1071" s="40"/>
      <c r="AX1071" s="27"/>
      <c r="AY1071" s="27"/>
      <c r="BK1071" s="27"/>
      <c r="BL1071" s="27"/>
      <c r="BX1071" s="27"/>
      <c r="BY1071" s="27"/>
      <c r="CH1071" s="29"/>
    </row>
    <row r="1072" spans="1:86" x14ac:dyDescent="0.2">
      <c r="A1072" s="18">
        <v>10022</v>
      </c>
      <c r="B1072" s="19">
        <v>10</v>
      </c>
      <c r="C1072" s="19">
        <f t="shared" si="82"/>
        <v>100220010</v>
      </c>
      <c r="D1072" s="23" t="s">
        <v>302</v>
      </c>
      <c r="E1072" s="20" t="s">
        <v>640</v>
      </c>
      <c r="I1072" s="22" t="s">
        <v>206</v>
      </c>
      <c r="J1072" s="22"/>
      <c r="K1072" s="22"/>
      <c r="L1072" s="22"/>
      <c r="M1072" s="22"/>
      <c r="N1072" s="22" t="s">
        <v>163</v>
      </c>
      <c r="O1072" s="22" t="s">
        <v>163</v>
      </c>
      <c r="P1072" s="22"/>
      <c r="Q1072" s="22" t="s">
        <v>2041</v>
      </c>
      <c r="R1072" s="22"/>
      <c r="S1072" s="22"/>
      <c r="T1072" s="22" t="s">
        <v>2714</v>
      </c>
      <c r="U1072" s="116" t="s">
        <v>2820</v>
      </c>
      <c r="V1072" s="22" t="s">
        <v>109</v>
      </c>
      <c r="W1072" s="22" t="s">
        <v>1</v>
      </c>
      <c r="X1072" s="22"/>
      <c r="Z1072" s="22"/>
      <c r="AA1072" s="22"/>
      <c r="AB1072" s="22"/>
      <c r="AC1072" s="22" t="s">
        <v>131</v>
      </c>
      <c r="AD1072" s="22"/>
      <c r="AE1072" s="24"/>
      <c r="AF1072" s="24" t="s">
        <v>2042</v>
      </c>
      <c r="AG1072" s="22"/>
      <c r="AH1072" s="25">
        <v>101221</v>
      </c>
      <c r="AI1072" s="25" t="s">
        <v>267</v>
      </c>
      <c r="AK1072" s="40" t="s">
        <v>635</v>
      </c>
      <c r="AL1072" s="40"/>
      <c r="AX1072" s="27"/>
      <c r="AY1072" s="27"/>
      <c r="BK1072" s="27"/>
      <c r="BL1072" s="27"/>
      <c r="BX1072" s="27"/>
      <c r="BY1072" s="27"/>
      <c r="CH1072" s="29"/>
    </row>
    <row r="1073" spans="1:86" x14ac:dyDescent="0.2">
      <c r="A1073" s="18">
        <v>10022</v>
      </c>
      <c r="B1073" s="19">
        <v>11</v>
      </c>
      <c r="C1073" s="19">
        <f t="shared" si="82"/>
        <v>100220011</v>
      </c>
      <c r="D1073" s="23" t="s">
        <v>302</v>
      </c>
      <c r="E1073" s="20" t="s">
        <v>640</v>
      </c>
      <c r="I1073" s="22" t="s">
        <v>206</v>
      </c>
      <c r="J1073" s="22"/>
      <c r="K1073" s="22"/>
      <c r="L1073" s="22"/>
      <c r="M1073" s="22"/>
      <c r="N1073" s="22" t="s">
        <v>163</v>
      </c>
      <c r="O1073" s="22" t="s">
        <v>163</v>
      </c>
      <c r="P1073" s="22"/>
      <c r="Q1073" s="22" t="s">
        <v>2041</v>
      </c>
      <c r="R1073" s="22"/>
      <c r="S1073" s="22"/>
      <c r="T1073" s="22" t="s">
        <v>2714</v>
      </c>
      <c r="U1073" s="116" t="s">
        <v>2821</v>
      </c>
      <c r="V1073" s="22" t="s">
        <v>109</v>
      </c>
      <c r="W1073" s="22" t="s">
        <v>1</v>
      </c>
      <c r="X1073" s="22"/>
      <c r="Z1073" s="22"/>
      <c r="AA1073" s="22"/>
      <c r="AB1073" s="22"/>
      <c r="AC1073" s="22" t="s">
        <v>131</v>
      </c>
      <c r="AD1073" s="22"/>
      <c r="AE1073" s="24"/>
      <c r="AF1073" s="24" t="s">
        <v>2042</v>
      </c>
      <c r="AG1073" s="22"/>
      <c r="AH1073" s="25">
        <v>101222</v>
      </c>
      <c r="AI1073" s="25" t="s">
        <v>267</v>
      </c>
      <c r="AK1073" s="40" t="s">
        <v>636</v>
      </c>
      <c r="AL1073" s="40"/>
      <c r="AX1073" s="27"/>
      <c r="AY1073" s="27"/>
      <c r="BK1073" s="27"/>
      <c r="BL1073" s="27"/>
      <c r="BX1073" s="27"/>
      <c r="BY1073" s="27"/>
      <c r="CH1073" s="29"/>
    </row>
    <row r="1074" spans="1:86" x14ac:dyDescent="0.2">
      <c r="A1074" s="18">
        <v>10022</v>
      </c>
      <c r="B1074" s="19">
        <v>12</v>
      </c>
      <c r="C1074" s="19">
        <f t="shared" si="82"/>
        <v>100220012</v>
      </c>
      <c r="D1074" s="23" t="s">
        <v>302</v>
      </c>
      <c r="E1074" s="20" t="s">
        <v>640</v>
      </c>
      <c r="I1074" s="22" t="s">
        <v>206</v>
      </c>
      <c r="J1074" s="22"/>
      <c r="K1074" s="22"/>
      <c r="L1074" s="22"/>
      <c r="M1074" s="22"/>
      <c r="N1074" s="22" t="s">
        <v>163</v>
      </c>
      <c r="O1074" s="22" t="s">
        <v>163</v>
      </c>
      <c r="P1074" s="22"/>
      <c r="Q1074" s="22" t="s">
        <v>2041</v>
      </c>
      <c r="R1074" s="22"/>
      <c r="S1074" s="22"/>
      <c r="T1074" s="22" t="s">
        <v>2714</v>
      </c>
      <c r="U1074" s="116" t="s">
        <v>2822</v>
      </c>
      <c r="V1074" s="22" t="s">
        <v>109</v>
      </c>
      <c r="W1074" s="22" t="s">
        <v>1</v>
      </c>
      <c r="X1074" s="22"/>
      <c r="Z1074" s="22"/>
      <c r="AA1074" s="22"/>
      <c r="AB1074" s="22"/>
      <c r="AC1074" s="22" t="s">
        <v>131</v>
      </c>
      <c r="AD1074" s="22"/>
      <c r="AE1074" s="24"/>
      <c r="AF1074" s="24" t="s">
        <v>2042</v>
      </c>
      <c r="AG1074" s="22"/>
      <c r="AH1074" s="25">
        <v>101223</v>
      </c>
      <c r="AI1074" s="25" t="s">
        <v>267</v>
      </c>
      <c r="AK1074" s="40" t="s">
        <v>637</v>
      </c>
      <c r="AL1074" s="40"/>
      <c r="AX1074" s="27"/>
      <c r="AY1074" s="27"/>
      <c r="BK1074" s="27"/>
      <c r="BL1074" s="27"/>
      <c r="BX1074" s="27"/>
      <c r="BY1074" s="27"/>
      <c r="CH1074" s="29"/>
    </row>
    <row r="1075" spans="1:86" x14ac:dyDescent="0.2">
      <c r="A1075" s="18">
        <v>10022</v>
      </c>
      <c r="B1075" s="19">
        <v>13</v>
      </c>
      <c r="C1075" s="19">
        <f t="shared" si="82"/>
        <v>100220013</v>
      </c>
      <c r="D1075" s="23" t="s">
        <v>302</v>
      </c>
      <c r="E1075" s="20" t="s">
        <v>640</v>
      </c>
      <c r="I1075" s="22" t="s">
        <v>206</v>
      </c>
      <c r="J1075" s="22"/>
      <c r="K1075" s="22"/>
      <c r="L1075" s="22"/>
      <c r="M1075" s="22"/>
      <c r="N1075" s="22" t="s">
        <v>163</v>
      </c>
      <c r="O1075" s="22" t="s">
        <v>163</v>
      </c>
      <c r="P1075" s="22"/>
      <c r="Q1075" s="22" t="s">
        <v>2041</v>
      </c>
      <c r="R1075" s="22"/>
      <c r="S1075" s="22"/>
      <c r="T1075" s="22" t="s">
        <v>2714</v>
      </c>
      <c r="U1075" s="116" t="s">
        <v>2823</v>
      </c>
      <c r="V1075" s="22" t="s">
        <v>109</v>
      </c>
      <c r="W1075" s="22" t="s">
        <v>1</v>
      </c>
      <c r="X1075" s="22"/>
      <c r="Z1075" s="22"/>
      <c r="AA1075" s="22"/>
      <c r="AB1075" s="22"/>
      <c r="AC1075" s="22" t="s">
        <v>131</v>
      </c>
      <c r="AD1075" s="22"/>
      <c r="AE1075" s="24"/>
      <c r="AF1075" s="24" t="s">
        <v>2042</v>
      </c>
      <c r="AG1075" s="22"/>
      <c r="AH1075" s="25">
        <v>101224</v>
      </c>
      <c r="AI1075" s="25" t="s">
        <v>267</v>
      </c>
      <c r="AK1075" s="40" t="s">
        <v>638</v>
      </c>
      <c r="AL1075" s="40"/>
      <c r="AX1075" s="27"/>
      <c r="AY1075" s="27"/>
      <c r="BK1075" s="27"/>
      <c r="BL1075" s="27"/>
      <c r="BX1075" s="27"/>
      <c r="BY1075" s="27"/>
      <c r="CH1075" s="29"/>
    </row>
    <row r="1076" spans="1:86" x14ac:dyDescent="0.2">
      <c r="A1076" s="18">
        <v>10022</v>
      </c>
      <c r="B1076" s="19">
        <v>14</v>
      </c>
      <c r="C1076" s="19">
        <f t="shared" si="82"/>
        <v>100220014</v>
      </c>
      <c r="D1076" s="23" t="s">
        <v>302</v>
      </c>
      <c r="E1076" s="20" t="s">
        <v>640</v>
      </c>
      <c r="I1076" s="22" t="s">
        <v>206</v>
      </c>
      <c r="J1076" s="22"/>
      <c r="K1076" s="22"/>
      <c r="L1076" s="22"/>
      <c r="M1076" s="22"/>
      <c r="N1076" s="22" t="s">
        <v>163</v>
      </c>
      <c r="O1076" s="22" t="s">
        <v>163</v>
      </c>
      <c r="P1076" s="22"/>
      <c r="Q1076" s="22" t="s">
        <v>2041</v>
      </c>
      <c r="R1076" s="22"/>
      <c r="S1076" s="22"/>
      <c r="T1076" s="22" t="s">
        <v>2714</v>
      </c>
      <c r="U1076" s="116" t="s">
        <v>2824</v>
      </c>
      <c r="V1076" s="22" t="s">
        <v>109</v>
      </c>
      <c r="W1076" s="22" t="s">
        <v>1</v>
      </c>
      <c r="X1076" s="22"/>
      <c r="Z1076" s="22"/>
      <c r="AA1076" s="22"/>
      <c r="AB1076" s="22"/>
      <c r="AC1076" s="22" t="s">
        <v>131</v>
      </c>
      <c r="AD1076" s="22"/>
      <c r="AE1076" s="24"/>
      <c r="AF1076" s="24" t="s">
        <v>2042</v>
      </c>
      <c r="AG1076" s="22"/>
      <c r="AH1076" s="25">
        <v>101225</v>
      </c>
      <c r="AI1076" s="25" t="s">
        <v>267</v>
      </c>
      <c r="AK1076" s="40" t="s">
        <v>639</v>
      </c>
      <c r="AL1076" s="40"/>
      <c r="AX1076" s="27"/>
      <c r="AY1076" s="27"/>
      <c r="BK1076" s="27"/>
      <c r="BL1076" s="27"/>
      <c r="BX1076" s="27"/>
      <c r="BY1076" s="27"/>
      <c r="CH1076" s="29"/>
    </row>
    <row r="1077" spans="1:86" x14ac:dyDescent="0.2">
      <c r="A1077" s="18">
        <v>10023</v>
      </c>
      <c r="B1077" s="19">
        <v>10</v>
      </c>
      <c r="C1077" s="19">
        <f t="shared" si="82"/>
        <v>100230010</v>
      </c>
      <c r="D1077" s="23" t="s">
        <v>303</v>
      </c>
      <c r="E1077" s="20" t="s">
        <v>640</v>
      </c>
      <c r="I1077" s="22" t="s">
        <v>206</v>
      </c>
      <c r="J1077" s="22"/>
      <c r="K1077" s="22"/>
      <c r="L1077" s="22"/>
      <c r="M1077" s="22"/>
      <c r="N1077" s="22" t="s">
        <v>163</v>
      </c>
      <c r="O1077" s="22" t="s">
        <v>163</v>
      </c>
      <c r="P1077" s="22"/>
      <c r="Q1077" s="22" t="s">
        <v>2041</v>
      </c>
      <c r="R1077" s="22"/>
      <c r="S1077" s="22"/>
      <c r="T1077" s="22" t="s">
        <v>2714</v>
      </c>
      <c r="U1077" s="116" t="s">
        <v>2825</v>
      </c>
      <c r="V1077" s="22" t="s">
        <v>109</v>
      </c>
      <c r="W1077" s="22" t="s">
        <v>1</v>
      </c>
      <c r="X1077" s="22"/>
      <c r="Z1077" s="22"/>
      <c r="AA1077" s="22"/>
      <c r="AB1077" s="22"/>
      <c r="AC1077" s="22" t="s">
        <v>132</v>
      </c>
      <c r="AD1077" s="22"/>
      <c r="AE1077" s="24"/>
      <c r="AF1077" s="24" t="s">
        <v>2042</v>
      </c>
      <c r="AG1077" s="22"/>
      <c r="AH1077" s="25">
        <v>101231</v>
      </c>
      <c r="AI1077" s="25" t="s">
        <v>267</v>
      </c>
      <c r="AK1077" s="40" t="s">
        <v>635</v>
      </c>
      <c r="AL1077" s="40"/>
      <c r="AX1077" s="27"/>
      <c r="AY1077" s="27"/>
      <c r="BK1077" s="27"/>
      <c r="BL1077" s="27"/>
      <c r="BX1077" s="27"/>
      <c r="BY1077" s="27"/>
      <c r="CH1077" s="29"/>
    </row>
    <row r="1078" spans="1:86" x14ac:dyDescent="0.2">
      <c r="A1078" s="18">
        <v>10023</v>
      </c>
      <c r="B1078" s="19">
        <v>11</v>
      </c>
      <c r="C1078" s="19">
        <f t="shared" si="82"/>
        <v>100230011</v>
      </c>
      <c r="D1078" s="23" t="s">
        <v>303</v>
      </c>
      <c r="E1078" s="20" t="s">
        <v>640</v>
      </c>
      <c r="I1078" s="22" t="s">
        <v>206</v>
      </c>
      <c r="J1078" s="22"/>
      <c r="K1078" s="22"/>
      <c r="L1078" s="22"/>
      <c r="M1078" s="22"/>
      <c r="N1078" s="22" t="s">
        <v>163</v>
      </c>
      <c r="O1078" s="22" t="s">
        <v>163</v>
      </c>
      <c r="P1078" s="22"/>
      <c r="Q1078" s="22" t="s">
        <v>2041</v>
      </c>
      <c r="R1078" s="22"/>
      <c r="S1078" s="22"/>
      <c r="T1078" s="22" t="s">
        <v>2714</v>
      </c>
      <c r="U1078" s="116" t="s">
        <v>2826</v>
      </c>
      <c r="V1078" s="22" t="s">
        <v>109</v>
      </c>
      <c r="W1078" s="22" t="s">
        <v>1</v>
      </c>
      <c r="X1078" s="22"/>
      <c r="Z1078" s="22"/>
      <c r="AA1078" s="22"/>
      <c r="AB1078" s="22"/>
      <c r="AC1078" s="22" t="s">
        <v>132</v>
      </c>
      <c r="AD1078" s="22"/>
      <c r="AE1078" s="24"/>
      <c r="AF1078" s="24" t="s">
        <v>2042</v>
      </c>
      <c r="AG1078" s="22"/>
      <c r="AH1078" s="25">
        <v>101232</v>
      </c>
      <c r="AI1078" s="25" t="s">
        <v>267</v>
      </c>
      <c r="AK1078" s="40" t="s">
        <v>636</v>
      </c>
      <c r="AL1078" s="40"/>
      <c r="AX1078" s="27"/>
      <c r="AY1078" s="27"/>
      <c r="BK1078" s="27"/>
      <c r="BL1078" s="27"/>
      <c r="BX1078" s="27"/>
      <c r="BY1078" s="27"/>
      <c r="CH1078" s="29"/>
    </row>
    <row r="1079" spans="1:86" x14ac:dyDescent="0.2">
      <c r="A1079" s="18">
        <v>10023</v>
      </c>
      <c r="B1079" s="19">
        <v>12</v>
      </c>
      <c r="C1079" s="19">
        <f t="shared" si="82"/>
        <v>100230012</v>
      </c>
      <c r="D1079" s="23" t="s">
        <v>303</v>
      </c>
      <c r="E1079" s="20" t="s">
        <v>640</v>
      </c>
      <c r="I1079" s="22" t="s">
        <v>206</v>
      </c>
      <c r="J1079" s="22"/>
      <c r="K1079" s="22"/>
      <c r="L1079" s="22"/>
      <c r="M1079" s="22"/>
      <c r="N1079" s="22" t="s">
        <v>163</v>
      </c>
      <c r="O1079" s="22" t="s">
        <v>163</v>
      </c>
      <c r="P1079" s="22"/>
      <c r="Q1079" s="22" t="s">
        <v>2041</v>
      </c>
      <c r="R1079" s="22"/>
      <c r="S1079" s="22"/>
      <c r="T1079" s="22" t="s">
        <v>2714</v>
      </c>
      <c r="U1079" s="116" t="s">
        <v>2827</v>
      </c>
      <c r="V1079" s="22" t="s">
        <v>109</v>
      </c>
      <c r="W1079" s="22" t="s">
        <v>1</v>
      </c>
      <c r="X1079" s="22"/>
      <c r="Z1079" s="22"/>
      <c r="AA1079" s="22"/>
      <c r="AB1079" s="22"/>
      <c r="AC1079" s="22" t="s">
        <v>132</v>
      </c>
      <c r="AD1079" s="22"/>
      <c r="AE1079" s="24"/>
      <c r="AF1079" s="24" t="s">
        <v>2042</v>
      </c>
      <c r="AG1079" s="22"/>
      <c r="AH1079" s="25">
        <v>101233</v>
      </c>
      <c r="AI1079" s="25" t="s">
        <v>267</v>
      </c>
      <c r="AK1079" s="40" t="s">
        <v>637</v>
      </c>
      <c r="AL1079" s="40"/>
      <c r="AX1079" s="27"/>
      <c r="AY1079" s="27"/>
      <c r="BK1079" s="27"/>
      <c r="BL1079" s="27"/>
      <c r="BX1079" s="27"/>
      <c r="BY1079" s="27"/>
      <c r="CH1079" s="29"/>
    </row>
    <row r="1080" spans="1:86" x14ac:dyDescent="0.2">
      <c r="A1080" s="18">
        <v>10023</v>
      </c>
      <c r="B1080" s="19">
        <v>13</v>
      </c>
      <c r="C1080" s="19">
        <f t="shared" si="82"/>
        <v>100230013</v>
      </c>
      <c r="D1080" s="23" t="s">
        <v>303</v>
      </c>
      <c r="E1080" s="20" t="s">
        <v>640</v>
      </c>
      <c r="I1080" s="22" t="s">
        <v>206</v>
      </c>
      <c r="J1080" s="22"/>
      <c r="K1080" s="22"/>
      <c r="L1080" s="22"/>
      <c r="M1080" s="22"/>
      <c r="N1080" s="22" t="s">
        <v>163</v>
      </c>
      <c r="O1080" s="22" t="s">
        <v>163</v>
      </c>
      <c r="P1080" s="22"/>
      <c r="Q1080" s="22" t="s">
        <v>2041</v>
      </c>
      <c r="R1080" s="22"/>
      <c r="S1080" s="22"/>
      <c r="T1080" s="22" t="s">
        <v>2714</v>
      </c>
      <c r="U1080" s="116" t="s">
        <v>2828</v>
      </c>
      <c r="V1080" s="22" t="s">
        <v>109</v>
      </c>
      <c r="W1080" s="22" t="s">
        <v>1</v>
      </c>
      <c r="X1080" s="22"/>
      <c r="Z1080" s="22"/>
      <c r="AA1080" s="22"/>
      <c r="AB1080" s="22"/>
      <c r="AC1080" s="22" t="s">
        <v>132</v>
      </c>
      <c r="AD1080" s="22"/>
      <c r="AE1080" s="24"/>
      <c r="AF1080" s="24" t="s">
        <v>2042</v>
      </c>
      <c r="AG1080" s="22"/>
      <c r="AH1080" s="25">
        <v>101234</v>
      </c>
      <c r="AI1080" s="25" t="s">
        <v>267</v>
      </c>
      <c r="AK1080" s="40" t="s">
        <v>638</v>
      </c>
      <c r="AL1080" s="40"/>
      <c r="AX1080" s="27"/>
      <c r="AY1080" s="27"/>
      <c r="BK1080" s="27"/>
      <c r="BL1080" s="27"/>
      <c r="BX1080" s="27"/>
      <c r="BY1080" s="27"/>
      <c r="CH1080" s="29"/>
    </row>
    <row r="1081" spans="1:86" x14ac:dyDescent="0.2">
      <c r="A1081" s="18">
        <v>10023</v>
      </c>
      <c r="B1081" s="19">
        <v>14</v>
      </c>
      <c r="C1081" s="19">
        <f t="shared" si="82"/>
        <v>100230014</v>
      </c>
      <c r="D1081" s="23" t="s">
        <v>303</v>
      </c>
      <c r="E1081" s="20" t="s">
        <v>640</v>
      </c>
      <c r="I1081" s="22" t="s">
        <v>206</v>
      </c>
      <c r="J1081" s="22"/>
      <c r="K1081" s="22"/>
      <c r="L1081" s="22"/>
      <c r="M1081" s="22"/>
      <c r="N1081" s="22" t="s">
        <v>163</v>
      </c>
      <c r="O1081" s="22" t="s">
        <v>163</v>
      </c>
      <c r="P1081" s="22"/>
      <c r="Q1081" s="22" t="s">
        <v>2041</v>
      </c>
      <c r="R1081" s="22"/>
      <c r="S1081" s="22"/>
      <c r="T1081" s="22" t="s">
        <v>2714</v>
      </c>
      <c r="U1081" s="116" t="s">
        <v>2829</v>
      </c>
      <c r="V1081" s="22" t="s">
        <v>109</v>
      </c>
      <c r="W1081" s="22" t="s">
        <v>1</v>
      </c>
      <c r="X1081" s="22"/>
      <c r="Z1081" s="22"/>
      <c r="AA1081" s="22"/>
      <c r="AB1081" s="22"/>
      <c r="AC1081" s="22" t="s">
        <v>132</v>
      </c>
      <c r="AD1081" s="22"/>
      <c r="AE1081" s="24"/>
      <c r="AF1081" s="24" t="s">
        <v>2042</v>
      </c>
      <c r="AG1081" s="22"/>
      <c r="AH1081" s="25">
        <v>101235</v>
      </c>
      <c r="AI1081" s="25" t="s">
        <v>267</v>
      </c>
      <c r="AK1081" s="40" t="s">
        <v>639</v>
      </c>
      <c r="AL1081" s="40"/>
      <c r="AX1081" s="27"/>
      <c r="AY1081" s="27"/>
      <c r="BK1081" s="27"/>
      <c r="BL1081" s="27"/>
      <c r="BX1081" s="27"/>
      <c r="BY1081" s="27"/>
      <c r="CH1081" s="29"/>
    </row>
    <row r="1082" spans="1:86" x14ac:dyDescent="0.2">
      <c r="A1082" s="18">
        <v>10024</v>
      </c>
      <c r="B1082" s="19">
        <v>10</v>
      </c>
      <c r="C1082" s="19">
        <f t="shared" si="82"/>
        <v>100240010</v>
      </c>
      <c r="D1082" s="23" t="s">
        <v>304</v>
      </c>
      <c r="E1082" s="20" t="s">
        <v>640</v>
      </c>
      <c r="I1082" s="22" t="s">
        <v>206</v>
      </c>
      <c r="J1082" s="22"/>
      <c r="K1082" s="22"/>
      <c r="L1082" s="22"/>
      <c r="M1082" s="22"/>
      <c r="N1082" s="22" t="s">
        <v>163</v>
      </c>
      <c r="O1082" s="22" t="s">
        <v>163</v>
      </c>
      <c r="P1082" s="22"/>
      <c r="Q1082" s="22" t="s">
        <v>2041</v>
      </c>
      <c r="R1082" s="22"/>
      <c r="S1082" s="22"/>
      <c r="T1082" s="22" t="s">
        <v>2714</v>
      </c>
      <c r="U1082" s="116" t="s">
        <v>2830</v>
      </c>
      <c r="V1082" s="22" t="s">
        <v>109</v>
      </c>
      <c r="W1082" s="22" t="s">
        <v>1</v>
      </c>
      <c r="X1082" s="22"/>
      <c r="Z1082" s="22"/>
      <c r="AA1082" s="22"/>
      <c r="AB1082" s="22"/>
      <c r="AC1082" s="22" t="s">
        <v>259</v>
      </c>
      <c r="AD1082" s="22"/>
      <c r="AE1082" s="24"/>
      <c r="AF1082" s="24" t="s">
        <v>2042</v>
      </c>
      <c r="AG1082" s="22"/>
      <c r="AH1082" s="25">
        <v>101241</v>
      </c>
      <c r="AI1082" s="25" t="s">
        <v>267</v>
      </c>
      <c r="AK1082" s="40" t="s">
        <v>635</v>
      </c>
      <c r="AL1082" s="40"/>
      <c r="AX1082" s="27"/>
      <c r="AY1082" s="27"/>
      <c r="BK1082" s="27"/>
      <c r="BL1082" s="27"/>
      <c r="BX1082" s="27"/>
      <c r="BY1082" s="27"/>
      <c r="CH1082" s="29"/>
    </row>
    <row r="1083" spans="1:86" x14ac:dyDescent="0.2">
      <c r="A1083" s="18">
        <v>10024</v>
      </c>
      <c r="B1083" s="19">
        <v>11</v>
      </c>
      <c r="C1083" s="19">
        <f t="shared" si="82"/>
        <v>100240011</v>
      </c>
      <c r="D1083" s="23" t="s">
        <v>304</v>
      </c>
      <c r="E1083" s="20" t="s">
        <v>640</v>
      </c>
      <c r="I1083" s="22" t="s">
        <v>206</v>
      </c>
      <c r="J1083" s="22"/>
      <c r="K1083" s="22"/>
      <c r="L1083" s="22"/>
      <c r="M1083" s="22"/>
      <c r="N1083" s="22" t="s">
        <v>163</v>
      </c>
      <c r="O1083" s="22" t="s">
        <v>163</v>
      </c>
      <c r="P1083" s="22"/>
      <c r="Q1083" s="22" t="s">
        <v>2041</v>
      </c>
      <c r="R1083" s="22"/>
      <c r="S1083" s="22"/>
      <c r="T1083" s="22" t="s">
        <v>2714</v>
      </c>
      <c r="U1083" s="116" t="s">
        <v>2831</v>
      </c>
      <c r="V1083" s="22" t="s">
        <v>109</v>
      </c>
      <c r="W1083" s="22" t="s">
        <v>1</v>
      </c>
      <c r="X1083" s="22"/>
      <c r="Z1083" s="22"/>
      <c r="AA1083" s="22"/>
      <c r="AB1083" s="22"/>
      <c r="AC1083" s="22" t="s">
        <v>259</v>
      </c>
      <c r="AD1083" s="22"/>
      <c r="AE1083" s="24"/>
      <c r="AF1083" s="24" t="s">
        <v>2042</v>
      </c>
      <c r="AG1083" s="22"/>
      <c r="AH1083" s="25">
        <v>101242</v>
      </c>
      <c r="AI1083" s="25" t="s">
        <v>267</v>
      </c>
      <c r="AK1083" s="40" t="s">
        <v>636</v>
      </c>
      <c r="AL1083" s="40"/>
      <c r="AX1083" s="27"/>
      <c r="AY1083" s="27"/>
      <c r="BK1083" s="27"/>
      <c r="BL1083" s="27"/>
      <c r="BX1083" s="27"/>
      <c r="BY1083" s="27"/>
      <c r="CH1083" s="29"/>
    </row>
    <row r="1084" spans="1:86" x14ac:dyDescent="0.2">
      <c r="A1084" s="18">
        <v>10024</v>
      </c>
      <c r="B1084" s="19">
        <v>12</v>
      </c>
      <c r="C1084" s="19">
        <f t="shared" si="82"/>
        <v>100240012</v>
      </c>
      <c r="D1084" s="23" t="s">
        <v>304</v>
      </c>
      <c r="E1084" s="20" t="s">
        <v>640</v>
      </c>
      <c r="I1084" s="22" t="s">
        <v>206</v>
      </c>
      <c r="J1084" s="22"/>
      <c r="K1084" s="22"/>
      <c r="L1084" s="22"/>
      <c r="M1084" s="22"/>
      <c r="N1084" s="22" t="s">
        <v>163</v>
      </c>
      <c r="O1084" s="22" t="s">
        <v>163</v>
      </c>
      <c r="P1084" s="22"/>
      <c r="Q1084" s="22" t="s">
        <v>2041</v>
      </c>
      <c r="R1084" s="22"/>
      <c r="S1084" s="22"/>
      <c r="T1084" s="22" t="s">
        <v>2714</v>
      </c>
      <c r="U1084" s="116" t="s">
        <v>2832</v>
      </c>
      <c r="V1084" s="22" t="s">
        <v>109</v>
      </c>
      <c r="W1084" s="22" t="s">
        <v>1</v>
      </c>
      <c r="X1084" s="22"/>
      <c r="Z1084" s="22"/>
      <c r="AA1084" s="22"/>
      <c r="AB1084" s="22"/>
      <c r="AC1084" s="22" t="s">
        <v>259</v>
      </c>
      <c r="AD1084" s="22"/>
      <c r="AE1084" s="24"/>
      <c r="AF1084" s="24" t="s">
        <v>2042</v>
      </c>
      <c r="AG1084" s="22"/>
      <c r="AH1084" s="25">
        <v>101243</v>
      </c>
      <c r="AI1084" s="25" t="s">
        <v>267</v>
      </c>
      <c r="AK1084" s="40" t="s">
        <v>637</v>
      </c>
      <c r="AL1084" s="40"/>
      <c r="AX1084" s="27"/>
      <c r="AY1084" s="27"/>
      <c r="BK1084" s="27"/>
      <c r="BL1084" s="27"/>
      <c r="BX1084" s="27"/>
      <c r="BY1084" s="27"/>
      <c r="CH1084" s="29"/>
    </row>
    <row r="1085" spans="1:86" x14ac:dyDescent="0.2">
      <c r="A1085" s="18">
        <v>10024</v>
      </c>
      <c r="B1085" s="19">
        <v>13</v>
      </c>
      <c r="C1085" s="19">
        <f t="shared" si="82"/>
        <v>100240013</v>
      </c>
      <c r="D1085" s="23" t="s">
        <v>304</v>
      </c>
      <c r="E1085" s="20" t="s">
        <v>640</v>
      </c>
      <c r="I1085" s="22" t="s">
        <v>206</v>
      </c>
      <c r="J1085" s="22"/>
      <c r="K1085" s="22"/>
      <c r="L1085" s="22"/>
      <c r="M1085" s="22"/>
      <c r="N1085" s="22" t="s">
        <v>163</v>
      </c>
      <c r="O1085" s="22" t="s">
        <v>163</v>
      </c>
      <c r="P1085" s="22"/>
      <c r="Q1085" s="22" t="s">
        <v>2041</v>
      </c>
      <c r="R1085" s="22"/>
      <c r="S1085" s="22"/>
      <c r="T1085" s="22" t="s">
        <v>2714</v>
      </c>
      <c r="U1085" s="116" t="s">
        <v>2833</v>
      </c>
      <c r="V1085" s="22" t="s">
        <v>109</v>
      </c>
      <c r="W1085" s="22" t="s">
        <v>1</v>
      </c>
      <c r="X1085" s="22"/>
      <c r="Z1085" s="22"/>
      <c r="AA1085" s="22"/>
      <c r="AB1085" s="22"/>
      <c r="AC1085" s="22" t="s">
        <v>259</v>
      </c>
      <c r="AD1085" s="22"/>
      <c r="AE1085" s="24"/>
      <c r="AF1085" s="24" t="s">
        <v>2042</v>
      </c>
      <c r="AG1085" s="22"/>
      <c r="AH1085" s="25">
        <v>101244</v>
      </c>
      <c r="AI1085" s="25" t="s">
        <v>267</v>
      </c>
      <c r="AK1085" s="40" t="s">
        <v>638</v>
      </c>
      <c r="AL1085" s="40"/>
      <c r="AX1085" s="27"/>
      <c r="AY1085" s="27"/>
      <c r="BK1085" s="27"/>
      <c r="BL1085" s="27"/>
      <c r="BX1085" s="27"/>
      <c r="BY1085" s="27"/>
      <c r="CH1085" s="29"/>
    </row>
    <row r="1086" spans="1:86" x14ac:dyDescent="0.2">
      <c r="A1086" s="18">
        <v>10024</v>
      </c>
      <c r="B1086" s="19">
        <v>14</v>
      </c>
      <c r="C1086" s="19">
        <f t="shared" si="82"/>
        <v>100240014</v>
      </c>
      <c r="D1086" s="23" t="s">
        <v>304</v>
      </c>
      <c r="E1086" s="20" t="s">
        <v>640</v>
      </c>
      <c r="I1086" s="22" t="s">
        <v>206</v>
      </c>
      <c r="J1086" s="22"/>
      <c r="K1086" s="22"/>
      <c r="L1086" s="22"/>
      <c r="M1086" s="22"/>
      <c r="N1086" s="22" t="s">
        <v>163</v>
      </c>
      <c r="O1086" s="22" t="s">
        <v>163</v>
      </c>
      <c r="P1086" s="22"/>
      <c r="Q1086" s="22" t="s">
        <v>2041</v>
      </c>
      <c r="R1086" s="22"/>
      <c r="S1086" s="22"/>
      <c r="T1086" s="22" t="s">
        <v>2714</v>
      </c>
      <c r="U1086" s="116" t="s">
        <v>2834</v>
      </c>
      <c r="V1086" s="22" t="s">
        <v>109</v>
      </c>
      <c r="W1086" s="22" t="s">
        <v>1</v>
      </c>
      <c r="X1086" s="22"/>
      <c r="Z1086" s="22"/>
      <c r="AA1086" s="22"/>
      <c r="AB1086" s="22"/>
      <c r="AC1086" s="22" t="s">
        <v>259</v>
      </c>
      <c r="AD1086" s="22"/>
      <c r="AE1086" s="24"/>
      <c r="AF1086" s="24" t="s">
        <v>2042</v>
      </c>
      <c r="AG1086" s="22"/>
      <c r="AH1086" s="25">
        <v>101245</v>
      </c>
      <c r="AI1086" s="25" t="s">
        <v>267</v>
      </c>
      <c r="AK1086" s="40" t="s">
        <v>639</v>
      </c>
      <c r="AL1086" s="40"/>
      <c r="AX1086" s="27"/>
      <c r="AY1086" s="27"/>
      <c r="BK1086" s="27"/>
      <c r="BL1086" s="27"/>
      <c r="BX1086" s="27"/>
      <c r="BY1086" s="27"/>
      <c r="CH1086" s="29"/>
    </row>
    <row r="1087" spans="1:86" x14ac:dyDescent="0.2">
      <c r="A1087" s="18">
        <v>10025</v>
      </c>
      <c r="B1087" s="19">
        <v>10</v>
      </c>
      <c r="C1087" s="19">
        <f t="shared" si="82"/>
        <v>100250010</v>
      </c>
      <c r="D1087" s="23" t="s">
        <v>305</v>
      </c>
      <c r="E1087" s="20" t="s">
        <v>640</v>
      </c>
      <c r="I1087" s="22" t="s">
        <v>206</v>
      </c>
      <c r="J1087" s="22"/>
      <c r="K1087" s="22"/>
      <c r="L1087" s="22"/>
      <c r="M1087" s="22"/>
      <c r="N1087" s="22" t="s">
        <v>163</v>
      </c>
      <c r="O1087" s="22" t="s">
        <v>163</v>
      </c>
      <c r="P1087" s="22"/>
      <c r="Q1087" s="22" t="s">
        <v>2041</v>
      </c>
      <c r="R1087" s="22"/>
      <c r="S1087" s="22"/>
      <c r="T1087" s="22" t="s">
        <v>2714</v>
      </c>
      <c r="U1087" s="116" t="s">
        <v>2835</v>
      </c>
      <c r="V1087" s="22" t="s">
        <v>109</v>
      </c>
      <c r="W1087" s="22" t="s">
        <v>1</v>
      </c>
      <c r="X1087" s="22"/>
      <c r="Z1087" s="22"/>
      <c r="AA1087" s="22"/>
      <c r="AB1087" s="22"/>
      <c r="AC1087" s="22" t="s">
        <v>260</v>
      </c>
      <c r="AD1087" s="22"/>
      <c r="AE1087" s="24"/>
      <c r="AF1087" s="24" t="s">
        <v>2042</v>
      </c>
      <c r="AG1087" s="22"/>
      <c r="AH1087" s="25">
        <v>101251</v>
      </c>
      <c r="AI1087" s="25" t="s">
        <v>267</v>
      </c>
      <c r="AK1087" s="40" t="s">
        <v>635</v>
      </c>
      <c r="AL1087" s="40"/>
      <c r="AX1087" s="27"/>
      <c r="AY1087" s="27"/>
      <c r="BK1087" s="27"/>
      <c r="BL1087" s="27"/>
      <c r="BX1087" s="27"/>
      <c r="BY1087" s="27"/>
      <c r="CH1087" s="29"/>
    </row>
    <row r="1088" spans="1:86" x14ac:dyDescent="0.2">
      <c r="A1088" s="18">
        <v>10025</v>
      </c>
      <c r="B1088" s="19">
        <v>11</v>
      </c>
      <c r="C1088" s="19">
        <f t="shared" si="82"/>
        <v>100250011</v>
      </c>
      <c r="D1088" s="23" t="s">
        <v>305</v>
      </c>
      <c r="E1088" s="20" t="s">
        <v>640</v>
      </c>
      <c r="I1088" s="22" t="s">
        <v>206</v>
      </c>
      <c r="J1088" s="22"/>
      <c r="K1088" s="22"/>
      <c r="L1088" s="22"/>
      <c r="M1088" s="22"/>
      <c r="N1088" s="22" t="s">
        <v>163</v>
      </c>
      <c r="O1088" s="22" t="s">
        <v>163</v>
      </c>
      <c r="P1088" s="22"/>
      <c r="Q1088" s="22" t="s">
        <v>2041</v>
      </c>
      <c r="R1088" s="22"/>
      <c r="S1088" s="22"/>
      <c r="T1088" s="22" t="s">
        <v>2714</v>
      </c>
      <c r="U1088" s="116" t="s">
        <v>2836</v>
      </c>
      <c r="V1088" s="22" t="s">
        <v>109</v>
      </c>
      <c r="W1088" s="22" t="s">
        <v>1</v>
      </c>
      <c r="X1088" s="22"/>
      <c r="Z1088" s="22"/>
      <c r="AA1088" s="22"/>
      <c r="AB1088" s="22"/>
      <c r="AC1088" s="22" t="s">
        <v>260</v>
      </c>
      <c r="AD1088" s="22"/>
      <c r="AE1088" s="24"/>
      <c r="AF1088" s="24" t="s">
        <v>2042</v>
      </c>
      <c r="AG1088" s="22"/>
      <c r="AH1088" s="25">
        <v>101252</v>
      </c>
      <c r="AI1088" s="25" t="s">
        <v>267</v>
      </c>
      <c r="AK1088" s="40" t="s">
        <v>636</v>
      </c>
      <c r="AL1088" s="40"/>
      <c r="AX1088" s="27"/>
      <c r="AY1088" s="27"/>
      <c r="BK1088" s="27"/>
      <c r="BL1088" s="27"/>
      <c r="BX1088" s="27"/>
      <c r="BY1088" s="27"/>
      <c r="CH1088" s="29"/>
    </row>
    <row r="1089" spans="1:86" x14ac:dyDescent="0.2">
      <c r="A1089" s="18">
        <v>10025</v>
      </c>
      <c r="B1089" s="19">
        <v>12</v>
      </c>
      <c r="C1089" s="19">
        <f t="shared" si="82"/>
        <v>100250012</v>
      </c>
      <c r="D1089" s="23" t="s">
        <v>305</v>
      </c>
      <c r="E1089" s="20" t="s">
        <v>640</v>
      </c>
      <c r="I1089" s="22" t="s">
        <v>206</v>
      </c>
      <c r="J1089" s="22"/>
      <c r="K1089" s="22"/>
      <c r="L1089" s="22"/>
      <c r="M1089" s="22"/>
      <c r="N1089" s="22" t="s">
        <v>163</v>
      </c>
      <c r="O1089" s="22" t="s">
        <v>163</v>
      </c>
      <c r="P1089" s="22"/>
      <c r="Q1089" s="22" t="s">
        <v>2041</v>
      </c>
      <c r="R1089" s="22"/>
      <c r="S1089" s="22"/>
      <c r="T1089" s="22" t="s">
        <v>2714</v>
      </c>
      <c r="U1089" s="116" t="s">
        <v>2837</v>
      </c>
      <c r="V1089" s="22" t="s">
        <v>109</v>
      </c>
      <c r="W1089" s="22" t="s">
        <v>1</v>
      </c>
      <c r="X1089" s="22"/>
      <c r="Z1089" s="22"/>
      <c r="AA1089" s="22"/>
      <c r="AB1089" s="22"/>
      <c r="AC1089" s="22" t="s">
        <v>260</v>
      </c>
      <c r="AD1089" s="22"/>
      <c r="AE1089" s="24"/>
      <c r="AF1089" s="24" t="s">
        <v>2042</v>
      </c>
      <c r="AG1089" s="22"/>
      <c r="AH1089" s="25">
        <v>101253</v>
      </c>
      <c r="AI1089" s="25" t="s">
        <v>267</v>
      </c>
      <c r="AK1089" s="40" t="s">
        <v>637</v>
      </c>
      <c r="AL1089" s="40"/>
      <c r="AX1089" s="27"/>
      <c r="AY1089" s="27"/>
      <c r="BK1089" s="27"/>
      <c r="BL1089" s="27"/>
      <c r="BX1089" s="27"/>
      <c r="BY1089" s="27"/>
      <c r="CH1089" s="29"/>
    </row>
    <row r="1090" spans="1:86" x14ac:dyDescent="0.2">
      <c r="A1090" s="18">
        <v>10025</v>
      </c>
      <c r="B1090" s="19">
        <v>13</v>
      </c>
      <c r="C1090" s="19">
        <f t="shared" si="82"/>
        <v>100250013</v>
      </c>
      <c r="D1090" s="23" t="s">
        <v>305</v>
      </c>
      <c r="E1090" s="20" t="s">
        <v>640</v>
      </c>
      <c r="I1090" s="22" t="s">
        <v>206</v>
      </c>
      <c r="J1090" s="22"/>
      <c r="K1090" s="22"/>
      <c r="L1090" s="22"/>
      <c r="M1090" s="22"/>
      <c r="N1090" s="22" t="s">
        <v>163</v>
      </c>
      <c r="O1090" s="22" t="s">
        <v>163</v>
      </c>
      <c r="P1090" s="22"/>
      <c r="Q1090" s="22" t="s">
        <v>2041</v>
      </c>
      <c r="R1090" s="22"/>
      <c r="S1090" s="22"/>
      <c r="T1090" s="22" t="s">
        <v>2714</v>
      </c>
      <c r="U1090" s="116" t="s">
        <v>2838</v>
      </c>
      <c r="V1090" s="22" t="s">
        <v>109</v>
      </c>
      <c r="W1090" s="22" t="s">
        <v>1</v>
      </c>
      <c r="X1090" s="22"/>
      <c r="Z1090" s="22"/>
      <c r="AA1090" s="22"/>
      <c r="AB1090" s="22"/>
      <c r="AC1090" s="22" t="s">
        <v>260</v>
      </c>
      <c r="AD1090" s="22"/>
      <c r="AE1090" s="24"/>
      <c r="AF1090" s="24" t="s">
        <v>2042</v>
      </c>
      <c r="AG1090" s="22"/>
      <c r="AH1090" s="25">
        <v>101254</v>
      </c>
      <c r="AI1090" s="25" t="s">
        <v>267</v>
      </c>
      <c r="AK1090" s="40" t="s">
        <v>638</v>
      </c>
      <c r="AL1090" s="40"/>
      <c r="AX1090" s="27"/>
      <c r="AY1090" s="27"/>
      <c r="BK1090" s="27"/>
      <c r="BL1090" s="27"/>
      <c r="BX1090" s="27"/>
      <c r="BY1090" s="27"/>
      <c r="CH1090" s="29"/>
    </row>
    <row r="1091" spans="1:86" x14ac:dyDescent="0.2">
      <c r="A1091" s="18">
        <v>10025</v>
      </c>
      <c r="B1091" s="19">
        <v>14</v>
      </c>
      <c r="C1091" s="19">
        <f t="shared" si="82"/>
        <v>100250014</v>
      </c>
      <c r="D1091" s="23" t="s">
        <v>305</v>
      </c>
      <c r="E1091" s="20" t="s">
        <v>640</v>
      </c>
      <c r="I1091" s="22" t="s">
        <v>206</v>
      </c>
      <c r="J1091" s="22"/>
      <c r="K1091" s="22"/>
      <c r="L1091" s="22"/>
      <c r="M1091" s="22"/>
      <c r="N1091" s="22" t="s">
        <v>163</v>
      </c>
      <c r="O1091" s="22" t="s">
        <v>163</v>
      </c>
      <c r="P1091" s="22"/>
      <c r="Q1091" s="22" t="s">
        <v>2041</v>
      </c>
      <c r="R1091" s="22"/>
      <c r="S1091" s="22"/>
      <c r="T1091" s="22" t="s">
        <v>2714</v>
      </c>
      <c r="U1091" s="116" t="s">
        <v>2839</v>
      </c>
      <c r="V1091" s="22" t="s">
        <v>109</v>
      </c>
      <c r="W1091" s="22" t="s">
        <v>1</v>
      </c>
      <c r="X1091" s="22"/>
      <c r="Z1091" s="22"/>
      <c r="AA1091" s="22"/>
      <c r="AB1091" s="22"/>
      <c r="AC1091" s="22" t="s">
        <v>260</v>
      </c>
      <c r="AD1091" s="22"/>
      <c r="AE1091" s="24"/>
      <c r="AF1091" s="24" t="s">
        <v>2042</v>
      </c>
      <c r="AG1091" s="22"/>
      <c r="AH1091" s="25">
        <v>101255</v>
      </c>
      <c r="AI1091" s="25" t="s">
        <v>267</v>
      </c>
      <c r="AK1091" s="40" t="s">
        <v>639</v>
      </c>
      <c r="AL1091" s="40"/>
      <c r="AX1091" s="27"/>
      <c r="AY1091" s="27"/>
      <c r="BK1091" s="27"/>
      <c r="BL1091" s="27"/>
      <c r="BX1091" s="27"/>
      <c r="BY1091" s="27"/>
      <c r="CH1091" s="29"/>
    </row>
    <row r="1092" spans="1:86" x14ac:dyDescent="0.2">
      <c r="A1092" s="18">
        <v>10026</v>
      </c>
      <c r="B1092" s="19">
        <v>10</v>
      </c>
      <c r="C1092" s="19">
        <f t="shared" si="82"/>
        <v>100260010</v>
      </c>
      <c r="D1092" s="23" t="s">
        <v>642</v>
      </c>
      <c r="E1092" s="20" t="s">
        <v>640</v>
      </c>
      <c r="I1092" s="22" t="s">
        <v>206</v>
      </c>
      <c r="J1092" s="22"/>
      <c r="K1092" s="22"/>
      <c r="L1092" s="22"/>
      <c r="M1092" s="22"/>
      <c r="N1092" s="22" t="s">
        <v>163</v>
      </c>
      <c r="O1092" s="22" t="s">
        <v>163</v>
      </c>
      <c r="P1092" s="22"/>
      <c r="Q1092" s="22" t="s">
        <v>2041</v>
      </c>
      <c r="R1092" s="22"/>
      <c r="S1092" s="22"/>
      <c r="T1092" s="22" t="s">
        <v>2714</v>
      </c>
      <c r="U1092" s="116" t="s">
        <v>2840</v>
      </c>
      <c r="V1092" s="22" t="s">
        <v>109</v>
      </c>
      <c r="W1092" s="22" t="s">
        <v>1</v>
      </c>
      <c r="X1092" s="22"/>
      <c r="Z1092" s="22"/>
      <c r="AA1092" s="22"/>
      <c r="AB1092" s="22"/>
      <c r="AC1092" s="22">
        <v>26</v>
      </c>
      <c r="AD1092" s="22"/>
      <c r="AE1092" s="24"/>
      <c r="AF1092" s="24" t="s">
        <v>2042</v>
      </c>
      <c r="AG1092" s="22"/>
      <c r="AH1092" s="25">
        <v>101261</v>
      </c>
      <c r="AI1092" s="25" t="s">
        <v>267</v>
      </c>
      <c r="AK1092" s="40" t="s">
        <v>635</v>
      </c>
      <c r="AL1092" s="40"/>
      <c r="AX1092" s="27"/>
      <c r="AY1092" s="27"/>
      <c r="BK1092" s="27"/>
      <c r="BL1092" s="27"/>
      <c r="BX1092" s="27"/>
      <c r="BY1092" s="27"/>
      <c r="CH1092" s="29"/>
    </row>
    <row r="1093" spans="1:86" x14ac:dyDescent="0.2">
      <c r="A1093" s="18">
        <v>10026</v>
      </c>
      <c r="B1093" s="19">
        <v>11</v>
      </c>
      <c r="C1093" s="19">
        <f t="shared" si="82"/>
        <v>100260011</v>
      </c>
      <c r="D1093" s="23" t="s">
        <v>642</v>
      </c>
      <c r="E1093" s="20" t="s">
        <v>640</v>
      </c>
      <c r="I1093" s="22" t="s">
        <v>206</v>
      </c>
      <c r="J1093" s="22"/>
      <c r="K1093" s="22"/>
      <c r="L1093" s="22"/>
      <c r="M1093" s="22"/>
      <c r="N1093" s="22" t="s">
        <v>163</v>
      </c>
      <c r="O1093" s="22" t="s">
        <v>163</v>
      </c>
      <c r="P1093" s="22"/>
      <c r="Q1093" s="22" t="s">
        <v>2041</v>
      </c>
      <c r="R1093" s="22"/>
      <c r="S1093" s="22"/>
      <c r="T1093" s="22" t="s">
        <v>2714</v>
      </c>
      <c r="U1093" s="116" t="s">
        <v>2841</v>
      </c>
      <c r="V1093" s="22" t="s">
        <v>109</v>
      </c>
      <c r="W1093" s="22" t="s">
        <v>1</v>
      </c>
      <c r="X1093" s="22"/>
      <c r="Z1093" s="22"/>
      <c r="AA1093" s="22"/>
      <c r="AB1093" s="22"/>
      <c r="AC1093" s="22">
        <v>26</v>
      </c>
      <c r="AD1093" s="22"/>
      <c r="AE1093" s="24"/>
      <c r="AF1093" s="24" t="s">
        <v>2042</v>
      </c>
      <c r="AG1093" s="22"/>
      <c r="AH1093" s="25">
        <v>101262</v>
      </c>
      <c r="AI1093" s="25" t="s">
        <v>267</v>
      </c>
      <c r="AK1093" s="40" t="s">
        <v>636</v>
      </c>
      <c r="AL1093" s="40"/>
      <c r="AX1093" s="27"/>
      <c r="AY1093" s="27"/>
      <c r="BK1093" s="27"/>
      <c r="BL1093" s="27"/>
      <c r="BX1093" s="27"/>
      <c r="BY1093" s="27"/>
      <c r="CH1093" s="29"/>
    </row>
    <row r="1094" spans="1:86" x14ac:dyDescent="0.2">
      <c r="A1094" s="18">
        <v>10026</v>
      </c>
      <c r="B1094" s="19">
        <v>12</v>
      </c>
      <c r="C1094" s="19">
        <f t="shared" si="82"/>
        <v>100260012</v>
      </c>
      <c r="D1094" s="23" t="s">
        <v>642</v>
      </c>
      <c r="E1094" s="20" t="s">
        <v>640</v>
      </c>
      <c r="I1094" s="22" t="s">
        <v>206</v>
      </c>
      <c r="J1094" s="22"/>
      <c r="K1094" s="22"/>
      <c r="L1094" s="22"/>
      <c r="M1094" s="22"/>
      <c r="N1094" s="22" t="s">
        <v>163</v>
      </c>
      <c r="O1094" s="22" t="s">
        <v>163</v>
      </c>
      <c r="P1094" s="22"/>
      <c r="Q1094" s="22" t="s">
        <v>2041</v>
      </c>
      <c r="R1094" s="22"/>
      <c r="S1094" s="22"/>
      <c r="T1094" s="22" t="s">
        <v>2714</v>
      </c>
      <c r="U1094" s="116" t="s">
        <v>2842</v>
      </c>
      <c r="V1094" s="22" t="s">
        <v>109</v>
      </c>
      <c r="W1094" s="22" t="s">
        <v>1</v>
      </c>
      <c r="X1094" s="22"/>
      <c r="Z1094" s="22"/>
      <c r="AA1094" s="22"/>
      <c r="AB1094" s="22"/>
      <c r="AC1094" s="22">
        <v>26</v>
      </c>
      <c r="AD1094" s="22"/>
      <c r="AE1094" s="24"/>
      <c r="AF1094" s="24" t="s">
        <v>2042</v>
      </c>
      <c r="AG1094" s="22"/>
      <c r="AH1094" s="25">
        <v>101263</v>
      </c>
      <c r="AI1094" s="25" t="s">
        <v>267</v>
      </c>
      <c r="AK1094" s="40" t="s">
        <v>637</v>
      </c>
      <c r="AL1094" s="40"/>
      <c r="AX1094" s="27"/>
      <c r="AY1094" s="27"/>
      <c r="BK1094" s="27"/>
      <c r="BL1094" s="27"/>
      <c r="BX1094" s="27"/>
      <c r="BY1094" s="27"/>
      <c r="CH1094" s="29"/>
    </row>
    <row r="1095" spans="1:86" x14ac:dyDescent="0.2">
      <c r="A1095" s="18">
        <v>10026</v>
      </c>
      <c r="B1095" s="19">
        <v>13</v>
      </c>
      <c r="C1095" s="19">
        <f t="shared" si="82"/>
        <v>100260013</v>
      </c>
      <c r="D1095" s="23" t="s">
        <v>642</v>
      </c>
      <c r="E1095" s="20" t="s">
        <v>640</v>
      </c>
      <c r="I1095" s="22" t="s">
        <v>206</v>
      </c>
      <c r="J1095" s="22"/>
      <c r="K1095" s="22"/>
      <c r="L1095" s="22"/>
      <c r="M1095" s="22"/>
      <c r="N1095" s="22" t="s">
        <v>163</v>
      </c>
      <c r="O1095" s="22" t="s">
        <v>163</v>
      </c>
      <c r="P1095" s="22"/>
      <c r="Q1095" s="22" t="s">
        <v>2041</v>
      </c>
      <c r="R1095" s="22"/>
      <c r="S1095" s="22"/>
      <c r="T1095" s="22" t="s">
        <v>2714</v>
      </c>
      <c r="U1095" s="116" t="s">
        <v>2843</v>
      </c>
      <c r="V1095" s="22" t="s">
        <v>109</v>
      </c>
      <c r="W1095" s="22" t="s">
        <v>1</v>
      </c>
      <c r="X1095" s="22"/>
      <c r="Z1095" s="22"/>
      <c r="AA1095" s="22"/>
      <c r="AB1095" s="22"/>
      <c r="AC1095" s="22">
        <v>26</v>
      </c>
      <c r="AD1095" s="22"/>
      <c r="AE1095" s="24"/>
      <c r="AF1095" s="24" t="s">
        <v>2042</v>
      </c>
      <c r="AG1095" s="22"/>
      <c r="AH1095" s="25">
        <v>101264</v>
      </c>
      <c r="AI1095" s="25" t="s">
        <v>267</v>
      </c>
      <c r="AK1095" s="40" t="s">
        <v>638</v>
      </c>
      <c r="AL1095" s="40"/>
      <c r="AX1095" s="27"/>
      <c r="AY1095" s="27"/>
      <c r="BK1095" s="27"/>
      <c r="BL1095" s="27"/>
      <c r="BX1095" s="27"/>
      <c r="BY1095" s="27"/>
      <c r="CH1095" s="29"/>
    </row>
    <row r="1096" spans="1:86" x14ac:dyDescent="0.2">
      <c r="A1096" s="18">
        <v>10026</v>
      </c>
      <c r="B1096" s="19">
        <v>14</v>
      </c>
      <c r="C1096" s="19">
        <f t="shared" si="82"/>
        <v>100260014</v>
      </c>
      <c r="D1096" s="23" t="s">
        <v>642</v>
      </c>
      <c r="E1096" s="20" t="s">
        <v>640</v>
      </c>
      <c r="I1096" s="22" t="s">
        <v>206</v>
      </c>
      <c r="J1096" s="22"/>
      <c r="K1096" s="22"/>
      <c r="L1096" s="22"/>
      <c r="M1096" s="22"/>
      <c r="N1096" s="22" t="s">
        <v>163</v>
      </c>
      <c r="O1096" s="22" t="s">
        <v>163</v>
      </c>
      <c r="P1096" s="22"/>
      <c r="Q1096" s="22" t="s">
        <v>2041</v>
      </c>
      <c r="R1096" s="22"/>
      <c r="S1096" s="22"/>
      <c r="T1096" s="22" t="s">
        <v>2714</v>
      </c>
      <c r="U1096" s="116" t="s">
        <v>2844</v>
      </c>
      <c r="V1096" s="22" t="s">
        <v>109</v>
      </c>
      <c r="W1096" s="22" t="s">
        <v>1</v>
      </c>
      <c r="X1096" s="22"/>
      <c r="Z1096" s="22"/>
      <c r="AA1096" s="22"/>
      <c r="AB1096" s="22"/>
      <c r="AC1096" s="22">
        <v>26</v>
      </c>
      <c r="AD1096" s="22"/>
      <c r="AE1096" s="24"/>
      <c r="AF1096" s="24" t="s">
        <v>2042</v>
      </c>
      <c r="AG1096" s="22"/>
      <c r="AH1096" s="25">
        <v>101265</v>
      </c>
      <c r="AI1096" s="25" t="s">
        <v>267</v>
      </c>
      <c r="AK1096" s="40" t="s">
        <v>639</v>
      </c>
      <c r="AL1096" s="40"/>
      <c r="AX1096" s="27"/>
      <c r="AY1096" s="27"/>
      <c r="BK1096" s="27"/>
      <c r="BL1096" s="27"/>
      <c r="BX1096" s="27"/>
      <c r="BY1096" s="27"/>
      <c r="CH1096" s="29"/>
    </row>
    <row r="1097" spans="1:86" x14ac:dyDescent="0.2">
      <c r="A1097" s="18">
        <v>10027</v>
      </c>
      <c r="B1097" s="19">
        <v>10</v>
      </c>
      <c r="C1097" s="19">
        <f t="shared" si="82"/>
        <v>100270010</v>
      </c>
      <c r="D1097" s="23" t="s">
        <v>533</v>
      </c>
      <c r="E1097" s="20" t="s">
        <v>640</v>
      </c>
      <c r="I1097" s="22" t="s">
        <v>206</v>
      </c>
      <c r="J1097" s="22"/>
      <c r="K1097" s="22"/>
      <c r="L1097" s="22"/>
      <c r="M1097" s="22"/>
      <c r="N1097" s="22" t="s">
        <v>163</v>
      </c>
      <c r="O1097" s="22" t="s">
        <v>163</v>
      </c>
      <c r="P1097" s="22"/>
      <c r="Q1097" s="22" t="s">
        <v>2041</v>
      </c>
      <c r="R1097" s="22"/>
      <c r="S1097" s="22"/>
      <c r="T1097" s="22" t="s">
        <v>2714</v>
      </c>
      <c r="U1097" s="116" t="s">
        <v>2845</v>
      </c>
      <c r="V1097" s="22" t="s">
        <v>109</v>
      </c>
      <c r="W1097" s="22" t="s">
        <v>1</v>
      </c>
      <c r="X1097" s="22"/>
      <c r="Z1097" s="22"/>
      <c r="AA1097" s="22"/>
      <c r="AB1097" s="22"/>
      <c r="AC1097" s="22" t="s">
        <v>182</v>
      </c>
      <c r="AD1097" s="22"/>
      <c r="AE1097" s="24"/>
      <c r="AF1097" s="24" t="s">
        <v>2042</v>
      </c>
      <c r="AG1097" s="22"/>
      <c r="AH1097" s="25">
        <v>101271</v>
      </c>
      <c r="AI1097" s="25" t="s">
        <v>267</v>
      </c>
      <c r="AK1097" s="40" t="s">
        <v>635</v>
      </c>
      <c r="AL1097" s="40"/>
      <c r="AX1097" s="27"/>
      <c r="AY1097" s="27"/>
      <c r="BK1097" s="27"/>
      <c r="BL1097" s="27"/>
      <c r="BX1097" s="27"/>
      <c r="BY1097" s="27"/>
      <c r="CH1097" s="29"/>
    </row>
    <row r="1098" spans="1:86" x14ac:dyDescent="0.2">
      <c r="A1098" s="18">
        <v>10027</v>
      </c>
      <c r="B1098" s="19">
        <v>11</v>
      </c>
      <c r="C1098" s="19">
        <f t="shared" si="82"/>
        <v>100270011</v>
      </c>
      <c r="D1098" s="23" t="s">
        <v>533</v>
      </c>
      <c r="E1098" s="20" t="s">
        <v>640</v>
      </c>
      <c r="I1098" s="22" t="s">
        <v>206</v>
      </c>
      <c r="J1098" s="22"/>
      <c r="K1098" s="22"/>
      <c r="L1098" s="22"/>
      <c r="M1098" s="22"/>
      <c r="N1098" s="22" t="s">
        <v>163</v>
      </c>
      <c r="O1098" s="22" t="s">
        <v>163</v>
      </c>
      <c r="P1098" s="22"/>
      <c r="Q1098" s="22" t="s">
        <v>2041</v>
      </c>
      <c r="R1098" s="22"/>
      <c r="S1098" s="22"/>
      <c r="T1098" s="22" t="s">
        <v>2714</v>
      </c>
      <c r="U1098" s="116" t="s">
        <v>2846</v>
      </c>
      <c r="V1098" s="22" t="s">
        <v>109</v>
      </c>
      <c r="W1098" s="22" t="s">
        <v>1</v>
      </c>
      <c r="X1098" s="22"/>
      <c r="Z1098" s="22"/>
      <c r="AA1098" s="22"/>
      <c r="AB1098" s="22"/>
      <c r="AC1098" s="22" t="s">
        <v>182</v>
      </c>
      <c r="AD1098" s="22"/>
      <c r="AE1098" s="24"/>
      <c r="AF1098" s="24" t="s">
        <v>2042</v>
      </c>
      <c r="AG1098" s="22"/>
      <c r="AH1098" s="25">
        <v>101272</v>
      </c>
      <c r="AI1098" s="25" t="s">
        <v>267</v>
      </c>
      <c r="AK1098" s="40" t="s">
        <v>636</v>
      </c>
      <c r="AL1098" s="40"/>
      <c r="AX1098" s="27"/>
      <c r="AY1098" s="27"/>
      <c r="BK1098" s="27"/>
      <c r="BL1098" s="27"/>
      <c r="BX1098" s="27"/>
      <c r="BY1098" s="27"/>
      <c r="CH1098" s="29"/>
    </row>
    <row r="1099" spans="1:86" x14ac:dyDescent="0.2">
      <c r="A1099" s="18">
        <v>10027</v>
      </c>
      <c r="B1099" s="19">
        <v>12</v>
      </c>
      <c r="C1099" s="19">
        <f t="shared" si="82"/>
        <v>100270012</v>
      </c>
      <c r="D1099" s="23" t="s">
        <v>533</v>
      </c>
      <c r="E1099" s="20" t="s">
        <v>640</v>
      </c>
      <c r="I1099" s="22" t="s">
        <v>206</v>
      </c>
      <c r="J1099" s="22"/>
      <c r="K1099" s="22"/>
      <c r="L1099" s="22"/>
      <c r="M1099" s="22"/>
      <c r="N1099" s="22" t="s">
        <v>163</v>
      </c>
      <c r="O1099" s="22" t="s">
        <v>163</v>
      </c>
      <c r="P1099" s="22"/>
      <c r="Q1099" s="22" t="s">
        <v>2041</v>
      </c>
      <c r="R1099" s="22"/>
      <c r="S1099" s="22"/>
      <c r="T1099" s="22" t="s">
        <v>2714</v>
      </c>
      <c r="U1099" s="116" t="s">
        <v>2847</v>
      </c>
      <c r="V1099" s="22" t="s">
        <v>109</v>
      </c>
      <c r="W1099" s="22" t="s">
        <v>1</v>
      </c>
      <c r="X1099" s="22"/>
      <c r="Z1099" s="22"/>
      <c r="AA1099" s="22"/>
      <c r="AB1099" s="22"/>
      <c r="AC1099" s="22" t="s">
        <v>182</v>
      </c>
      <c r="AD1099" s="22"/>
      <c r="AE1099" s="24"/>
      <c r="AF1099" s="24" t="s">
        <v>2042</v>
      </c>
      <c r="AG1099" s="22"/>
      <c r="AH1099" s="25">
        <v>101273</v>
      </c>
      <c r="AI1099" s="25" t="s">
        <v>267</v>
      </c>
      <c r="AK1099" s="40" t="s">
        <v>637</v>
      </c>
      <c r="AL1099" s="40"/>
      <c r="AX1099" s="27"/>
      <c r="AY1099" s="27"/>
      <c r="BK1099" s="27"/>
      <c r="BL1099" s="27"/>
      <c r="BX1099" s="27"/>
      <c r="BY1099" s="27"/>
      <c r="CH1099" s="29"/>
    </row>
    <row r="1100" spans="1:86" x14ac:dyDescent="0.2">
      <c r="A1100" s="18">
        <v>10027</v>
      </c>
      <c r="B1100" s="19">
        <v>13</v>
      </c>
      <c r="C1100" s="19">
        <f t="shared" si="82"/>
        <v>100270013</v>
      </c>
      <c r="D1100" s="23" t="s">
        <v>533</v>
      </c>
      <c r="E1100" s="20" t="s">
        <v>640</v>
      </c>
      <c r="I1100" s="22" t="s">
        <v>206</v>
      </c>
      <c r="J1100" s="22"/>
      <c r="K1100" s="22"/>
      <c r="L1100" s="22"/>
      <c r="M1100" s="22"/>
      <c r="N1100" s="22" t="s">
        <v>163</v>
      </c>
      <c r="O1100" s="22" t="s">
        <v>163</v>
      </c>
      <c r="P1100" s="22"/>
      <c r="Q1100" s="22" t="s">
        <v>2041</v>
      </c>
      <c r="R1100" s="22"/>
      <c r="S1100" s="22"/>
      <c r="T1100" s="22" t="s">
        <v>2714</v>
      </c>
      <c r="U1100" s="116" t="s">
        <v>2848</v>
      </c>
      <c r="V1100" s="22" t="s">
        <v>109</v>
      </c>
      <c r="W1100" s="22" t="s">
        <v>1</v>
      </c>
      <c r="X1100" s="22"/>
      <c r="Z1100" s="22"/>
      <c r="AA1100" s="22"/>
      <c r="AB1100" s="22"/>
      <c r="AC1100" s="22" t="s">
        <v>182</v>
      </c>
      <c r="AD1100" s="22"/>
      <c r="AE1100" s="24"/>
      <c r="AF1100" s="24" t="s">
        <v>2042</v>
      </c>
      <c r="AG1100" s="22"/>
      <c r="AH1100" s="25">
        <v>101274</v>
      </c>
      <c r="AI1100" s="25" t="s">
        <v>267</v>
      </c>
      <c r="AK1100" s="40" t="s">
        <v>638</v>
      </c>
      <c r="AL1100" s="40"/>
      <c r="AX1100" s="27"/>
      <c r="AY1100" s="27"/>
      <c r="BK1100" s="27"/>
      <c r="BL1100" s="27"/>
      <c r="BX1100" s="27"/>
      <c r="BY1100" s="27"/>
      <c r="CH1100" s="29"/>
    </row>
    <row r="1101" spans="1:86" x14ac:dyDescent="0.2">
      <c r="A1101" s="18">
        <v>10027</v>
      </c>
      <c r="B1101" s="19">
        <v>14</v>
      </c>
      <c r="C1101" s="19">
        <f t="shared" si="82"/>
        <v>100270014</v>
      </c>
      <c r="D1101" s="23" t="s">
        <v>533</v>
      </c>
      <c r="E1101" s="20" t="s">
        <v>640</v>
      </c>
      <c r="I1101" s="22" t="s">
        <v>206</v>
      </c>
      <c r="J1101" s="22"/>
      <c r="K1101" s="22"/>
      <c r="L1101" s="22"/>
      <c r="M1101" s="22"/>
      <c r="N1101" s="22" t="s">
        <v>163</v>
      </c>
      <c r="O1101" s="22" t="s">
        <v>163</v>
      </c>
      <c r="P1101" s="22"/>
      <c r="Q1101" s="22" t="s">
        <v>2041</v>
      </c>
      <c r="R1101" s="22"/>
      <c r="S1101" s="22"/>
      <c r="T1101" s="22" t="s">
        <v>2714</v>
      </c>
      <c r="U1101" s="116" t="s">
        <v>2849</v>
      </c>
      <c r="V1101" s="22" t="s">
        <v>109</v>
      </c>
      <c r="W1101" s="22" t="s">
        <v>1</v>
      </c>
      <c r="X1101" s="22"/>
      <c r="Z1101" s="22"/>
      <c r="AA1101" s="22"/>
      <c r="AB1101" s="22"/>
      <c r="AC1101" s="22" t="s">
        <v>182</v>
      </c>
      <c r="AD1101" s="22"/>
      <c r="AE1101" s="24"/>
      <c r="AF1101" s="24" t="s">
        <v>2042</v>
      </c>
      <c r="AG1101" s="22"/>
      <c r="AH1101" s="25">
        <v>101275</v>
      </c>
      <c r="AI1101" s="25" t="s">
        <v>267</v>
      </c>
      <c r="AK1101" s="40" t="s">
        <v>639</v>
      </c>
      <c r="AL1101" s="40"/>
      <c r="AX1101" s="27"/>
      <c r="AY1101" s="27"/>
      <c r="BK1101" s="27"/>
      <c r="BL1101" s="27"/>
      <c r="BX1101" s="27"/>
      <c r="BY1101" s="27"/>
      <c r="CH1101" s="29"/>
    </row>
    <row r="1102" spans="1:86" x14ac:dyDescent="0.2">
      <c r="A1102" s="18">
        <v>10028</v>
      </c>
      <c r="B1102" s="19">
        <v>10</v>
      </c>
      <c r="C1102" s="19">
        <f t="shared" si="82"/>
        <v>100280010</v>
      </c>
      <c r="D1102" s="23" t="s">
        <v>534</v>
      </c>
      <c r="E1102" s="20" t="s">
        <v>640</v>
      </c>
      <c r="I1102" s="22" t="s">
        <v>206</v>
      </c>
      <c r="J1102" s="22"/>
      <c r="K1102" s="22"/>
      <c r="L1102" s="22"/>
      <c r="M1102" s="22"/>
      <c r="N1102" s="22" t="s">
        <v>163</v>
      </c>
      <c r="O1102" s="22" t="s">
        <v>163</v>
      </c>
      <c r="P1102" s="22"/>
      <c r="Q1102" s="22" t="s">
        <v>2041</v>
      </c>
      <c r="R1102" s="22"/>
      <c r="S1102" s="22"/>
      <c r="T1102" s="22" t="s">
        <v>2714</v>
      </c>
      <c r="U1102" s="116" t="s">
        <v>2850</v>
      </c>
      <c r="V1102" s="22" t="s">
        <v>109</v>
      </c>
      <c r="W1102" s="22" t="s">
        <v>1</v>
      </c>
      <c r="X1102" s="22"/>
      <c r="Z1102" s="22"/>
      <c r="AA1102" s="22"/>
      <c r="AB1102" s="22"/>
      <c r="AC1102" s="22" t="s">
        <v>261</v>
      </c>
      <c r="AD1102" s="22"/>
      <c r="AE1102" s="24"/>
      <c r="AF1102" s="24" t="s">
        <v>2042</v>
      </c>
      <c r="AG1102" s="22"/>
      <c r="AH1102" s="25">
        <v>101281</v>
      </c>
      <c r="AI1102" s="25" t="s">
        <v>267</v>
      </c>
      <c r="AK1102" s="40" t="s">
        <v>635</v>
      </c>
      <c r="AL1102" s="40"/>
      <c r="AX1102" s="27"/>
      <c r="AY1102" s="27"/>
      <c r="BK1102" s="27"/>
      <c r="BL1102" s="27"/>
      <c r="BX1102" s="27"/>
      <c r="BY1102" s="27"/>
      <c r="CH1102" s="29"/>
    </row>
    <row r="1103" spans="1:86" x14ac:dyDescent="0.2">
      <c r="A1103" s="18">
        <v>10028</v>
      </c>
      <c r="B1103" s="19">
        <v>11</v>
      </c>
      <c r="C1103" s="19">
        <f t="shared" si="82"/>
        <v>100280011</v>
      </c>
      <c r="D1103" s="23" t="s">
        <v>534</v>
      </c>
      <c r="E1103" s="20" t="s">
        <v>640</v>
      </c>
      <c r="I1103" s="22" t="s">
        <v>206</v>
      </c>
      <c r="J1103" s="22"/>
      <c r="K1103" s="22"/>
      <c r="L1103" s="22"/>
      <c r="M1103" s="22"/>
      <c r="N1103" s="22" t="s">
        <v>163</v>
      </c>
      <c r="O1103" s="22" t="s">
        <v>163</v>
      </c>
      <c r="P1103" s="22"/>
      <c r="Q1103" s="22" t="s">
        <v>2041</v>
      </c>
      <c r="R1103" s="22"/>
      <c r="S1103" s="22"/>
      <c r="T1103" s="22" t="s">
        <v>2714</v>
      </c>
      <c r="U1103" s="116" t="s">
        <v>2851</v>
      </c>
      <c r="V1103" s="22" t="s">
        <v>109</v>
      </c>
      <c r="W1103" s="22" t="s">
        <v>1</v>
      </c>
      <c r="X1103" s="22"/>
      <c r="Z1103" s="22"/>
      <c r="AA1103" s="22"/>
      <c r="AB1103" s="22"/>
      <c r="AC1103" s="22" t="s">
        <v>261</v>
      </c>
      <c r="AD1103" s="22"/>
      <c r="AE1103" s="24"/>
      <c r="AF1103" s="24" t="s">
        <v>2042</v>
      </c>
      <c r="AG1103" s="22"/>
      <c r="AH1103" s="25">
        <v>101282</v>
      </c>
      <c r="AI1103" s="25" t="s">
        <v>267</v>
      </c>
      <c r="AK1103" s="40" t="s">
        <v>636</v>
      </c>
      <c r="AL1103" s="40"/>
      <c r="AX1103" s="27"/>
      <c r="AY1103" s="27"/>
      <c r="BK1103" s="27"/>
      <c r="BL1103" s="27"/>
      <c r="BX1103" s="27"/>
      <c r="BY1103" s="27"/>
      <c r="CH1103" s="29"/>
    </row>
    <row r="1104" spans="1:86" x14ac:dyDescent="0.2">
      <c r="A1104" s="18">
        <v>10028</v>
      </c>
      <c r="B1104" s="19">
        <v>12</v>
      </c>
      <c r="C1104" s="19">
        <f t="shared" si="82"/>
        <v>100280012</v>
      </c>
      <c r="D1104" s="23" t="s">
        <v>534</v>
      </c>
      <c r="E1104" s="20" t="s">
        <v>640</v>
      </c>
      <c r="I1104" s="22" t="s">
        <v>206</v>
      </c>
      <c r="J1104" s="22"/>
      <c r="K1104" s="22"/>
      <c r="L1104" s="22"/>
      <c r="M1104" s="22"/>
      <c r="N1104" s="22" t="s">
        <v>163</v>
      </c>
      <c r="O1104" s="22" t="s">
        <v>163</v>
      </c>
      <c r="P1104" s="22"/>
      <c r="Q1104" s="22" t="s">
        <v>2041</v>
      </c>
      <c r="R1104" s="22"/>
      <c r="S1104" s="22"/>
      <c r="T1104" s="22" t="s">
        <v>2714</v>
      </c>
      <c r="U1104" s="116" t="s">
        <v>2852</v>
      </c>
      <c r="V1104" s="22" t="s">
        <v>109</v>
      </c>
      <c r="W1104" s="22" t="s">
        <v>1</v>
      </c>
      <c r="X1104" s="22"/>
      <c r="Z1104" s="22"/>
      <c r="AA1104" s="22"/>
      <c r="AB1104" s="22"/>
      <c r="AC1104" s="22" t="s">
        <v>261</v>
      </c>
      <c r="AD1104" s="22"/>
      <c r="AE1104" s="24"/>
      <c r="AF1104" s="24" t="s">
        <v>2042</v>
      </c>
      <c r="AG1104" s="22"/>
      <c r="AH1104" s="25">
        <v>101283</v>
      </c>
      <c r="AI1104" s="25" t="s">
        <v>267</v>
      </c>
      <c r="AK1104" s="40" t="s">
        <v>637</v>
      </c>
      <c r="AL1104" s="40"/>
      <c r="AX1104" s="27"/>
      <c r="AY1104" s="27"/>
      <c r="BK1104" s="27"/>
      <c r="BL1104" s="27"/>
      <c r="BX1104" s="27"/>
      <c r="BY1104" s="27"/>
      <c r="CH1104" s="29"/>
    </row>
    <row r="1105" spans="1:86" x14ac:dyDescent="0.2">
      <c r="A1105" s="18">
        <v>10028</v>
      </c>
      <c r="B1105" s="19">
        <v>13</v>
      </c>
      <c r="C1105" s="19">
        <f t="shared" si="82"/>
        <v>100280013</v>
      </c>
      <c r="D1105" s="23" t="s">
        <v>534</v>
      </c>
      <c r="E1105" s="20" t="s">
        <v>640</v>
      </c>
      <c r="I1105" s="22" t="s">
        <v>206</v>
      </c>
      <c r="J1105" s="22"/>
      <c r="K1105" s="22"/>
      <c r="L1105" s="22"/>
      <c r="M1105" s="22"/>
      <c r="N1105" s="22" t="s">
        <v>163</v>
      </c>
      <c r="O1105" s="22" t="s">
        <v>163</v>
      </c>
      <c r="P1105" s="22"/>
      <c r="Q1105" s="22" t="s">
        <v>2041</v>
      </c>
      <c r="R1105" s="22"/>
      <c r="S1105" s="22"/>
      <c r="T1105" s="22" t="s">
        <v>2714</v>
      </c>
      <c r="U1105" s="116" t="s">
        <v>2853</v>
      </c>
      <c r="V1105" s="22" t="s">
        <v>109</v>
      </c>
      <c r="W1105" s="22" t="s">
        <v>1</v>
      </c>
      <c r="X1105" s="22"/>
      <c r="Z1105" s="22"/>
      <c r="AA1105" s="22"/>
      <c r="AB1105" s="22"/>
      <c r="AC1105" s="22" t="s">
        <v>261</v>
      </c>
      <c r="AD1105" s="22"/>
      <c r="AE1105" s="24"/>
      <c r="AF1105" s="24" t="s">
        <v>2042</v>
      </c>
      <c r="AG1105" s="22"/>
      <c r="AH1105" s="25">
        <v>101284</v>
      </c>
      <c r="AI1105" s="25" t="s">
        <v>267</v>
      </c>
      <c r="AK1105" s="40" t="s">
        <v>638</v>
      </c>
      <c r="AL1105" s="40"/>
      <c r="AX1105" s="27"/>
      <c r="AY1105" s="27"/>
      <c r="BK1105" s="27"/>
      <c r="BL1105" s="27"/>
      <c r="BX1105" s="27"/>
      <c r="BY1105" s="27"/>
      <c r="CH1105" s="29"/>
    </row>
    <row r="1106" spans="1:86" x14ac:dyDescent="0.2">
      <c r="A1106" s="18">
        <v>10028</v>
      </c>
      <c r="B1106" s="19">
        <v>14</v>
      </c>
      <c r="C1106" s="19">
        <f t="shared" si="82"/>
        <v>100280014</v>
      </c>
      <c r="D1106" s="23" t="s">
        <v>534</v>
      </c>
      <c r="E1106" s="20" t="s">
        <v>640</v>
      </c>
      <c r="I1106" s="22" t="s">
        <v>206</v>
      </c>
      <c r="J1106" s="22"/>
      <c r="K1106" s="22"/>
      <c r="L1106" s="22"/>
      <c r="M1106" s="22"/>
      <c r="N1106" s="22" t="s">
        <v>163</v>
      </c>
      <c r="O1106" s="22" t="s">
        <v>163</v>
      </c>
      <c r="P1106" s="22"/>
      <c r="Q1106" s="22" t="s">
        <v>2041</v>
      </c>
      <c r="R1106" s="22"/>
      <c r="S1106" s="22"/>
      <c r="T1106" s="22" t="s">
        <v>2714</v>
      </c>
      <c r="U1106" s="116" t="s">
        <v>2854</v>
      </c>
      <c r="V1106" s="22" t="s">
        <v>109</v>
      </c>
      <c r="W1106" s="22" t="s">
        <v>1</v>
      </c>
      <c r="X1106" s="22"/>
      <c r="Z1106" s="22"/>
      <c r="AA1106" s="22"/>
      <c r="AB1106" s="22"/>
      <c r="AC1106" s="22" t="s">
        <v>261</v>
      </c>
      <c r="AD1106" s="22"/>
      <c r="AE1106" s="24"/>
      <c r="AF1106" s="24" t="s">
        <v>2042</v>
      </c>
      <c r="AG1106" s="22"/>
      <c r="AH1106" s="25">
        <v>101285</v>
      </c>
      <c r="AI1106" s="25" t="s">
        <v>267</v>
      </c>
      <c r="AK1106" s="40" t="s">
        <v>639</v>
      </c>
      <c r="AL1106" s="40"/>
      <c r="AX1106" s="27"/>
      <c r="AY1106" s="27"/>
      <c r="BK1106" s="27"/>
      <c r="BL1106" s="27"/>
      <c r="BX1106" s="27"/>
      <c r="BY1106" s="27"/>
      <c r="CH1106" s="29"/>
    </row>
    <row r="1107" spans="1:86" x14ac:dyDescent="0.2">
      <c r="A1107" s="18">
        <v>10029</v>
      </c>
      <c r="B1107" s="19">
        <v>10</v>
      </c>
      <c r="C1107" s="19">
        <f t="shared" si="82"/>
        <v>100290010</v>
      </c>
      <c r="D1107" s="23" t="s">
        <v>535</v>
      </c>
      <c r="E1107" s="20" t="s">
        <v>640</v>
      </c>
      <c r="I1107" s="22" t="s">
        <v>206</v>
      </c>
      <c r="J1107" s="22"/>
      <c r="K1107" s="22"/>
      <c r="L1107" s="22"/>
      <c r="M1107" s="22"/>
      <c r="N1107" s="22" t="s">
        <v>163</v>
      </c>
      <c r="O1107" s="22" t="s">
        <v>163</v>
      </c>
      <c r="P1107" s="22"/>
      <c r="Q1107" s="22" t="s">
        <v>2041</v>
      </c>
      <c r="R1107" s="22"/>
      <c r="S1107" s="22"/>
      <c r="T1107" s="22" t="s">
        <v>2714</v>
      </c>
      <c r="U1107" s="116" t="s">
        <v>2855</v>
      </c>
      <c r="V1107" s="22" t="s">
        <v>109</v>
      </c>
      <c r="W1107" s="22" t="s">
        <v>1</v>
      </c>
      <c r="X1107" s="22"/>
      <c r="Z1107" s="22"/>
      <c r="AA1107" s="22"/>
      <c r="AB1107" s="22"/>
      <c r="AC1107" s="22" t="s">
        <v>262</v>
      </c>
      <c r="AD1107" s="22"/>
      <c r="AE1107" s="24"/>
      <c r="AF1107" s="24" t="s">
        <v>2042</v>
      </c>
      <c r="AG1107" s="22"/>
      <c r="AH1107" s="25">
        <v>101291</v>
      </c>
      <c r="AI1107" s="25" t="s">
        <v>267</v>
      </c>
      <c r="AK1107" s="40" t="s">
        <v>635</v>
      </c>
      <c r="AL1107" s="40"/>
      <c r="AX1107" s="27"/>
      <c r="AY1107" s="27"/>
      <c r="BK1107" s="27"/>
      <c r="BL1107" s="27"/>
      <c r="BX1107" s="27"/>
      <c r="BY1107" s="27"/>
      <c r="CH1107" s="29"/>
    </row>
    <row r="1108" spans="1:86" x14ac:dyDescent="0.2">
      <c r="A1108" s="18">
        <v>10029</v>
      </c>
      <c r="B1108" s="19">
        <v>11</v>
      </c>
      <c r="C1108" s="19">
        <f t="shared" si="82"/>
        <v>100290011</v>
      </c>
      <c r="D1108" s="23" t="s">
        <v>535</v>
      </c>
      <c r="E1108" s="20" t="s">
        <v>640</v>
      </c>
      <c r="I1108" s="22" t="s">
        <v>206</v>
      </c>
      <c r="J1108" s="22"/>
      <c r="K1108" s="22"/>
      <c r="L1108" s="22"/>
      <c r="M1108" s="22"/>
      <c r="N1108" s="22" t="s">
        <v>163</v>
      </c>
      <c r="O1108" s="22" t="s">
        <v>163</v>
      </c>
      <c r="P1108" s="22"/>
      <c r="Q1108" s="22" t="s">
        <v>2041</v>
      </c>
      <c r="R1108" s="22"/>
      <c r="S1108" s="22"/>
      <c r="T1108" s="22" t="s">
        <v>2714</v>
      </c>
      <c r="U1108" s="116" t="s">
        <v>2856</v>
      </c>
      <c r="V1108" s="22" t="s">
        <v>109</v>
      </c>
      <c r="W1108" s="22" t="s">
        <v>1</v>
      </c>
      <c r="X1108" s="22"/>
      <c r="Z1108" s="22"/>
      <c r="AA1108" s="22"/>
      <c r="AB1108" s="22"/>
      <c r="AC1108" s="22" t="s">
        <v>262</v>
      </c>
      <c r="AD1108" s="22"/>
      <c r="AE1108" s="24"/>
      <c r="AF1108" s="24" t="s">
        <v>2042</v>
      </c>
      <c r="AG1108" s="22"/>
      <c r="AH1108" s="25">
        <v>101292</v>
      </c>
      <c r="AI1108" s="25" t="s">
        <v>267</v>
      </c>
      <c r="AK1108" s="40" t="s">
        <v>636</v>
      </c>
      <c r="AL1108" s="40"/>
      <c r="AX1108" s="27"/>
      <c r="AY1108" s="27"/>
      <c r="BK1108" s="27"/>
      <c r="BL1108" s="27"/>
      <c r="BX1108" s="27"/>
      <c r="BY1108" s="27"/>
      <c r="CH1108" s="29"/>
    </row>
    <row r="1109" spans="1:86" x14ac:dyDescent="0.2">
      <c r="A1109" s="18">
        <v>10029</v>
      </c>
      <c r="B1109" s="19">
        <v>12</v>
      </c>
      <c r="C1109" s="19">
        <f t="shared" si="82"/>
        <v>100290012</v>
      </c>
      <c r="D1109" s="23" t="s">
        <v>535</v>
      </c>
      <c r="E1109" s="20" t="s">
        <v>640</v>
      </c>
      <c r="I1109" s="22" t="s">
        <v>206</v>
      </c>
      <c r="J1109" s="22"/>
      <c r="K1109" s="22"/>
      <c r="L1109" s="22"/>
      <c r="M1109" s="22"/>
      <c r="N1109" s="22" t="s">
        <v>163</v>
      </c>
      <c r="O1109" s="22" t="s">
        <v>163</v>
      </c>
      <c r="P1109" s="22"/>
      <c r="Q1109" s="22" t="s">
        <v>2041</v>
      </c>
      <c r="R1109" s="22"/>
      <c r="S1109" s="22"/>
      <c r="T1109" s="22" t="s">
        <v>2714</v>
      </c>
      <c r="U1109" s="116" t="s">
        <v>2857</v>
      </c>
      <c r="V1109" s="22" t="s">
        <v>109</v>
      </c>
      <c r="W1109" s="22" t="s">
        <v>1</v>
      </c>
      <c r="X1109" s="22"/>
      <c r="Z1109" s="22"/>
      <c r="AA1109" s="22"/>
      <c r="AB1109" s="22"/>
      <c r="AC1109" s="22" t="s">
        <v>262</v>
      </c>
      <c r="AD1109" s="22"/>
      <c r="AE1109" s="24"/>
      <c r="AF1109" s="24" t="s">
        <v>2042</v>
      </c>
      <c r="AG1109" s="22"/>
      <c r="AH1109" s="25">
        <v>101293</v>
      </c>
      <c r="AI1109" s="25" t="s">
        <v>267</v>
      </c>
      <c r="AK1109" s="40" t="s">
        <v>637</v>
      </c>
      <c r="AL1109" s="40"/>
      <c r="AX1109" s="27"/>
      <c r="AY1109" s="27"/>
      <c r="BK1109" s="27"/>
      <c r="BL1109" s="27"/>
      <c r="BX1109" s="27"/>
      <c r="BY1109" s="27"/>
      <c r="CH1109" s="29"/>
    </row>
    <row r="1110" spans="1:86" x14ac:dyDescent="0.2">
      <c r="A1110" s="18">
        <v>10029</v>
      </c>
      <c r="B1110" s="19">
        <v>13</v>
      </c>
      <c r="C1110" s="19">
        <f t="shared" si="82"/>
        <v>100290013</v>
      </c>
      <c r="D1110" s="23" t="s">
        <v>535</v>
      </c>
      <c r="E1110" s="20" t="s">
        <v>640</v>
      </c>
      <c r="I1110" s="22" t="s">
        <v>206</v>
      </c>
      <c r="J1110" s="22"/>
      <c r="K1110" s="22"/>
      <c r="L1110" s="22"/>
      <c r="M1110" s="22"/>
      <c r="N1110" s="22" t="s">
        <v>163</v>
      </c>
      <c r="O1110" s="22" t="s">
        <v>163</v>
      </c>
      <c r="P1110" s="22"/>
      <c r="Q1110" s="22" t="s">
        <v>2041</v>
      </c>
      <c r="R1110" s="22"/>
      <c r="S1110" s="22"/>
      <c r="T1110" s="22" t="s">
        <v>2714</v>
      </c>
      <c r="U1110" s="116" t="s">
        <v>2858</v>
      </c>
      <c r="V1110" s="22" t="s">
        <v>109</v>
      </c>
      <c r="W1110" s="22" t="s">
        <v>1</v>
      </c>
      <c r="X1110" s="22"/>
      <c r="Z1110" s="22"/>
      <c r="AA1110" s="22"/>
      <c r="AB1110" s="22"/>
      <c r="AC1110" s="22" t="s">
        <v>262</v>
      </c>
      <c r="AD1110" s="22"/>
      <c r="AE1110" s="24"/>
      <c r="AF1110" s="24" t="s">
        <v>2042</v>
      </c>
      <c r="AG1110" s="22"/>
      <c r="AH1110" s="25">
        <v>101294</v>
      </c>
      <c r="AI1110" s="25" t="s">
        <v>267</v>
      </c>
      <c r="AK1110" s="40" t="s">
        <v>638</v>
      </c>
      <c r="AL1110" s="40"/>
      <c r="AX1110" s="27"/>
      <c r="AY1110" s="27"/>
      <c r="BK1110" s="27"/>
      <c r="BL1110" s="27"/>
      <c r="BX1110" s="27"/>
      <c r="BY1110" s="27"/>
      <c r="CH1110" s="29"/>
    </row>
    <row r="1111" spans="1:86" x14ac:dyDescent="0.2">
      <c r="A1111" s="18">
        <v>10029</v>
      </c>
      <c r="B1111" s="19">
        <v>14</v>
      </c>
      <c r="C1111" s="19">
        <f t="shared" si="82"/>
        <v>100290014</v>
      </c>
      <c r="D1111" s="23" t="s">
        <v>535</v>
      </c>
      <c r="E1111" s="20" t="s">
        <v>640</v>
      </c>
      <c r="I1111" s="22" t="s">
        <v>206</v>
      </c>
      <c r="J1111" s="22"/>
      <c r="K1111" s="22"/>
      <c r="L1111" s="22"/>
      <c r="M1111" s="22"/>
      <c r="N1111" s="22" t="s">
        <v>163</v>
      </c>
      <c r="O1111" s="22" t="s">
        <v>163</v>
      </c>
      <c r="P1111" s="22"/>
      <c r="Q1111" s="22" t="s">
        <v>2041</v>
      </c>
      <c r="R1111" s="22"/>
      <c r="S1111" s="22"/>
      <c r="T1111" s="22" t="s">
        <v>2714</v>
      </c>
      <c r="U1111" s="116" t="s">
        <v>2859</v>
      </c>
      <c r="V1111" s="22" t="s">
        <v>109</v>
      </c>
      <c r="W1111" s="22" t="s">
        <v>1</v>
      </c>
      <c r="X1111" s="22"/>
      <c r="Z1111" s="22"/>
      <c r="AA1111" s="22"/>
      <c r="AB1111" s="22"/>
      <c r="AC1111" s="22" t="s">
        <v>262</v>
      </c>
      <c r="AD1111" s="22"/>
      <c r="AE1111" s="24"/>
      <c r="AF1111" s="24" t="s">
        <v>2042</v>
      </c>
      <c r="AG1111" s="22"/>
      <c r="AH1111" s="25">
        <v>101295</v>
      </c>
      <c r="AI1111" s="25" t="s">
        <v>267</v>
      </c>
      <c r="AK1111" s="40" t="s">
        <v>639</v>
      </c>
      <c r="AL1111" s="40"/>
      <c r="AX1111" s="27"/>
      <c r="AY1111" s="27"/>
      <c r="BK1111" s="27"/>
      <c r="BL1111" s="27"/>
      <c r="BX1111" s="27"/>
      <c r="BY1111" s="27"/>
      <c r="CH1111" s="29"/>
    </row>
    <row r="1112" spans="1:86" x14ac:dyDescent="0.2">
      <c r="A1112" s="18">
        <v>10030</v>
      </c>
      <c r="B1112" s="19">
        <v>10</v>
      </c>
      <c r="C1112" s="19">
        <f t="shared" si="82"/>
        <v>100300010</v>
      </c>
      <c r="D1112" s="23" t="s">
        <v>643</v>
      </c>
      <c r="E1112" s="20" t="s">
        <v>640</v>
      </c>
      <c r="I1112" s="22" t="s">
        <v>206</v>
      </c>
      <c r="J1112" s="22"/>
      <c r="K1112" s="22"/>
      <c r="L1112" s="22"/>
      <c r="M1112" s="22"/>
      <c r="N1112" s="22" t="s">
        <v>163</v>
      </c>
      <c r="O1112" s="22" t="s">
        <v>163</v>
      </c>
      <c r="P1112" s="22"/>
      <c r="Q1112" s="22" t="s">
        <v>2041</v>
      </c>
      <c r="R1112" s="22"/>
      <c r="S1112" s="22"/>
      <c r="T1112" s="22" t="s">
        <v>2714</v>
      </c>
      <c r="U1112" s="116" t="s">
        <v>2860</v>
      </c>
      <c r="V1112" s="22" t="s">
        <v>109</v>
      </c>
      <c r="W1112" s="22" t="s">
        <v>1</v>
      </c>
      <c r="X1112" s="22"/>
      <c r="Z1112" s="22"/>
      <c r="AA1112" s="22"/>
      <c r="AB1112" s="22"/>
      <c r="AC1112" s="22">
        <v>30</v>
      </c>
      <c r="AD1112" s="22"/>
      <c r="AE1112" s="24"/>
      <c r="AF1112" s="24" t="s">
        <v>2042</v>
      </c>
      <c r="AG1112" s="22"/>
      <c r="AH1112" s="25">
        <v>101301</v>
      </c>
      <c r="AI1112" s="25" t="s">
        <v>267</v>
      </c>
      <c r="AK1112" s="40" t="s">
        <v>635</v>
      </c>
      <c r="AL1112" s="40"/>
      <c r="AX1112" s="27"/>
      <c r="AY1112" s="27"/>
      <c r="BK1112" s="27"/>
      <c r="BL1112" s="27"/>
      <c r="BX1112" s="27"/>
      <c r="BY1112" s="27"/>
      <c r="CH1112" s="29"/>
    </row>
    <row r="1113" spans="1:86" x14ac:dyDescent="0.2">
      <c r="A1113" s="18">
        <v>10030</v>
      </c>
      <c r="B1113" s="19">
        <v>11</v>
      </c>
      <c r="C1113" s="19">
        <f t="shared" si="82"/>
        <v>100300011</v>
      </c>
      <c r="D1113" s="23" t="s">
        <v>643</v>
      </c>
      <c r="E1113" s="20" t="s">
        <v>640</v>
      </c>
      <c r="I1113" s="22" t="s">
        <v>206</v>
      </c>
      <c r="J1113" s="22"/>
      <c r="K1113" s="22"/>
      <c r="L1113" s="22"/>
      <c r="M1113" s="22"/>
      <c r="N1113" s="22" t="s">
        <v>163</v>
      </c>
      <c r="O1113" s="22" t="s">
        <v>163</v>
      </c>
      <c r="P1113" s="22"/>
      <c r="Q1113" s="22" t="s">
        <v>2041</v>
      </c>
      <c r="R1113" s="22"/>
      <c r="S1113" s="22"/>
      <c r="T1113" s="22" t="s">
        <v>2714</v>
      </c>
      <c r="U1113" s="116" t="s">
        <v>2861</v>
      </c>
      <c r="V1113" s="22" t="s">
        <v>109</v>
      </c>
      <c r="W1113" s="22" t="s">
        <v>1</v>
      </c>
      <c r="X1113" s="22"/>
      <c r="Z1113" s="22"/>
      <c r="AA1113" s="22"/>
      <c r="AB1113" s="22"/>
      <c r="AC1113" s="22">
        <v>30</v>
      </c>
      <c r="AD1113" s="22"/>
      <c r="AE1113" s="24"/>
      <c r="AF1113" s="24" t="s">
        <v>2042</v>
      </c>
      <c r="AG1113" s="22"/>
      <c r="AH1113" s="25">
        <v>101302</v>
      </c>
      <c r="AI1113" s="25" t="s">
        <v>267</v>
      </c>
      <c r="AK1113" s="40" t="s">
        <v>636</v>
      </c>
      <c r="AL1113" s="40"/>
      <c r="AX1113" s="27"/>
      <c r="AY1113" s="27"/>
      <c r="BK1113" s="27"/>
      <c r="BL1113" s="27"/>
      <c r="BX1113" s="27"/>
      <c r="BY1113" s="27"/>
      <c r="CH1113" s="29"/>
    </row>
    <row r="1114" spans="1:86" x14ac:dyDescent="0.2">
      <c r="A1114" s="18">
        <v>10030</v>
      </c>
      <c r="B1114" s="19">
        <v>12</v>
      </c>
      <c r="C1114" s="19">
        <f t="shared" si="82"/>
        <v>100300012</v>
      </c>
      <c r="D1114" s="23" t="s">
        <v>643</v>
      </c>
      <c r="E1114" s="20" t="s">
        <v>640</v>
      </c>
      <c r="I1114" s="22" t="s">
        <v>206</v>
      </c>
      <c r="J1114" s="22"/>
      <c r="K1114" s="22"/>
      <c r="L1114" s="22"/>
      <c r="M1114" s="22"/>
      <c r="N1114" s="22" t="s">
        <v>163</v>
      </c>
      <c r="O1114" s="22" t="s">
        <v>163</v>
      </c>
      <c r="P1114" s="22"/>
      <c r="Q1114" s="22" t="s">
        <v>2041</v>
      </c>
      <c r="R1114" s="22"/>
      <c r="S1114" s="22"/>
      <c r="T1114" s="22" t="s">
        <v>2714</v>
      </c>
      <c r="U1114" s="116" t="s">
        <v>2862</v>
      </c>
      <c r="V1114" s="22" t="s">
        <v>109</v>
      </c>
      <c r="W1114" s="22" t="s">
        <v>1</v>
      </c>
      <c r="X1114" s="22"/>
      <c r="Z1114" s="22"/>
      <c r="AA1114" s="22"/>
      <c r="AB1114" s="22"/>
      <c r="AC1114" s="22">
        <v>30</v>
      </c>
      <c r="AD1114" s="22"/>
      <c r="AE1114" s="24"/>
      <c r="AF1114" s="24" t="s">
        <v>2042</v>
      </c>
      <c r="AG1114" s="22"/>
      <c r="AH1114" s="25">
        <v>101303</v>
      </c>
      <c r="AI1114" s="25" t="s">
        <v>267</v>
      </c>
      <c r="AK1114" s="40" t="s">
        <v>637</v>
      </c>
      <c r="AL1114" s="40"/>
      <c r="AX1114" s="27"/>
      <c r="AY1114" s="27"/>
      <c r="BK1114" s="27"/>
      <c r="BL1114" s="27"/>
      <c r="BX1114" s="27"/>
      <c r="BY1114" s="27"/>
      <c r="CH1114" s="29"/>
    </row>
    <row r="1115" spans="1:86" x14ac:dyDescent="0.2">
      <c r="A1115" s="18">
        <v>10030</v>
      </c>
      <c r="B1115" s="19">
        <v>13</v>
      </c>
      <c r="C1115" s="19">
        <f t="shared" si="82"/>
        <v>100300013</v>
      </c>
      <c r="D1115" s="23" t="s">
        <v>643</v>
      </c>
      <c r="E1115" s="20" t="s">
        <v>640</v>
      </c>
      <c r="I1115" s="22" t="s">
        <v>206</v>
      </c>
      <c r="J1115" s="22"/>
      <c r="K1115" s="22"/>
      <c r="L1115" s="22"/>
      <c r="M1115" s="22"/>
      <c r="N1115" s="22" t="s">
        <v>163</v>
      </c>
      <c r="O1115" s="22" t="s">
        <v>163</v>
      </c>
      <c r="P1115" s="22"/>
      <c r="Q1115" s="22" t="s">
        <v>2041</v>
      </c>
      <c r="R1115" s="22"/>
      <c r="S1115" s="22"/>
      <c r="T1115" s="22" t="s">
        <v>2714</v>
      </c>
      <c r="U1115" s="116" t="s">
        <v>2863</v>
      </c>
      <c r="V1115" s="22" t="s">
        <v>109</v>
      </c>
      <c r="W1115" s="22" t="s">
        <v>1</v>
      </c>
      <c r="X1115" s="22"/>
      <c r="Z1115" s="22"/>
      <c r="AA1115" s="22"/>
      <c r="AB1115" s="22"/>
      <c r="AC1115" s="22">
        <v>30</v>
      </c>
      <c r="AD1115" s="22"/>
      <c r="AE1115" s="24"/>
      <c r="AF1115" s="24" t="s">
        <v>2042</v>
      </c>
      <c r="AG1115" s="22"/>
      <c r="AH1115" s="25">
        <v>101304</v>
      </c>
      <c r="AI1115" s="25" t="s">
        <v>267</v>
      </c>
      <c r="AK1115" s="40" t="s">
        <v>638</v>
      </c>
      <c r="AL1115" s="40"/>
      <c r="AX1115" s="27"/>
      <c r="AY1115" s="27"/>
      <c r="BK1115" s="27"/>
      <c r="BL1115" s="27"/>
      <c r="BX1115" s="27"/>
      <c r="BY1115" s="27"/>
      <c r="CH1115" s="29"/>
    </row>
    <row r="1116" spans="1:86" x14ac:dyDescent="0.2">
      <c r="A1116" s="18">
        <v>10030</v>
      </c>
      <c r="B1116" s="19">
        <v>14</v>
      </c>
      <c r="C1116" s="19">
        <f t="shared" ref="C1116:C1179" si="83">A1116*10000+B1116</f>
        <v>100300014</v>
      </c>
      <c r="D1116" s="23" t="s">
        <v>643</v>
      </c>
      <c r="E1116" s="20" t="s">
        <v>640</v>
      </c>
      <c r="I1116" s="22" t="s">
        <v>206</v>
      </c>
      <c r="J1116" s="22"/>
      <c r="K1116" s="22"/>
      <c r="L1116" s="22"/>
      <c r="M1116" s="22"/>
      <c r="N1116" s="22" t="s">
        <v>163</v>
      </c>
      <c r="O1116" s="22" t="s">
        <v>163</v>
      </c>
      <c r="P1116" s="22"/>
      <c r="Q1116" s="22" t="s">
        <v>2041</v>
      </c>
      <c r="R1116" s="22"/>
      <c r="S1116" s="22"/>
      <c r="T1116" s="22" t="s">
        <v>2714</v>
      </c>
      <c r="U1116" s="116" t="s">
        <v>2864</v>
      </c>
      <c r="V1116" s="22" t="s">
        <v>109</v>
      </c>
      <c r="W1116" s="22" t="s">
        <v>1</v>
      </c>
      <c r="X1116" s="22"/>
      <c r="Z1116" s="22"/>
      <c r="AA1116" s="22"/>
      <c r="AB1116" s="22"/>
      <c r="AC1116" s="22">
        <v>30</v>
      </c>
      <c r="AD1116" s="22"/>
      <c r="AE1116" s="24"/>
      <c r="AF1116" s="24" t="s">
        <v>2042</v>
      </c>
      <c r="AG1116" s="22"/>
      <c r="AH1116" s="25">
        <v>101305</v>
      </c>
      <c r="AI1116" s="25" t="s">
        <v>267</v>
      </c>
      <c r="AK1116" s="40" t="s">
        <v>639</v>
      </c>
      <c r="AL1116" s="40"/>
      <c r="AX1116" s="27"/>
      <c r="AY1116" s="27"/>
      <c r="BK1116" s="27"/>
      <c r="BL1116" s="27"/>
      <c r="BX1116" s="27"/>
      <c r="BY1116" s="27"/>
      <c r="CH1116" s="29"/>
    </row>
    <row r="1117" spans="1:86" x14ac:dyDescent="0.2">
      <c r="A1117" s="18">
        <v>10031</v>
      </c>
      <c r="B1117" s="19">
        <v>10</v>
      </c>
      <c r="C1117" s="19">
        <f t="shared" si="83"/>
        <v>100310010</v>
      </c>
      <c r="D1117" s="23" t="s">
        <v>644</v>
      </c>
      <c r="E1117" s="20" t="s">
        <v>640</v>
      </c>
      <c r="I1117" s="22" t="s">
        <v>206</v>
      </c>
      <c r="J1117" s="22"/>
      <c r="K1117" s="22"/>
      <c r="L1117" s="22"/>
      <c r="M1117" s="22"/>
      <c r="N1117" s="22" t="s">
        <v>163</v>
      </c>
      <c r="O1117" s="22" t="s">
        <v>163</v>
      </c>
      <c r="P1117" s="22"/>
      <c r="Q1117" s="22" t="s">
        <v>2041</v>
      </c>
      <c r="R1117" s="22"/>
      <c r="S1117" s="22"/>
      <c r="T1117" s="22" t="s">
        <v>2714</v>
      </c>
      <c r="U1117" s="116" t="s">
        <v>2865</v>
      </c>
      <c r="V1117" s="22" t="s">
        <v>109</v>
      </c>
      <c r="W1117" s="22" t="s">
        <v>1</v>
      </c>
      <c r="X1117" s="22"/>
      <c r="Z1117" s="22"/>
      <c r="AA1117" s="22"/>
      <c r="AB1117" s="22"/>
      <c r="AC1117" s="22">
        <v>31</v>
      </c>
      <c r="AD1117" s="22"/>
      <c r="AE1117" s="24"/>
      <c r="AF1117" s="24" t="s">
        <v>2042</v>
      </c>
      <c r="AG1117" s="22"/>
      <c r="AH1117" s="25">
        <v>101311</v>
      </c>
      <c r="AI1117" s="25" t="s">
        <v>267</v>
      </c>
      <c r="AK1117" s="40" t="s">
        <v>635</v>
      </c>
      <c r="AL1117" s="40"/>
      <c r="AX1117" s="27"/>
      <c r="AY1117" s="27"/>
      <c r="BK1117" s="27"/>
      <c r="BL1117" s="27"/>
      <c r="BX1117" s="27"/>
      <c r="BY1117" s="27"/>
      <c r="CH1117" s="29"/>
    </row>
    <row r="1118" spans="1:86" x14ac:dyDescent="0.2">
      <c r="A1118" s="18">
        <v>10031</v>
      </c>
      <c r="B1118" s="19">
        <v>11</v>
      </c>
      <c r="C1118" s="19">
        <f t="shared" si="83"/>
        <v>100310011</v>
      </c>
      <c r="D1118" s="23" t="s">
        <v>644</v>
      </c>
      <c r="E1118" s="20" t="s">
        <v>640</v>
      </c>
      <c r="I1118" s="22" t="s">
        <v>206</v>
      </c>
      <c r="J1118" s="22"/>
      <c r="K1118" s="22"/>
      <c r="L1118" s="22"/>
      <c r="M1118" s="22"/>
      <c r="N1118" s="22" t="s">
        <v>163</v>
      </c>
      <c r="O1118" s="22" t="s">
        <v>163</v>
      </c>
      <c r="P1118" s="22"/>
      <c r="Q1118" s="22" t="s">
        <v>2041</v>
      </c>
      <c r="R1118" s="22"/>
      <c r="S1118" s="22"/>
      <c r="T1118" s="22" t="s">
        <v>2714</v>
      </c>
      <c r="U1118" s="116" t="s">
        <v>2866</v>
      </c>
      <c r="V1118" s="22" t="s">
        <v>109</v>
      </c>
      <c r="W1118" s="22" t="s">
        <v>1</v>
      </c>
      <c r="X1118" s="22"/>
      <c r="Z1118" s="22"/>
      <c r="AA1118" s="22"/>
      <c r="AB1118" s="22"/>
      <c r="AC1118" s="22">
        <v>31</v>
      </c>
      <c r="AD1118" s="22"/>
      <c r="AE1118" s="24"/>
      <c r="AF1118" s="24" t="s">
        <v>2042</v>
      </c>
      <c r="AG1118" s="22"/>
      <c r="AH1118" s="25">
        <v>101312</v>
      </c>
      <c r="AI1118" s="25" t="s">
        <v>267</v>
      </c>
      <c r="AK1118" s="40" t="s">
        <v>636</v>
      </c>
      <c r="AL1118" s="40"/>
      <c r="AX1118" s="27"/>
      <c r="AY1118" s="27"/>
      <c r="BK1118" s="27"/>
      <c r="BL1118" s="27"/>
      <c r="BX1118" s="27"/>
      <c r="BY1118" s="27"/>
      <c r="CH1118" s="29"/>
    </row>
    <row r="1119" spans="1:86" x14ac:dyDescent="0.2">
      <c r="A1119" s="18">
        <v>10031</v>
      </c>
      <c r="B1119" s="19">
        <v>12</v>
      </c>
      <c r="C1119" s="19">
        <f t="shared" si="83"/>
        <v>100310012</v>
      </c>
      <c r="D1119" s="23" t="s">
        <v>644</v>
      </c>
      <c r="E1119" s="20" t="s">
        <v>640</v>
      </c>
      <c r="I1119" s="22" t="s">
        <v>206</v>
      </c>
      <c r="J1119" s="22"/>
      <c r="K1119" s="22"/>
      <c r="L1119" s="22"/>
      <c r="M1119" s="22"/>
      <c r="N1119" s="22" t="s">
        <v>163</v>
      </c>
      <c r="O1119" s="22" t="s">
        <v>163</v>
      </c>
      <c r="P1119" s="22"/>
      <c r="Q1119" s="22" t="s">
        <v>2041</v>
      </c>
      <c r="R1119" s="22"/>
      <c r="S1119" s="22"/>
      <c r="T1119" s="22" t="s">
        <v>2714</v>
      </c>
      <c r="U1119" s="116" t="s">
        <v>2867</v>
      </c>
      <c r="V1119" s="22" t="s">
        <v>109</v>
      </c>
      <c r="W1119" s="22" t="s">
        <v>1</v>
      </c>
      <c r="X1119" s="22"/>
      <c r="Z1119" s="22"/>
      <c r="AA1119" s="22"/>
      <c r="AB1119" s="22"/>
      <c r="AC1119" s="22">
        <v>31</v>
      </c>
      <c r="AD1119" s="22"/>
      <c r="AE1119" s="24"/>
      <c r="AF1119" s="24" t="s">
        <v>2042</v>
      </c>
      <c r="AG1119" s="22"/>
      <c r="AH1119" s="25">
        <v>101313</v>
      </c>
      <c r="AI1119" s="25" t="s">
        <v>267</v>
      </c>
      <c r="AK1119" s="40" t="s">
        <v>637</v>
      </c>
      <c r="AL1119" s="40"/>
      <c r="AX1119" s="27"/>
      <c r="AY1119" s="27"/>
      <c r="BK1119" s="27"/>
      <c r="BL1119" s="27"/>
      <c r="BX1119" s="27"/>
      <c r="BY1119" s="27"/>
      <c r="CH1119" s="29"/>
    </row>
    <row r="1120" spans="1:86" x14ac:dyDescent="0.2">
      <c r="A1120" s="18">
        <v>10031</v>
      </c>
      <c r="B1120" s="19">
        <v>13</v>
      </c>
      <c r="C1120" s="19">
        <f t="shared" si="83"/>
        <v>100310013</v>
      </c>
      <c r="D1120" s="23" t="s">
        <v>644</v>
      </c>
      <c r="E1120" s="20" t="s">
        <v>640</v>
      </c>
      <c r="I1120" s="22" t="s">
        <v>206</v>
      </c>
      <c r="J1120" s="22"/>
      <c r="K1120" s="22"/>
      <c r="L1120" s="22"/>
      <c r="M1120" s="22"/>
      <c r="N1120" s="22" t="s">
        <v>163</v>
      </c>
      <c r="O1120" s="22" t="s">
        <v>163</v>
      </c>
      <c r="P1120" s="22"/>
      <c r="Q1120" s="22" t="s">
        <v>2041</v>
      </c>
      <c r="R1120" s="22"/>
      <c r="S1120" s="22"/>
      <c r="T1120" s="22" t="s">
        <v>2714</v>
      </c>
      <c r="U1120" s="116" t="s">
        <v>2868</v>
      </c>
      <c r="V1120" s="22" t="s">
        <v>109</v>
      </c>
      <c r="W1120" s="22" t="s">
        <v>1</v>
      </c>
      <c r="X1120" s="22"/>
      <c r="Z1120" s="22"/>
      <c r="AA1120" s="22"/>
      <c r="AB1120" s="22"/>
      <c r="AC1120" s="22">
        <v>31</v>
      </c>
      <c r="AD1120" s="22"/>
      <c r="AE1120" s="24"/>
      <c r="AF1120" s="24" t="s">
        <v>2042</v>
      </c>
      <c r="AG1120" s="22"/>
      <c r="AH1120" s="25">
        <v>101314</v>
      </c>
      <c r="AI1120" s="25" t="s">
        <v>267</v>
      </c>
      <c r="AK1120" s="40" t="s">
        <v>638</v>
      </c>
      <c r="AL1120" s="40"/>
      <c r="AX1120" s="27"/>
      <c r="AY1120" s="27"/>
      <c r="BK1120" s="27"/>
      <c r="BL1120" s="27"/>
      <c r="BX1120" s="27"/>
      <c r="BY1120" s="27"/>
      <c r="CH1120" s="29"/>
    </row>
    <row r="1121" spans="1:86" x14ac:dyDescent="0.2">
      <c r="A1121" s="18">
        <v>10031</v>
      </c>
      <c r="B1121" s="19">
        <v>14</v>
      </c>
      <c r="C1121" s="19">
        <f t="shared" si="83"/>
        <v>100310014</v>
      </c>
      <c r="D1121" s="23" t="s">
        <v>644</v>
      </c>
      <c r="E1121" s="20" t="s">
        <v>640</v>
      </c>
      <c r="I1121" s="22" t="s">
        <v>206</v>
      </c>
      <c r="J1121" s="22"/>
      <c r="K1121" s="22"/>
      <c r="L1121" s="22"/>
      <c r="M1121" s="22"/>
      <c r="N1121" s="22" t="s">
        <v>163</v>
      </c>
      <c r="O1121" s="22" t="s">
        <v>163</v>
      </c>
      <c r="P1121" s="22"/>
      <c r="Q1121" s="22" t="s">
        <v>2041</v>
      </c>
      <c r="R1121" s="22"/>
      <c r="S1121" s="22"/>
      <c r="T1121" s="22" t="s">
        <v>2714</v>
      </c>
      <c r="U1121" s="116" t="s">
        <v>2869</v>
      </c>
      <c r="V1121" s="22" t="s">
        <v>109</v>
      </c>
      <c r="W1121" s="22" t="s">
        <v>1</v>
      </c>
      <c r="X1121" s="22"/>
      <c r="Z1121" s="22"/>
      <c r="AA1121" s="22"/>
      <c r="AB1121" s="22"/>
      <c r="AC1121" s="22">
        <v>31</v>
      </c>
      <c r="AD1121" s="22"/>
      <c r="AE1121" s="24"/>
      <c r="AF1121" s="24" t="s">
        <v>2042</v>
      </c>
      <c r="AG1121" s="22"/>
      <c r="AH1121" s="25">
        <v>101315</v>
      </c>
      <c r="AI1121" s="25" t="s">
        <v>267</v>
      </c>
      <c r="AK1121" s="40" t="s">
        <v>639</v>
      </c>
      <c r="AL1121" s="40"/>
      <c r="AX1121" s="27"/>
      <c r="AY1121" s="27"/>
      <c r="BK1121" s="27"/>
      <c r="BL1121" s="27"/>
      <c r="BX1121" s="27"/>
      <c r="BY1121" s="27"/>
      <c r="CH1121" s="29"/>
    </row>
    <row r="1122" spans="1:86" x14ac:dyDescent="0.2">
      <c r="A1122" s="18">
        <v>10032</v>
      </c>
      <c r="B1122" s="19">
        <v>10</v>
      </c>
      <c r="C1122" s="19">
        <f t="shared" si="83"/>
        <v>100320010</v>
      </c>
      <c r="D1122" s="23" t="s">
        <v>706</v>
      </c>
      <c r="E1122" s="20" t="s">
        <v>640</v>
      </c>
      <c r="I1122" s="22" t="s">
        <v>206</v>
      </c>
      <c r="J1122" s="22"/>
      <c r="K1122" s="22"/>
      <c r="L1122" s="22"/>
      <c r="M1122" s="22"/>
      <c r="N1122" s="22" t="s">
        <v>163</v>
      </c>
      <c r="O1122" s="22" t="s">
        <v>163</v>
      </c>
      <c r="P1122" s="22"/>
      <c r="Q1122" s="22" t="s">
        <v>2041</v>
      </c>
      <c r="R1122" s="22"/>
      <c r="S1122" s="22"/>
      <c r="T1122" s="22" t="s">
        <v>2714</v>
      </c>
      <c r="U1122" s="116" t="s">
        <v>2870</v>
      </c>
      <c r="V1122" s="22" t="s">
        <v>109</v>
      </c>
      <c r="W1122" s="22" t="s">
        <v>1</v>
      </c>
      <c r="X1122" s="22"/>
      <c r="Z1122" s="22"/>
      <c r="AA1122" s="22"/>
      <c r="AB1122" s="22"/>
      <c r="AC1122" s="22" t="s">
        <v>707</v>
      </c>
      <c r="AD1122" s="22"/>
      <c r="AE1122" s="24"/>
      <c r="AF1122" s="24" t="s">
        <v>2042</v>
      </c>
      <c r="AG1122" s="22"/>
      <c r="AH1122" s="25">
        <v>101321</v>
      </c>
      <c r="AI1122" s="25" t="s">
        <v>176</v>
      </c>
      <c r="AK1122" s="40" t="s">
        <v>635</v>
      </c>
      <c r="AL1122" s="40"/>
      <c r="AX1122" s="27"/>
      <c r="AY1122" s="27"/>
      <c r="BK1122" s="27"/>
      <c r="BL1122" s="27"/>
      <c r="BX1122" s="27"/>
      <c r="BY1122" s="27"/>
      <c r="CH1122" s="29"/>
    </row>
    <row r="1123" spans="1:86" x14ac:dyDescent="0.2">
      <c r="A1123" s="18">
        <v>10032</v>
      </c>
      <c r="B1123" s="19">
        <v>11</v>
      </c>
      <c r="C1123" s="19">
        <f t="shared" si="83"/>
        <v>100320011</v>
      </c>
      <c r="D1123" s="23" t="s">
        <v>706</v>
      </c>
      <c r="E1123" s="20" t="s">
        <v>640</v>
      </c>
      <c r="I1123" s="22" t="s">
        <v>206</v>
      </c>
      <c r="J1123" s="22"/>
      <c r="K1123" s="22"/>
      <c r="L1123" s="22"/>
      <c r="M1123" s="22"/>
      <c r="N1123" s="22" t="s">
        <v>163</v>
      </c>
      <c r="O1123" s="22" t="s">
        <v>163</v>
      </c>
      <c r="P1123" s="22"/>
      <c r="Q1123" s="22" t="s">
        <v>2041</v>
      </c>
      <c r="R1123" s="22"/>
      <c r="S1123" s="22"/>
      <c r="T1123" s="22" t="s">
        <v>2714</v>
      </c>
      <c r="U1123" s="116" t="s">
        <v>2871</v>
      </c>
      <c r="V1123" s="22" t="s">
        <v>109</v>
      </c>
      <c r="W1123" s="22" t="s">
        <v>1</v>
      </c>
      <c r="X1123" s="22"/>
      <c r="Z1123" s="22"/>
      <c r="AA1123" s="22"/>
      <c r="AB1123" s="22"/>
      <c r="AC1123" s="22" t="s">
        <v>707</v>
      </c>
      <c r="AD1123" s="22"/>
      <c r="AE1123" s="24"/>
      <c r="AF1123" s="24" t="s">
        <v>2042</v>
      </c>
      <c r="AG1123" s="22"/>
      <c r="AH1123" s="25">
        <v>101322</v>
      </c>
      <c r="AI1123" s="25" t="s">
        <v>260</v>
      </c>
      <c r="AK1123" s="40" t="s">
        <v>636</v>
      </c>
      <c r="AL1123" s="40"/>
      <c r="AX1123" s="27"/>
      <c r="AY1123" s="27"/>
      <c r="BK1123" s="27"/>
      <c r="BL1123" s="27"/>
      <c r="BX1123" s="27"/>
      <c r="BY1123" s="27"/>
      <c r="CH1123" s="29"/>
    </row>
    <row r="1124" spans="1:86" x14ac:dyDescent="0.2">
      <c r="A1124" s="18">
        <v>10032</v>
      </c>
      <c r="B1124" s="19">
        <v>12</v>
      </c>
      <c r="C1124" s="19">
        <f t="shared" si="83"/>
        <v>100320012</v>
      </c>
      <c r="D1124" s="23" t="s">
        <v>706</v>
      </c>
      <c r="E1124" s="20" t="s">
        <v>640</v>
      </c>
      <c r="I1124" s="22" t="s">
        <v>206</v>
      </c>
      <c r="J1124" s="22"/>
      <c r="K1124" s="22"/>
      <c r="L1124" s="22"/>
      <c r="M1124" s="22"/>
      <c r="N1124" s="22" t="s">
        <v>163</v>
      </c>
      <c r="O1124" s="22" t="s">
        <v>163</v>
      </c>
      <c r="P1124" s="22"/>
      <c r="Q1124" s="22" t="s">
        <v>2041</v>
      </c>
      <c r="R1124" s="22"/>
      <c r="S1124" s="22"/>
      <c r="T1124" s="22" t="s">
        <v>2714</v>
      </c>
      <c r="U1124" s="116" t="s">
        <v>2872</v>
      </c>
      <c r="V1124" s="22" t="s">
        <v>109</v>
      </c>
      <c r="W1124" s="22" t="s">
        <v>1</v>
      </c>
      <c r="X1124" s="22"/>
      <c r="Z1124" s="22"/>
      <c r="AA1124" s="22"/>
      <c r="AB1124" s="22"/>
      <c r="AC1124" s="22" t="s">
        <v>707</v>
      </c>
      <c r="AD1124" s="22"/>
      <c r="AE1124" s="24"/>
      <c r="AF1124" s="24" t="s">
        <v>2042</v>
      </c>
      <c r="AG1124" s="22"/>
      <c r="AH1124" s="25">
        <v>101323</v>
      </c>
      <c r="AI1124" s="25" t="s">
        <v>347</v>
      </c>
      <c r="AK1124" s="40" t="s">
        <v>637</v>
      </c>
      <c r="AL1124" s="40"/>
      <c r="AX1124" s="27"/>
      <c r="AY1124" s="27"/>
      <c r="BK1124" s="27"/>
      <c r="BL1124" s="27"/>
      <c r="BX1124" s="27"/>
      <c r="BY1124" s="27"/>
      <c r="CH1124" s="29"/>
    </row>
    <row r="1125" spans="1:86" x14ac:dyDescent="0.2">
      <c r="A1125" s="18">
        <v>10032</v>
      </c>
      <c r="B1125" s="19">
        <v>13</v>
      </c>
      <c r="C1125" s="19">
        <f t="shared" si="83"/>
        <v>100320013</v>
      </c>
      <c r="D1125" s="23" t="s">
        <v>706</v>
      </c>
      <c r="E1125" s="20" t="s">
        <v>640</v>
      </c>
      <c r="I1125" s="22" t="s">
        <v>206</v>
      </c>
      <c r="J1125" s="22"/>
      <c r="K1125" s="22"/>
      <c r="L1125" s="22"/>
      <c r="M1125" s="22"/>
      <c r="N1125" s="22" t="s">
        <v>163</v>
      </c>
      <c r="O1125" s="22" t="s">
        <v>163</v>
      </c>
      <c r="P1125" s="22"/>
      <c r="Q1125" s="22" t="s">
        <v>2041</v>
      </c>
      <c r="R1125" s="22"/>
      <c r="S1125" s="22"/>
      <c r="T1125" s="22" t="s">
        <v>2714</v>
      </c>
      <c r="U1125" s="116" t="s">
        <v>2873</v>
      </c>
      <c r="V1125" s="22" t="s">
        <v>109</v>
      </c>
      <c r="W1125" s="22" t="s">
        <v>1</v>
      </c>
      <c r="X1125" s="22"/>
      <c r="Z1125" s="22"/>
      <c r="AA1125" s="22"/>
      <c r="AB1125" s="22"/>
      <c r="AC1125" s="22" t="s">
        <v>707</v>
      </c>
      <c r="AD1125" s="22"/>
      <c r="AE1125" s="24"/>
      <c r="AF1125" s="24" t="s">
        <v>2042</v>
      </c>
      <c r="AG1125" s="22"/>
      <c r="AH1125" s="25">
        <v>101324</v>
      </c>
      <c r="AI1125" s="25" t="s">
        <v>345</v>
      </c>
      <c r="AK1125" s="40" t="s">
        <v>638</v>
      </c>
      <c r="AL1125" s="40"/>
      <c r="AX1125" s="27"/>
      <c r="AY1125" s="27"/>
      <c r="BK1125" s="27"/>
      <c r="BL1125" s="27"/>
      <c r="BX1125" s="27"/>
      <c r="BY1125" s="27"/>
      <c r="CH1125" s="29"/>
    </row>
    <row r="1126" spans="1:86" x14ac:dyDescent="0.2">
      <c r="A1126" s="18">
        <v>10032</v>
      </c>
      <c r="B1126" s="19">
        <v>14</v>
      </c>
      <c r="C1126" s="19">
        <f t="shared" si="83"/>
        <v>100320014</v>
      </c>
      <c r="D1126" s="23" t="s">
        <v>706</v>
      </c>
      <c r="E1126" s="20" t="s">
        <v>640</v>
      </c>
      <c r="I1126" s="22" t="s">
        <v>206</v>
      </c>
      <c r="J1126" s="22"/>
      <c r="K1126" s="22"/>
      <c r="L1126" s="22"/>
      <c r="M1126" s="22"/>
      <c r="N1126" s="22" t="s">
        <v>163</v>
      </c>
      <c r="O1126" s="22" t="s">
        <v>163</v>
      </c>
      <c r="P1126" s="22"/>
      <c r="Q1126" s="22" t="s">
        <v>2041</v>
      </c>
      <c r="R1126" s="22"/>
      <c r="S1126" s="22"/>
      <c r="T1126" s="22" t="s">
        <v>2714</v>
      </c>
      <c r="U1126" s="116" t="s">
        <v>2874</v>
      </c>
      <c r="V1126" s="22" t="s">
        <v>109</v>
      </c>
      <c r="W1126" s="22" t="s">
        <v>1</v>
      </c>
      <c r="X1126" s="22"/>
      <c r="Z1126" s="22"/>
      <c r="AA1126" s="22"/>
      <c r="AB1126" s="22"/>
      <c r="AC1126" s="22" t="s">
        <v>707</v>
      </c>
      <c r="AD1126" s="22"/>
      <c r="AE1126" s="24"/>
      <c r="AF1126" s="24" t="s">
        <v>2042</v>
      </c>
      <c r="AG1126" s="22"/>
      <c r="AH1126" s="25">
        <v>101325</v>
      </c>
      <c r="AI1126" s="25" t="s">
        <v>266</v>
      </c>
      <c r="AK1126" s="40" t="s">
        <v>639</v>
      </c>
      <c r="AL1126" s="40"/>
      <c r="AX1126" s="27"/>
      <c r="AY1126" s="27"/>
      <c r="BK1126" s="27"/>
      <c r="BL1126" s="27"/>
      <c r="BX1126" s="27"/>
      <c r="BY1126" s="27"/>
      <c r="CH1126" s="29"/>
    </row>
    <row r="1127" spans="1:86" x14ac:dyDescent="0.2">
      <c r="A1127" s="18">
        <v>10033</v>
      </c>
      <c r="B1127" s="19">
        <v>10</v>
      </c>
      <c r="C1127" s="19">
        <f t="shared" si="83"/>
        <v>100330010</v>
      </c>
      <c r="D1127" s="23" t="s">
        <v>645</v>
      </c>
      <c r="E1127" s="20" t="s">
        <v>640</v>
      </c>
      <c r="I1127" s="22" t="s">
        <v>206</v>
      </c>
      <c r="J1127" s="22"/>
      <c r="K1127" s="22"/>
      <c r="L1127" s="22"/>
      <c r="M1127" s="22"/>
      <c r="N1127" s="22" t="s">
        <v>163</v>
      </c>
      <c r="O1127" s="22" t="s">
        <v>163</v>
      </c>
      <c r="P1127" s="22"/>
      <c r="Q1127" s="22" t="s">
        <v>2041</v>
      </c>
      <c r="R1127" s="22"/>
      <c r="S1127" s="22"/>
      <c r="T1127" s="22" t="s">
        <v>2714</v>
      </c>
      <c r="U1127" s="116" t="s">
        <v>2875</v>
      </c>
      <c r="V1127" s="22" t="s">
        <v>109</v>
      </c>
      <c r="W1127" s="22" t="s">
        <v>1</v>
      </c>
      <c r="X1127" s="22"/>
      <c r="Z1127" s="22"/>
      <c r="AA1127" s="22"/>
      <c r="AB1127" s="22"/>
      <c r="AC1127" s="22" t="s">
        <v>648</v>
      </c>
      <c r="AD1127" s="22"/>
      <c r="AE1127" s="24"/>
      <c r="AF1127" s="24" t="s">
        <v>2042</v>
      </c>
      <c r="AG1127" s="22"/>
      <c r="AH1127" s="25">
        <v>101331</v>
      </c>
      <c r="AI1127" s="25" t="s">
        <v>176</v>
      </c>
      <c r="AK1127" s="40" t="s">
        <v>635</v>
      </c>
      <c r="AL1127" s="40"/>
      <c r="AX1127" s="27"/>
      <c r="AY1127" s="27"/>
      <c r="BK1127" s="27"/>
      <c r="BL1127" s="27"/>
      <c r="BX1127" s="27"/>
      <c r="BY1127" s="27"/>
      <c r="CH1127" s="29"/>
    </row>
    <row r="1128" spans="1:86" x14ac:dyDescent="0.2">
      <c r="A1128" s="18">
        <v>10033</v>
      </c>
      <c r="B1128" s="19">
        <v>11</v>
      </c>
      <c r="C1128" s="19">
        <f t="shared" si="83"/>
        <v>100330011</v>
      </c>
      <c r="D1128" s="23" t="s">
        <v>645</v>
      </c>
      <c r="E1128" s="20" t="s">
        <v>640</v>
      </c>
      <c r="I1128" s="22" t="s">
        <v>206</v>
      </c>
      <c r="J1128" s="22"/>
      <c r="K1128" s="22"/>
      <c r="L1128" s="22"/>
      <c r="M1128" s="22"/>
      <c r="N1128" s="22" t="s">
        <v>163</v>
      </c>
      <c r="O1128" s="22" t="s">
        <v>163</v>
      </c>
      <c r="P1128" s="22"/>
      <c r="Q1128" s="22" t="s">
        <v>2041</v>
      </c>
      <c r="R1128" s="22"/>
      <c r="S1128" s="22"/>
      <c r="T1128" s="22" t="s">
        <v>2714</v>
      </c>
      <c r="U1128" s="116" t="s">
        <v>2876</v>
      </c>
      <c r="V1128" s="22" t="s">
        <v>109</v>
      </c>
      <c r="W1128" s="22" t="s">
        <v>1</v>
      </c>
      <c r="X1128" s="22"/>
      <c r="Z1128" s="22"/>
      <c r="AA1128" s="22"/>
      <c r="AB1128" s="22"/>
      <c r="AC1128" s="22" t="s">
        <v>648</v>
      </c>
      <c r="AD1128" s="22"/>
      <c r="AE1128" s="24"/>
      <c r="AF1128" s="24" t="s">
        <v>2042</v>
      </c>
      <c r="AG1128" s="22"/>
      <c r="AH1128" s="25">
        <v>101332</v>
      </c>
      <c r="AI1128" s="25" t="s">
        <v>260</v>
      </c>
      <c r="AK1128" s="40" t="s">
        <v>636</v>
      </c>
      <c r="AL1128" s="40"/>
      <c r="AX1128" s="27"/>
      <c r="AY1128" s="27"/>
      <c r="BK1128" s="27"/>
      <c r="BL1128" s="27"/>
      <c r="BX1128" s="27"/>
      <c r="BY1128" s="27"/>
      <c r="CH1128" s="29"/>
    </row>
    <row r="1129" spans="1:86" x14ac:dyDescent="0.2">
      <c r="A1129" s="18">
        <v>10033</v>
      </c>
      <c r="B1129" s="19">
        <v>12</v>
      </c>
      <c r="C1129" s="19">
        <f t="shared" si="83"/>
        <v>100330012</v>
      </c>
      <c r="D1129" s="23" t="s">
        <v>645</v>
      </c>
      <c r="E1129" s="20" t="s">
        <v>640</v>
      </c>
      <c r="I1129" s="22" t="s">
        <v>206</v>
      </c>
      <c r="J1129" s="22"/>
      <c r="K1129" s="22"/>
      <c r="L1129" s="22"/>
      <c r="M1129" s="22"/>
      <c r="N1129" s="22" t="s">
        <v>163</v>
      </c>
      <c r="O1129" s="22" t="s">
        <v>163</v>
      </c>
      <c r="P1129" s="22"/>
      <c r="Q1129" s="22" t="s">
        <v>2041</v>
      </c>
      <c r="R1129" s="22"/>
      <c r="S1129" s="22"/>
      <c r="T1129" s="22" t="s">
        <v>2714</v>
      </c>
      <c r="U1129" s="116" t="s">
        <v>2877</v>
      </c>
      <c r="V1129" s="22" t="s">
        <v>109</v>
      </c>
      <c r="W1129" s="22" t="s">
        <v>1</v>
      </c>
      <c r="X1129" s="22"/>
      <c r="Z1129" s="22"/>
      <c r="AA1129" s="22"/>
      <c r="AB1129" s="22"/>
      <c r="AC1129" s="22" t="s">
        <v>648</v>
      </c>
      <c r="AD1129" s="22"/>
      <c r="AE1129" s="24"/>
      <c r="AF1129" s="24" t="s">
        <v>2042</v>
      </c>
      <c r="AG1129" s="22"/>
      <c r="AH1129" s="25">
        <v>101333</v>
      </c>
      <c r="AI1129" s="25" t="s">
        <v>347</v>
      </c>
      <c r="AK1129" s="40" t="s">
        <v>637</v>
      </c>
      <c r="AL1129" s="40"/>
      <c r="AX1129" s="27"/>
      <c r="AY1129" s="27"/>
      <c r="BK1129" s="27"/>
      <c r="BL1129" s="27"/>
      <c r="BX1129" s="27"/>
      <c r="BY1129" s="27"/>
      <c r="CH1129" s="29"/>
    </row>
    <row r="1130" spans="1:86" x14ac:dyDescent="0.2">
      <c r="A1130" s="18">
        <v>10033</v>
      </c>
      <c r="B1130" s="19">
        <v>13</v>
      </c>
      <c r="C1130" s="19">
        <f t="shared" si="83"/>
        <v>100330013</v>
      </c>
      <c r="D1130" s="23" t="s">
        <v>645</v>
      </c>
      <c r="E1130" s="20" t="s">
        <v>640</v>
      </c>
      <c r="I1130" s="22" t="s">
        <v>206</v>
      </c>
      <c r="J1130" s="22"/>
      <c r="K1130" s="22"/>
      <c r="L1130" s="22"/>
      <c r="M1130" s="22"/>
      <c r="N1130" s="22" t="s">
        <v>163</v>
      </c>
      <c r="O1130" s="22" t="s">
        <v>163</v>
      </c>
      <c r="P1130" s="22"/>
      <c r="Q1130" s="22" t="s">
        <v>2041</v>
      </c>
      <c r="R1130" s="22"/>
      <c r="S1130" s="22"/>
      <c r="T1130" s="22" t="s">
        <v>2714</v>
      </c>
      <c r="U1130" s="116" t="s">
        <v>2878</v>
      </c>
      <c r="V1130" s="22" t="s">
        <v>109</v>
      </c>
      <c r="W1130" s="22" t="s">
        <v>1</v>
      </c>
      <c r="X1130" s="22"/>
      <c r="Z1130" s="22"/>
      <c r="AA1130" s="22"/>
      <c r="AB1130" s="22"/>
      <c r="AC1130" s="22" t="s">
        <v>648</v>
      </c>
      <c r="AD1130" s="22"/>
      <c r="AE1130" s="24"/>
      <c r="AF1130" s="24" t="s">
        <v>2042</v>
      </c>
      <c r="AG1130" s="22"/>
      <c r="AH1130" s="25">
        <v>101334</v>
      </c>
      <c r="AI1130" s="25" t="s">
        <v>345</v>
      </c>
      <c r="AK1130" s="40" t="s">
        <v>638</v>
      </c>
      <c r="AL1130" s="40"/>
      <c r="AX1130" s="27"/>
      <c r="AY1130" s="27"/>
      <c r="BK1130" s="27"/>
      <c r="BL1130" s="27"/>
      <c r="BX1130" s="27"/>
      <c r="BY1130" s="27"/>
      <c r="CH1130" s="29"/>
    </row>
    <row r="1131" spans="1:86" x14ac:dyDescent="0.2">
      <c r="A1131" s="18">
        <v>10033</v>
      </c>
      <c r="B1131" s="19">
        <v>14</v>
      </c>
      <c r="C1131" s="19">
        <f t="shared" si="83"/>
        <v>100330014</v>
      </c>
      <c r="D1131" s="23" t="s">
        <v>645</v>
      </c>
      <c r="E1131" s="20" t="s">
        <v>640</v>
      </c>
      <c r="I1131" s="22" t="s">
        <v>206</v>
      </c>
      <c r="J1131" s="22"/>
      <c r="K1131" s="22"/>
      <c r="L1131" s="22"/>
      <c r="M1131" s="22"/>
      <c r="N1131" s="22" t="s">
        <v>163</v>
      </c>
      <c r="O1131" s="22" t="s">
        <v>163</v>
      </c>
      <c r="P1131" s="22"/>
      <c r="Q1131" s="22" t="s">
        <v>2041</v>
      </c>
      <c r="R1131" s="22"/>
      <c r="S1131" s="22"/>
      <c r="T1131" s="22" t="s">
        <v>2714</v>
      </c>
      <c r="U1131" s="116" t="s">
        <v>2879</v>
      </c>
      <c r="V1131" s="22" t="s">
        <v>109</v>
      </c>
      <c r="W1131" s="22" t="s">
        <v>1</v>
      </c>
      <c r="X1131" s="22"/>
      <c r="Z1131" s="22"/>
      <c r="AA1131" s="22"/>
      <c r="AB1131" s="22"/>
      <c r="AC1131" s="22" t="s">
        <v>648</v>
      </c>
      <c r="AD1131" s="22"/>
      <c r="AE1131" s="24"/>
      <c r="AF1131" s="24" t="s">
        <v>2042</v>
      </c>
      <c r="AG1131" s="22"/>
      <c r="AH1131" s="25">
        <v>101335</v>
      </c>
      <c r="AI1131" s="25" t="s">
        <v>266</v>
      </c>
      <c r="AK1131" s="40" t="s">
        <v>639</v>
      </c>
      <c r="AL1131" s="40"/>
      <c r="AX1131" s="27"/>
      <c r="AY1131" s="27"/>
      <c r="BK1131" s="27"/>
      <c r="BL1131" s="27"/>
      <c r="BX1131" s="27"/>
      <c r="BY1131" s="27"/>
      <c r="CH1131" s="29"/>
    </row>
    <row r="1132" spans="1:86" x14ac:dyDescent="0.2">
      <c r="A1132" s="18">
        <v>10034</v>
      </c>
      <c r="B1132" s="19">
        <v>10</v>
      </c>
      <c r="C1132" s="19">
        <f t="shared" si="83"/>
        <v>100340010</v>
      </c>
      <c r="D1132" s="23" t="s">
        <v>646</v>
      </c>
      <c r="E1132" s="20" t="s">
        <v>640</v>
      </c>
      <c r="I1132" s="22" t="s">
        <v>206</v>
      </c>
      <c r="J1132" s="22"/>
      <c r="K1132" s="22"/>
      <c r="L1132" s="22"/>
      <c r="M1132" s="22"/>
      <c r="N1132" s="22" t="s">
        <v>163</v>
      </c>
      <c r="O1132" s="22" t="s">
        <v>163</v>
      </c>
      <c r="P1132" s="22"/>
      <c r="Q1132" s="22" t="s">
        <v>2041</v>
      </c>
      <c r="R1132" s="22"/>
      <c r="S1132" s="22"/>
      <c r="T1132" s="22" t="s">
        <v>2714</v>
      </c>
      <c r="U1132" s="116" t="s">
        <v>2880</v>
      </c>
      <c r="V1132" s="22" t="s">
        <v>109</v>
      </c>
      <c r="W1132" s="22" t="s">
        <v>1</v>
      </c>
      <c r="X1132" s="22"/>
      <c r="Z1132" s="22"/>
      <c r="AA1132" s="22"/>
      <c r="AB1132" s="22"/>
      <c r="AC1132" s="22" t="s">
        <v>649</v>
      </c>
      <c r="AD1132" s="22"/>
      <c r="AE1132" s="24"/>
      <c r="AF1132" s="24" t="s">
        <v>2042</v>
      </c>
      <c r="AG1132" s="22"/>
      <c r="AH1132" s="25">
        <v>101341</v>
      </c>
      <c r="AI1132" s="25" t="s">
        <v>176</v>
      </c>
      <c r="AK1132" s="40" t="s">
        <v>635</v>
      </c>
      <c r="AL1132" s="40"/>
      <c r="AX1132" s="27"/>
      <c r="AY1132" s="27"/>
      <c r="BK1132" s="27"/>
      <c r="BL1132" s="27"/>
      <c r="BX1132" s="27"/>
      <c r="BY1132" s="27"/>
      <c r="CH1132" s="29"/>
    </row>
    <row r="1133" spans="1:86" x14ac:dyDescent="0.2">
      <c r="A1133" s="18">
        <v>10034</v>
      </c>
      <c r="B1133" s="19">
        <v>11</v>
      </c>
      <c r="C1133" s="19">
        <f t="shared" si="83"/>
        <v>100340011</v>
      </c>
      <c r="D1133" s="23" t="s">
        <v>646</v>
      </c>
      <c r="E1133" s="20" t="s">
        <v>640</v>
      </c>
      <c r="I1133" s="22" t="s">
        <v>206</v>
      </c>
      <c r="J1133" s="22"/>
      <c r="K1133" s="22"/>
      <c r="L1133" s="22"/>
      <c r="M1133" s="22"/>
      <c r="N1133" s="22" t="s">
        <v>163</v>
      </c>
      <c r="O1133" s="22" t="s">
        <v>163</v>
      </c>
      <c r="P1133" s="22"/>
      <c r="Q1133" s="22" t="s">
        <v>2041</v>
      </c>
      <c r="R1133" s="22"/>
      <c r="S1133" s="22"/>
      <c r="T1133" s="22" t="s">
        <v>2714</v>
      </c>
      <c r="U1133" s="116" t="s">
        <v>2881</v>
      </c>
      <c r="V1133" s="22" t="s">
        <v>109</v>
      </c>
      <c r="W1133" s="22" t="s">
        <v>1</v>
      </c>
      <c r="X1133" s="22"/>
      <c r="Z1133" s="22"/>
      <c r="AA1133" s="22"/>
      <c r="AB1133" s="22"/>
      <c r="AC1133" s="22" t="s">
        <v>649</v>
      </c>
      <c r="AD1133" s="22"/>
      <c r="AE1133" s="24"/>
      <c r="AF1133" s="24" t="s">
        <v>2042</v>
      </c>
      <c r="AG1133" s="22"/>
      <c r="AH1133" s="25">
        <v>101342</v>
      </c>
      <c r="AI1133" s="25" t="s">
        <v>260</v>
      </c>
      <c r="AK1133" s="40" t="s">
        <v>636</v>
      </c>
      <c r="AL1133" s="40"/>
      <c r="AX1133" s="27"/>
      <c r="AY1133" s="27"/>
      <c r="BK1133" s="27"/>
      <c r="BL1133" s="27"/>
      <c r="BX1133" s="27"/>
      <c r="BY1133" s="27"/>
      <c r="CH1133" s="29"/>
    </row>
    <row r="1134" spans="1:86" x14ac:dyDescent="0.2">
      <c r="A1134" s="18">
        <v>10034</v>
      </c>
      <c r="B1134" s="19">
        <v>12</v>
      </c>
      <c r="C1134" s="19">
        <f t="shared" si="83"/>
        <v>100340012</v>
      </c>
      <c r="D1134" s="23" t="s">
        <v>646</v>
      </c>
      <c r="E1134" s="20" t="s">
        <v>640</v>
      </c>
      <c r="I1134" s="22" t="s">
        <v>206</v>
      </c>
      <c r="J1134" s="22"/>
      <c r="K1134" s="22"/>
      <c r="L1134" s="22"/>
      <c r="M1134" s="22"/>
      <c r="N1134" s="22" t="s">
        <v>163</v>
      </c>
      <c r="O1134" s="22" t="s">
        <v>163</v>
      </c>
      <c r="P1134" s="22"/>
      <c r="Q1134" s="22" t="s">
        <v>2041</v>
      </c>
      <c r="R1134" s="22"/>
      <c r="S1134" s="22"/>
      <c r="T1134" s="22" t="s">
        <v>2714</v>
      </c>
      <c r="U1134" s="116" t="s">
        <v>2882</v>
      </c>
      <c r="V1134" s="22" t="s">
        <v>109</v>
      </c>
      <c r="W1134" s="22" t="s">
        <v>1</v>
      </c>
      <c r="X1134" s="22"/>
      <c r="Z1134" s="22"/>
      <c r="AA1134" s="22"/>
      <c r="AB1134" s="22"/>
      <c r="AC1134" s="22" t="s">
        <v>649</v>
      </c>
      <c r="AD1134" s="22"/>
      <c r="AE1134" s="24"/>
      <c r="AF1134" s="24" t="s">
        <v>2042</v>
      </c>
      <c r="AG1134" s="22"/>
      <c r="AH1134" s="25">
        <v>101343</v>
      </c>
      <c r="AI1134" s="25" t="s">
        <v>264</v>
      </c>
      <c r="AK1134" s="40" t="s">
        <v>637</v>
      </c>
      <c r="AL1134" s="40"/>
      <c r="AX1134" s="27"/>
      <c r="AY1134" s="27"/>
      <c r="BK1134" s="27"/>
      <c r="BL1134" s="27"/>
      <c r="BX1134" s="27"/>
      <c r="BY1134" s="27"/>
      <c r="CH1134" s="29"/>
    </row>
    <row r="1135" spans="1:86" x14ac:dyDescent="0.2">
      <c r="A1135" s="18">
        <v>10034</v>
      </c>
      <c r="B1135" s="19">
        <v>13</v>
      </c>
      <c r="C1135" s="19">
        <f t="shared" si="83"/>
        <v>100340013</v>
      </c>
      <c r="D1135" s="23" t="s">
        <v>646</v>
      </c>
      <c r="E1135" s="20" t="s">
        <v>640</v>
      </c>
      <c r="I1135" s="22" t="s">
        <v>206</v>
      </c>
      <c r="J1135" s="22"/>
      <c r="K1135" s="22"/>
      <c r="L1135" s="22"/>
      <c r="M1135" s="22"/>
      <c r="N1135" s="22" t="s">
        <v>163</v>
      </c>
      <c r="O1135" s="22" t="s">
        <v>163</v>
      </c>
      <c r="P1135" s="22"/>
      <c r="Q1135" s="22" t="s">
        <v>2041</v>
      </c>
      <c r="R1135" s="22"/>
      <c r="S1135" s="22"/>
      <c r="T1135" s="22" t="s">
        <v>2714</v>
      </c>
      <c r="U1135" s="116" t="s">
        <v>2883</v>
      </c>
      <c r="V1135" s="22" t="s">
        <v>109</v>
      </c>
      <c r="W1135" s="22" t="s">
        <v>1</v>
      </c>
      <c r="X1135" s="22"/>
      <c r="Z1135" s="22"/>
      <c r="AA1135" s="22"/>
      <c r="AB1135" s="22"/>
      <c r="AC1135" s="22" t="s">
        <v>649</v>
      </c>
      <c r="AD1135" s="22"/>
      <c r="AE1135" s="24"/>
      <c r="AF1135" s="24" t="s">
        <v>2042</v>
      </c>
      <c r="AG1135" s="22"/>
      <c r="AH1135" s="25">
        <v>101344</v>
      </c>
      <c r="AI1135" s="25" t="s">
        <v>265</v>
      </c>
      <c r="AK1135" s="40" t="s">
        <v>638</v>
      </c>
      <c r="AL1135" s="40"/>
      <c r="AX1135" s="27"/>
      <c r="AY1135" s="27"/>
      <c r="BK1135" s="27"/>
      <c r="BL1135" s="27"/>
      <c r="BX1135" s="27"/>
      <c r="BY1135" s="27"/>
      <c r="CH1135" s="29"/>
    </row>
    <row r="1136" spans="1:86" x14ac:dyDescent="0.2">
      <c r="A1136" s="18">
        <v>10034</v>
      </c>
      <c r="B1136" s="19">
        <v>14</v>
      </c>
      <c r="C1136" s="19">
        <f t="shared" si="83"/>
        <v>100340014</v>
      </c>
      <c r="D1136" s="23" t="s">
        <v>646</v>
      </c>
      <c r="E1136" s="20" t="s">
        <v>640</v>
      </c>
      <c r="I1136" s="22" t="s">
        <v>206</v>
      </c>
      <c r="J1136" s="22"/>
      <c r="K1136" s="22"/>
      <c r="L1136" s="22"/>
      <c r="M1136" s="22"/>
      <c r="N1136" s="22" t="s">
        <v>163</v>
      </c>
      <c r="O1136" s="22" t="s">
        <v>163</v>
      </c>
      <c r="P1136" s="22"/>
      <c r="Q1136" s="22" t="s">
        <v>2041</v>
      </c>
      <c r="R1136" s="22"/>
      <c r="S1136" s="22"/>
      <c r="T1136" s="22" t="s">
        <v>2714</v>
      </c>
      <c r="U1136" s="116" t="s">
        <v>2884</v>
      </c>
      <c r="V1136" s="22" t="s">
        <v>109</v>
      </c>
      <c r="W1136" s="22" t="s">
        <v>1</v>
      </c>
      <c r="X1136" s="22"/>
      <c r="Z1136" s="22"/>
      <c r="AA1136" s="22"/>
      <c r="AB1136" s="22"/>
      <c r="AC1136" s="22" t="s">
        <v>649</v>
      </c>
      <c r="AD1136" s="22"/>
      <c r="AE1136" s="24"/>
      <c r="AF1136" s="24" t="s">
        <v>2042</v>
      </c>
      <c r="AG1136" s="22"/>
      <c r="AH1136" s="25">
        <v>101345</v>
      </c>
      <c r="AI1136" s="25" t="s">
        <v>266</v>
      </c>
      <c r="AK1136" s="40" t="s">
        <v>639</v>
      </c>
      <c r="AL1136" s="40"/>
      <c r="AX1136" s="27"/>
      <c r="AY1136" s="27"/>
      <c r="BK1136" s="27"/>
      <c r="BL1136" s="27"/>
      <c r="BX1136" s="27"/>
      <c r="BY1136" s="27"/>
      <c r="CH1136" s="29"/>
    </row>
    <row r="1137" spans="1:86" x14ac:dyDescent="0.2">
      <c r="A1137" s="18">
        <v>10035</v>
      </c>
      <c r="B1137" s="19">
        <v>10</v>
      </c>
      <c r="C1137" s="19">
        <f t="shared" si="83"/>
        <v>100350010</v>
      </c>
      <c r="D1137" s="23" t="s">
        <v>668</v>
      </c>
      <c r="E1137" s="20" t="s">
        <v>640</v>
      </c>
      <c r="I1137" s="22" t="s">
        <v>206</v>
      </c>
      <c r="J1137" s="22"/>
      <c r="K1137" s="22"/>
      <c r="L1137" s="22"/>
      <c r="M1137" s="22"/>
      <c r="N1137" s="22" t="s">
        <v>163</v>
      </c>
      <c r="O1137" s="22" t="s">
        <v>163</v>
      </c>
      <c r="P1137" s="22"/>
      <c r="Q1137" s="22" t="s">
        <v>2041</v>
      </c>
      <c r="R1137" s="22"/>
      <c r="S1137" s="22"/>
      <c r="T1137" s="22" t="s">
        <v>2714</v>
      </c>
      <c r="U1137" s="116" t="s">
        <v>2885</v>
      </c>
      <c r="V1137" s="22" t="s">
        <v>109</v>
      </c>
      <c r="W1137" s="22" t="s">
        <v>1</v>
      </c>
      <c r="X1137" s="22"/>
      <c r="Z1137" s="22"/>
      <c r="AA1137" s="22"/>
      <c r="AB1137" s="22"/>
      <c r="AC1137" s="22">
        <v>35</v>
      </c>
      <c r="AD1137" s="22"/>
      <c r="AE1137" s="24"/>
      <c r="AF1137" s="24" t="s">
        <v>2042</v>
      </c>
      <c r="AG1137" s="22"/>
      <c r="AH1137" s="25">
        <v>101351</v>
      </c>
      <c r="AI1137" s="25" t="s">
        <v>176</v>
      </c>
      <c r="AK1137" s="40" t="s">
        <v>635</v>
      </c>
      <c r="AL1137" s="40"/>
      <c r="AX1137" s="27"/>
      <c r="AY1137" s="27"/>
      <c r="BK1137" s="27"/>
      <c r="BL1137" s="27"/>
      <c r="BX1137" s="27"/>
      <c r="BY1137" s="27"/>
      <c r="CH1137" s="29"/>
    </row>
    <row r="1138" spans="1:86" x14ac:dyDescent="0.2">
      <c r="A1138" s="18">
        <v>10035</v>
      </c>
      <c r="B1138" s="19">
        <v>11</v>
      </c>
      <c r="C1138" s="19">
        <f t="shared" si="83"/>
        <v>100350011</v>
      </c>
      <c r="D1138" s="23" t="s">
        <v>668</v>
      </c>
      <c r="E1138" s="20" t="s">
        <v>640</v>
      </c>
      <c r="I1138" s="22" t="s">
        <v>206</v>
      </c>
      <c r="J1138" s="22"/>
      <c r="K1138" s="22"/>
      <c r="L1138" s="22"/>
      <c r="M1138" s="22"/>
      <c r="N1138" s="22" t="s">
        <v>163</v>
      </c>
      <c r="O1138" s="22" t="s">
        <v>163</v>
      </c>
      <c r="P1138" s="22"/>
      <c r="Q1138" s="22" t="s">
        <v>2041</v>
      </c>
      <c r="R1138" s="22"/>
      <c r="S1138" s="22"/>
      <c r="T1138" s="22" t="s">
        <v>2714</v>
      </c>
      <c r="U1138" s="116" t="s">
        <v>2886</v>
      </c>
      <c r="V1138" s="22" t="s">
        <v>109</v>
      </c>
      <c r="W1138" s="22" t="s">
        <v>1</v>
      </c>
      <c r="X1138" s="22"/>
      <c r="Z1138" s="22"/>
      <c r="AA1138" s="22"/>
      <c r="AB1138" s="22"/>
      <c r="AC1138" s="22">
        <v>35</v>
      </c>
      <c r="AD1138" s="22"/>
      <c r="AE1138" s="24"/>
      <c r="AF1138" s="24" t="s">
        <v>2042</v>
      </c>
      <c r="AG1138" s="22"/>
      <c r="AH1138" s="25">
        <v>101352</v>
      </c>
      <c r="AI1138" s="25" t="s">
        <v>260</v>
      </c>
      <c r="AK1138" s="40" t="s">
        <v>636</v>
      </c>
      <c r="AL1138" s="40"/>
      <c r="AX1138" s="27"/>
      <c r="AY1138" s="27"/>
      <c r="BK1138" s="27"/>
      <c r="BL1138" s="27"/>
      <c r="BX1138" s="27"/>
      <c r="BY1138" s="27"/>
      <c r="CH1138" s="29"/>
    </row>
    <row r="1139" spans="1:86" x14ac:dyDescent="0.2">
      <c r="A1139" s="18">
        <v>10035</v>
      </c>
      <c r="B1139" s="19">
        <v>12</v>
      </c>
      <c r="C1139" s="19">
        <f t="shared" si="83"/>
        <v>100350012</v>
      </c>
      <c r="D1139" s="23" t="s">
        <v>668</v>
      </c>
      <c r="E1139" s="20" t="s">
        <v>640</v>
      </c>
      <c r="I1139" s="22" t="s">
        <v>206</v>
      </c>
      <c r="J1139" s="22"/>
      <c r="K1139" s="22"/>
      <c r="L1139" s="22"/>
      <c r="M1139" s="22"/>
      <c r="N1139" s="22" t="s">
        <v>163</v>
      </c>
      <c r="O1139" s="22" t="s">
        <v>163</v>
      </c>
      <c r="P1139" s="22"/>
      <c r="Q1139" s="22" t="s">
        <v>2041</v>
      </c>
      <c r="R1139" s="22"/>
      <c r="S1139" s="22"/>
      <c r="T1139" s="22" t="s">
        <v>2714</v>
      </c>
      <c r="U1139" s="116" t="s">
        <v>2887</v>
      </c>
      <c r="V1139" s="22" t="s">
        <v>109</v>
      </c>
      <c r="W1139" s="22" t="s">
        <v>1</v>
      </c>
      <c r="X1139" s="22"/>
      <c r="Z1139" s="22"/>
      <c r="AA1139" s="22"/>
      <c r="AB1139" s="22"/>
      <c r="AC1139" s="22">
        <v>35</v>
      </c>
      <c r="AD1139" s="22"/>
      <c r="AE1139" s="24"/>
      <c r="AF1139" s="24" t="s">
        <v>2042</v>
      </c>
      <c r="AG1139" s="22"/>
      <c r="AH1139" s="25">
        <v>101353</v>
      </c>
      <c r="AI1139" s="25" t="s">
        <v>264</v>
      </c>
      <c r="AK1139" s="40" t="s">
        <v>637</v>
      </c>
      <c r="AL1139" s="40"/>
      <c r="AX1139" s="27"/>
      <c r="AY1139" s="27"/>
      <c r="BK1139" s="27"/>
      <c r="BL1139" s="27"/>
      <c r="BX1139" s="27"/>
      <c r="BY1139" s="27"/>
      <c r="CH1139" s="29"/>
    </row>
    <row r="1140" spans="1:86" x14ac:dyDescent="0.2">
      <c r="A1140" s="18">
        <v>10035</v>
      </c>
      <c r="B1140" s="19">
        <v>13</v>
      </c>
      <c r="C1140" s="19">
        <f t="shared" si="83"/>
        <v>100350013</v>
      </c>
      <c r="D1140" s="23" t="s">
        <v>668</v>
      </c>
      <c r="E1140" s="20" t="s">
        <v>640</v>
      </c>
      <c r="I1140" s="22" t="s">
        <v>206</v>
      </c>
      <c r="J1140" s="22"/>
      <c r="K1140" s="22"/>
      <c r="L1140" s="22"/>
      <c r="M1140" s="22"/>
      <c r="N1140" s="22" t="s">
        <v>163</v>
      </c>
      <c r="O1140" s="22" t="s">
        <v>163</v>
      </c>
      <c r="P1140" s="22"/>
      <c r="Q1140" s="22" t="s">
        <v>2041</v>
      </c>
      <c r="R1140" s="22"/>
      <c r="S1140" s="22"/>
      <c r="T1140" s="22" t="s">
        <v>2714</v>
      </c>
      <c r="U1140" s="116" t="s">
        <v>2888</v>
      </c>
      <c r="V1140" s="22" t="s">
        <v>109</v>
      </c>
      <c r="W1140" s="22" t="s">
        <v>1</v>
      </c>
      <c r="X1140" s="22"/>
      <c r="Z1140" s="22"/>
      <c r="AA1140" s="22"/>
      <c r="AB1140" s="22"/>
      <c r="AC1140" s="22">
        <v>35</v>
      </c>
      <c r="AD1140" s="22"/>
      <c r="AE1140" s="24"/>
      <c r="AF1140" s="24" t="s">
        <v>2042</v>
      </c>
      <c r="AG1140" s="22"/>
      <c r="AH1140" s="25">
        <v>101354</v>
      </c>
      <c r="AI1140" s="25" t="s">
        <v>265</v>
      </c>
      <c r="AK1140" s="40" t="s">
        <v>638</v>
      </c>
      <c r="AL1140" s="40"/>
      <c r="AX1140" s="27"/>
      <c r="AY1140" s="27"/>
      <c r="BK1140" s="27"/>
      <c r="BL1140" s="27"/>
      <c r="BX1140" s="27"/>
      <c r="BY1140" s="27"/>
      <c r="CH1140" s="29"/>
    </row>
    <row r="1141" spans="1:86" x14ac:dyDescent="0.2">
      <c r="A1141" s="18">
        <v>10035</v>
      </c>
      <c r="B1141" s="19">
        <v>14</v>
      </c>
      <c r="C1141" s="19">
        <f t="shared" si="83"/>
        <v>100350014</v>
      </c>
      <c r="D1141" s="23" t="s">
        <v>668</v>
      </c>
      <c r="E1141" s="20" t="s">
        <v>640</v>
      </c>
      <c r="I1141" s="22" t="s">
        <v>206</v>
      </c>
      <c r="J1141" s="22"/>
      <c r="K1141" s="22"/>
      <c r="L1141" s="22"/>
      <c r="M1141" s="22"/>
      <c r="N1141" s="22" t="s">
        <v>163</v>
      </c>
      <c r="O1141" s="22" t="s">
        <v>163</v>
      </c>
      <c r="P1141" s="22"/>
      <c r="Q1141" s="22" t="s">
        <v>2041</v>
      </c>
      <c r="R1141" s="22"/>
      <c r="S1141" s="22"/>
      <c r="T1141" s="22" t="s">
        <v>2714</v>
      </c>
      <c r="U1141" s="116" t="s">
        <v>2889</v>
      </c>
      <c r="V1141" s="22" t="s">
        <v>109</v>
      </c>
      <c r="W1141" s="22" t="s">
        <v>1</v>
      </c>
      <c r="X1141" s="22"/>
      <c r="Z1141" s="22"/>
      <c r="AA1141" s="22"/>
      <c r="AB1141" s="22"/>
      <c r="AC1141" s="22">
        <v>35</v>
      </c>
      <c r="AD1141" s="22"/>
      <c r="AE1141" s="24"/>
      <c r="AF1141" s="24" t="s">
        <v>2042</v>
      </c>
      <c r="AG1141" s="22"/>
      <c r="AH1141" s="25">
        <v>101355</v>
      </c>
      <c r="AI1141" s="25" t="s">
        <v>266</v>
      </c>
      <c r="AK1141" s="40" t="s">
        <v>639</v>
      </c>
      <c r="AL1141" s="40"/>
      <c r="AX1141" s="27"/>
      <c r="AY1141" s="27"/>
      <c r="BK1141" s="27"/>
      <c r="BL1141" s="27"/>
      <c r="BX1141" s="27"/>
      <c r="BY1141" s="27"/>
      <c r="CH1141" s="29"/>
    </row>
    <row r="1142" spans="1:86" x14ac:dyDescent="0.2">
      <c r="A1142" s="18">
        <v>10036</v>
      </c>
      <c r="B1142" s="19">
        <v>10</v>
      </c>
      <c r="C1142" s="19">
        <f t="shared" si="83"/>
        <v>100360010</v>
      </c>
      <c r="D1142" s="23" t="s">
        <v>708</v>
      </c>
      <c r="E1142" s="20" t="s">
        <v>640</v>
      </c>
      <c r="I1142" s="22" t="s">
        <v>206</v>
      </c>
      <c r="J1142" s="22"/>
      <c r="K1142" s="22"/>
      <c r="L1142" s="22"/>
      <c r="M1142" s="22"/>
      <c r="N1142" s="22" t="s">
        <v>163</v>
      </c>
      <c r="O1142" s="22" t="s">
        <v>163</v>
      </c>
      <c r="P1142" s="22"/>
      <c r="Q1142" s="22" t="s">
        <v>2041</v>
      </c>
      <c r="R1142" s="22"/>
      <c r="S1142" s="22"/>
      <c r="T1142" s="22" t="s">
        <v>2714</v>
      </c>
      <c r="U1142" s="116" t="s">
        <v>2890</v>
      </c>
      <c r="V1142" s="22" t="s">
        <v>109</v>
      </c>
      <c r="W1142" s="22" t="s">
        <v>1</v>
      </c>
      <c r="X1142" s="22"/>
      <c r="Z1142" s="22"/>
      <c r="AA1142" s="22"/>
      <c r="AB1142" s="22"/>
      <c r="AC1142" s="22">
        <v>36</v>
      </c>
      <c r="AD1142" s="22"/>
      <c r="AE1142" s="24"/>
      <c r="AF1142" s="24" t="s">
        <v>2042</v>
      </c>
      <c r="AG1142" s="22"/>
      <c r="AH1142" s="25">
        <v>101361</v>
      </c>
      <c r="AI1142" s="25" t="s">
        <v>176</v>
      </c>
      <c r="AK1142" s="40" t="s">
        <v>635</v>
      </c>
      <c r="AL1142" s="40"/>
      <c r="AX1142" s="27"/>
      <c r="AY1142" s="27"/>
      <c r="BK1142" s="27"/>
      <c r="BL1142" s="27"/>
      <c r="BX1142" s="27"/>
      <c r="BY1142" s="27"/>
      <c r="CH1142" s="29"/>
    </row>
    <row r="1143" spans="1:86" x14ac:dyDescent="0.2">
      <c r="A1143" s="18">
        <v>10036</v>
      </c>
      <c r="B1143" s="19">
        <v>11</v>
      </c>
      <c r="C1143" s="19">
        <f t="shared" si="83"/>
        <v>100360011</v>
      </c>
      <c r="D1143" s="23" t="s">
        <v>708</v>
      </c>
      <c r="E1143" s="20" t="s">
        <v>640</v>
      </c>
      <c r="I1143" s="22" t="s">
        <v>206</v>
      </c>
      <c r="J1143" s="22"/>
      <c r="K1143" s="22"/>
      <c r="L1143" s="22"/>
      <c r="M1143" s="22"/>
      <c r="N1143" s="22" t="s">
        <v>163</v>
      </c>
      <c r="O1143" s="22" t="s">
        <v>163</v>
      </c>
      <c r="P1143" s="22"/>
      <c r="Q1143" s="22" t="s">
        <v>2041</v>
      </c>
      <c r="R1143" s="22"/>
      <c r="S1143" s="22"/>
      <c r="T1143" s="22" t="s">
        <v>2714</v>
      </c>
      <c r="U1143" s="116" t="s">
        <v>2891</v>
      </c>
      <c r="V1143" s="22" t="s">
        <v>109</v>
      </c>
      <c r="W1143" s="22" t="s">
        <v>1</v>
      </c>
      <c r="X1143" s="22"/>
      <c r="Z1143" s="22"/>
      <c r="AA1143" s="22"/>
      <c r="AB1143" s="22"/>
      <c r="AC1143" s="22">
        <v>36</v>
      </c>
      <c r="AD1143" s="22"/>
      <c r="AE1143" s="24"/>
      <c r="AF1143" s="24" t="s">
        <v>2042</v>
      </c>
      <c r="AG1143" s="22"/>
      <c r="AH1143" s="25">
        <v>101362</v>
      </c>
      <c r="AI1143" s="25" t="s">
        <v>260</v>
      </c>
      <c r="AK1143" s="40" t="s">
        <v>636</v>
      </c>
      <c r="AL1143" s="40"/>
      <c r="AX1143" s="27"/>
      <c r="AY1143" s="27"/>
      <c r="BK1143" s="27"/>
      <c r="BL1143" s="27"/>
      <c r="BX1143" s="27"/>
      <c r="BY1143" s="27"/>
      <c r="CH1143" s="29"/>
    </row>
    <row r="1144" spans="1:86" x14ac:dyDescent="0.2">
      <c r="A1144" s="18">
        <v>10036</v>
      </c>
      <c r="B1144" s="19">
        <v>12</v>
      </c>
      <c r="C1144" s="19">
        <f t="shared" si="83"/>
        <v>100360012</v>
      </c>
      <c r="D1144" s="23" t="s">
        <v>708</v>
      </c>
      <c r="E1144" s="20" t="s">
        <v>640</v>
      </c>
      <c r="I1144" s="22" t="s">
        <v>206</v>
      </c>
      <c r="J1144" s="22"/>
      <c r="K1144" s="22"/>
      <c r="L1144" s="22"/>
      <c r="M1144" s="22"/>
      <c r="N1144" s="22" t="s">
        <v>163</v>
      </c>
      <c r="O1144" s="22" t="s">
        <v>163</v>
      </c>
      <c r="P1144" s="22"/>
      <c r="Q1144" s="22" t="s">
        <v>2041</v>
      </c>
      <c r="R1144" s="22"/>
      <c r="S1144" s="22"/>
      <c r="T1144" s="22" t="s">
        <v>2714</v>
      </c>
      <c r="U1144" s="116" t="s">
        <v>2892</v>
      </c>
      <c r="V1144" s="22" t="s">
        <v>109</v>
      </c>
      <c r="W1144" s="22" t="s">
        <v>1</v>
      </c>
      <c r="X1144" s="22"/>
      <c r="Z1144" s="22"/>
      <c r="AA1144" s="22"/>
      <c r="AB1144" s="22"/>
      <c r="AC1144" s="22">
        <v>36</v>
      </c>
      <c r="AD1144" s="22"/>
      <c r="AE1144" s="24"/>
      <c r="AF1144" s="24" t="s">
        <v>2042</v>
      </c>
      <c r="AG1144" s="22"/>
      <c r="AH1144" s="25">
        <v>101363</v>
      </c>
      <c r="AI1144" s="25" t="s">
        <v>264</v>
      </c>
      <c r="AK1144" s="40" t="s">
        <v>637</v>
      </c>
      <c r="AL1144" s="40"/>
      <c r="AX1144" s="27"/>
      <c r="AY1144" s="27"/>
      <c r="BK1144" s="27"/>
      <c r="BL1144" s="27"/>
      <c r="BX1144" s="27"/>
      <c r="BY1144" s="27"/>
      <c r="CH1144" s="29"/>
    </row>
    <row r="1145" spans="1:86" x14ac:dyDescent="0.2">
      <c r="A1145" s="18">
        <v>10036</v>
      </c>
      <c r="B1145" s="19">
        <v>13</v>
      </c>
      <c r="C1145" s="19">
        <f t="shared" si="83"/>
        <v>100360013</v>
      </c>
      <c r="D1145" s="23" t="s">
        <v>708</v>
      </c>
      <c r="E1145" s="20" t="s">
        <v>640</v>
      </c>
      <c r="I1145" s="22" t="s">
        <v>206</v>
      </c>
      <c r="J1145" s="22"/>
      <c r="K1145" s="22"/>
      <c r="L1145" s="22"/>
      <c r="M1145" s="22"/>
      <c r="N1145" s="22" t="s">
        <v>163</v>
      </c>
      <c r="O1145" s="22" t="s">
        <v>163</v>
      </c>
      <c r="P1145" s="22"/>
      <c r="Q1145" s="22" t="s">
        <v>2041</v>
      </c>
      <c r="R1145" s="22"/>
      <c r="S1145" s="22"/>
      <c r="T1145" s="22" t="s">
        <v>2714</v>
      </c>
      <c r="U1145" s="116" t="s">
        <v>2893</v>
      </c>
      <c r="V1145" s="22" t="s">
        <v>109</v>
      </c>
      <c r="W1145" s="22" t="s">
        <v>1</v>
      </c>
      <c r="X1145" s="22"/>
      <c r="Z1145" s="22"/>
      <c r="AA1145" s="22"/>
      <c r="AB1145" s="22"/>
      <c r="AC1145" s="22">
        <v>36</v>
      </c>
      <c r="AD1145" s="22"/>
      <c r="AE1145" s="24"/>
      <c r="AF1145" s="24" t="s">
        <v>2042</v>
      </c>
      <c r="AG1145" s="22"/>
      <c r="AH1145" s="25">
        <v>101364</v>
      </c>
      <c r="AI1145" s="25" t="s">
        <v>265</v>
      </c>
      <c r="AK1145" s="40" t="s">
        <v>638</v>
      </c>
      <c r="AL1145" s="40"/>
      <c r="AX1145" s="27"/>
      <c r="AY1145" s="27"/>
      <c r="BK1145" s="27"/>
      <c r="BL1145" s="27"/>
      <c r="BX1145" s="27"/>
      <c r="BY1145" s="27"/>
      <c r="CH1145" s="29"/>
    </row>
    <row r="1146" spans="1:86" x14ac:dyDescent="0.2">
      <c r="A1146" s="18">
        <v>10036</v>
      </c>
      <c r="B1146" s="19">
        <v>14</v>
      </c>
      <c r="C1146" s="19">
        <f t="shared" si="83"/>
        <v>100360014</v>
      </c>
      <c r="D1146" s="23" t="s">
        <v>708</v>
      </c>
      <c r="E1146" s="20" t="s">
        <v>640</v>
      </c>
      <c r="I1146" s="22" t="s">
        <v>206</v>
      </c>
      <c r="J1146" s="22"/>
      <c r="K1146" s="22"/>
      <c r="L1146" s="22"/>
      <c r="M1146" s="22"/>
      <c r="N1146" s="22" t="s">
        <v>163</v>
      </c>
      <c r="O1146" s="22" t="s">
        <v>163</v>
      </c>
      <c r="P1146" s="22"/>
      <c r="Q1146" s="22" t="s">
        <v>2041</v>
      </c>
      <c r="R1146" s="22"/>
      <c r="S1146" s="22"/>
      <c r="T1146" s="22" t="s">
        <v>2714</v>
      </c>
      <c r="U1146" s="116" t="s">
        <v>2894</v>
      </c>
      <c r="V1146" s="22" t="s">
        <v>109</v>
      </c>
      <c r="W1146" s="22" t="s">
        <v>1</v>
      </c>
      <c r="X1146" s="22"/>
      <c r="Z1146" s="22"/>
      <c r="AA1146" s="22"/>
      <c r="AB1146" s="22"/>
      <c r="AC1146" s="22">
        <v>36</v>
      </c>
      <c r="AD1146" s="22"/>
      <c r="AE1146" s="24"/>
      <c r="AF1146" s="24" t="s">
        <v>2042</v>
      </c>
      <c r="AG1146" s="22"/>
      <c r="AH1146" s="25">
        <v>101365</v>
      </c>
      <c r="AI1146" s="25" t="s">
        <v>266</v>
      </c>
      <c r="AK1146" s="40" t="s">
        <v>639</v>
      </c>
      <c r="AL1146" s="40"/>
      <c r="AX1146" s="27"/>
      <c r="AY1146" s="27"/>
      <c r="BK1146" s="27"/>
      <c r="BL1146" s="27"/>
      <c r="BX1146" s="27"/>
      <c r="BY1146" s="27"/>
      <c r="CH1146" s="29"/>
    </row>
    <row r="1147" spans="1:86" x14ac:dyDescent="0.2">
      <c r="A1147" s="18">
        <v>10037</v>
      </c>
      <c r="B1147" s="19">
        <v>10</v>
      </c>
      <c r="C1147" s="19">
        <f t="shared" si="83"/>
        <v>100370010</v>
      </c>
      <c r="D1147" s="23" t="s">
        <v>647</v>
      </c>
      <c r="E1147" s="20" t="s">
        <v>640</v>
      </c>
      <c r="I1147" s="22" t="s">
        <v>206</v>
      </c>
      <c r="J1147" s="22"/>
      <c r="K1147" s="22"/>
      <c r="L1147" s="22"/>
      <c r="M1147" s="22"/>
      <c r="N1147" s="22" t="s">
        <v>163</v>
      </c>
      <c r="O1147" s="22" t="s">
        <v>163</v>
      </c>
      <c r="P1147" s="22"/>
      <c r="Q1147" s="22" t="s">
        <v>2041</v>
      </c>
      <c r="R1147" s="22"/>
      <c r="S1147" s="22"/>
      <c r="T1147" s="22" t="s">
        <v>2714</v>
      </c>
      <c r="U1147" s="116" t="s">
        <v>2895</v>
      </c>
      <c r="V1147" s="22" t="s">
        <v>109</v>
      </c>
      <c r="W1147" s="22" t="s">
        <v>1</v>
      </c>
      <c r="X1147" s="22"/>
      <c r="Z1147" s="22"/>
      <c r="AA1147" s="22"/>
      <c r="AB1147" s="22"/>
      <c r="AC1147" s="22" t="s">
        <v>650</v>
      </c>
      <c r="AD1147" s="22"/>
      <c r="AE1147" s="24"/>
      <c r="AF1147" s="24" t="s">
        <v>2042</v>
      </c>
      <c r="AG1147" s="22"/>
      <c r="AH1147" s="25">
        <v>101371</v>
      </c>
      <c r="AI1147" s="25" t="s">
        <v>176</v>
      </c>
      <c r="AK1147" s="40" t="s">
        <v>635</v>
      </c>
      <c r="AL1147" s="40"/>
      <c r="AX1147" s="27"/>
      <c r="AY1147" s="27"/>
      <c r="BK1147" s="27"/>
      <c r="BL1147" s="27"/>
      <c r="BX1147" s="27"/>
      <c r="BY1147" s="27"/>
      <c r="CH1147" s="29"/>
    </row>
    <row r="1148" spans="1:86" x14ac:dyDescent="0.2">
      <c r="A1148" s="18">
        <v>10037</v>
      </c>
      <c r="B1148" s="19">
        <v>11</v>
      </c>
      <c r="C1148" s="19">
        <f t="shared" si="83"/>
        <v>100370011</v>
      </c>
      <c r="D1148" s="23" t="s">
        <v>647</v>
      </c>
      <c r="E1148" s="20" t="s">
        <v>640</v>
      </c>
      <c r="I1148" s="22" t="s">
        <v>206</v>
      </c>
      <c r="J1148" s="22"/>
      <c r="K1148" s="22"/>
      <c r="L1148" s="22"/>
      <c r="M1148" s="22"/>
      <c r="N1148" s="22" t="s">
        <v>163</v>
      </c>
      <c r="O1148" s="22" t="s">
        <v>163</v>
      </c>
      <c r="P1148" s="22"/>
      <c r="Q1148" s="22" t="s">
        <v>2041</v>
      </c>
      <c r="R1148" s="22"/>
      <c r="S1148" s="22"/>
      <c r="T1148" s="22" t="s">
        <v>2714</v>
      </c>
      <c r="U1148" s="116" t="s">
        <v>2896</v>
      </c>
      <c r="V1148" s="22" t="s">
        <v>109</v>
      </c>
      <c r="W1148" s="22" t="s">
        <v>1</v>
      </c>
      <c r="X1148" s="22"/>
      <c r="Z1148" s="22"/>
      <c r="AA1148" s="22"/>
      <c r="AB1148" s="22"/>
      <c r="AC1148" s="22" t="s">
        <v>650</v>
      </c>
      <c r="AD1148" s="22"/>
      <c r="AE1148" s="24"/>
      <c r="AF1148" s="24" t="s">
        <v>2042</v>
      </c>
      <c r="AG1148" s="22"/>
      <c r="AH1148" s="25">
        <v>101372</v>
      </c>
      <c r="AI1148" s="25" t="s">
        <v>260</v>
      </c>
      <c r="AK1148" s="40" t="s">
        <v>636</v>
      </c>
      <c r="AL1148" s="40"/>
      <c r="AX1148" s="27"/>
      <c r="AY1148" s="27"/>
      <c r="BK1148" s="27"/>
      <c r="BL1148" s="27"/>
      <c r="BX1148" s="27"/>
      <c r="BY1148" s="27"/>
      <c r="CH1148" s="29"/>
    </row>
    <row r="1149" spans="1:86" x14ac:dyDescent="0.2">
      <c r="A1149" s="18">
        <v>10037</v>
      </c>
      <c r="B1149" s="19">
        <v>12</v>
      </c>
      <c r="C1149" s="19">
        <f t="shared" si="83"/>
        <v>100370012</v>
      </c>
      <c r="D1149" s="23" t="s">
        <v>647</v>
      </c>
      <c r="E1149" s="20" t="s">
        <v>640</v>
      </c>
      <c r="I1149" s="22" t="s">
        <v>206</v>
      </c>
      <c r="J1149" s="22"/>
      <c r="K1149" s="22"/>
      <c r="L1149" s="22"/>
      <c r="M1149" s="22"/>
      <c r="N1149" s="22" t="s">
        <v>163</v>
      </c>
      <c r="O1149" s="22" t="s">
        <v>163</v>
      </c>
      <c r="P1149" s="22"/>
      <c r="Q1149" s="22" t="s">
        <v>2041</v>
      </c>
      <c r="R1149" s="22"/>
      <c r="S1149" s="22"/>
      <c r="T1149" s="22" t="s">
        <v>2714</v>
      </c>
      <c r="U1149" s="116" t="s">
        <v>2897</v>
      </c>
      <c r="V1149" s="22" t="s">
        <v>109</v>
      </c>
      <c r="W1149" s="22" t="s">
        <v>1</v>
      </c>
      <c r="X1149" s="22"/>
      <c r="Z1149" s="22"/>
      <c r="AA1149" s="22"/>
      <c r="AB1149" s="22"/>
      <c r="AC1149" s="22" t="s">
        <v>650</v>
      </c>
      <c r="AD1149" s="22"/>
      <c r="AE1149" s="24"/>
      <c r="AF1149" s="24" t="s">
        <v>2042</v>
      </c>
      <c r="AG1149" s="22"/>
      <c r="AH1149" s="25">
        <v>101373</v>
      </c>
      <c r="AI1149" s="25" t="s">
        <v>264</v>
      </c>
      <c r="AK1149" s="40" t="s">
        <v>637</v>
      </c>
      <c r="AL1149" s="40"/>
      <c r="AX1149" s="27"/>
      <c r="AY1149" s="27"/>
      <c r="BK1149" s="27"/>
      <c r="BL1149" s="27"/>
      <c r="BX1149" s="27"/>
      <c r="BY1149" s="27"/>
      <c r="CH1149" s="29"/>
    </row>
    <row r="1150" spans="1:86" ht="12.75" customHeight="1" x14ac:dyDescent="0.2">
      <c r="A1150" s="18">
        <v>10037</v>
      </c>
      <c r="B1150" s="19">
        <v>13</v>
      </c>
      <c r="C1150" s="19">
        <f t="shared" si="83"/>
        <v>100370013</v>
      </c>
      <c r="D1150" s="23" t="s">
        <v>647</v>
      </c>
      <c r="E1150" s="20" t="s">
        <v>640</v>
      </c>
      <c r="I1150" s="22" t="s">
        <v>206</v>
      </c>
      <c r="J1150" s="22"/>
      <c r="K1150" s="22"/>
      <c r="L1150" s="22"/>
      <c r="M1150" s="22"/>
      <c r="N1150" s="22" t="s">
        <v>163</v>
      </c>
      <c r="O1150" s="22" t="s">
        <v>163</v>
      </c>
      <c r="P1150" s="22"/>
      <c r="Q1150" s="22" t="s">
        <v>2041</v>
      </c>
      <c r="R1150" s="22"/>
      <c r="S1150" s="22"/>
      <c r="T1150" s="22" t="s">
        <v>2714</v>
      </c>
      <c r="U1150" s="116" t="s">
        <v>2898</v>
      </c>
      <c r="V1150" s="22" t="s">
        <v>109</v>
      </c>
      <c r="W1150" s="22" t="s">
        <v>1</v>
      </c>
      <c r="X1150" s="22"/>
      <c r="Z1150" s="22"/>
      <c r="AA1150" s="22"/>
      <c r="AB1150" s="22"/>
      <c r="AC1150" s="22" t="s">
        <v>650</v>
      </c>
      <c r="AD1150" s="22"/>
      <c r="AE1150" s="24"/>
      <c r="AF1150" s="24" t="s">
        <v>2042</v>
      </c>
      <c r="AG1150" s="22"/>
      <c r="AH1150" s="25">
        <v>101374</v>
      </c>
      <c r="AI1150" s="25" t="s">
        <v>265</v>
      </c>
      <c r="AK1150" s="40" t="s">
        <v>638</v>
      </c>
      <c r="AL1150" s="40"/>
      <c r="AX1150" s="27"/>
      <c r="AY1150" s="27"/>
      <c r="BK1150" s="27"/>
      <c r="BL1150" s="27"/>
      <c r="BX1150" s="27"/>
      <c r="BY1150" s="27"/>
      <c r="CH1150" s="29"/>
    </row>
    <row r="1151" spans="1:86" x14ac:dyDescent="0.2">
      <c r="A1151" s="18">
        <v>10037</v>
      </c>
      <c r="B1151" s="19">
        <v>14</v>
      </c>
      <c r="C1151" s="19">
        <f t="shared" si="83"/>
        <v>100370014</v>
      </c>
      <c r="D1151" s="23" t="s">
        <v>647</v>
      </c>
      <c r="E1151" s="20" t="s">
        <v>640</v>
      </c>
      <c r="I1151" s="22" t="s">
        <v>206</v>
      </c>
      <c r="J1151" s="22"/>
      <c r="K1151" s="22"/>
      <c r="L1151" s="22"/>
      <c r="M1151" s="22"/>
      <c r="N1151" s="22" t="s">
        <v>163</v>
      </c>
      <c r="O1151" s="22" t="s">
        <v>163</v>
      </c>
      <c r="P1151" s="22"/>
      <c r="Q1151" s="22" t="s">
        <v>2041</v>
      </c>
      <c r="R1151" s="22"/>
      <c r="S1151" s="22"/>
      <c r="T1151" s="22" t="s">
        <v>2714</v>
      </c>
      <c r="U1151" s="116" t="s">
        <v>2899</v>
      </c>
      <c r="V1151" s="22" t="s">
        <v>109</v>
      </c>
      <c r="W1151" s="22" t="s">
        <v>1</v>
      </c>
      <c r="X1151" s="22"/>
      <c r="Z1151" s="22"/>
      <c r="AA1151" s="22"/>
      <c r="AB1151" s="22"/>
      <c r="AC1151" s="22" t="s">
        <v>650</v>
      </c>
      <c r="AD1151" s="22"/>
      <c r="AE1151" s="24"/>
      <c r="AF1151" s="24" t="s">
        <v>2042</v>
      </c>
      <c r="AG1151" s="22"/>
      <c r="AH1151" s="25">
        <v>101375</v>
      </c>
      <c r="AI1151" s="25" t="s">
        <v>266</v>
      </c>
      <c r="AK1151" s="40" t="s">
        <v>639</v>
      </c>
      <c r="AL1151" s="40"/>
      <c r="AX1151" s="27"/>
      <c r="AY1151" s="27"/>
      <c r="BK1151" s="27"/>
      <c r="BL1151" s="27"/>
      <c r="BX1151" s="27"/>
      <c r="BY1151" s="27"/>
      <c r="CH1151" s="29"/>
    </row>
    <row r="1152" spans="1:86" x14ac:dyDescent="0.2">
      <c r="A1152" s="18">
        <v>10038</v>
      </c>
      <c r="B1152" s="19">
        <v>10</v>
      </c>
      <c r="C1152" s="19">
        <f t="shared" si="83"/>
        <v>100380010</v>
      </c>
      <c r="D1152" s="23" t="s">
        <v>984</v>
      </c>
      <c r="E1152" s="20" t="s">
        <v>1172</v>
      </c>
      <c r="I1152" s="22" t="s">
        <v>206</v>
      </c>
      <c r="J1152" s="22"/>
      <c r="K1152" s="22"/>
      <c r="L1152" s="22"/>
      <c r="M1152" s="22"/>
      <c r="N1152" s="22" t="s">
        <v>1173</v>
      </c>
      <c r="O1152" s="22" t="s">
        <v>1173</v>
      </c>
      <c r="P1152" s="22"/>
      <c r="Q1152" s="22" t="s">
        <v>2041</v>
      </c>
      <c r="R1152" s="22"/>
      <c r="S1152" s="22"/>
      <c r="T1152" s="22" t="s">
        <v>2714</v>
      </c>
      <c r="U1152" s="116" t="s">
        <v>2900</v>
      </c>
      <c r="V1152" s="22" t="s">
        <v>109</v>
      </c>
      <c r="W1152" s="22" t="s">
        <v>1</v>
      </c>
      <c r="X1152" s="22"/>
      <c r="Z1152" s="22"/>
      <c r="AA1152" s="22"/>
      <c r="AB1152" s="22"/>
      <c r="AC1152" s="22">
        <v>38</v>
      </c>
      <c r="AD1152" s="22"/>
      <c r="AE1152" s="24"/>
      <c r="AF1152" s="24" t="s">
        <v>2042</v>
      </c>
      <c r="AG1152" s="22"/>
      <c r="AH1152" s="25">
        <v>101381</v>
      </c>
      <c r="AI1152" s="25" t="s">
        <v>1174</v>
      </c>
      <c r="AK1152" s="40" t="s">
        <v>1175</v>
      </c>
      <c r="AL1152" s="40"/>
      <c r="AX1152" s="27"/>
      <c r="AY1152" s="27"/>
      <c r="BK1152" s="27"/>
      <c r="BL1152" s="27"/>
      <c r="BX1152" s="27"/>
      <c r="BY1152" s="27"/>
      <c r="CH1152" s="29"/>
    </row>
    <row r="1153" spans="1:86" x14ac:dyDescent="0.2">
      <c r="A1153" s="18">
        <v>10038</v>
      </c>
      <c r="B1153" s="19">
        <v>11</v>
      </c>
      <c r="C1153" s="19">
        <f t="shared" si="83"/>
        <v>100380011</v>
      </c>
      <c r="D1153" s="23" t="s">
        <v>984</v>
      </c>
      <c r="E1153" s="20" t="s">
        <v>1172</v>
      </c>
      <c r="I1153" s="22" t="s">
        <v>206</v>
      </c>
      <c r="J1153" s="22"/>
      <c r="K1153" s="22"/>
      <c r="L1153" s="22"/>
      <c r="M1153" s="22"/>
      <c r="N1153" s="22" t="s">
        <v>1173</v>
      </c>
      <c r="O1153" s="22" t="s">
        <v>1173</v>
      </c>
      <c r="P1153" s="22"/>
      <c r="Q1153" s="22" t="s">
        <v>2041</v>
      </c>
      <c r="R1153" s="22"/>
      <c r="S1153" s="22"/>
      <c r="T1153" s="22" t="s">
        <v>2714</v>
      </c>
      <c r="U1153" s="116" t="s">
        <v>2901</v>
      </c>
      <c r="V1153" s="22" t="s">
        <v>109</v>
      </c>
      <c r="W1153" s="22" t="s">
        <v>1</v>
      </c>
      <c r="X1153" s="22"/>
      <c r="Z1153" s="22"/>
      <c r="AA1153" s="22"/>
      <c r="AB1153" s="22"/>
      <c r="AC1153" s="22">
        <v>38</v>
      </c>
      <c r="AD1153" s="22"/>
      <c r="AE1153" s="24"/>
      <c r="AF1153" s="24" t="s">
        <v>2042</v>
      </c>
      <c r="AG1153" s="22"/>
      <c r="AH1153" s="25">
        <v>101382</v>
      </c>
      <c r="AI1153" s="25" t="s">
        <v>1176</v>
      </c>
      <c r="AK1153" s="40" t="s">
        <v>1177</v>
      </c>
      <c r="AL1153" s="40"/>
      <c r="AX1153" s="27"/>
      <c r="AY1153" s="27"/>
      <c r="BK1153" s="27"/>
      <c r="BL1153" s="27"/>
      <c r="BX1153" s="27"/>
      <c r="BY1153" s="27"/>
      <c r="CH1153" s="29"/>
    </row>
    <row r="1154" spans="1:86" x14ac:dyDescent="0.2">
      <c r="A1154" s="18">
        <v>10038</v>
      </c>
      <c r="B1154" s="19">
        <v>12</v>
      </c>
      <c r="C1154" s="19">
        <f t="shared" si="83"/>
        <v>100380012</v>
      </c>
      <c r="D1154" s="23" t="s">
        <v>984</v>
      </c>
      <c r="E1154" s="20" t="s">
        <v>1178</v>
      </c>
      <c r="I1154" s="22" t="s">
        <v>206</v>
      </c>
      <c r="J1154" s="22"/>
      <c r="K1154" s="22"/>
      <c r="L1154" s="22"/>
      <c r="M1154" s="22"/>
      <c r="N1154" s="22" t="s">
        <v>1179</v>
      </c>
      <c r="O1154" s="22" t="s">
        <v>1179</v>
      </c>
      <c r="P1154" s="22"/>
      <c r="Q1154" s="22" t="s">
        <v>2041</v>
      </c>
      <c r="R1154" s="22"/>
      <c r="S1154" s="22"/>
      <c r="T1154" s="22" t="s">
        <v>2714</v>
      </c>
      <c r="U1154" s="116" t="s">
        <v>2902</v>
      </c>
      <c r="V1154" s="22" t="s">
        <v>109</v>
      </c>
      <c r="W1154" s="22" t="s">
        <v>1</v>
      </c>
      <c r="X1154" s="22"/>
      <c r="Z1154" s="22"/>
      <c r="AA1154" s="22"/>
      <c r="AB1154" s="22"/>
      <c r="AC1154" s="22">
        <v>38</v>
      </c>
      <c r="AD1154" s="22"/>
      <c r="AE1154" s="24"/>
      <c r="AF1154" s="24" t="s">
        <v>2042</v>
      </c>
      <c r="AG1154" s="22"/>
      <c r="AH1154" s="25">
        <v>101383</v>
      </c>
      <c r="AI1154" s="25" t="s">
        <v>1180</v>
      </c>
      <c r="AK1154" s="40">
        <v>3900</v>
      </c>
      <c r="AL1154" s="40"/>
      <c r="AX1154" s="27"/>
      <c r="AY1154" s="27"/>
      <c r="BK1154" s="27"/>
      <c r="BL1154" s="27"/>
      <c r="BX1154" s="27"/>
      <c r="BY1154" s="27"/>
      <c r="CH1154" s="29"/>
    </row>
    <row r="1155" spans="1:86" x14ac:dyDescent="0.2">
      <c r="A1155" s="18">
        <v>10038</v>
      </c>
      <c r="B1155" s="19">
        <v>13</v>
      </c>
      <c r="C1155" s="19">
        <f t="shared" si="83"/>
        <v>100380013</v>
      </c>
      <c r="D1155" s="23" t="s">
        <v>984</v>
      </c>
      <c r="E1155" s="20" t="s">
        <v>1178</v>
      </c>
      <c r="I1155" s="22" t="s">
        <v>206</v>
      </c>
      <c r="J1155" s="22"/>
      <c r="K1155" s="22"/>
      <c r="L1155" s="22"/>
      <c r="M1155" s="22"/>
      <c r="N1155" s="22" t="s">
        <v>1179</v>
      </c>
      <c r="O1155" s="22" t="s">
        <v>1179</v>
      </c>
      <c r="P1155" s="22"/>
      <c r="Q1155" s="22" t="s">
        <v>2041</v>
      </c>
      <c r="R1155" s="22"/>
      <c r="S1155" s="22"/>
      <c r="T1155" s="22" t="s">
        <v>2714</v>
      </c>
      <c r="U1155" s="116" t="s">
        <v>2903</v>
      </c>
      <c r="V1155" s="22" t="s">
        <v>109</v>
      </c>
      <c r="W1155" s="22" t="s">
        <v>1</v>
      </c>
      <c r="X1155" s="22"/>
      <c r="Z1155" s="22"/>
      <c r="AA1155" s="22"/>
      <c r="AB1155" s="22"/>
      <c r="AC1155" s="22">
        <v>38</v>
      </c>
      <c r="AD1155" s="22"/>
      <c r="AE1155" s="24"/>
      <c r="AF1155" s="24" t="s">
        <v>2042</v>
      </c>
      <c r="AG1155" s="22"/>
      <c r="AH1155" s="25">
        <v>101384</v>
      </c>
      <c r="AI1155" s="25" t="s">
        <v>1181</v>
      </c>
      <c r="AK1155" s="40" t="s">
        <v>1182</v>
      </c>
      <c r="AL1155" s="40"/>
      <c r="AX1155" s="27"/>
      <c r="AY1155" s="27"/>
      <c r="BK1155" s="27"/>
      <c r="BL1155" s="27"/>
      <c r="BX1155" s="27"/>
      <c r="BY1155" s="27"/>
      <c r="CH1155" s="29"/>
    </row>
    <row r="1156" spans="1:86" x14ac:dyDescent="0.2">
      <c r="A1156" s="18">
        <v>10038</v>
      </c>
      <c r="B1156" s="19">
        <v>14</v>
      </c>
      <c r="C1156" s="19">
        <f t="shared" si="83"/>
        <v>100380014</v>
      </c>
      <c r="D1156" s="23" t="s">
        <v>984</v>
      </c>
      <c r="E1156" s="20" t="s">
        <v>1178</v>
      </c>
      <c r="I1156" s="22" t="s">
        <v>206</v>
      </c>
      <c r="J1156" s="22"/>
      <c r="K1156" s="22"/>
      <c r="L1156" s="22"/>
      <c r="M1156" s="22"/>
      <c r="N1156" s="22" t="s">
        <v>1179</v>
      </c>
      <c r="O1156" s="22" t="s">
        <v>1179</v>
      </c>
      <c r="P1156" s="22"/>
      <c r="Q1156" s="22" t="s">
        <v>2041</v>
      </c>
      <c r="R1156" s="22"/>
      <c r="S1156" s="22"/>
      <c r="T1156" s="22" t="s">
        <v>2714</v>
      </c>
      <c r="U1156" s="116" t="s">
        <v>2904</v>
      </c>
      <c r="V1156" s="22" t="s">
        <v>109</v>
      </c>
      <c r="W1156" s="22" t="s">
        <v>1</v>
      </c>
      <c r="X1156" s="22"/>
      <c r="Z1156" s="22"/>
      <c r="AA1156" s="22"/>
      <c r="AB1156" s="22"/>
      <c r="AC1156" s="22">
        <v>38</v>
      </c>
      <c r="AD1156" s="22"/>
      <c r="AE1156" s="24"/>
      <c r="AF1156" s="24" t="s">
        <v>2042</v>
      </c>
      <c r="AG1156" s="22"/>
      <c r="AH1156" s="25">
        <v>101385</v>
      </c>
      <c r="AI1156" s="25" t="s">
        <v>1183</v>
      </c>
      <c r="AK1156" s="40" t="s">
        <v>1184</v>
      </c>
      <c r="AL1156" s="40"/>
      <c r="AX1156" s="27"/>
      <c r="AY1156" s="27"/>
      <c r="BK1156" s="27"/>
      <c r="BL1156" s="27"/>
      <c r="BX1156" s="27"/>
      <c r="BY1156" s="27"/>
      <c r="CH1156" s="29"/>
    </row>
    <row r="1157" spans="1:86" x14ac:dyDescent="0.2">
      <c r="A1157" s="18">
        <v>10039</v>
      </c>
      <c r="B1157" s="19">
        <v>10</v>
      </c>
      <c r="C1157" s="19">
        <f t="shared" si="83"/>
        <v>100390010</v>
      </c>
      <c r="D1157" s="23" t="s">
        <v>784</v>
      </c>
      <c r="E1157" s="20" t="s">
        <v>1178</v>
      </c>
      <c r="I1157" s="22" t="s">
        <v>206</v>
      </c>
      <c r="J1157" s="22"/>
      <c r="K1157" s="22"/>
      <c r="L1157" s="22"/>
      <c r="M1157" s="22"/>
      <c r="N1157" s="22" t="s">
        <v>1179</v>
      </c>
      <c r="O1157" s="22" t="s">
        <v>1179</v>
      </c>
      <c r="P1157" s="22"/>
      <c r="Q1157" s="22" t="s">
        <v>2041</v>
      </c>
      <c r="R1157" s="22"/>
      <c r="S1157" s="22"/>
      <c r="T1157" s="22" t="s">
        <v>2714</v>
      </c>
      <c r="U1157" s="116" t="s">
        <v>2905</v>
      </c>
      <c r="V1157" s="22" t="s">
        <v>109</v>
      </c>
      <c r="W1157" s="22" t="s">
        <v>1</v>
      </c>
      <c r="X1157" s="22"/>
      <c r="Z1157" s="22"/>
      <c r="AA1157" s="22"/>
      <c r="AB1157" s="22"/>
      <c r="AC1157" s="22" t="s">
        <v>1185</v>
      </c>
      <c r="AD1157" s="22"/>
      <c r="AE1157" s="24"/>
      <c r="AF1157" s="24" t="s">
        <v>2042</v>
      </c>
      <c r="AG1157" s="22"/>
      <c r="AH1157" s="25" t="s">
        <v>796</v>
      </c>
      <c r="AI1157" s="25" t="s">
        <v>1186</v>
      </c>
      <c r="AK1157" s="40" t="s">
        <v>1187</v>
      </c>
      <c r="AL1157" s="40"/>
      <c r="AX1157" s="27"/>
      <c r="AY1157" s="27"/>
      <c r="BK1157" s="27"/>
      <c r="BL1157" s="27"/>
      <c r="BX1157" s="27"/>
      <c r="BY1157" s="27"/>
      <c r="CH1157" s="29"/>
    </row>
    <row r="1158" spans="1:86" x14ac:dyDescent="0.2">
      <c r="A1158" s="18">
        <v>10039</v>
      </c>
      <c r="B1158" s="19">
        <v>11</v>
      </c>
      <c r="C1158" s="19">
        <f t="shared" si="83"/>
        <v>100390011</v>
      </c>
      <c r="D1158" s="23" t="s">
        <v>784</v>
      </c>
      <c r="E1158" s="20" t="s">
        <v>1178</v>
      </c>
      <c r="I1158" s="22" t="s">
        <v>206</v>
      </c>
      <c r="J1158" s="22"/>
      <c r="K1158" s="22"/>
      <c r="L1158" s="22"/>
      <c r="M1158" s="22"/>
      <c r="N1158" s="22" t="s">
        <v>1179</v>
      </c>
      <c r="O1158" s="22" t="s">
        <v>1179</v>
      </c>
      <c r="P1158" s="22"/>
      <c r="Q1158" s="22" t="s">
        <v>2041</v>
      </c>
      <c r="R1158" s="22"/>
      <c r="S1158" s="22"/>
      <c r="T1158" s="22" t="s">
        <v>2714</v>
      </c>
      <c r="U1158" s="116" t="s">
        <v>2906</v>
      </c>
      <c r="V1158" s="22" t="s">
        <v>109</v>
      </c>
      <c r="W1158" s="22" t="s">
        <v>1</v>
      </c>
      <c r="X1158" s="22"/>
      <c r="Z1158" s="22"/>
      <c r="AA1158" s="22"/>
      <c r="AB1158" s="22"/>
      <c r="AC1158" s="22" t="s">
        <v>1185</v>
      </c>
      <c r="AD1158" s="22"/>
      <c r="AE1158" s="24"/>
      <c r="AF1158" s="24" t="s">
        <v>2042</v>
      </c>
      <c r="AG1158" s="22"/>
      <c r="AH1158" s="25" t="s">
        <v>797</v>
      </c>
      <c r="AI1158" s="25" t="s">
        <v>1188</v>
      </c>
      <c r="AK1158" s="40" t="s">
        <v>1189</v>
      </c>
      <c r="AL1158" s="40"/>
      <c r="AX1158" s="27"/>
      <c r="AY1158" s="27"/>
      <c r="BK1158" s="27"/>
      <c r="BL1158" s="27"/>
      <c r="BX1158" s="27"/>
      <c r="BY1158" s="27"/>
      <c r="CH1158" s="29"/>
    </row>
    <row r="1159" spans="1:86" x14ac:dyDescent="0.2">
      <c r="A1159" s="18">
        <v>10039</v>
      </c>
      <c r="B1159" s="19">
        <v>12</v>
      </c>
      <c r="C1159" s="19">
        <f t="shared" si="83"/>
        <v>100390012</v>
      </c>
      <c r="D1159" s="23" t="s">
        <v>784</v>
      </c>
      <c r="E1159" s="20" t="s">
        <v>1178</v>
      </c>
      <c r="I1159" s="22" t="s">
        <v>206</v>
      </c>
      <c r="J1159" s="22"/>
      <c r="K1159" s="22"/>
      <c r="L1159" s="22"/>
      <c r="M1159" s="22"/>
      <c r="N1159" s="22" t="s">
        <v>1179</v>
      </c>
      <c r="O1159" s="22" t="s">
        <v>1179</v>
      </c>
      <c r="P1159" s="22"/>
      <c r="Q1159" s="22" t="s">
        <v>2041</v>
      </c>
      <c r="R1159" s="22"/>
      <c r="S1159" s="22"/>
      <c r="T1159" s="22" t="s">
        <v>2714</v>
      </c>
      <c r="U1159" s="116" t="s">
        <v>2907</v>
      </c>
      <c r="V1159" s="22" t="s">
        <v>109</v>
      </c>
      <c r="W1159" s="22" t="s">
        <v>1</v>
      </c>
      <c r="X1159" s="22"/>
      <c r="Z1159" s="22"/>
      <c r="AA1159" s="22"/>
      <c r="AB1159" s="22"/>
      <c r="AC1159" s="22" t="s">
        <v>1185</v>
      </c>
      <c r="AD1159" s="22"/>
      <c r="AE1159" s="24"/>
      <c r="AF1159" s="24" t="s">
        <v>2042</v>
      </c>
      <c r="AG1159" s="22"/>
      <c r="AH1159" s="25" t="s">
        <v>798</v>
      </c>
      <c r="AI1159" s="25" t="s">
        <v>1180</v>
      </c>
      <c r="AK1159" s="40" t="s">
        <v>1190</v>
      </c>
      <c r="AL1159" s="40"/>
      <c r="AX1159" s="27"/>
      <c r="AY1159" s="27"/>
      <c r="BK1159" s="27"/>
      <c r="BL1159" s="27"/>
      <c r="BX1159" s="27"/>
      <c r="BY1159" s="27"/>
      <c r="CH1159" s="29"/>
    </row>
    <row r="1160" spans="1:86" x14ac:dyDescent="0.2">
      <c r="A1160" s="18">
        <v>10039</v>
      </c>
      <c r="B1160" s="19">
        <v>13</v>
      </c>
      <c r="C1160" s="19">
        <f t="shared" si="83"/>
        <v>100390013</v>
      </c>
      <c r="D1160" s="23" t="s">
        <v>784</v>
      </c>
      <c r="E1160" s="20" t="s">
        <v>1178</v>
      </c>
      <c r="I1160" s="22" t="s">
        <v>206</v>
      </c>
      <c r="J1160" s="22"/>
      <c r="K1160" s="22"/>
      <c r="L1160" s="22"/>
      <c r="M1160" s="22"/>
      <c r="N1160" s="22" t="s">
        <v>1179</v>
      </c>
      <c r="O1160" s="22" t="s">
        <v>1179</v>
      </c>
      <c r="P1160" s="22"/>
      <c r="Q1160" s="22" t="s">
        <v>2041</v>
      </c>
      <c r="R1160" s="22"/>
      <c r="S1160" s="22"/>
      <c r="T1160" s="22" t="s">
        <v>2714</v>
      </c>
      <c r="U1160" s="116" t="s">
        <v>2908</v>
      </c>
      <c r="V1160" s="22" t="s">
        <v>109</v>
      </c>
      <c r="W1160" s="22" t="s">
        <v>1</v>
      </c>
      <c r="X1160" s="22"/>
      <c r="Z1160" s="22"/>
      <c r="AA1160" s="22"/>
      <c r="AB1160" s="22"/>
      <c r="AC1160" s="22" t="s">
        <v>1185</v>
      </c>
      <c r="AD1160" s="22"/>
      <c r="AE1160" s="24"/>
      <c r="AF1160" s="24" t="s">
        <v>2042</v>
      </c>
      <c r="AG1160" s="22"/>
      <c r="AH1160" s="25" t="s">
        <v>799</v>
      </c>
      <c r="AI1160" s="25" t="s">
        <v>1181</v>
      </c>
      <c r="AK1160" s="40" t="s">
        <v>1182</v>
      </c>
      <c r="AL1160" s="40"/>
      <c r="AX1160" s="27"/>
      <c r="AY1160" s="27"/>
      <c r="BK1160" s="27"/>
      <c r="BL1160" s="27"/>
      <c r="BX1160" s="27"/>
      <c r="BY1160" s="27"/>
      <c r="CH1160" s="29"/>
    </row>
    <row r="1161" spans="1:86" x14ac:dyDescent="0.2">
      <c r="A1161" s="18">
        <v>10039</v>
      </c>
      <c r="B1161" s="19">
        <v>14</v>
      </c>
      <c r="C1161" s="19">
        <f t="shared" si="83"/>
        <v>100390014</v>
      </c>
      <c r="D1161" s="23" t="s">
        <v>784</v>
      </c>
      <c r="E1161" s="20" t="s">
        <v>1178</v>
      </c>
      <c r="I1161" s="22" t="s">
        <v>206</v>
      </c>
      <c r="J1161" s="22"/>
      <c r="K1161" s="22"/>
      <c r="L1161" s="22"/>
      <c r="M1161" s="22"/>
      <c r="N1161" s="22" t="s">
        <v>1179</v>
      </c>
      <c r="O1161" s="22" t="s">
        <v>1179</v>
      </c>
      <c r="P1161" s="22"/>
      <c r="Q1161" s="22" t="s">
        <v>2041</v>
      </c>
      <c r="R1161" s="22"/>
      <c r="S1161" s="22"/>
      <c r="T1161" s="22" t="s">
        <v>2714</v>
      </c>
      <c r="U1161" s="116" t="s">
        <v>2909</v>
      </c>
      <c r="V1161" s="22" t="s">
        <v>109</v>
      </c>
      <c r="W1161" s="22" t="s">
        <v>1</v>
      </c>
      <c r="X1161" s="22"/>
      <c r="Z1161" s="22"/>
      <c r="AA1161" s="22"/>
      <c r="AB1161" s="22"/>
      <c r="AC1161" s="22" t="s">
        <v>1185</v>
      </c>
      <c r="AD1161" s="22"/>
      <c r="AE1161" s="24"/>
      <c r="AF1161" s="24" t="s">
        <v>2042</v>
      </c>
      <c r="AG1161" s="22"/>
      <c r="AH1161" s="25" t="s">
        <v>800</v>
      </c>
      <c r="AI1161" s="25" t="s">
        <v>1183</v>
      </c>
      <c r="AK1161" s="40" t="s">
        <v>1184</v>
      </c>
      <c r="AL1161" s="40"/>
      <c r="AX1161" s="27"/>
      <c r="AY1161" s="27"/>
      <c r="BK1161" s="27"/>
      <c r="BL1161" s="27"/>
      <c r="BX1161" s="27"/>
      <c r="BY1161" s="27"/>
      <c r="CH1161" s="29"/>
    </row>
    <row r="1162" spans="1:86" x14ac:dyDescent="0.2">
      <c r="A1162" s="18">
        <v>10040</v>
      </c>
      <c r="B1162" s="19">
        <v>10</v>
      </c>
      <c r="C1162" s="19">
        <f t="shared" si="83"/>
        <v>100400010</v>
      </c>
      <c r="D1162" s="23" t="s">
        <v>860</v>
      </c>
      <c r="E1162" s="20" t="s">
        <v>1178</v>
      </c>
      <c r="I1162" s="22" t="s">
        <v>206</v>
      </c>
      <c r="J1162" s="22"/>
      <c r="K1162" s="22"/>
      <c r="L1162" s="22"/>
      <c r="M1162" s="22"/>
      <c r="N1162" s="22" t="s">
        <v>1179</v>
      </c>
      <c r="O1162" s="22" t="s">
        <v>1179</v>
      </c>
      <c r="P1162" s="22"/>
      <c r="Q1162" s="22" t="s">
        <v>2041</v>
      </c>
      <c r="R1162" s="22"/>
      <c r="S1162" s="22"/>
      <c r="T1162" s="22" t="s">
        <v>2714</v>
      </c>
      <c r="U1162" s="116" t="s">
        <v>2910</v>
      </c>
      <c r="V1162" s="22" t="s">
        <v>109</v>
      </c>
      <c r="W1162" s="22" t="s">
        <v>1</v>
      </c>
      <c r="X1162" s="22"/>
      <c r="Z1162" s="22"/>
      <c r="AA1162" s="22"/>
      <c r="AB1162" s="22"/>
      <c r="AC1162" s="22" t="s">
        <v>1191</v>
      </c>
      <c r="AD1162" s="22"/>
      <c r="AE1162" s="24"/>
      <c r="AF1162" s="24" t="s">
        <v>2042</v>
      </c>
      <c r="AG1162" s="22"/>
      <c r="AH1162" s="25" t="s">
        <v>902</v>
      </c>
      <c r="AI1162" s="25" t="s">
        <v>1186</v>
      </c>
      <c r="AK1162" s="40" t="s">
        <v>1187</v>
      </c>
      <c r="AL1162" s="40"/>
      <c r="AX1162" s="27"/>
      <c r="AY1162" s="27"/>
      <c r="BK1162" s="27"/>
      <c r="BL1162" s="27"/>
      <c r="BX1162" s="27"/>
      <c r="BY1162" s="27"/>
      <c r="CH1162" s="29"/>
    </row>
    <row r="1163" spans="1:86" x14ac:dyDescent="0.2">
      <c r="A1163" s="18">
        <v>10040</v>
      </c>
      <c r="B1163" s="19">
        <v>11</v>
      </c>
      <c r="C1163" s="19">
        <f t="shared" si="83"/>
        <v>100400011</v>
      </c>
      <c r="D1163" s="23" t="s">
        <v>860</v>
      </c>
      <c r="E1163" s="20" t="s">
        <v>1178</v>
      </c>
      <c r="I1163" s="22" t="s">
        <v>206</v>
      </c>
      <c r="J1163" s="22"/>
      <c r="K1163" s="22"/>
      <c r="L1163" s="22"/>
      <c r="M1163" s="22"/>
      <c r="N1163" s="22" t="s">
        <v>1179</v>
      </c>
      <c r="O1163" s="22" t="s">
        <v>1179</v>
      </c>
      <c r="P1163" s="22"/>
      <c r="Q1163" s="22" t="s">
        <v>2041</v>
      </c>
      <c r="R1163" s="22"/>
      <c r="S1163" s="22"/>
      <c r="T1163" s="22" t="s">
        <v>2714</v>
      </c>
      <c r="U1163" s="116" t="s">
        <v>2911</v>
      </c>
      <c r="V1163" s="22" t="s">
        <v>109</v>
      </c>
      <c r="W1163" s="22" t="s">
        <v>1</v>
      </c>
      <c r="X1163" s="22"/>
      <c r="Z1163" s="22"/>
      <c r="AA1163" s="22"/>
      <c r="AB1163" s="22"/>
      <c r="AC1163" s="22" t="s">
        <v>1191</v>
      </c>
      <c r="AD1163" s="22"/>
      <c r="AE1163" s="24"/>
      <c r="AF1163" s="24" t="s">
        <v>2042</v>
      </c>
      <c r="AG1163" s="22"/>
      <c r="AH1163" s="25" t="s">
        <v>903</v>
      </c>
      <c r="AI1163" s="25" t="s">
        <v>1188</v>
      </c>
      <c r="AK1163" s="40" t="s">
        <v>1189</v>
      </c>
      <c r="AL1163" s="40"/>
      <c r="AX1163" s="27"/>
      <c r="AY1163" s="27"/>
      <c r="BK1163" s="27"/>
      <c r="BL1163" s="27"/>
      <c r="BX1163" s="27"/>
      <c r="BY1163" s="27"/>
      <c r="CH1163" s="29"/>
    </row>
    <row r="1164" spans="1:86" x14ac:dyDescent="0.2">
      <c r="A1164" s="18">
        <v>10040</v>
      </c>
      <c r="B1164" s="19">
        <v>12</v>
      </c>
      <c r="C1164" s="19">
        <f t="shared" si="83"/>
        <v>100400012</v>
      </c>
      <c r="D1164" s="23" t="s">
        <v>860</v>
      </c>
      <c r="E1164" s="20" t="s">
        <v>1178</v>
      </c>
      <c r="I1164" s="22" t="s">
        <v>206</v>
      </c>
      <c r="J1164" s="22"/>
      <c r="K1164" s="22"/>
      <c r="L1164" s="22"/>
      <c r="M1164" s="22"/>
      <c r="N1164" s="22" t="s">
        <v>1179</v>
      </c>
      <c r="O1164" s="22" t="s">
        <v>1179</v>
      </c>
      <c r="P1164" s="22"/>
      <c r="Q1164" s="22" t="s">
        <v>2041</v>
      </c>
      <c r="R1164" s="22"/>
      <c r="S1164" s="22"/>
      <c r="T1164" s="22" t="s">
        <v>2714</v>
      </c>
      <c r="U1164" s="116" t="s">
        <v>2912</v>
      </c>
      <c r="V1164" s="22" t="s">
        <v>109</v>
      </c>
      <c r="W1164" s="22" t="s">
        <v>1</v>
      </c>
      <c r="X1164" s="22"/>
      <c r="Z1164" s="22"/>
      <c r="AA1164" s="22"/>
      <c r="AB1164" s="22"/>
      <c r="AC1164" s="22" t="s">
        <v>1191</v>
      </c>
      <c r="AD1164" s="22"/>
      <c r="AE1164" s="24"/>
      <c r="AF1164" s="24" t="s">
        <v>2042</v>
      </c>
      <c r="AG1164" s="22"/>
      <c r="AH1164" s="25" t="s">
        <v>904</v>
      </c>
      <c r="AI1164" s="25" t="s">
        <v>1180</v>
      </c>
      <c r="AK1164" s="40" t="s">
        <v>1190</v>
      </c>
      <c r="AL1164" s="40"/>
      <c r="AX1164" s="27"/>
      <c r="AY1164" s="27"/>
      <c r="BK1164" s="27"/>
      <c r="BL1164" s="27"/>
      <c r="BX1164" s="27"/>
      <c r="BY1164" s="27"/>
      <c r="CH1164" s="29"/>
    </row>
    <row r="1165" spans="1:86" x14ac:dyDescent="0.2">
      <c r="A1165" s="18">
        <v>10040</v>
      </c>
      <c r="B1165" s="19">
        <v>13</v>
      </c>
      <c r="C1165" s="19">
        <f t="shared" si="83"/>
        <v>100400013</v>
      </c>
      <c r="D1165" s="23" t="s">
        <v>860</v>
      </c>
      <c r="E1165" s="20" t="s">
        <v>1178</v>
      </c>
      <c r="I1165" s="22" t="s">
        <v>206</v>
      </c>
      <c r="J1165" s="22"/>
      <c r="K1165" s="22"/>
      <c r="L1165" s="22"/>
      <c r="M1165" s="22"/>
      <c r="N1165" s="22" t="s">
        <v>1179</v>
      </c>
      <c r="O1165" s="22" t="s">
        <v>1179</v>
      </c>
      <c r="P1165" s="22"/>
      <c r="Q1165" s="22" t="s">
        <v>2041</v>
      </c>
      <c r="R1165" s="22"/>
      <c r="S1165" s="22"/>
      <c r="T1165" s="22" t="s">
        <v>2714</v>
      </c>
      <c r="U1165" s="116" t="s">
        <v>2913</v>
      </c>
      <c r="V1165" s="22" t="s">
        <v>109</v>
      </c>
      <c r="W1165" s="22" t="s">
        <v>1</v>
      </c>
      <c r="X1165" s="22"/>
      <c r="Z1165" s="22"/>
      <c r="AA1165" s="22"/>
      <c r="AB1165" s="22"/>
      <c r="AC1165" s="22" t="s">
        <v>1191</v>
      </c>
      <c r="AD1165" s="22"/>
      <c r="AE1165" s="24"/>
      <c r="AF1165" s="24" t="s">
        <v>2042</v>
      </c>
      <c r="AG1165" s="22"/>
      <c r="AH1165" s="25" t="s">
        <v>905</v>
      </c>
      <c r="AI1165" s="25" t="s">
        <v>1181</v>
      </c>
      <c r="AK1165" s="40" t="s">
        <v>1182</v>
      </c>
      <c r="AL1165" s="40"/>
      <c r="AX1165" s="27"/>
      <c r="AY1165" s="27"/>
      <c r="BK1165" s="27"/>
      <c r="BL1165" s="27"/>
      <c r="BX1165" s="27"/>
      <c r="BY1165" s="27"/>
      <c r="CH1165" s="29"/>
    </row>
    <row r="1166" spans="1:86" x14ac:dyDescent="0.2">
      <c r="A1166" s="18">
        <v>10040</v>
      </c>
      <c r="B1166" s="19">
        <v>14</v>
      </c>
      <c r="C1166" s="19">
        <f t="shared" si="83"/>
        <v>100400014</v>
      </c>
      <c r="D1166" s="23" t="s">
        <v>860</v>
      </c>
      <c r="E1166" s="20" t="s">
        <v>1178</v>
      </c>
      <c r="I1166" s="22" t="s">
        <v>206</v>
      </c>
      <c r="J1166" s="22"/>
      <c r="K1166" s="22"/>
      <c r="L1166" s="22"/>
      <c r="M1166" s="22"/>
      <c r="N1166" s="22" t="s">
        <v>1179</v>
      </c>
      <c r="O1166" s="22" t="s">
        <v>1179</v>
      </c>
      <c r="P1166" s="22"/>
      <c r="Q1166" s="22" t="s">
        <v>2041</v>
      </c>
      <c r="R1166" s="22"/>
      <c r="S1166" s="22"/>
      <c r="T1166" s="22" t="s">
        <v>2714</v>
      </c>
      <c r="U1166" s="116" t="s">
        <v>2914</v>
      </c>
      <c r="V1166" s="22" t="s">
        <v>109</v>
      </c>
      <c r="W1166" s="22" t="s">
        <v>1</v>
      </c>
      <c r="X1166" s="22"/>
      <c r="Z1166" s="22"/>
      <c r="AA1166" s="22"/>
      <c r="AB1166" s="22"/>
      <c r="AC1166" s="22" t="s">
        <v>1191</v>
      </c>
      <c r="AD1166" s="22"/>
      <c r="AE1166" s="24"/>
      <c r="AF1166" s="24" t="s">
        <v>2042</v>
      </c>
      <c r="AG1166" s="22"/>
      <c r="AH1166" s="25" t="s">
        <v>906</v>
      </c>
      <c r="AI1166" s="25" t="s">
        <v>1183</v>
      </c>
      <c r="AK1166" s="40" t="s">
        <v>1184</v>
      </c>
      <c r="AL1166" s="40"/>
      <c r="AX1166" s="27"/>
      <c r="AY1166" s="27"/>
      <c r="BK1166" s="27"/>
      <c r="BL1166" s="27"/>
      <c r="BX1166" s="27"/>
      <c r="BY1166" s="27"/>
      <c r="CH1166" s="29"/>
    </row>
    <row r="1167" spans="1:86" x14ac:dyDescent="0.2">
      <c r="A1167" s="18">
        <v>10041</v>
      </c>
      <c r="B1167" s="19">
        <v>10</v>
      </c>
      <c r="C1167" s="19">
        <f t="shared" si="83"/>
        <v>100410010</v>
      </c>
      <c r="D1167" s="23" t="s">
        <v>861</v>
      </c>
      <c r="E1167" s="20" t="s">
        <v>1178</v>
      </c>
      <c r="I1167" s="22" t="s">
        <v>206</v>
      </c>
      <c r="J1167" s="22"/>
      <c r="K1167" s="22"/>
      <c r="L1167" s="22"/>
      <c r="M1167" s="22"/>
      <c r="N1167" s="22" t="s">
        <v>1179</v>
      </c>
      <c r="O1167" s="22" t="s">
        <v>1179</v>
      </c>
      <c r="P1167" s="22"/>
      <c r="Q1167" s="22" t="s">
        <v>2041</v>
      </c>
      <c r="R1167" s="22"/>
      <c r="S1167" s="22"/>
      <c r="T1167" s="22" t="s">
        <v>2714</v>
      </c>
      <c r="U1167" s="116" t="s">
        <v>2915</v>
      </c>
      <c r="V1167" s="22" t="s">
        <v>109</v>
      </c>
      <c r="W1167" s="22" t="s">
        <v>1</v>
      </c>
      <c r="X1167" s="22"/>
      <c r="Z1167" s="22"/>
      <c r="AA1167" s="22"/>
      <c r="AB1167" s="22"/>
      <c r="AC1167" s="22" t="s">
        <v>1192</v>
      </c>
      <c r="AD1167" s="22"/>
      <c r="AE1167" s="24"/>
      <c r="AF1167" s="24" t="s">
        <v>2042</v>
      </c>
      <c r="AG1167" s="22"/>
      <c r="AH1167" s="25" t="s">
        <v>907</v>
      </c>
      <c r="AI1167" s="25" t="s">
        <v>1186</v>
      </c>
      <c r="AK1167" s="40" t="s">
        <v>1187</v>
      </c>
      <c r="AL1167" s="40"/>
      <c r="AX1167" s="27"/>
      <c r="AY1167" s="27"/>
      <c r="BK1167" s="27"/>
      <c r="BL1167" s="27"/>
      <c r="BX1167" s="27"/>
      <c r="BY1167" s="27"/>
      <c r="CH1167" s="29"/>
    </row>
    <row r="1168" spans="1:86" x14ac:dyDescent="0.2">
      <c r="A1168" s="18">
        <v>10041</v>
      </c>
      <c r="B1168" s="19">
        <v>11</v>
      </c>
      <c r="C1168" s="19">
        <f t="shared" si="83"/>
        <v>100410011</v>
      </c>
      <c r="D1168" s="23" t="s">
        <v>861</v>
      </c>
      <c r="E1168" s="20" t="s">
        <v>1178</v>
      </c>
      <c r="I1168" s="22" t="s">
        <v>206</v>
      </c>
      <c r="J1168" s="22"/>
      <c r="K1168" s="22"/>
      <c r="L1168" s="22"/>
      <c r="M1168" s="22"/>
      <c r="N1168" s="22" t="s">
        <v>1179</v>
      </c>
      <c r="O1168" s="22" t="s">
        <v>1179</v>
      </c>
      <c r="P1168" s="22"/>
      <c r="Q1168" s="22" t="s">
        <v>2041</v>
      </c>
      <c r="R1168" s="22"/>
      <c r="S1168" s="22"/>
      <c r="T1168" s="22" t="s">
        <v>2714</v>
      </c>
      <c r="U1168" s="116" t="s">
        <v>2916</v>
      </c>
      <c r="V1168" s="22" t="s">
        <v>109</v>
      </c>
      <c r="W1168" s="22" t="s">
        <v>1</v>
      </c>
      <c r="X1168" s="22"/>
      <c r="Z1168" s="22"/>
      <c r="AA1168" s="22"/>
      <c r="AB1168" s="22"/>
      <c r="AC1168" s="22" t="s">
        <v>1192</v>
      </c>
      <c r="AD1168" s="22"/>
      <c r="AE1168" s="24"/>
      <c r="AF1168" s="24" t="s">
        <v>2042</v>
      </c>
      <c r="AG1168" s="22"/>
      <c r="AH1168" s="25" t="s">
        <v>908</v>
      </c>
      <c r="AI1168" s="25" t="s">
        <v>1188</v>
      </c>
      <c r="AK1168" s="40" t="s">
        <v>1189</v>
      </c>
      <c r="AL1168" s="40"/>
      <c r="AX1168" s="27"/>
      <c r="AY1168" s="27"/>
      <c r="BK1168" s="27"/>
      <c r="BL1168" s="27"/>
      <c r="BX1168" s="27"/>
      <c r="BY1168" s="27"/>
      <c r="CH1168" s="29"/>
    </row>
    <row r="1169" spans="1:86" x14ac:dyDescent="0.2">
      <c r="A1169" s="18">
        <v>10041</v>
      </c>
      <c r="B1169" s="19">
        <v>12</v>
      </c>
      <c r="C1169" s="19">
        <f t="shared" si="83"/>
        <v>100410012</v>
      </c>
      <c r="D1169" s="23" t="s">
        <v>861</v>
      </c>
      <c r="E1169" s="20" t="s">
        <v>1178</v>
      </c>
      <c r="I1169" s="22" t="s">
        <v>206</v>
      </c>
      <c r="J1169" s="22"/>
      <c r="K1169" s="22"/>
      <c r="L1169" s="22"/>
      <c r="M1169" s="22"/>
      <c r="N1169" s="22" t="s">
        <v>1179</v>
      </c>
      <c r="O1169" s="22" t="s">
        <v>1179</v>
      </c>
      <c r="P1169" s="22"/>
      <c r="Q1169" s="22" t="s">
        <v>2041</v>
      </c>
      <c r="R1169" s="22"/>
      <c r="S1169" s="22"/>
      <c r="T1169" s="22" t="s">
        <v>2714</v>
      </c>
      <c r="U1169" s="116" t="s">
        <v>2917</v>
      </c>
      <c r="V1169" s="22" t="s">
        <v>109</v>
      </c>
      <c r="W1169" s="22" t="s">
        <v>1</v>
      </c>
      <c r="X1169" s="22"/>
      <c r="Z1169" s="22"/>
      <c r="AA1169" s="22"/>
      <c r="AB1169" s="22"/>
      <c r="AC1169" s="22" t="s">
        <v>1192</v>
      </c>
      <c r="AD1169" s="22"/>
      <c r="AE1169" s="24"/>
      <c r="AF1169" s="24" t="s">
        <v>2042</v>
      </c>
      <c r="AG1169" s="22"/>
      <c r="AH1169" s="25" t="s">
        <v>909</v>
      </c>
      <c r="AI1169" s="25" t="s">
        <v>1180</v>
      </c>
      <c r="AK1169" s="40" t="s">
        <v>1190</v>
      </c>
      <c r="AL1169" s="40"/>
      <c r="AX1169" s="27"/>
      <c r="AY1169" s="27"/>
      <c r="BK1169" s="27"/>
      <c r="BL1169" s="27"/>
      <c r="BX1169" s="27"/>
      <c r="BY1169" s="27"/>
      <c r="CH1169" s="29"/>
    </row>
    <row r="1170" spans="1:86" x14ac:dyDescent="0.2">
      <c r="A1170" s="18">
        <v>10041</v>
      </c>
      <c r="B1170" s="19">
        <v>13</v>
      </c>
      <c r="C1170" s="19">
        <f t="shared" si="83"/>
        <v>100410013</v>
      </c>
      <c r="D1170" s="23" t="s">
        <v>861</v>
      </c>
      <c r="E1170" s="20" t="s">
        <v>1178</v>
      </c>
      <c r="I1170" s="22" t="s">
        <v>206</v>
      </c>
      <c r="J1170" s="22"/>
      <c r="K1170" s="22"/>
      <c r="L1170" s="22"/>
      <c r="M1170" s="22"/>
      <c r="N1170" s="22" t="s">
        <v>1179</v>
      </c>
      <c r="O1170" s="22" t="s">
        <v>1179</v>
      </c>
      <c r="P1170" s="22"/>
      <c r="Q1170" s="22" t="s">
        <v>2041</v>
      </c>
      <c r="R1170" s="22"/>
      <c r="S1170" s="22"/>
      <c r="T1170" s="22" t="s">
        <v>2714</v>
      </c>
      <c r="U1170" s="116" t="s">
        <v>2918</v>
      </c>
      <c r="V1170" s="22" t="s">
        <v>109</v>
      </c>
      <c r="W1170" s="22" t="s">
        <v>1</v>
      </c>
      <c r="X1170" s="22"/>
      <c r="Z1170" s="22"/>
      <c r="AA1170" s="22"/>
      <c r="AB1170" s="22"/>
      <c r="AC1170" s="22" t="s">
        <v>1192</v>
      </c>
      <c r="AD1170" s="22"/>
      <c r="AE1170" s="24"/>
      <c r="AF1170" s="24" t="s">
        <v>2042</v>
      </c>
      <c r="AG1170" s="22"/>
      <c r="AH1170" s="25" t="s">
        <v>910</v>
      </c>
      <c r="AI1170" s="25" t="s">
        <v>1181</v>
      </c>
      <c r="AK1170" s="40" t="s">
        <v>1182</v>
      </c>
      <c r="AL1170" s="40"/>
      <c r="AX1170" s="27"/>
      <c r="AY1170" s="27"/>
      <c r="BK1170" s="27"/>
      <c r="BL1170" s="27"/>
      <c r="BX1170" s="27"/>
      <c r="BY1170" s="27"/>
      <c r="CH1170" s="29"/>
    </row>
    <row r="1171" spans="1:86" x14ac:dyDescent="0.2">
      <c r="A1171" s="18">
        <v>10041</v>
      </c>
      <c r="B1171" s="19">
        <v>14</v>
      </c>
      <c r="C1171" s="19">
        <f t="shared" si="83"/>
        <v>100410014</v>
      </c>
      <c r="D1171" s="23" t="s">
        <v>861</v>
      </c>
      <c r="E1171" s="20" t="s">
        <v>1178</v>
      </c>
      <c r="I1171" s="22" t="s">
        <v>206</v>
      </c>
      <c r="J1171" s="22"/>
      <c r="K1171" s="22"/>
      <c r="L1171" s="22"/>
      <c r="M1171" s="22"/>
      <c r="N1171" s="22" t="s">
        <v>1179</v>
      </c>
      <c r="O1171" s="22" t="s">
        <v>1179</v>
      </c>
      <c r="P1171" s="22"/>
      <c r="Q1171" s="22" t="s">
        <v>2041</v>
      </c>
      <c r="R1171" s="22"/>
      <c r="S1171" s="22"/>
      <c r="T1171" s="22" t="s">
        <v>2714</v>
      </c>
      <c r="U1171" s="116" t="s">
        <v>2919</v>
      </c>
      <c r="V1171" s="22" t="s">
        <v>109</v>
      </c>
      <c r="W1171" s="22" t="s">
        <v>1</v>
      </c>
      <c r="X1171" s="22"/>
      <c r="Z1171" s="22"/>
      <c r="AA1171" s="22"/>
      <c r="AB1171" s="22"/>
      <c r="AC1171" s="22" t="s">
        <v>1192</v>
      </c>
      <c r="AD1171" s="22"/>
      <c r="AE1171" s="24"/>
      <c r="AF1171" s="24" t="s">
        <v>2042</v>
      </c>
      <c r="AG1171" s="22"/>
      <c r="AH1171" s="25" t="s">
        <v>911</v>
      </c>
      <c r="AI1171" s="25" t="s">
        <v>1183</v>
      </c>
      <c r="AK1171" s="40" t="s">
        <v>1184</v>
      </c>
      <c r="AL1171" s="40"/>
      <c r="AX1171" s="27"/>
      <c r="AY1171" s="27"/>
      <c r="BK1171" s="27"/>
      <c r="BL1171" s="27"/>
      <c r="BX1171" s="27"/>
      <c r="BY1171" s="27"/>
      <c r="CH1171" s="29"/>
    </row>
    <row r="1172" spans="1:86" x14ac:dyDescent="0.2">
      <c r="A1172" s="18">
        <v>10042</v>
      </c>
      <c r="B1172" s="19">
        <v>10</v>
      </c>
      <c r="C1172" s="19">
        <f t="shared" si="83"/>
        <v>100420010</v>
      </c>
      <c r="D1172" s="23" t="s">
        <v>785</v>
      </c>
      <c r="E1172" s="20" t="s">
        <v>1178</v>
      </c>
      <c r="I1172" s="22" t="s">
        <v>206</v>
      </c>
      <c r="J1172" s="22"/>
      <c r="K1172" s="22"/>
      <c r="L1172" s="22"/>
      <c r="M1172" s="22"/>
      <c r="N1172" s="22" t="s">
        <v>1179</v>
      </c>
      <c r="O1172" s="22" t="s">
        <v>1179</v>
      </c>
      <c r="P1172" s="22"/>
      <c r="Q1172" s="22" t="s">
        <v>2041</v>
      </c>
      <c r="R1172" s="22"/>
      <c r="S1172" s="22"/>
      <c r="T1172" s="22" t="s">
        <v>2714</v>
      </c>
      <c r="U1172" s="116" t="s">
        <v>2920</v>
      </c>
      <c r="V1172" s="22" t="s">
        <v>109</v>
      </c>
      <c r="W1172" s="22" t="s">
        <v>1</v>
      </c>
      <c r="X1172" s="22"/>
      <c r="Z1172" s="22"/>
      <c r="AA1172" s="22"/>
      <c r="AB1172" s="22"/>
      <c r="AC1172" s="22" t="s">
        <v>1193</v>
      </c>
      <c r="AD1172" s="22"/>
      <c r="AE1172" s="24"/>
      <c r="AF1172" s="24" t="s">
        <v>2042</v>
      </c>
      <c r="AG1172" s="22"/>
      <c r="AH1172" s="25" t="s">
        <v>801</v>
      </c>
      <c r="AI1172" s="25" t="s">
        <v>1194</v>
      </c>
      <c r="AK1172" s="40" t="s">
        <v>1195</v>
      </c>
      <c r="AL1172" s="40"/>
      <c r="AX1172" s="27"/>
      <c r="AY1172" s="27"/>
      <c r="BK1172" s="27"/>
      <c r="BL1172" s="27"/>
      <c r="BX1172" s="27"/>
      <c r="BY1172" s="27"/>
      <c r="CH1172" s="29"/>
    </row>
    <row r="1173" spans="1:86" x14ac:dyDescent="0.2">
      <c r="A1173" s="18">
        <v>10042</v>
      </c>
      <c r="B1173" s="19">
        <v>11</v>
      </c>
      <c r="C1173" s="19">
        <f t="shared" si="83"/>
        <v>100420011</v>
      </c>
      <c r="D1173" s="23" t="s">
        <v>785</v>
      </c>
      <c r="E1173" s="20" t="s">
        <v>1196</v>
      </c>
      <c r="I1173" s="22" t="s">
        <v>206</v>
      </c>
      <c r="J1173" s="22"/>
      <c r="K1173" s="22"/>
      <c r="L1173" s="22"/>
      <c r="M1173" s="22"/>
      <c r="N1173" s="22" t="s">
        <v>1197</v>
      </c>
      <c r="O1173" s="22" t="s">
        <v>1197</v>
      </c>
      <c r="P1173" s="22"/>
      <c r="Q1173" s="22" t="s">
        <v>2041</v>
      </c>
      <c r="R1173" s="22"/>
      <c r="S1173" s="22"/>
      <c r="T1173" s="22" t="s">
        <v>2714</v>
      </c>
      <c r="U1173" s="116" t="s">
        <v>2921</v>
      </c>
      <c r="V1173" s="22" t="s">
        <v>109</v>
      </c>
      <c r="W1173" s="22" t="s">
        <v>1</v>
      </c>
      <c r="X1173" s="22"/>
      <c r="Z1173" s="22"/>
      <c r="AA1173" s="22"/>
      <c r="AB1173" s="22"/>
      <c r="AC1173" s="22" t="s">
        <v>1198</v>
      </c>
      <c r="AD1173" s="22"/>
      <c r="AE1173" s="24"/>
      <c r="AF1173" s="24" t="s">
        <v>2042</v>
      </c>
      <c r="AG1173" s="22"/>
      <c r="AH1173" s="25" t="s">
        <v>802</v>
      </c>
      <c r="AI1173" s="25" t="s">
        <v>1199</v>
      </c>
      <c r="AK1173" s="40" t="s">
        <v>1200</v>
      </c>
      <c r="AL1173" s="40"/>
      <c r="AX1173" s="27"/>
      <c r="AY1173" s="27"/>
      <c r="BK1173" s="27"/>
      <c r="BL1173" s="27"/>
      <c r="BX1173" s="27"/>
      <c r="BY1173" s="27"/>
      <c r="CH1173" s="29"/>
    </row>
    <row r="1174" spans="1:86" x14ac:dyDescent="0.2">
      <c r="A1174" s="18">
        <v>10042</v>
      </c>
      <c r="B1174" s="19">
        <v>12</v>
      </c>
      <c r="C1174" s="19">
        <f t="shared" si="83"/>
        <v>100420012</v>
      </c>
      <c r="D1174" s="23" t="s">
        <v>785</v>
      </c>
      <c r="E1174" s="20" t="s">
        <v>1196</v>
      </c>
      <c r="I1174" s="22" t="s">
        <v>206</v>
      </c>
      <c r="J1174" s="22"/>
      <c r="K1174" s="22"/>
      <c r="L1174" s="22"/>
      <c r="M1174" s="22"/>
      <c r="N1174" s="22" t="s">
        <v>1197</v>
      </c>
      <c r="O1174" s="22" t="s">
        <v>1197</v>
      </c>
      <c r="P1174" s="22"/>
      <c r="Q1174" s="22" t="s">
        <v>2041</v>
      </c>
      <c r="R1174" s="22"/>
      <c r="S1174" s="22"/>
      <c r="T1174" s="22" t="s">
        <v>2714</v>
      </c>
      <c r="U1174" s="116" t="s">
        <v>2922</v>
      </c>
      <c r="V1174" s="22" t="s">
        <v>109</v>
      </c>
      <c r="W1174" s="22" t="s">
        <v>1</v>
      </c>
      <c r="X1174" s="22"/>
      <c r="Z1174" s="22"/>
      <c r="AA1174" s="22"/>
      <c r="AB1174" s="22"/>
      <c r="AC1174" s="22" t="s">
        <v>1198</v>
      </c>
      <c r="AD1174" s="22"/>
      <c r="AE1174" s="24"/>
      <c r="AF1174" s="24" t="s">
        <v>2042</v>
      </c>
      <c r="AG1174" s="22"/>
      <c r="AH1174" s="25" t="s">
        <v>803</v>
      </c>
      <c r="AI1174" s="25" t="s">
        <v>1201</v>
      </c>
      <c r="AK1174" s="40" t="s">
        <v>1202</v>
      </c>
      <c r="AL1174" s="40"/>
      <c r="AX1174" s="27"/>
      <c r="AY1174" s="27"/>
      <c r="BK1174" s="27"/>
      <c r="BL1174" s="27"/>
      <c r="BX1174" s="27"/>
      <c r="BY1174" s="27"/>
      <c r="CH1174" s="29"/>
    </row>
    <row r="1175" spans="1:86" x14ac:dyDescent="0.2">
      <c r="A1175" s="18">
        <v>10042</v>
      </c>
      <c r="B1175" s="19">
        <v>13</v>
      </c>
      <c r="C1175" s="19">
        <f t="shared" si="83"/>
        <v>100420013</v>
      </c>
      <c r="D1175" s="23" t="s">
        <v>785</v>
      </c>
      <c r="E1175" s="20" t="s">
        <v>1196</v>
      </c>
      <c r="I1175" s="22" t="s">
        <v>206</v>
      </c>
      <c r="J1175" s="22"/>
      <c r="K1175" s="22"/>
      <c r="L1175" s="22"/>
      <c r="M1175" s="22"/>
      <c r="N1175" s="22" t="s">
        <v>1197</v>
      </c>
      <c r="O1175" s="22" t="s">
        <v>1197</v>
      </c>
      <c r="P1175" s="22"/>
      <c r="Q1175" s="22" t="s">
        <v>2041</v>
      </c>
      <c r="R1175" s="22"/>
      <c r="S1175" s="22"/>
      <c r="T1175" s="22" t="s">
        <v>2714</v>
      </c>
      <c r="U1175" s="116" t="s">
        <v>2923</v>
      </c>
      <c r="V1175" s="22" t="s">
        <v>109</v>
      </c>
      <c r="W1175" s="22" t="s">
        <v>1</v>
      </c>
      <c r="X1175" s="22"/>
      <c r="Z1175" s="22"/>
      <c r="AA1175" s="22"/>
      <c r="AB1175" s="22"/>
      <c r="AC1175" s="22" t="s">
        <v>1198</v>
      </c>
      <c r="AD1175" s="22"/>
      <c r="AE1175" s="24"/>
      <c r="AF1175" s="24" t="s">
        <v>2042</v>
      </c>
      <c r="AG1175" s="22"/>
      <c r="AH1175" s="25" t="s">
        <v>804</v>
      </c>
      <c r="AI1175" s="25" t="s">
        <v>1203</v>
      </c>
      <c r="AK1175" s="40" t="s">
        <v>1204</v>
      </c>
      <c r="AL1175" s="40"/>
      <c r="AX1175" s="27"/>
      <c r="AY1175" s="27"/>
      <c r="BK1175" s="27"/>
      <c r="BL1175" s="27"/>
      <c r="BX1175" s="27"/>
      <c r="BY1175" s="27"/>
      <c r="CH1175" s="29"/>
    </row>
    <row r="1176" spans="1:86" x14ac:dyDescent="0.2">
      <c r="A1176" s="18">
        <v>10042</v>
      </c>
      <c r="B1176" s="19">
        <v>14</v>
      </c>
      <c r="C1176" s="19">
        <f t="shared" si="83"/>
        <v>100420014</v>
      </c>
      <c r="D1176" s="23" t="s">
        <v>785</v>
      </c>
      <c r="E1176" s="20" t="s">
        <v>1196</v>
      </c>
      <c r="I1176" s="22" t="s">
        <v>206</v>
      </c>
      <c r="J1176" s="22"/>
      <c r="K1176" s="22"/>
      <c r="L1176" s="22"/>
      <c r="M1176" s="22"/>
      <c r="N1176" s="22" t="s">
        <v>1197</v>
      </c>
      <c r="O1176" s="22" t="s">
        <v>1197</v>
      </c>
      <c r="P1176" s="22"/>
      <c r="Q1176" s="22" t="s">
        <v>2041</v>
      </c>
      <c r="R1176" s="22"/>
      <c r="S1176" s="22"/>
      <c r="T1176" s="22" t="s">
        <v>2714</v>
      </c>
      <c r="U1176" s="116" t="s">
        <v>2924</v>
      </c>
      <c r="V1176" s="22" t="s">
        <v>109</v>
      </c>
      <c r="W1176" s="22" t="s">
        <v>1</v>
      </c>
      <c r="X1176" s="22"/>
      <c r="Z1176" s="22"/>
      <c r="AA1176" s="22"/>
      <c r="AB1176" s="22"/>
      <c r="AC1176" s="22" t="s">
        <v>1198</v>
      </c>
      <c r="AD1176" s="22"/>
      <c r="AE1176" s="24"/>
      <c r="AF1176" s="24" t="s">
        <v>2042</v>
      </c>
      <c r="AG1176" s="22"/>
      <c r="AH1176" s="25" t="s">
        <v>805</v>
      </c>
      <c r="AI1176" s="25" t="s">
        <v>1205</v>
      </c>
      <c r="AK1176" s="40" t="s">
        <v>1206</v>
      </c>
      <c r="AL1176" s="40"/>
      <c r="AX1176" s="27"/>
      <c r="AY1176" s="27"/>
      <c r="BK1176" s="27"/>
      <c r="BL1176" s="27"/>
      <c r="BX1176" s="27"/>
      <c r="BY1176" s="27"/>
      <c r="CH1176" s="29"/>
    </row>
    <row r="1177" spans="1:86" x14ac:dyDescent="0.2">
      <c r="A1177" s="18">
        <v>10043</v>
      </c>
      <c r="B1177" s="19">
        <v>10</v>
      </c>
      <c r="C1177" s="19">
        <f t="shared" si="83"/>
        <v>100430010</v>
      </c>
      <c r="D1177" s="23" t="s">
        <v>700</v>
      </c>
      <c r="E1177" s="20" t="s">
        <v>1196</v>
      </c>
      <c r="I1177" s="22" t="s">
        <v>206</v>
      </c>
      <c r="J1177" s="22"/>
      <c r="K1177" s="22"/>
      <c r="L1177" s="22"/>
      <c r="M1177" s="22"/>
      <c r="N1177" s="22" t="s">
        <v>1197</v>
      </c>
      <c r="O1177" s="22" t="s">
        <v>1197</v>
      </c>
      <c r="P1177" s="22"/>
      <c r="Q1177" s="22" t="s">
        <v>2041</v>
      </c>
      <c r="R1177" s="22"/>
      <c r="S1177" s="22"/>
      <c r="T1177" s="22" t="s">
        <v>2714</v>
      </c>
      <c r="U1177" s="116" t="s">
        <v>2925</v>
      </c>
      <c r="V1177" s="22" t="s">
        <v>109</v>
      </c>
      <c r="W1177" s="22" t="s">
        <v>1</v>
      </c>
      <c r="X1177" s="22"/>
      <c r="Z1177" s="22"/>
      <c r="AA1177" s="22"/>
      <c r="AB1177" s="22"/>
      <c r="AC1177" s="22" t="s">
        <v>1207</v>
      </c>
      <c r="AD1177" s="22"/>
      <c r="AE1177" s="24"/>
      <c r="AF1177" s="24" t="s">
        <v>2042</v>
      </c>
      <c r="AG1177" s="22"/>
      <c r="AH1177" s="25">
        <v>101431</v>
      </c>
      <c r="AI1177" s="25" t="s">
        <v>1155</v>
      </c>
      <c r="AK1177" s="40" t="s">
        <v>1208</v>
      </c>
      <c r="AL1177" s="40"/>
      <c r="AX1177" s="27"/>
      <c r="AY1177" s="27"/>
      <c r="BK1177" s="27"/>
      <c r="BL1177" s="27"/>
      <c r="BX1177" s="27"/>
      <c r="BY1177" s="27"/>
      <c r="CH1177" s="29"/>
    </row>
    <row r="1178" spans="1:86" x14ac:dyDescent="0.2">
      <c r="A1178" s="18">
        <v>10043</v>
      </c>
      <c r="B1178" s="19">
        <v>11</v>
      </c>
      <c r="C1178" s="19">
        <f t="shared" si="83"/>
        <v>100430011</v>
      </c>
      <c r="D1178" s="23" t="s">
        <v>700</v>
      </c>
      <c r="E1178" s="20" t="s">
        <v>1209</v>
      </c>
      <c r="I1178" s="22" t="s">
        <v>206</v>
      </c>
      <c r="J1178" s="22"/>
      <c r="K1178" s="22"/>
      <c r="L1178" s="22"/>
      <c r="M1178" s="22"/>
      <c r="N1178" s="22" t="s">
        <v>1147</v>
      </c>
      <c r="O1178" s="22" t="s">
        <v>1147</v>
      </c>
      <c r="P1178" s="22"/>
      <c r="Q1178" s="22" t="s">
        <v>2041</v>
      </c>
      <c r="R1178" s="22"/>
      <c r="S1178" s="22"/>
      <c r="T1178" s="22" t="s">
        <v>2714</v>
      </c>
      <c r="U1178" s="116" t="s">
        <v>2926</v>
      </c>
      <c r="V1178" s="22" t="s">
        <v>109</v>
      </c>
      <c r="W1178" s="22" t="s">
        <v>1</v>
      </c>
      <c r="X1178" s="22"/>
      <c r="Z1178" s="22"/>
      <c r="AA1178" s="22"/>
      <c r="AB1178" s="22"/>
      <c r="AC1178" s="22" t="s">
        <v>1210</v>
      </c>
      <c r="AD1178" s="22"/>
      <c r="AE1178" s="24"/>
      <c r="AF1178" s="24" t="s">
        <v>2042</v>
      </c>
      <c r="AG1178" s="22"/>
      <c r="AH1178" s="25">
        <v>101432</v>
      </c>
      <c r="AI1178" s="25" t="s">
        <v>1157</v>
      </c>
      <c r="AK1178" s="40" t="s">
        <v>1211</v>
      </c>
      <c r="AL1178" s="40"/>
      <c r="AX1178" s="27"/>
      <c r="AY1178" s="27"/>
      <c r="BK1178" s="27"/>
      <c r="BL1178" s="27"/>
      <c r="BX1178" s="27"/>
      <c r="BY1178" s="27"/>
      <c r="CH1178" s="29"/>
    </row>
    <row r="1179" spans="1:86" x14ac:dyDescent="0.2">
      <c r="A1179" s="18">
        <v>10043</v>
      </c>
      <c r="B1179" s="19">
        <v>12</v>
      </c>
      <c r="C1179" s="19">
        <f t="shared" si="83"/>
        <v>100430012</v>
      </c>
      <c r="D1179" s="23" t="s">
        <v>700</v>
      </c>
      <c r="E1179" s="20" t="s">
        <v>1209</v>
      </c>
      <c r="I1179" s="22" t="s">
        <v>206</v>
      </c>
      <c r="J1179" s="22"/>
      <c r="K1179" s="22"/>
      <c r="L1179" s="22"/>
      <c r="M1179" s="22"/>
      <c r="N1179" s="22" t="s">
        <v>1147</v>
      </c>
      <c r="O1179" s="22" t="s">
        <v>1147</v>
      </c>
      <c r="P1179" s="22"/>
      <c r="Q1179" s="22" t="s">
        <v>2041</v>
      </c>
      <c r="R1179" s="22"/>
      <c r="S1179" s="22"/>
      <c r="T1179" s="22" t="s">
        <v>2714</v>
      </c>
      <c r="U1179" s="116" t="s">
        <v>2927</v>
      </c>
      <c r="V1179" s="22" t="s">
        <v>109</v>
      </c>
      <c r="W1179" s="22" t="s">
        <v>1</v>
      </c>
      <c r="X1179" s="22"/>
      <c r="Z1179" s="22"/>
      <c r="AA1179" s="22"/>
      <c r="AB1179" s="22"/>
      <c r="AC1179" s="22" t="s">
        <v>1210</v>
      </c>
      <c r="AD1179" s="22"/>
      <c r="AE1179" s="24"/>
      <c r="AF1179" s="24" t="s">
        <v>2042</v>
      </c>
      <c r="AG1179" s="22"/>
      <c r="AH1179" s="25">
        <v>101433</v>
      </c>
      <c r="AI1179" s="25" t="s">
        <v>1148</v>
      </c>
      <c r="AK1179" s="40" t="s">
        <v>1212</v>
      </c>
      <c r="AL1179" s="40"/>
      <c r="AX1179" s="27"/>
      <c r="AY1179" s="27"/>
      <c r="BK1179" s="27"/>
      <c r="BL1179" s="27"/>
      <c r="BX1179" s="27"/>
      <c r="BY1179" s="27"/>
      <c r="CH1179" s="29"/>
    </row>
    <row r="1180" spans="1:86" x14ac:dyDescent="0.2">
      <c r="A1180" s="18">
        <v>10043</v>
      </c>
      <c r="B1180" s="19">
        <v>13</v>
      </c>
      <c r="C1180" s="19">
        <f t="shared" ref="C1180:C1248" si="84">A1180*10000+B1180</f>
        <v>100430013</v>
      </c>
      <c r="D1180" s="23" t="s">
        <v>700</v>
      </c>
      <c r="E1180" s="20" t="s">
        <v>1209</v>
      </c>
      <c r="I1180" s="22" t="s">
        <v>206</v>
      </c>
      <c r="J1180" s="22"/>
      <c r="K1180" s="22"/>
      <c r="L1180" s="22"/>
      <c r="M1180" s="22"/>
      <c r="N1180" s="22" t="s">
        <v>1147</v>
      </c>
      <c r="O1180" s="22" t="s">
        <v>1147</v>
      </c>
      <c r="P1180" s="22"/>
      <c r="Q1180" s="22" t="s">
        <v>2041</v>
      </c>
      <c r="R1180" s="22"/>
      <c r="S1180" s="22"/>
      <c r="T1180" s="22" t="s">
        <v>2714</v>
      </c>
      <c r="U1180" s="116" t="s">
        <v>2928</v>
      </c>
      <c r="V1180" s="22" t="s">
        <v>109</v>
      </c>
      <c r="W1180" s="22" t="s">
        <v>1</v>
      </c>
      <c r="X1180" s="22"/>
      <c r="Z1180" s="22"/>
      <c r="AA1180" s="22"/>
      <c r="AB1180" s="22"/>
      <c r="AC1180" s="22" t="s">
        <v>1210</v>
      </c>
      <c r="AD1180" s="22"/>
      <c r="AE1180" s="24"/>
      <c r="AF1180" s="24" t="s">
        <v>2042</v>
      </c>
      <c r="AG1180" s="22"/>
      <c r="AH1180" s="25">
        <v>101434</v>
      </c>
      <c r="AI1180" s="25" t="s">
        <v>1150</v>
      </c>
      <c r="AK1180" s="40" t="s">
        <v>1213</v>
      </c>
      <c r="AL1180" s="40"/>
      <c r="AX1180" s="27"/>
      <c r="AY1180" s="27"/>
      <c r="BK1180" s="27"/>
      <c r="BL1180" s="27"/>
      <c r="BX1180" s="27"/>
      <c r="BY1180" s="27"/>
      <c r="CH1180" s="29"/>
    </row>
    <row r="1181" spans="1:86" x14ac:dyDescent="0.2">
      <c r="A1181" s="18">
        <v>10043</v>
      </c>
      <c r="B1181" s="19">
        <v>14</v>
      </c>
      <c r="C1181" s="19">
        <f t="shared" si="84"/>
        <v>100430014</v>
      </c>
      <c r="D1181" s="23" t="s">
        <v>700</v>
      </c>
      <c r="E1181" s="20" t="s">
        <v>1209</v>
      </c>
      <c r="I1181" s="22" t="s">
        <v>206</v>
      </c>
      <c r="J1181" s="22"/>
      <c r="K1181" s="22"/>
      <c r="L1181" s="22"/>
      <c r="M1181" s="22"/>
      <c r="N1181" s="22" t="s">
        <v>1147</v>
      </c>
      <c r="O1181" s="22" t="s">
        <v>1147</v>
      </c>
      <c r="P1181" s="22"/>
      <c r="Q1181" s="22" t="s">
        <v>2041</v>
      </c>
      <c r="R1181" s="22"/>
      <c r="S1181" s="22"/>
      <c r="T1181" s="22" t="s">
        <v>2714</v>
      </c>
      <c r="U1181" s="116" t="s">
        <v>2929</v>
      </c>
      <c r="V1181" s="22" t="s">
        <v>109</v>
      </c>
      <c r="W1181" s="22" t="s">
        <v>1</v>
      </c>
      <c r="X1181" s="22"/>
      <c r="Z1181" s="22"/>
      <c r="AA1181" s="22"/>
      <c r="AB1181" s="22"/>
      <c r="AC1181" s="22" t="s">
        <v>1210</v>
      </c>
      <c r="AD1181" s="22"/>
      <c r="AE1181" s="24"/>
      <c r="AF1181" s="24" t="s">
        <v>2042</v>
      </c>
      <c r="AG1181" s="22"/>
      <c r="AH1181" s="25">
        <v>101435</v>
      </c>
      <c r="AI1181" s="25" t="s">
        <v>1152</v>
      </c>
      <c r="AK1181" s="40" t="s">
        <v>1214</v>
      </c>
      <c r="AL1181" s="40"/>
      <c r="AX1181" s="27"/>
      <c r="AY1181" s="27"/>
      <c r="BK1181" s="27"/>
      <c r="BL1181" s="27"/>
      <c r="BX1181" s="27"/>
      <c r="BY1181" s="27"/>
      <c r="CH1181" s="29"/>
    </row>
    <row r="1182" spans="1:86" x14ac:dyDescent="0.2">
      <c r="A1182" s="18">
        <v>10044</v>
      </c>
      <c r="B1182" s="19">
        <v>10</v>
      </c>
      <c r="C1182" s="19">
        <f t="shared" si="84"/>
        <v>100440010</v>
      </c>
      <c r="D1182" s="23" t="s">
        <v>710</v>
      </c>
      <c r="E1182" s="20" t="s">
        <v>1209</v>
      </c>
      <c r="I1182" s="22" t="s">
        <v>206</v>
      </c>
      <c r="J1182" s="22"/>
      <c r="K1182" s="22"/>
      <c r="L1182" s="22"/>
      <c r="M1182" s="22"/>
      <c r="N1182" s="22" t="s">
        <v>1147</v>
      </c>
      <c r="O1182" s="22" t="s">
        <v>1147</v>
      </c>
      <c r="P1182" s="22"/>
      <c r="Q1182" s="22" t="s">
        <v>2041</v>
      </c>
      <c r="R1182" s="22"/>
      <c r="S1182" s="22"/>
      <c r="T1182" s="22" t="s">
        <v>2714</v>
      </c>
      <c r="U1182" s="116" t="s">
        <v>2930</v>
      </c>
      <c r="V1182" s="22" t="s">
        <v>109</v>
      </c>
      <c r="W1182" s="22" t="s">
        <v>1</v>
      </c>
      <c r="X1182" s="22"/>
      <c r="Z1182" s="22"/>
      <c r="AA1182" s="22"/>
      <c r="AB1182" s="22"/>
      <c r="AC1182" s="22">
        <v>44</v>
      </c>
      <c r="AD1182" s="22"/>
      <c r="AE1182" s="24"/>
      <c r="AF1182" s="24" t="s">
        <v>2042</v>
      </c>
      <c r="AG1182" s="22"/>
      <c r="AH1182" s="25">
        <v>101441</v>
      </c>
      <c r="AI1182" s="25" t="s">
        <v>1155</v>
      </c>
      <c r="AK1182" s="40" t="s">
        <v>1208</v>
      </c>
      <c r="AL1182" s="40"/>
      <c r="AX1182" s="27"/>
      <c r="AY1182" s="27"/>
      <c r="BK1182" s="27"/>
      <c r="BL1182" s="27"/>
      <c r="BX1182" s="27"/>
      <c r="BY1182" s="27"/>
      <c r="CH1182" s="29"/>
    </row>
    <row r="1183" spans="1:86" x14ac:dyDescent="0.2">
      <c r="A1183" s="18">
        <v>10044</v>
      </c>
      <c r="B1183" s="19">
        <v>11</v>
      </c>
      <c r="C1183" s="19">
        <f t="shared" si="84"/>
        <v>100440011</v>
      </c>
      <c r="D1183" s="23" t="s">
        <v>710</v>
      </c>
      <c r="E1183" s="20" t="s">
        <v>1209</v>
      </c>
      <c r="I1183" s="22" t="s">
        <v>206</v>
      </c>
      <c r="J1183" s="22"/>
      <c r="K1183" s="22"/>
      <c r="L1183" s="22"/>
      <c r="M1183" s="22"/>
      <c r="N1183" s="22" t="s">
        <v>1147</v>
      </c>
      <c r="O1183" s="22" t="s">
        <v>1147</v>
      </c>
      <c r="P1183" s="22"/>
      <c r="Q1183" s="22" t="s">
        <v>2041</v>
      </c>
      <c r="R1183" s="22"/>
      <c r="S1183" s="22"/>
      <c r="T1183" s="22" t="s">
        <v>2714</v>
      </c>
      <c r="U1183" s="116" t="s">
        <v>2931</v>
      </c>
      <c r="V1183" s="22" t="s">
        <v>109</v>
      </c>
      <c r="W1183" s="22" t="s">
        <v>1</v>
      </c>
      <c r="X1183" s="22"/>
      <c r="Z1183" s="22"/>
      <c r="AA1183" s="22"/>
      <c r="AB1183" s="22"/>
      <c r="AC1183" s="22">
        <v>44</v>
      </c>
      <c r="AD1183" s="22"/>
      <c r="AE1183" s="24"/>
      <c r="AF1183" s="24" t="s">
        <v>2042</v>
      </c>
      <c r="AG1183" s="22"/>
      <c r="AH1183" s="25">
        <v>101442</v>
      </c>
      <c r="AI1183" s="25" t="s">
        <v>1157</v>
      </c>
      <c r="AK1183" s="40" t="s">
        <v>1211</v>
      </c>
      <c r="AL1183" s="40"/>
      <c r="AX1183" s="27"/>
      <c r="AY1183" s="27"/>
      <c r="BK1183" s="27"/>
      <c r="BL1183" s="27"/>
      <c r="BX1183" s="27"/>
      <c r="BY1183" s="27"/>
      <c r="CH1183" s="29"/>
    </row>
    <row r="1184" spans="1:86" x14ac:dyDescent="0.2">
      <c r="A1184" s="18">
        <v>10044</v>
      </c>
      <c r="B1184" s="19">
        <v>12</v>
      </c>
      <c r="C1184" s="19">
        <f t="shared" si="84"/>
        <v>100440012</v>
      </c>
      <c r="D1184" s="23" t="s">
        <v>710</v>
      </c>
      <c r="E1184" s="20" t="s">
        <v>1209</v>
      </c>
      <c r="I1184" s="22" t="s">
        <v>206</v>
      </c>
      <c r="J1184" s="22"/>
      <c r="K1184" s="22"/>
      <c r="L1184" s="22"/>
      <c r="M1184" s="22"/>
      <c r="N1184" s="22" t="s">
        <v>1147</v>
      </c>
      <c r="O1184" s="22" t="s">
        <v>1147</v>
      </c>
      <c r="P1184" s="22"/>
      <c r="Q1184" s="22" t="s">
        <v>2041</v>
      </c>
      <c r="R1184" s="22"/>
      <c r="S1184" s="22"/>
      <c r="T1184" s="22" t="s">
        <v>2714</v>
      </c>
      <c r="U1184" s="116" t="s">
        <v>2932</v>
      </c>
      <c r="V1184" s="22" t="s">
        <v>109</v>
      </c>
      <c r="W1184" s="22" t="s">
        <v>1</v>
      </c>
      <c r="X1184" s="22"/>
      <c r="Z1184" s="22"/>
      <c r="AA1184" s="22"/>
      <c r="AB1184" s="22"/>
      <c r="AC1184" s="22">
        <v>44</v>
      </c>
      <c r="AD1184" s="22"/>
      <c r="AE1184" s="24"/>
      <c r="AF1184" s="24" t="s">
        <v>2042</v>
      </c>
      <c r="AG1184" s="22"/>
      <c r="AH1184" s="25">
        <v>101443</v>
      </c>
      <c r="AI1184" s="25" t="s">
        <v>1148</v>
      </c>
      <c r="AK1184" s="40" t="s">
        <v>1212</v>
      </c>
      <c r="AL1184" s="40"/>
      <c r="AX1184" s="27"/>
      <c r="AY1184" s="27"/>
      <c r="BK1184" s="27"/>
      <c r="BL1184" s="27"/>
      <c r="BX1184" s="27"/>
      <c r="BY1184" s="27"/>
      <c r="CH1184" s="29"/>
    </row>
    <row r="1185" spans="1:86" x14ac:dyDescent="0.2">
      <c r="A1185" s="18">
        <v>10044</v>
      </c>
      <c r="B1185" s="19">
        <v>13</v>
      </c>
      <c r="C1185" s="19">
        <f t="shared" si="84"/>
        <v>100440013</v>
      </c>
      <c r="D1185" s="23" t="s">
        <v>710</v>
      </c>
      <c r="E1185" s="20" t="s">
        <v>1209</v>
      </c>
      <c r="I1185" s="22" t="s">
        <v>206</v>
      </c>
      <c r="J1185" s="22"/>
      <c r="K1185" s="22"/>
      <c r="L1185" s="22"/>
      <c r="M1185" s="22"/>
      <c r="N1185" s="22" t="s">
        <v>1147</v>
      </c>
      <c r="O1185" s="22" t="s">
        <v>1147</v>
      </c>
      <c r="P1185" s="22"/>
      <c r="Q1185" s="22" t="s">
        <v>2041</v>
      </c>
      <c r="R1185" s="22"/>
      <c r="S1185" s="22"/>
      <c r="T1185" s="22" t="s">
        <v>2714</v>
      </c>
      <c r="U1185" s="116" t="s">
        <v>2933</v>
      </c>
      <c r="V1185" s="22" t="s">
        <v>109</v>
      </c>
      <c r="W1185" s="22" t="s">
        <v>1</v>
      </c>
      <c r="X1185" s="22"/>
      <c r="Z1185" s="22"/>
      <c r="AA1185" s="22"/>
      <c r="AB1185" s="22"/>
      <c r="AC1185" s="22">
        <v>44</v>
      </c>
      <c r="AD1185" s="22"/>
      <c r="AE1185" s="24"/>
      <c r="AF1185" s="24" t="s">
        <v>2042</v>
      </c>
      <c r="AG1185" s="22"/>
      <c r="AH1185" s="25">
        <v>101444</v>
      </c>
      <c r="AI1185" s="25" t="s">
        <v>1150</v>
      </c>
      <c r="AK1185" s="40" t="s">
        <v>1213</v>
      </c>
      <c r="AL1185" s="40"/>
      <c r="AX1185" s="27"/>
      <c r="AY1185" s="27"/>
      <c r="BK1185" s="27"/>
      <c r="BL1185" s="27"/>
      <c r="BX1185" s="27"/>
      <c r="BY1185" s="27"/>
      <c r="CH1185" s="29"/>
    </row>
    <row r="1186" spans="1:86" x14ac:dyDescent="0.2">
      <c r="A1186" s="18">
        <v>10044</v>
      </c>
      <c r="B1186" s="19">
        <v>14</v>
      </c>
      <c r="C1186" s="19">
        <f t="shared" si="84"/>
        <v>100440014</v>
      </c>
      <c r="D1186" s="23" t="s">
        <v>710</v>
      </c>
      <c r="E1186" s="20" t="s">
        <v>1209</v>
      </c>
      <c r="I1186" s="22" t="s">
        <v>206</v>
      </c>
      <c r="J1186" s="22"/>
      <c r="K1186" s="22"/>
      <c r="L1186" s="22"/>
      <c r="M1186" s="22"/>
      <c r="N1186" s="22" t="s">
        <v>1147</v>
      </c>
      <c r="O1186" s="22" t="s">
        <v>1147</v>
      </c>
      <c r="P1186" s="22"/>
      <c r="Q1186" s="22" t="s">
        <v>2041</v>
      </c>
      <c r="R1186" s="22"/>
      <c r="S1186" s="22"/>
      <c r="T1186" s="22" t="s">
        <v>2714</v>
      </c>
      <c r="U1186" s="116" t="s">
        <v>2934</v>
      </c>
      <c r="V1186" s="22" t="s">
        <v>109</v>
      </c>
      <c r="W1186" s="22" t="s">
        <v>1</v>
      </c>
      <c r="X1186" s="22"/>
      <c r="Z1186" s="22"/>
      <c r="AA1186" s="22"/>
      <c r="AB1186" s="22"/>
      <c r="AC1186" s="22">
        <v>44</v>
      </c>
      <c r="AD1186" s="22"/>
      <c r="AE1186" s="24"/>
      <c r="AF1186" s="24" t="s">
        <v>2042</v>
      </c>
      <c r="AG1186" s="22"/>
      <c r="AH1186" s="25">
        <v>101445</v>
      </c>
      <c r="AI1186" s="25" t="s">
        <v>1152</v>
      </c>
      <c r="AK1186" s="40" t="s">
        <v>1214</v>
      </c>
      <c r="AL1186" s="40"/>
      <c r="AX1186" s="27"/>
      <c r="AY1186" s="27"/>
      <c r="BK1186" s="27"/>
      <c r="BL1186" s="27"/>
      <c r="BX1186" s="27"/>
      <c r="BY1186" s="27"/>
      <c r="CH1186" s="29"/>
    </row>
    <row r="1187" spans="1:86" x14ac:dyDescent="0.2">
      <c r="A1187" s="18">
        <v>10045</v>
      </c>
      <c r="B1187" s="19">
        <v>10</v>
      </c>
      <c r="C1187" s="19">
        <f t="shared" si="84"/>
        <v>100450010</v>
      </c>
      <c r="D1187" s="23" t="s">
        <v>783</v>
      </c>
      <c r="E1187" s="20" t="s">
        <v>1209</v>
      </c>
      <c r="I1187" s="22" t="s">
        <v>206</v>
      </c>
      <c r="J1187" s="22"/>
      <c r="K1187" s="22"/>
      <c r="L1187" s="22"/>
      <c r="M1187" s="22"/>
      <c r="N1187" s="22" t="s">
        <v>1147</v>
      </c>
      <c r="O1187" s="22" t="s">
        <v>1147</v>
      </c>
      <c r="P1187" s="22"/>
      <c r="Q1187" s="22" t="s">
        <v>2041</v>
      </c>
      <c r="R1187" s="22"/>
      <c r="S1187" s="22"/>
      <c r="T1187" s="22" t="s">
        <v>2714</v>
      </c>
      <c r="U1187" s="116" t="s">
        <v>2935</v>
      </c>
      <c r="V1187" s="22" t="s">
        <v>109</v>
      </c>
      <c r="W1187" s="22" t="s">
        <v>1</v>
      </c>
      <c r="X1187" s="22"/>
      <c r="Z1187" s="22"/>
      <c r="AA1187" s="22"/>
      <c r="AB1187" s="22"/>
      <c r="AC1187" s="22" t="s">
        <v>1150</v>
      </c>
      <c r="AD1187" s="22"/>
      <c r="AE1187" s="24"/>
      <c r="AF1187" s="24" t="s">
        <v>2042</v>
      </c>
      <c r="AG1187" s="22"/>
      <c r="AH1187" s="25" t="s">
        <v>806</v>
      </c>
      <c r="AI1187" s="25" t="s">
        <v>1155</v>
      </c>
      <c r="AK1187" s="40" t="s">
        <v>1208</v>
      </c>
      <c r="AL1187" s="40"/>
      <c r="AX1187" s="27"/>
      <c r="AY1187" s="27"/>
      <c r="BK1187" s="27"/>
      <c r="BL1187" s="27"/>
      <c r="BX1187" s="27"/>
      <c r="BY1187" s="27"/>
      <c r="CH1187" s="29"/>
    </row>
    <row r="1188" spans="1:86" x14ac:dyDescent="0.2">
      <c r="A1188" s="18">
        <v>10045</v>
      </c>
      <c r="B1188" s="19">
        <v>11</v>
      </c>
      <c r="C1188" s="19">
        <f t="shared" si="84"/>
        <v>100450011</v>
      </c>
      <c r="D1188" s="23" t="s">
        <v>783</v>
      </c>
      <c r="E1188" s="20" t="s">
        <v>1209</v>
      </c>
      <c r="I1188" s="22" t="s">
        <v>206</v>
      </c>
      <c r="J1188" s="22"/>
      <c r="K1188" s="22"/>
      <c r="L1188" s="22"/>
      <c r="M1188" s="22"/>
      <c r="N1188" s="22" t="s">
        <v>1147</v>
      </c>
      <c r="O1188" s="22" t="s">
        <v>1147</v>
      </c>
      <c r="P1188" s="22"/>
      <c r="Q1188" s="22" t="s">
        <v>2041</v>
      </c>
      <c r="R1188" s="22"/>
      <c r="S1188" s="22"/>
      <c r="T1188" s="22" t="s">
        <v>2714</v>
      </c>
      <c r="U1188" s="116" t="s">
        <v>2936</v>
      </c>
      <c r="V1188" s="22" t="s">
        <v>109</v>
      </c>
      <c r="W1188" s="22" t="s">
        <v>1</v>
      </c>
      <c r="X1188" s="22"/>
      <c r="Z1188" s="22"/>
      <c r="AA1188" s="22"/>
      <c r="AB1188" s="22"/>
      <c r="AC1188" s="22" t="s">
        <v>1150</v>
      </c>
      <c r="AD1188" s="22"/>
      <c r="AE1188" s="24"/>
      <c r="AF1188" s="24" t="s">
        <v>2042</v>
      </c>
      <c r="AG1188" s="22"/>
      <c r="AH1188" s="25" t="s">
        <v>807</v>
      </c>
      <c r="AI1188" s="25" t="s">
        <v>1157</v>
      </c>
      <c r="AK1188" s="40" t="s">
        <v>1211</v>
      </c>
      <c r="AL1188" s="40"/>
      <c r="AX1188" s="27"/>
      <c r="AY1188" s="27"/>
      <c r="BK1188" s="27"/>
      <c r="BL1188" s="27"/>
      <c r="BX1188" s="27"/>
      <c r="BY1188" s="27"/>
      <c r="CH1188" s="29"/>
    </row>
    <row r="1189" spans="1:86" x14ac:dyDescent="0.2">
      <c r="A1189" s="18">
        <v>10045</v>
      </c>
      <c r="B1189" s="19">
        <v>12</v>
      </c>
      <c r="C1189" s="19">
        <f t="shared" si="84"/>
        <v>100450012</v>
      </c>
      <c r="D1189" s="23" t="s">
        <v>783</v>
      </c>
      <c r="E1189" s="20" t="s">
        <v>1209</v>
      </c>
      <c r="I1189" s="22" t="s">
        <v>206</v>
      </c>
      <c r="J1189" s="22"/>
      <c r="K1189" s="22"/>
      <c r="L1189" s="22"/>
      <c r="M1189" s="22"/>
      <c r="N1189" s="22" t="s">
        <v>1147</v>
      </c>
      <c r="O1189" s="22" t="s">
        <v>1147</v>
      </c>
      <c r="P1189" s="22"/>
      <c r="Q1189" s="22" t="s">
        <v>2041</v>
      </c>
      <c r="R1189" s="22"/>
      <c r="S1189" s="22"/>
      <c r="T1189" s="22" t="s">
        <v>2714</v>
      </c>
      <c r="U1189" s="116" t="s">
        <v>2937</v>
      </c>
      <c r="V1189" s="22" t="s">
        <v>109</v>
      </c>
      <c r="W1189" s="22" t="s">
        <v>1</v>
      </c>
      <c r="X1189" s="22"/>
      <c r="Z1189" s="22"/>
      <c r="AA1189" s="22"/>
      <c r="AB1189" s="22"/>
      <c r="AC1189" s="22" t="s">
        <v>1150</v>
      </c>
      <c r="AD1189" s="22"/>
      <c r="AE1189" s="24"/>
      <c r="AF1189" s="24" t="s">
        <v>2042</v>
      </c>
      <c r="AG1189" s="22"/>
      <c r="AH1189" s="25" t="s">
        <v>808</v>
      </c>
      <c r="AI1189" s="25" t="s">
        <v>1148</v>
      </c>
      <c r="AK1189" s="40" t="s">
        <v>1212</v>
      </c>
      <c r="AL1189" s="40"/>
      <c r="AX1189" s="27"/>
      <c r="AY1189" s="27"/>
      <c r="BK1189" s="27"/>
      <c r="BL1189" s="27"/>
      <c r="BX1189" s="27"/>
      <c r="BY1189" s="27"/>
      <c r="CH1189" s="29"/>
    </row>
    <row r="1190" spans="1:86" x14ac:dyDescent="0.2">
      <c r="A1190" s="18">
        <v>10045</v>
      </c>
      <c r="B1190" s="19">
        <v>13</v>
      </c>
      <c r="C1190" s="19">
        <f t="shared" si="84"/>
        <v>100450013</v>
      </c>
      <c r="D1190" s="23" t="s">
        <v>783</v>
      </c>
      <c r="E1190" s="20" t="s">
        <v>1209</v>
      </c>
      <c r="I1190" s="22" t="s">
        <v>206</v>
      </c>
      <c r="J1190" s="22"/>
      <c r="K1190" s="22"/>
      <c r="L1190" s="22"/>
      <c r="M1190" s="22"/>
      <c r="N1190" s="22" t="s">
        <v>1147</v>
      </c>
      <c r="O1190" s="22" t="s">
        <v>1147</v>
      </c>
      <c r="P1190" s="22"/>
      <c r="Q1190" s="22" t="s">
        <v>2041</v>
      </c>
      <c r="R1190" s="22"/>
      <c r="S1190" s="22"/>
      <c r="T1190" s="22" t="s">
        <v>2714</v>
      </c>
      <c r="U1190" s="116" t="s">
        <v>2938</v>
      </c>
      <c r="V1190" s="22" t="s">
        <v>109</v>
      </c>
      <c r="W1190" s="22" t="s">
        <v>1</v>
      </c>
      <c r="X1190" s="22"/>
      <c r="Z1190" s="22"/>
      <c r="AA1190" s="22"/>
      <c r="AB1190" s="22"/>
      <c r="AC1190" s="22" t="s">
        <v>1150</v>
      </c>
      <c r="AD1190" s="22"/>
      <c r="AE1190" s="24"/>
      <c r="AF1190" s="24" t="s">
        <v>2042</v>
      </c>
      <c r="AG1190" s="22"/>
      <c r="AH1190" s="25" t="s">
        <v>809</v>
      </c>
      <c r="AI1190" s="25" t="s">
        <v>1150</v>
      </c>
      <c r="AK1190" s="40" t="s">
        <v>1213</v>
      </c>
      <c r="AL1190" s="40"/>
      <c r="AX1190" s="27"/>
      <c r="AY1190" s="27"/>
      <c r="BK1190" s="27"/>
      <c r="BL1190" s="27"/>
      <c r="BX1190" s="27"/>
      <c r="BY1190" s="27"/>
      <c r="CH1190" s="29"/>
    </row>
    <row r="1191" spans="1:86" x14ac:dyDescent="0.2">
      <c r="A1191" s="18">
        <v>10045</v>
      </c>
      <c r="B1191" s="19">
        <v>14</v>
      </c>
      <c r="C1191" s="19">
        <f t="shared" si="84"/>
        <v>100450014</v>
      </c>
      <c r="D1191" s="23" t="s">
        <v>783</v>
      </c>
      <c r="E1191" s="20" t="s">
        <v>1209</v>
      </c>
      <c r="I1191" s="22" t="s">
        <v>206</v>
      </c>
      <c r="J1191" s="22"/>
      <c r="K1191" s="22"/>
      <c r="L1191" s="22"/>
      <c r="M1191" s="22"/>
      <c r="N1191" s="22" t="s">
        <v>1147</v>
      </c>
      <c r="O1191" s="22" t="s">
        <v>1147</v>
      </c>
      <c r="P1191" s="22"/>
      <c r="Q1191" s="22" t="s">
        <v>2041</v>
      </c>
      <c r="R1191" s="22"/>
      <c r="S1191" s="22"/>
      <c r="T1191" s="22" t="s">
        <v>2714</v>
      </c>
      <c r="U1191" s="116" t="s">
        <v>2939</v>
      </c>
      <c r="V1191" s="22" t="s">
        <v>109</v>
      </c>
      <c r="W1191" s="22" t="s">
        <v>1</v>
      </c>
      <c r="X1191" s="22"/>
      <c r="Z1191" s="22"/>
      <c r="AA1191" s="22"/>
      <c r="AB1191" s="22"/>
      <c r="AC1191" s="22" t="s">
        <v>1150</v>
      </c>
      <c r="AD1191" s="22"/>
      <c r="AE1191" s="24"/>
      <c r="AF1191" s="24" t="s">
        <v>2042</v>
      </c>
      <c r="AG1191" s="22"/>
      <c r="AH1191" s="25" t="s">
        <v>810</v>
      </c>
      <c r="AI1191" s="25" t="s">
        <v>1152</v>
      </c>
      <c r="AK1191" s="40" t="s">
        <v>1214</v>
      </c>
      <c r="AL1191" s="40"/>
      <c r="AX1191" s="27"/>
      <c r="AY1191" s="27"/>
      <c r="BK1191" s="27"/>
      <c r="BL1191" s="27"/>
      <c r="BX1191" s="27"/>
      <c r="BY1191" s="27"/>
      <c r="CH1191" s="29"/>
    </row>
    <row r="1192" spans="1:86" x14ac:dyDescent="0.2">
      <c r="A1192" s="18">
        <v>10046</v>
      </c>
      <c r="B1192" s="19">
        <v>10</v>
      </c>
      <c r="C1192" s="19">
        <f t="shared" si="84"/>
        <v>100460010</v>
      </c>
      <c r="D1192" s="23" t="s">
        <v>1395</v>
      </c>
      <c r="E1192" s="20" t="s">
        <v>640</v>
      </c>
      <c r="I1192" s="21" t="s">
        <v>206</v>
      </c>
      <c r="J1192" s="21"/>
      <c r="K1192" s="21"/>
      <c r="L1192" s="21"/>
      <c r="M1192" s="21"/>
      <c r="N1192" s="21" t="s">
        <v>163</v>
      </c>
      <c r="O1192" s="21" t="s">
        <v>163</v>
      </c>
      <c r="P1192" s="114"/>
      <c r="Q1192" s="114" t="s">
        <v>2041</v>
      </c>
      <c r="R1192" s="114"/>
      <c r="S1192" s="114"/>
      <c r="T1192" s="114" t="s">
        <v>2714</v>
      </c>
      <c r="U1192" s="117" t="s">
        <v>2940</v>
      </c>
      <c r="V1192" s="21" t="s">
        <v>109</v>
      </c>
      <c r="W1192" s="21" t="s">
        <v>1</v>
      </c>
      <c r="X1192" s="21"/>
      <c r="Z1192" s="21"/>
      <c r="AA1192" s="21"/>
      <c r="AB1192" s="21"/>
      <c r="AC1192" s="21">
        <v>46</v>
      </c>
      <c r="AD1192" s="21"/>
      <c r="AE1192" s="39"/>
      <c r="AF1192" s="39" t="s">
        <v>2042</v>
      </c>
      <c r="AG1192" s="21"/>
      <c r="AH1192" s="25">
        <v>101461</v>
      </c>
      <c r="AI1192" s="25" t="s">
        <v>176</v>
      </c>
      <c r="AK1192" s="27" t="s">
        <v>635</v>
      </c>
      <c r="AL1192" s="27"/>
      <c r="AX1192" s="27"/>
      <c r="AY1192" s="27"/>
      <c r="BK1192" s="27"/>
      <c r="BL1192" s="27"/>
      <c r="BX1192" s="27"/>
      <c r="BY1192" s="27"/>
      <c r="CH1192" s="29"/>
    </row>
    <row r="1193" spans="1:86" x14ac:dyDescent="0.2">
      <c r="A1193" s="18">
        <v>10046</v>
      </c>
      <c r="B1193" s="19">
        <v>11</v>
      </c>
      <c r="C1193" s="19">
        <f t="shared" si="84"/>
        <v>100460011</v>
      </c>
      <c r="D1193" s="23" t="s">
        <v>1395</v>
      </c>
      <c r="E1193" s="20" t="s">
        <v>640</v>
      </c>
      <c r="I1193" s="21" t="s">
        <v>206</v>
      </c>
      <c r="J1193" s="21"/>
      <c r="K1193" s="21"/>
      <c r="L1193" s="21"/>
      <c r="M1193" s="21"/>
      <c r="N1193" s="21" t="s">
        <v>163</v>
      </c>
      <c r="O1193" s="21" t="s">
        <v>163</v>
      </c>
      <c r="P1193" s="114"/>
      <c r="Q1193" s="114" t="s">
        <v>2041</v>
      </c>
      <c r="R1193" s="114"/>
      <c r="S1193" s="114"/>
      <c r="T1193" s="114" t="s">
        <v>2714</v>
      </c>
      <c r="U1193" s="117" t="s">
        <v>2941</v>
      </c>
      <c r="V1193" s="21" t="s">
        <v>109</v>
      </c>
      <c r="W1193" s="21" t="s">
        <v>1</v>
      </c>
      <c r="X1193" s="21"/>
      <c r="Z1193" s="21"/>
      <c r="AA1193" s="21"/>
      <c r="AB1193" s="21"/>
      <c r="AC1193" s="21">
        <v>46</v>
      </c>
      <c r="AD1193" s="21"/>
      <c r="AE1193" s="39"/>
      <c r="AF1193" s="39" t="s">
        <v>2042</v>
      </c>
      <c r="AG1193" s="21"/>
      <c r="AH1193" s="25">
        <v>101462</v>
      </c>
      <c r="AI1193" s="25" t="s">
        <v>260</v>
      </c>
      <c r="AK1193" s="27" t="s">
        <v>636</v>
      </c>
      <c r="AL1193" s="27"/>
      <c r="AX1193" s="27"/>
      <c r="AY1193" s="27"/>
      <c r="BK1193" s="27"/>
      <c r="BL1193" s="27"/>
      <c r="BX1193" s="27"/>
      <c r="BY1193" s="27"/>
      <c r="CH1193" s="29"/>
    </row>
    <row r="1194" spans="1:86" x14ac:dyDescent="0.2">
      <c r="A1194" s="18">
        <v>10046</v>
      </c>
      <c r="B1194" s="19">
        <v>12</v>
      </c>
      <c r="C1194" s="19">
        <f t="shared" si="84"/>
        <v>100460012</v>
      </c>
      <c r="D1194" s="23" t="s">
        <v>1395</v>
      </c>
      <c r="E1194" s="20" t="s">
        <v>640</v>
      </c>
      <c r="I1194" s="21" t="s">
        <v>206</v>
      </c>
      <c r="J1194" s="21"/>
      <c r="K1194" s="21"/>
      <c r="L1194" s="21"/>
      <c r="M1194" s="21"/>
      <c r="N1194" s="21" t="s">
        <v>163</v>
      </c>
      <c r="O1194" s="21" t="s">
        <v>163</v>
      </c>
      <c r="P1194" s="114"/>
      <c r="Q1194" s="114" t="s">
        <v>2041</v>
      </c>
      <c r="R1194" s="114"/>
      <c r="S1194" s="114"/>
      <c r="T1194" s="114" t="s">
        <v>2714</v>
      </c>
      <c r="U1194" s="117" t="s">
        <v>2942</v>
      </c>
      <c r="V1194" s="21" t="s">
        <v>109</v>
      </c>
      <c r="W1194" s="21" t="s">
        <v>1</v>
      </c>
      <c r="X1194" s="21"/>
      <c r="Z1194" s="21"/>
      <c r="AA1194" s="21"/>
      <c r="AB1194" s="21"/>
      <c r="AC1194" s="21">
        <v>46</v>
      </c>
      <c r="AD1194" s="21"/>
      <c r="AE1194" s="39"/>
      <c r="AF1194" s="39" t="s">
        <v>2042</v>
      </c>
      <c r="AG1194" s="21"/>
      <c r="AH1194" s="25">
        <v>101463</v>
      </c>
      <c r="AI1194" s="25" t="s">
        <v>264</v>
      </c>
      <c r="AK1194" s="27" t="s">
        <v>637</v>
      </c>
      <c r="AL1194" s="27"/>
      <c r="AX1194" s="27"/>
      <c r="AY1194" s="27"/>
      <c r="BK1194" s="27"/>
      <c r="BL1194" s="27"/>
      <c r="BX1194" s="27"/>
      <c r="BY1194" s="27"/>
      <c r="CH1194" s="29"/>
    </row>
    <row r="1195" spans="1:86" x14ac:dyDescent="0.2">
      <c r="A1195" s="18">
        <v>10046</v>
      </c>
      <c r="B1195" s="19">
        <v>13</v>
      </c>
      <c r="C1195" s="19">
        <f t="shared" si="84"/>
        <v>100460013</v>
      </c>
      <c r="D1195" s="23" t="s">
        <v>1395</v>
      </c>
      <c r="E1195" s="20" t="s">
        <v>640</v>
      </c>
      <c r="I1195" s="21" t="s">
        <v>206</v>
      </c>
      <c r="J1195" s="21"/>
      <c r="K1195" s="21"/>
      <c r="L1195" s="21"/>
      <c r="M1195" s="21"/>
      <c r="N1195" s="21" t="s">
        <v>163</v>
      </c>
      <c r="O1195" s="21" t="s">
        <v>163</v>
      </c>
      <c r="P1195" s="114"/>
      <c r="Q1195" s="114" t="s">
        <v>2041</v>
      </c>
      <c r="R1195" s="114"/>
      <c r="S1195" s="114"/>
      <c r="T1195" s="114" t="s">
        <v>2714</v>
      </c>
      <c r="U1195" s="117" t="s">
        <v>2943</v>
      </c>
      <c r="V1195" s="21" t="s">
        <v>109</v>
      </c>
      <c r="W1195" s="21" t="s">
        <v>1</v>
      </c>
      <c r="X1195" s="21"/>
      <c r="Z1195" s="21"/>
      <c r="AA1195" s="21"/>
      <c r="AB1195" s="21"/>
      <c r="AC1195" s="21">
        <v>46</v>
      </c>
      <c r="AD1195" s="21"/>
      <c r="AE1195" s="39"/>
      <c r="AF1195" s="39" t="s">
        <v>2042</v>
      </c>
      <c r="AG1195" s="21"/>
      <c r="AH1195" s="25">
        <v>101464</v>
      </c>
      <c r="AI1195" s="25" t="s">
        <v>265</v>
      </c>
      <c r="AK1195" s="27" t="s">
        <v>638</v>
      </c>
      <c r="AL1195" s="27"/>
      <c r="AX1195" s="27"/>
      <c r="AY1195" s="27"/>
      <c r="BK1195" s="27"/>
      <c r="BL1195" s="27"/>
      <c r="BX1195" s="27"/>
      <c r="BY1195" s="27"/>
      <c r="CH1195" s="29"/>
    </row>
    <row r="1196" spans="1:86" x14ac:dyDescent="0.2">
      <c r="A1196" s="18">
        <v>10046</v>
      </c>
      <c r="B1196" s="19">
        <v>14</v>
      </c>
      <c r="C1196" s="19">
        <f t="shared" si="84"/>
        <v>100460014</v>
      </c>
      <c r="D1196" s="23" t="s">
        <v>1395</v>
      </c>
      <c r="E1196" s="20" t="s">
        <v>640</v>
      </c>
      <c r="I1196" s="21" t="s">
        <v>206</v>
      </c>
      <c r="J1196" s="21"/>
      <c r="K1196" s="21"/>
      <c r="L1196" s="21"/>
      <c r="M1196" s="21"/>
      <c r="N1196" s="21" t="s">
        <v>163</v>
      </c>
      <c r="O1196" s="21" t="s">
        <v>163</v>
      </c>
      <c r="P1196" s="114"/>
      <c r="Q1196" s="114" t="s">
        <v>2041</v>
      </c>
      <c r="R1196" s="114"/>
      <c r="S1196" s="114"/>
      <c r="T1196" s="114" t="s">
        <v>2714</v>
      </c>
      <c r="U1196" s="117" t="s">
        <v>2944</v>
      </c>
      <c r="V1196" s="21" t="s">
        <v>109</v>
      </c>
      <c r="W1196" s="21" t="s">
        <v>1</v>
      </c>
      <c r="X1196" s="21"/>
      <c r="Z1196" s="21"/>
      <c r="AA1196" s="21"/>
      <c r="AB1196" s="21"/>
      <c r="AC1196" s="21">
        <v>46</v>
      </c>
      <c r="AD1196" s="21"/>
      <c r="AE1196" s="39"/>
      <c r="AF1196" s="39" t="s">
        <v>2042</v>
      </c>
      <c r="AG1196" s="21"/>
      <c r="AH1196" s="25">
        <v>101465</v>
      </c>
      <c r="AI1196" s="25" t="s">
        <v>266</v>
      </c>
      <c r="AK1196" s="27" t="s">
        <v>639</v>
      </c>
      <c r="AL1196" s="27"/>
      <c r="AX1196" s="27"/>
      <c r="AY1196" s="27"/>
      <c r="BK1196" s="27"/>
      <c r="BL1196" s="27"/>
      <c r="BX1196" s="27"/>
      <c r="BY1196" s="27"/>
      <c r="CH1196" s="29"/>
    </row>
    <row r="1197" spans="1:86" x14ac:dyDescent="0.2">
      <c r="A1197" s="18">
        <v>10047</v>
      </c>
      <c r="B1197" s="19">
        <v>10</v>
      </c>
      <c r="C1197" s="19">
        <f t="shared" si="84"/>
        <v>100470010</v>
      </c>
      <c r="D1197" s="23" t="s">
        <v>1913</v>
      </c>
      <c r="E1197" s="20" t="s">
        <v>640</v>
      </c>
      <c r="I1197" s="21" t="s">
        <v>206</v>
      </c>
      <c r="J1197" s="21"/>
      <c r="K1197" s="21"/>
      <c r="L1197" s="21"/>
      <c r="M1197" s="21"/>
      <c r="N1197" s="21" t="s">
        <v>163</v>
      </c>
      <c r="O1197" s="21" t="s">
        <v>163</v>
      </c>
      <c r="P1197" s="114"/>
      <c r="Q1197" s="114" t="s">
        <v>2041</v>
      </c>
      <c r="R1197" s="114"/>
      <c r="S1197" s="114"/>
      <c r="T1197" s="114" t="s">
        <v>2714</v>
      </c>
      <c r="U1197" s="117" t="s">
        <v>2945</v>
      </c>
      <c r="V1197" s="21" t="s">
        <v>109</v>
      </c>
      <c r="W1197" s="21" t="s">
        <v>1</v>
      </c>
      <c r="X1197" s="21"/>
      <c r="Z1197" s="21"/>
      <c r="AA1197" s="21"/>
      <c r="AB1197" s="21"/>
      <c r="AC1197" s="21">
        <v>47</v>
      </c>
      <c r="AD1197" s="21"/>
      <c r="AE1197" s="39"/>
      <c r="AF1197" s="39" t="s">
        <v>2042</v>
      </c>
      <c r="AG1197" s="21"/>
      <c r="AH1197" s="25">
        <v>101471</v>
      </c>
      <c r="AI1197" s="25" t="s">
        <v>176</v>
      </c>
      <c r="AK1197" s="27" t="s">
        <v>635</v>
      </c>
      <c r="AL1197" s="27"/>
      <c r="AX1197" s="27"/>
      <c r="AY1197" s="27"/>
      <c r="BK1197" s="27"/>
      <c r="BL1197" s="27"/>
      <c r="BX1197" s="27"/>
      <c r="BY1197" s="27"/>
      <c r="CH1197" s="29"/>
    </row>
    <row r="1198" spans="1:86" x14ac:dyDescent="0.2">
      <c r="A1198" s="18">
        <v>10047</v>
      </c>
      <c r="B1198" s="19">
        <v>11</v>
      </c>
      <c r="C1198" s="19">
        <f t="shared" si="84"/>
        <v>100470011</v>
      </c>
      <c r="D1198" s="23" t="s">
        <v>1913</v>
      </c>
      <c r="E1198" s="20" t="s">
        <v>640</v>
      </c>
      <c r="I1198" s="21" t="s">
        <v>206</v>
      </c>
      <c r="J1198" s="21"/>
      <c r="K1198" s="21"/>
      <c r="L1198" s="21"/>
      <c r="M1198" s="21"/>
      <c r="N1198" s="21" t="s">
        <v>163</v>
      </c>
      <c r="O1198" s="21" t="s">
        <v>163</v>
      </c>
      <c r="P1198" s="114"/>
      <c r="Q1198" s="114" t="s">
        <v>2041</v>
      </c>
      <c r="R1198" s="114"/>
      <c r="S1198" s="114"/>
      <c r="T1198" s="114" t="s">
        <v>2714</v>
      </c>
      <c r="U1198" s="117" t="s">
        <v>2946</v>
      </c>
      <c r="V1198" s="21" t="s">
        <v>109</v>
      </c>
      <c r="W1198" s="21" t="s">
        <v>1</v>
      </c>
      <c r="X1198" s="21"/>
      <c r="Z1198" s="21"/>
      <c r="AA1198" s="21"/>
      <c r="AB1198" s="21"/>
      <c r="AC1198" s="21">
        <v>47</v>
      </c>
      <c r="AD1198" s="21"/>
      <c r="AE1198" s="39"/>
      <c r="AF1198" s="39" t="s">
        <v>2042</v>
      </c>
      <c r="AG1198" s="21"/>
      <c r="AH1198" s="25">
        <v>101472</v>
      </c>
      <c r="AI1198" s="25" t="s">
        <v>260</v>
      </c>
      <c r="AK1198" s="27" t="s">
        <v>636</v>
      </c>
      <c r="AL1198" s="27"/>
      <c r="AX1198" s="27"/>
      <c r="AY1198" s="27"/>
      <c r="BK1198" s="27"/>
      <c r="BL1198" s="27"/>
      <c r="BX1198" s="27"/>
      <c r="BY1198" s="27"/>
      <c r="CH1198" s="29"/>
    </row>
    <row r="1199" spans="1:86" x14ac:dyDescent="0.2">
      <c r="A1199" s="18">
        <v>10047</v>
      </c>
      <c r="B1199" s="19">
        <v>12</v>
      </c>
      <c r="C1199" s="19">
        <f t="shared" si="84"/>
        <v>100470012</v>
      </c>
      <c r="D1199" s="23" t="s">
        <v>1913</v>
      </c>
      <c r="E1199" s="20" t="s">
        <v>640</v>
      </c>
      <c r="I1199" s="21" t="s">
        <v>206</v>
      </c>
      <c r="J1199" s="21"/>
      <c r="K1199" s="21"/>
      <c r="L1199" s="21"/>
      <c r="M1199" s="21"/>
      <c r="N1199" s="21" t="s">
        <v>163</v>
      </c>
      <c r="O1199" s="21" t="s">
        <v>163</v>
      </c>
      <c r="P1199" s="114"/>
      <c r="Q1199" s="114" t="s">
        <v>2041</v>
      </c>
      <c r="R1199" s="114"/>
      <c r="S1199" s="114"/>
      <c r="T1199" s="114" t="s">
        <v>2714</v>
      </c>
      <c r="U1199" s="117" t="s">
        <v>2947</v>
      </c>
      <c r="V1199" s="21" t="s">
        <v>109</v>
      </c>
      <c r="W1199" s="21" t="s">
        <v>1</v>
      </c>
      <c r="X1199" s="21"/>
      <c r="Z1199" s="21"/>
      <c r="AA1199" s="21"/>
      <c r="AB1199" s="21"/>
      <c r="AC1199" s="21">
        <v>47</v>
      </c>
      <c r="AD1199" s="21"/>
      <c r="AE1199" s="39"/>
      <c r="AF1199" s="39" t="s">
        <v>2042</v>
      </c>
      <c r="AG1199" s="21"/>
      <c r="AH1199" s="25">
        <v>101473</v>
      </c>
      <c r="AI1199" s="25" t="s">
        <v>264</v>
      </c>
      <c r="AK1199" s="27" t="s">
        <v>637</v>
      </c>
      <c r="AL1199" s="27"/>
      <c r="AX1199" s="27"/>
      <c r="AY1199" s="27"/>
      <c r="BK1199" s="27"/>
      <c r="BL1199" s="27"/>
      <c r="BX1199" s="27"/>
      <c r="BY1199" s="27"/>
      <c r="CH1199" s="29"/>
    </row>
    <row r="1200" spans="1:86" x14ac:dyDescent="0.2">
      <c r="A1200" s="18">
        <v>10047</v>
      </c>
      <c r="B1200" s="19">
        <v>13</v>
      </c>
      <c r="C1200" s="19">
        <f t="shared" si="84"/>
        <v>100470013</v>
      </c>
      <c r="D1200" s="23" t="s">
        <v>1913</v>
      </c>
      <c r="E1200" s="20" t="s">
        <v>640</v>
      </c>
      <c r="I1200" s="21" t="s">
        <v>206</v>
      </c>
      <c r="J1200" s="21"/>
      <c r="K1200" s="21"/>
      <c r="L1200" s="21"/>
      <c r="M1200" s="21"/>
      <c r="N1200" s="21" t="s">
        <v>163</v>
      </c>
      <c r="O1200" s="21" t="s">
        <v>163</v>
      </c>
      <c r="P1200" s="114"/>
      <c r="Q1200" s="114" t="s">
        <v>2041</v>
      </c>
      <c r="R1200" s="114"/>
      <c r="S1200" s="114"/>
      <c r="T1200" s="114" t="s">
        <v>2714</v>
      </c>
      <c r="U1200" s="117" t="s">
        <v>2948</v>
      </c>
      <c r="V1200" s="21" t="s">
        <v>109</v>
      </c>
      <c r="W1200" s="21" t="s">
        <v>1</v>
      </c>
      <c r="X1200" s="21"/>
      <c r="Z1200" s="21"/>
      <c r="AA1200" s="21"/>
      <c r="AB1200" s="21"/>
      <c r="AC1200" s="21">
        <v>47</v>
      </c>
      <c r="AD1200" s="21"/>
      <c r="AE1200" s="39"/>
      <c r="AF1200" s="39" t="s">
        <v>2042</v>
      </c>
      <c r="AG1200" s="21"/>
      <c r="AH1200" s="25">
        <v>101474</v>
      </c>
      <c r="AI1200" s="25" t="s">
        <v>265</v>
      </c>
      <c r="AK1200" s="27" t="s">
        <v>638</v>
      </c>
      <c r="AL1200" s="27"/>
      <c r="AX1200" s="27"/>
      <c r="AY1200" s="27"/>
      <c r="BK1200" s="27"/>
      <c r="BL1200" s="27"/>
      <c r="BX1200" s="27"/>
      <c r="BY1200" s="27"/>
      <c r="CH1200" s="29"/>
    </row>
    <row r="1201" spans="1:86" x14ac:dyDescent="0.2">
      <c r="A1201" s="18">
        <v>10047</v>
      </c>
      <c r="B1201" s="19">
        <v>14</v>
      </c>
      <c r="C1201" s="19">
        <f t="shared" si="84"/>
        <v>100470014</v>
      </c>
      <c r="D1201" s="23" t="s">
        <v>1913</v>
      </c>
      <c r="E1201" s="20" t="s">
        <v>640</v>
      </c>
      <c r="I1201" s="21" t="s">
        <v>206</v>
      </c>
      <c r="J1201" s="21"/>
      <c r="K1201" s="21"/>
      <c r="L1201" s="21"/>
      <c r="M1201" s="21"/>
      <c r="N1201" s="21" t="s">
        <v>163</v>
      </c>
      <c r="O1201" s="21" t="s">
        <v>163</v>
      </c>
      <c r="P1201" s="114"/>
      <c r="Q1201" s="114" t="s">
        <v>2041</v>
      </c>
      <c r="R1201" s="114"/>
      <c r="S1201" s="114"/>
      <c r="T1201" s="114" t="s">
        <v>2714</v>
      </c>
      <c r="U1201" s="117" t="s">
        <v>2949</v>
      </c>
      <c r="V1201" s="21" t="s">
        <v>109</v>
      </c>
      <c r="W1201" s="21" t="s">
        <v>1</v>
      </c>
      <c r="X1201" s="21"/>
      <c r="Z1201" s="21"/>
      <c r="AA1201" s="21"/>
      <c r="AB1201" s="21"/>
      <c r="AC1201" s="21">
        <v>47</v>
      </c>
      <c r="AD1201" s="21"/>
      <c r="AE1201" s="39"/>
      <c r="AF1201" s="39" t="s">
        <v>2042</v>
      </c>
      <c r="AG1201" s="21"/>
      <c r="AH1201" s="25">
        <v>101475</v>
      </c>
      <c r="AI1201" s="25" t="s">
        <v>266</v>
      </c>
      <c r="AK1201" s="27" t="s">
        <v>639</v>
      </c>
      <c r="AL1201" s="27"/>
      <c r="AX1201" s="27"/>
      <c r="AY1201" s="27"/>
      <c r="BK1201" s="27"/>
      <c r="BL1201" s="27"/>
      <c r="BX1201" s="27"/>
      <c r="BY1201" s="27"/>
      <c r="CH1201" s="29"/>
    </row>
    <row r="1202" spans="1:86" x14ac:dyDescent="0.2">
      <c r="A1202" s="18">
        <v>10048</v>
      </c>
      <c r="B1202" s="19">
        <v>10</v>
      </c>
      <c r="C1202" s="19">
        <f t="shared" ref="C1202:C1206" si="85">A1202*10000+B1202</f>
        <v>100480010</v>
      </c>
      <c r="D1202" s="23" t="s">
        <v>3453</v>
      </c>
      <c r="E1202" s="20" t="s">
        <v>640</v>
      </c>
      <c r="I1202" s="21" t="s">
        <v>206</v>
      </c>
      <c r="J1202" s="21"/>
      <c r="K1202" s="21"/>
      <c r="L1202" s="21"/>
      <c r="M1202" s="21"/>
      <c r="N1202" s="21" t="s">
        <v>163</v>
      </c>
      <c r="O1202" s="21" t="s">
        <v>163</v>
      </c>
      <c r="P1202" s="114"/>
      <c r="Q1202" s="114" t="s">
        <v>2041</v>
      </c>
      <c r="R1202" s="114"/>
      <c r="S1202" s="114"/>
      <c r="T1202" s="114" t="s">
        <v>2714</v>
      </c>
      <c r="U1202" s="117" t="s">
        <v>3454</v>
      </c>
      <c r="V1202" s="21" t="s">
        <v>109</v>
      </c>
      <c r="W1202" s="21" t="s">
        <v>1</v>
      </c>
      <c r="X1202" s="21"/>
      <c r="Z1202" s="21"/>
      <c r="AA1202" s="21"/>
      <c r="AB1202" s="21"/>
      <c r="AC1202" s="21" t="s">
        <v>3459</v>
      </c>
      <c r="AD1202" s="21"/>
      <c r="AE1202" s="39"/>
      <c r="AF1202" s="39" t="s">
        <v>2042</v>
      </c>
      <c r="AG1202" s="21"/>
      <c r="AH1202" s="25" t="s">
        <v>3460</v>
      </c>
      <c r="AI1202" s="25" t="s">
        <v>176</v>
      </c>
      <c r="AK1202" s="27" t="s">
        <v>635</v>
      </c>
      <c r="AL1202" s="27"/>
      <c r="AX1202" s="27"/>
      <c r="AY1202" s="27"/>
      <c r="BK1202" s="27"/>
      <c r="BL1202" s="27"/>
      <c r="BX1202" s="27"/>
      <c r="BY1202" s="27"/>
      <c r="CH1202" s="29"/>
    </row>
    <row r="1203" spans="1:86" x14ac:dyDescent="0.2">
      <c r="A1203" s="18">
        <v>10048</v>
      </c>
      <c r="B1203" s="19">
        <v>11</v>
      </c>
      <c r="C1203" s="19">
        <f t="shared" si="85"/>
        <v>100480011</v>
      </c>
      <c r="D1203" s="23" t="s">
        <v>3453</v>
      </c>
      <c r="E1203" s="20" t="s">
        <v>640</v>
      </c>
      <c r="I1203" s="21" t="s">
        <v>206</v>
      </c>
      <c r="J1203" s="21"/>
      <c r="K1203" s="21"/>
      <c r="L1203" s="21"/>
      <c r="M1203" s="21"/>
      <c r="N1203" s="21" t="s">
        <v>163</v>
      </c>
      <c r="O1203" s="21" t="s">
        <v>163</v>
      </c>
      <c r="P1203" s="114"/>
      <c r="Q1203" s="114" t="s">
        <v>2041</v>
      </c>
      <c r="R1203" s="114"/>
      <c r="S1203" s="114"/>
      <c r="T1203" s="114" t="s">
        <v>2714</v>
      </c>
      <c r="U1203" s="117" t="s">
        <v>3455</v>
      </c>
      <c r="V1203" s="21" t="s">
        <v>109</v>
      </c>
      <c r="W1203" s="21" t="s">
        <v>1</v>
      </c>
      <c r="X1203" s="21"/>
      <c r="Z1203" s="21"/>
      <c r="AA1203" s="21"/>
      <c r="AB1203" s="21"/>
      <c r="AC1203" s="21" t="s">
        <v>3459</v>
      </c>
      <c r="AD1203" s="21"/>
      <c r="AE1203" s="39"/>
      <c r="AF1203" s="39" t="s">
        <v>2042</v>
      </c>
      <c r="AG1203" s="21"/>
      <c r="AH1203" s="25" t="s">
        <v>3461</v>
      </c>
      <c r="AI1203" s="25" t="s">
        <v>260</v>
      </c>
      <c r="AK1203" s="27" t="s">
        <v>636</v>
      </c>
      <c r="AL1203" s="27"/>
      <c r="AX1203" s="27"/>
      <c r="AY1203" s="27"/>
      <c r="BK1203" s="27"/>
      <c r="BL1203" s="27"/>
      <c r="BX1203" s="27"/>
      <c r="BY1203" s="27"/>
      <c r="CH1203" s="29"/>
    </row>
    <row r="1204" spans="1:86" x14ac:dyDescent="0.2">
      <c r="A1204" s="18">
        <v>10048</v>
      </c>
      <c r="B1204" s="19">
        <v>12</v>
      </c>
      <c r="C1204" s="19">
        <f t="shared" si="85"/>
        <v>100480012</v>
      </c>
      <c r="D1204" s="23" t="s">
        <v>3453</v>
      </c>
      <c r="E1204" s="20" t="s">
        <v>640</v>
      </c>
      <c r="I1204" s="21" t="s">
        <v>206</v>
      </c>
      <c r="J1204" s="21"/>
      <c r="K1204" s="21"/>
      <c r="L1204" s="21"/>
      <c r="M1204" s="21"/>
      <c r="N1204" s="21" t="s">
        <v>163</v>
      </c>
      <c r="O1204" s="21" t="s">
        <v>163</v>
      </c>
      <c r="P1204" s="114"/>
      <c r="Q1204" s="114" t="s">
        <v>2041</v>
      </c>
      <c r="R1204" s="114"/>
      <c r="S1204" s="114"/>
      <c r="T1204" s="114" t="s">
        <v>2714</v>
      </c>
      <c r="U1204" s="117" t="s">
        <v>3456</v>
      </c>
      <c r="V1204" s="21" t="s">
        <v>109</v>
      </c>
      <c r="W1204" s="21" t="s">
        <v>1</v>
      </c>
      <c r="X1204" s="21"/>
      <c r="Z1204" s="21"/>
      <c r="AA1204" s="21"/>
      <c r="AB1204" s="21"/>
      <c r="AC1204" s="21" t="s">
        <v>3459</v>
      </c>
      <c r="AD1204" s="21"/>
      <c r="AE1204" s="39"/>
      <c r="AF1204" s="39" t="s">
        <v>2042</v>
      </c>
      <c r="AG1204" s="21"/>
      <c r="AH1204" s="25" t="s">
        <v>3462</v>
      </c>
      <c r="AI1204" s="25" t="s">
        <v>264</v>
      </c>
      <c r="AK1204" s="27" t="s">
        <v>637</v>
      </c>
      <c r="AL1204" s="27"/>
      <c r="AX1204" s="27"/>
      <c r="AY1204" s="27"/>
      <c r="BK1204" s="27"/>
      <c r="BL1204" s="27"/>
      <c r="BX1204" s="27"/>
      <c r="BY1204" s="27"/>
      <c r="CH1204" s="29"/>
    </row>
    <row r="1205" spans="1:86" x14ac:dyDescent="0.2">
      <c r="A1205" s="18">
        <v>10048</v>
      </c>
      <c r="B1205" s="19">
        <v>13</v>
      </c>
      <c r="C1205" s="19">
        <f t="shared" si="85"/>
        <v>100480013</v>
      </c>
      <c r="D1205" s="23" t="s">
        <v>3453</v>
      </c>
      <c r="E1205" s="20" t="s">
        <v>640</v>
      </c>
      <c r="I1205" s="21" t="s">
        <v>206</v>
      </c>
      <c r="J1205" s="21"/>
      <c r="K1205" s="21"/>
      <c r="L1205" s="21"/>
      <c r="M1205" s="21"/>
      <c r="N1205" s="21" t="s">
        <v>163</v>
      </c>
      <c r="O1205" s="21" t="s">
        <v>163</v>
      </c>
      <c r="P1205" s="114"/>
      <c r="Q1205" s="114" t="s">
        <v>2041</v>
      </c>
      <c r="R1205" s="114"/>
      <c r="S1205" s="114"/>
      <c r="T1205" s="114" t="s">
        <v>2714</v>
      </c>
      <c r="U1205" s="117" t="s">
        <v>3457</v>
      </c>
      <c r="V1205" s="21" t="s">
        <v>109</v>
      </c>
      <c r="W1205" s="21" t="s">
        <v>1</v>
      </c>
      <c r="X1205" s="21"/>
      <c r="Z1205" s="21"/>
      <c r="AA1205" s="21"/>
      <c r="AB1205" s="21"/>
      <c r="AC1205" s="21" t="s">
        <v>3459</v>
      </c>
      <c r="AD1205" s="21"/>
      <c r="AE1205" s="39"/>
      <c r="AF1205" s="39" t="s">
        <v>2042</v>
      </c>
      <c r="AG1205" s="21"/>
      <c r="AH1205" s="25" t="s">
        <v>3463</v>
      </c>
      <c r="AI1205" s="25" t="s">
        <v>265</v>
      </c>
      <c r="AK1205" s="27" t="s">
        <v>638</v>
      </c>
      <c r="AL1205" s="27"/>
      <c r="AX1205" s="27"/>
      <c r="AY1205" s="27"/>
      <c r="BK1205" s="27"/>
      <c r="BL1205" s="27"/>
      <c r="BX1205" s="27"/>
      <c r="BY1205" s="27"/>
      <c r="CH1205" s="29"/>
    </row>
    <row r="1206" spans="1:86" x14ac:dyDescent="0.2">
      <c r="A1206" s="18">
        <v>10048</v>
      </c>
      <c r="B1206" s="19">
        <v>14</v>
      </c>
      <c r="C1206" s="19">
        <f t="shared" si="85"/>
        <v>100480014</v>
      </c>
      <c r="D1206" s="23" t="s">
        <v>3453</v>
      </c>
      <c r="E1206" s="20" t="s">
        <v>640</v>
      </c>
      <c r="I1206" s="21" t="s">
        <v>206</v>
      </c>
      <c r="J1206" s="21"/>
      <c r="K1206" s="21"/>
      <c r="L1206" s="21"/>
      <c r="M1206" s="21"/>
      <c r="N1206" s="21" t="s">
        <v>163</v>
      </c>
      <c r="O1206" s="21" t="s">
        <v>163</v>
      </c>
      <c r="P1206" s="114"/>
      <c r="Q1206" s="114" t="s">
        <v>2041</v>
      </c>
      <c r="R1206" s="114"/>
      <c r="S1206" s="114"/>
      <c r="T1206" s="114" t="s">
        <v>2714</v>
      </c>
      <c r="U1206" s="117" t="s">
        <v>3458</v>
      </c>
      <c r="V1206" s="21" t="s">
        <v>109</v>
      </c>
      <c r="W1206" s="21" t="s">
        <v>1</v>
      </c>
      <c r="X1206" s="21"/>
      <c r="Z1206" s="21"/>
      <c r="AA1206" s="21"/>
      <c r="AB1206" s="21"/>
      <c r="AC1206" s="21" t="s">
        <v>3459</v>
      </c>
      <c r="AD1206" s="21"/>
      <c r="AE1206" s="39"/>
      <c r="AF1206" s="39" t="s">
        <v>2042</v>
      </c>
      <c r="AG1206" s="21"/>
      <c r="AH1206" s="25" t="s">
        <v>3464</v>
      </c>
      <c r="AI1206" s="25" t="s">
        <v>266</v>
      </c>
      <c r="AK1206" s="27" t="s">
        <v>639</v>
      </c>
      <c r="AL1206" s="27"/>
      <c r="AX1206" s="27"/>
      <c r="AY1206" s="27"/>
      <c r="BK1206" s="27"/>
      <c r="BL1206" s="27"/>
      <c r="BX1206" s="27"/>
      <c r="BY1206" s="27"/>
      <c r="CH1206" s="29"/>
    </row>
    <row r="1207" spans="1:86" x14ac:dyDescent="0.2">
      <c r="A1207" s="18">
        <v>10049</v>
      </c>
      <c r="B1207" s="19">
        <v>10</v>
      </c>
      <c r="C1207" s="19">
        <f t="shared" si="84"/>
        <v>100490010</v>
      </c>
      <c r="D1207" s="23" t="s">
        <v>982</v>
      </c>
      <c r="E1207" s="20" t="s">
        <v>1209</v>
      </c>
      <c r="I1207" s="22" t="s">
        <v>206</v>
      </c>
      <c r="J1207" s="22"/>
      <c r="K1207" s="22"/>
      <c r="L1207" s="22"/>
      <c r="M1207" s="22"/>
      <c r="N1207" s="22" t="s">
        <v>1147</v>
      </c>
      <c r="O1207" s="22" t="s">
        <v>1147</v>
      </c>
      <c r="P1207" s="22"/>
      <c r="Q1207" s="22" t="s">
        <v>2041</v>
      </c>
      <c r="R1207" s="22"/>
      <c r="S1207" s="22"/>
      <c r="T1207" s="22" t="s">
        <v>2714</v>
      </c>
      <c r="U1207" s="116" t="s">
        <v>2950</v>
      </c>
      <c r="V1207" s="22" t="s">
        <v>109</v>
      </c>
      <c r="W1207" s="22" t="s">
        <v>1</v>
      </c>
      <c r="X1207" s="22"/>
      <c r="Z1207" s="22"/>
      <c r="AA1207" s="22"/>
      <c r="AB1207" s="22"/>
      <c r="AC1207" s="22">
        <v>49</v>
      </c>
      <c r="AD1207" s="22"/>
      <c r="AE1207" s="24"/>
      <c r="AF1207" s="24" t="s">
        <v>2042</v>
      </c>
      <c r="AG1207" s="22"/>
      <c r="AH1207" s="25">
        <v>101491</v>
      </c>
      <c r="AI1207" s="25" t="s">
        <v>1155</v>
      </c>
      <c r="AK1207" s="40" t="s">
        <v>1208</v>
      </c>
      <c r="AL1207" s="40"/>
      <c r="AX1207" s="27"/>
      <c r="AY1207" s="27"/>
      <c r="BK1207" s="27"/>
      <c r="BL1207" s="27"/>
      <c r="BX1207" s="27"/>
      <c r="BY1207" s="27"/>
      <c r="CH1207" s="29"/>
    </row>
    <row r="1208" spans="1:86" x14ac:dyDescent="0.2">
      <c r="A1208" s="18">
        <v>10049</v>
      </c>
      <c r="B1208" s="19">
        <v>11</v>
      </c>
      <c r="C1208" s="19">
        <f t="shared" si="84"/>
        <v>100490011</v>
      </c>
      <c r="D1208" s="23" t="s">
        <v>982</v>
      </c>
      <c r="E1208" s="20" t="s">
        <v>1209</v>
      </c>
      <c r="I1208" s="22" t="s">
        <v>206</v>
      </c>
      <c r="J1208" s="22"/>
      <c r="K1208" s="22"/>
      <c r="L1208" s="22"/>
      <c r="M1208" s="22"/>
      <c r="N1208" s="22" t="s">
        <v>1147</v>
      </c>
      <c r="O1208" s="22" t="s">
        <v>1147</v>
      </c>
      <c r="P1208" s="22"/>
      <c r="Q1208" s="22" t="s">
        <v>2041</v>
      </c>
      <c r="R1208" s="22"/>
      <c r="S1208" s="22"/>
      <c r="T1208" s="22" t="s">
        <v>2714</v>
      </c>
      <c r="U1208" s="116" t="s">
        <v>2951</v>
      </c>
      <c r="V1208" s="22" t="s">
        <v>109</v>
      </c>
      <c r="W1208" s="22" t="s">
        <v>1</v>
      </c>
      <c r="X1208" s="22"/>
      <c r="Z1208" s="22"/>
      <c r="AA1208" s="22"/>
      <c r="AB1208" s="22"/>
      <c r="AC1208" s="22">
        <v>49</v>
      </c>
      <c r="AD1208" s="22"/>
      <c r="AE1208" s="24"/>
      <c r="AF1208" s="24" t="s">
        <v>2042</v>
      </c>
      <c r="AG1208" s="22"/>
      <c r="AH1208" s="25">
        <v>101492</v>
      </c>
      <c r="AI1208" s="25" t="s">
        <v>1157</v>
      </c>
      <c r="AK1208" s="40" t="s">
        <v>1211</v>
      </c>
      <c r="AL1208" s="40"/>
      <c r="AX1208" s="27"/>
      <c r="AY1208" s="27"/>
      <c r="BK1208" s="27"/>
      <c r="BL1208" s="27"/>
      <c r="BX1208" s="27"/>
      <c r="BY1208" s="27"/>
      <c r="CH1208" s="29"/>
    </row>
    <row r="1209" spans="1:86" x14ac:dyDescent="0.2">
      <c r="A1209" s="18">
        <v>10049</v>
      </c>
      <c r="B1209" s="19">
        <v>12</v>
      </c>
      <c r="C1209" s="19">
        <f t="shared" si="84"/>
        <v>100490012</v>
      </c>
      <c r="D1209" s="23" t="s">
        <v>982</v>
      </c>
      <c r="E1209" s="20" t="s">
        <v>1209</v>
      </c>
      <c r="I1209" s="22" t="s">
        <v>206</v>
      </c>
      <c r="J1209" s="22"/>
      <c r="K1209" s="22"/>
      <c r="L1209" s="22"/>
      <c r="M1209" s="22"/>
      <c r="N1209" s="22" t="s">
        <v>1147</v>
      </c>
      <c r="O1209" s="22" t="s">
        <v>1147</v>
      </c>
      <c r="P1209" s="22"/>
      <c r="Q1209" s="22" t="s">
        <v>2041</v>
      </c>
      <c r="R1209" s="22"/>
      <c r="S1209" s="22"/>
      <c r="T1209" s="22" t="s">
        <v>2714</v>
      </c>
      <c r="U1209" s="116" t="s">
        <v>2952</v>
      </c>
      <c r="V1209" s="22" t="s">
        <v>109</v>
      </c>
      <c r="W1209" s="22" t="s">
        <v>1</v>
      </c>
      <c r="X1209" s="22"/>
      <c r="Z1209" s="22"/>
      <c r="AA1209" s="22"/>
      <c r="AB1209" s="22"/>
      <c r="AC1209" s="22">
        <v>49</v>
      </c>
      <c r="AD1209" s="22"/>
      <c r="AE1209" s="24"/>
      <c r="AF1209" s="24" t="s">
        <v>2042</v>
      </c>
      <c r="AG1209" s="22"/>
      <c r="AH1209" s="25">
        <v>101493</v>
      </c>
      <c r="AI1209" s="25" t="s">
        <v>1148</v>
      </c>
      <c r="AK1209" s="40" t="s">
        <v>1212</v>
      </c>
      <c r="AL1209" s="40"/>
      <c r="AX1209" s="27"/>
      <c r="AY1209" s="27"/>
      <c r="BK1209" s="27"/>
      <c r="BL1209" s="27"/>
      <c r="BX1209" s="27"/>
      <c r="BY1209" s="27"/>
      <c r="CH1209" s="29"/>
    </row>
    <row r="1210" spans="1:86" x14ac:dyDescent="0.2">
      <c r="A1210" s="18">
        <v>10049</v>
      </c>
      <c r="B1210" s="19">
        <v>13</v>
      </c>
      <c r="C1210" s="19">
        <f t="shared" si="84"/>
        <v>100490013</v>
      </c>
      <c r="D1210" s="23" t="s">
        <v>982</v>
      </c>
      <c r="E1210" s="20" t="s">
        <v>1209</v>
      </c>
      <c r="I1210" s="22" t="s">
        <v>206</v>
      </c>
      <c r="J1210" s="22"/>
      <c r="K1210" s="22"/>
      <c r="L1210" s="22"/>
      <c r="M1210" s="22"/>
      <c r="N1210" s="22" t="s">
        <v>1147</v>
      </c>
      <c r="O1210" s="22" t="s">
        <v>1147</v>
      </c>
      <c r="P1210" s="22"/>
      <c r="Q1210" s="22" t="s">
        <v>2041</v>
      </c>
      <c r="R1210" s="22"/>
      <c r="S1210" s="22"/>
      <c r="T1210" s="22" t="s">
        <v>2714</v>
      </c>
      <c r="U1210" s="116" t="s">
        <v>2953</v>
      </c>
      <c r="V1210" s="22" t="s">
        <v>109</v>
      </c>
      <c r="W1210" s="22" t="s">
        <v>1</v>
      </c>
      <c r="X1210" s="22"/>
      <c r="Z1210" s="22"/>
      <c r="AA1210" s="22"/>
      <c r="AB1210" s="22"/>
      <c r="AC1210" s="22">
        <v>49</v>
      </c>
      <c r="AD1210" s="22"/>
      <c r="AE1210" s="24"/>
      <c r="AF1210" s="24" t="s">
        <v>2042</v>
      </c>
      <c r="AG1210" s="22"/>
      <c r="AH1210" s="25">
        <v>101494</v>
      </c>
      <c r="AI1210" s="25" t="s">
        <v>1150</v>
      </c>
      <c r="AK1210" s="40" t="s">
        <v>1213</v>
      </c>
      <c r="AL1210" s="40"/>
      <c r="AX1210" s="27"/>
      <c r="AY1210" s="27"/>
      <c r="BK1210" s="27"/>
      <c r="BL1210" s="27"/>
      <c r="BX1210" s="27"/>
      <c r="BY1210" s="27"/>
      <c r="CH1210" s="29"/>
    </row>
    <row r="1211" spans="1:86" x14ac:dyDescent="0.2">
      <c r="A1211" s="18">
        <v>10049</v>
      </c>
      <c r="B1211" s="19">
        <v>14</v>
      </c>
      <c r="C1211" s="19">
        <f t="shared" si="84"/>
        <v>100490014</v>
      </c>
      <c r="D1211" s="23" t="s">
        <v>982</v>
      </c>
      <c r="E1211" s="20" t="s">
        <v>1209</v>
      </c>
      <c r="I1211" s="22" t="s">
        <v>206</v>
      </c>
      <c r="J1211" s="22"/>
      <c r="K1211" s="22"/>
      <c r="L1211" s="22"/>
      <c r="M1211" s="22"/>
      <c r="N1211" s="22" t="s">
        <v>1147</v>
      </c>
      <c r="O1211" s="22" t="s">
        <v>1147</v>
      </c>
      <c r="P1211" s="22"/>
      <c r="Q1211" s="22" t="s">
        <v>2041</v>
      </c>
      <c r="R1211" s="22"/>
      <c r="S1211" s="22"/>
      <c r="T1211" s="22" t="s">
        <v>2714</v>
      </c>
      <c r="U1211" s="116" t="s">
        <v>2954</v>
      </c>
      <c r="V1211" s="22" t="s">
        <v>109</v>
      </c>
      <c r="W1211" s="22" t="s">
        <v>1</v>
      </c>
      <c r="X1211" s="22"/>
      <c r="Z1211" s="22"/>
      <c r="AA1211" s="22"/>
      <c r="AB1211" s="22"/>
      <c r="AC1211" s="22">
        <v>49</v>
      </c>
      <c r="AD1211" s="22"/>
      <c r="AE1211" s="24"/>
      <c r="AF1211" s="24" t="s">
        <v>2042</v>
      </c>
      <c r="AG1211" s="22"/>
      <c r="AH1211" s="25">
        <v>101495</v>
      </c>
      <c r="AI1211" s="25" t="s">
        <v>1152</v>
      </c>
      <c r="AK1211" s="40" t="s">
        <v>1214</v>
      </c>
      <c r="AL1211" s="40"/>
      <c r="AX1211" s="27"/>
      <c r="AY1211" s="27"/>
      <c r="BK1211" s="27"/>
      <c r="BL1211" s="27"/>
      <c r="BX1211" s="27"/>
      <c r="BY1211" s="27"/>
      <c r="CH1211" s="29"/>
    </row>
    <row r="1212" spans="1:86" x14ac:dyDescent="0.2">
      <c r="A1212" s="18">
        <v>10050</v>
      </c>
      <c r="B1212" s="19">
        <v>10</v>
      </c>
      <c r="C1212" s="19">
        <f t="shared" si="84"/>
        <v>100500010</v>
      </c>
      <c r="D1212" s="23" t="s">
        <v>983</v>
      </c>
      <c r="E1212" s="20" t="s">
        <v>1209</v>
      </c>
      <c r="I1212" s="22" t="s">
        <v>206</v>
      </c>
      <c r="J1212" s="22"/>
      <c r="K1212" s="22"/>
      <c r="L1212" s="22"/>
      <c r="M1212" s="22"/>
      <c r="N1212" s="22" t="s">
        <v>1147</v>
      </c>
      <c r="O1212" s="22" t="s">
        <v>1147</v>
      </c>
      <c r="P1212" s="22"/>
      <c r="Q1212" s="22" t="s">
        <v>2041</v>
      </c>
      <c r="R1212" s="22"/>
      <c r="S1212" s="22"/>
      <c r="T1212" s="22" t="s">
        <v>2714</v>
      </c>
      <c r="U1212" s="116" t="s">
        <v>2955</v>
      </c>
      <c r="V1212" s="22" t="s">
        <v>109</v>
      </c>
      <c r="W1212" s="22" t="s">
        <v>1</v>
      </c>
      <c r="X1212" s="22"/>
      <c r="Z1212" s="22"/>
      <c r="AA1212" s="22"/>
      <c r="AB1212" s="22"/>
      <c r="AC1212" s="22">
        <v>50</v>
      </c>
      <c r="AD1212" s="22"/>
      <c r="AE1212" s="24"/>
      <c r="AF1212" s="24" t="s">
        <v>2042</v>
      </c>
      <c r="AG1212" s="22"/>
      <c r="AH1212" s="25">
        <v>101501</v>
      </c>
      <c r="AI1212" s="25" t="s">
        <v>1155</v>
      </c>
      <c r="AK1212" s="40" t="s">
        <v>1208</v>
      </c>
      <c r="AL1212" s="40"/>
      <c r="AX1212" s="27"/>
      <c r="AY1212" s="27"/>
      <c r="BK1212" s="27"/>
      <c r="BL1212" s="27"/>
      <c r="BX1212" s="27"/>
      <c r="BY1212" s="27"/>
      <c r="CH1212" s="29"/>
    </row>
    <row r="1213" spans="1:86" x14ac:dyDescent="0.2">
      <c r="A1213" s="18">
        <v>10050</v>
      </c>
      <c r="B1213" s="19">
        <v>11</v>
      </c>
      <c r="C1213" s="19">
        <f t="shared" si="84"/>
        <v>100500011</v>
      </c>
      <c r="D1213" s="23" t="s">
        <v>983</v>
      </c>
      <c r="E1213" s="20" t="s">
        <v>1209</v>
      </c>
      <c r="I1213" s="22" t="s">
        <v>206</v>
      </c>
      <c r="J1213" s="22"/>
      <c r="K1213" s="22"/>
      <c r="L1213" s="22"/>
      <c r="M1213" s="22"/>
      <c r="N1213" s="22" t="s">
        <v>1147</v>
      </c>
      <c r="O1213" s="22" t="s">
        <v>1147</v>
      </c>
      <c r="P1213" s="22"/>
      <c r="Q1213" s="22" t="s">
        <v>2041</v>
      </c>
      <c r="R1213" s="22"/>
      <c r="S1213" s="22"/>
      <c r="T1213" s="22" t="s">
        <v>2714</v>
      </c>
      <c r="U1213" s="116" t="s">
        <v>2956</v>
      </c>
      <c r="V1213" s="22" t="s">
        <v>109</v>
      </c>
      <c r="W1213" s="22" t="s">
        <v>1</v>
      </c>
      <c r="X1213" s="22"/>
      <c r="Z1213" s="22"/>
      <c r="AA1213" s="22"/>
      <c r="AB1213" s="22"/>
      <c r="AC1213" s="22">
        <v>50</v>
      </c>
      <c r="AD1213" s="22"/>
      <c r="AE1213" s="24"/>
      <c r="AF1213" s="24" t="s">
        <v>2042</v>
      </c>
      <c r="AG1213" s="22"/>
      <c r="AH1213" s="25">
        <v>101502</v>
      </c>
      <c r="AI1213" s="25" t="s">
        <v>1157</v>
      </c>
      <c r="AK1213" s="40" t="s">
        <v>1211</v>
      </c>
      <c r="AL1213" s="40"/>
      <c r="AX1213" s="27"/>
      <c r="AY1213" s="27"/>
      <c r="BK1213" s="27"/>
      <c r="BL1213" s="27"/>
      <c r="BX1213" s="27"/>
      <c r="BY1213" s="27"/>
      <c r="CH1213" s="29"/>
    </row>
    <row r="1214" spans="1:86" x14ac:dyDescent="0.2">
      <c r="A1214" s="18">
        <v>10050</v>
      </c>
      <c r="B1214" s="19">
        <v>12</v>
      </c>
      <c r="C1214" s="19">
        <f t="shared" si="84"/>
        <v>100500012</v>
      </c>
      <c r="D1214" s="23" t="s">
        <v>983</v>
      </c>
      <c r="E1214" s="20" t="s">
        <v>1209</v>
      </c>
      <c r="I1214" s="22" t="s">
        <v>206</v>
      </c>
      <c r="J1214" s="22"/>
      <c r="K1214" s="22"/>
      <c r="L1214" s="22"/>
      <c r="M1214" s="22"/>
      <c r="N1214" s="22" t="s">
        <v>1147</v>
      </c>
      <c r="O1214" s="22" t="s">
        <v>1147</v>
      </c>
      <c r="P1214" s="22"/>
      <c r="Q1214" s="22" t="s">
        <v>2041</v>
      </c>
      <c r="R1214" s="22"/>
      <c r="S1214" s="22"/>
      <c r="T1214" s="22" t="s">
        <v>2714</v>
      </c>
      <c r="U1214" s="116" t="s">
        <v>2957</v>
      </c>
      <c r="V1214" s="22" t="s">
        <v>109</v>
      </c>
      <c r="W1214" s="22" t="s">
        <v>1</v>
      </c>
      <c r="X1214" s="22"/>
      <c r="Z1214" s="22"/>
      <c r="AA1214" s="22"/>
      <c r="AB1214" s="22"/>
      <c r="AC1214" s="22">
        <v>50</v>
      </c>
      <c r="AD1214" s="22"/>
      <c r="AE1214" s="24"/>
      <c r="AF1214" s="24" t="s">
        <v>2042</v>
      </c>
      <c r="AG1214" s="22"/>
      <c r="AH1214" s="25">
        <v>101503</v>
      </c>
      <c r="AI1214" s="25" t="s">
        <v>1148</v>
      </c>
      <c r="AK1214" s="40" t="s">
        <v>1212</v>
      </c>
      <c r="AL1214" s="40"/>
      <c r="AX1214" s="27"/>
      <c r="AY1214" s="27"/>
      <c r="BK1214" s="27"/>
      <c r="BL1214" s="27"/>
      <c r="BX1214" s="27"/>
      <c r="BY1214" s="27"/>
      <c r="CH1214" s="29"/>
    </row>
    <row r="1215" spans="1:86" x14ac:dyDescent="0.2">
      <c r="A1215" s="18">
        <v>10050</v>
      </c>
      <c r="B1215" s="19">
        <v>13</v>
      </c>
      <c r="C1215" s="19">
        <f t="shared" si="84"/>
        <v>100500013</v>
      </c>
      <c r="D1215" s="23" t="s">
        <v>983</v>
      </c>
      <c r="E1215" s="20" t="s">
        <v>1209</v>
      </c>
      <c r="I1215" s="22" t="s">
        <v>206</v>
      </c>
      <c r="J1215" s="22"/>
      <c r="K1215" s="22"/>
      <c r="L1215" s="22"/>
      <c r="M1215" s="22"/>
      <c r="N1215" s="22" t="s">
        <v>1147</v>
      </c>
      <c r="O1215" s="22" t="s">
        <v>1147</v>
      </c>
      <c r="P1215" s="22"/>
      <c r="Q1215" s="22" t="s">
        <v>2041</v>
      </c>
      <c r="R1215" s="22"/>
      <c r="S1215" s="22"/>
      <c r="T1215" s="22" t="s">
        <v>2714</v>
      </c>
      <c r="U1215" s="116" t="s">
        <v>2958</v>
      </c>
      <c r="V1215" s="22" t="s">
        <v>109</v>
      </c>
      <c r="W1215" s="22" t="s">
        <v>1</v>
      </c>
      <c r="X1215" s="22"/>
      <c r="Z1215" s="22"/>
      <c r="AA1215" s="22"/>
      <c r="AB1215" s="22"/>
      <c r="AC1215" s="22">
        <v>50</v>
      </c>
      <c r="AD1215" s="22"/>
      <c r="AE1215" s="24"/>
      <c r="AF1215" s="24" t="s">
        <v>2042</v>
      </c>
      <c r="AG1215" s="22"/>
      <c r="AH1215" s="25">
        <v>101504</v>
      </c>
      <c r="AI1215" s="25" t="s">
        <v>1150</v>
      </c>
      <c r="AK1215" s="40" t="s">
        <v>1213</v>
      </c>
      <c r="AL1215" s="40"/>
      <c r="AX1215" s="27"/>
      <c r="AY1215" s="27"/>
      <c r="BK1215" s="27"/>
      <c r="BL1215" s="27"/>
      <c r="BX1215" s="27"/>
      <c r="BY1215" s="27"/>
      <c r="CH1215" s="29"/>
    </row>
    <row r="1216" spans="1:86" x14ac:dyDescent="0.2">
      <c r="A1216" s="18">
        <v>10050</v>
      </c>
      <c r="B1216" s="19">
        <v>14</v>
      </c>
      <c r="C1216" s="19">
        <f t="shared" si="84"/>
        <v>100500014</v>
      </c>
      <c r="D1216" s="23" t="s">
        <v>983</v>
      </c>
      <c r="E1216" s="20" t="s">
        <v>1209</v>
      </c>
      <c r="I1216" s="22" t="s">
        <v>206</v>
      </c>
      <c r="J1216" s="22"/>
      <c r="K1216" s="22"/>
      <c r="L1216" s="22"/>
      <c r="M1216" s="22"/>
      <c r="N1216" s="22" t="s">
        <v>1147</v>
      </c>
      <c r="O1216" s="22" t="s">
        <v>1147</v>
      </c>
      <c r="P1216" s="22"/>
      <c r="Q1216" s="22" t="s">
        <v>2041</v>
      </c>
      <c r="R1216" s="22"/>
      <c r="S1216" s="22"/>
      <c r="T1216" s="22" t="s">
        <v>2714</v>
      </c>
      <c r="U1216" s="116" t="s">
        <v>2959</v>
      </c>
      <c r="V1216" s="22" t="s">
        <v>109</v>
      </c>
      <c r="W1216" s="22" t="s">
        <v>1</v>
      </c>
      <c r="X1216" s="22"/>
      <c r="Z1216" s="22"/>
      <c r="AA1216" s="22"/>
      <c r="AB1216" s="22"/>
      <c r="AC1216" s="22">
        <v>50</v>
      </c>
      <c r="AD1216" s="22"/>
      <c r="AE1216" s="24"/>
      <c r="AF1216" s="24" t="s">
        <v>2042</v>
      </c>
      <c r="AG1216" s="22"/>
      <c r="AH1216" s="25">
        <v>101505</v>
      </c>
      <c r="AI1216" s="25" t="s">
        <v>1152</v>
      </c>
      <c r="AK1216" s="40">
        <v>5050</v>
      </c>
      <c r="AL1216" s="40"/>
      <c r="AX1216" s="27"/>
      <c r="AY1216" s="27"/>
      <c r="BK1216" s="27"/>
      <c r="BL1216" s="27"/>
      <c r="BX1216" s="27"/>
      <c r="BY1216" s="27"/>
      <c r="CH1216" s="29"/>
    </row>
    <row r="1217" spans="1:107" x14ac:dyDescent="0.2">
      <c r="A1217" s="18">
        <v>10051</v>
      </c>
      <c r="B1217" s="19">
        <v>10</v>
      </c>
      <c r="C1217" s="19">
        <f t="shared" si="84"/>
        <v>100510010</v>
      </c>
      <c r="D1217" s="23" t="s">
        <v>1217</v>
      </c>
      <c r="E1217" s="20" t="s">
        <v>1209</v>
      </c>
      <c r="I1217" s="21" t="s">
        <v>206</v>
      </c>
      <c r="J1217" s="21"/>
      <c r="K1217" s="21"/>
      <c r="L1217" s="21"/>
      <c r="M1217" s="21"/>
      <c r="N1217" s="21" t="s">
        <v>1147</v>
      </c>
      <c r="O1217" s="21" t="s">
        <v>1147</v>
      </c>
      <c r="P1217" s="114"/>
      <c r="Q1217" s="114" t="s">
        <v>2041</v>
      </c>
      <c r="R1217" s="114"/>
      <c r="S1217" s="114"/>
      <c r="T1217" s="114" t="s">
        <v>2714</v>
      </c>
      <c r="U1217" s="117" t="s">
        <v>2960</v>
      </c>
      <c r="V1217" s="21" t="s">
        <v>109</v>
      </c>
      <c r="W1217" s="21" t="s">
        <v>1</v>
      </c>
      <c r="X1217" s="21"/>
      <c r="Z1217" s="21"/>
      <c r="AA1217" s="21"/>
      <c r="AB1217" s="21"/>
      <c r="AC1217" s="21">
        <v>51</v>
      </c>
      <c r="AD1217" s="21"/>
      <c r="AE1217" s="39"/>
      <c r="AF1217" s="39" t="s">
        <v>2042</v>
      </c>
      <c r="AG1217" s="21"/>
      <c r="AH1217" s="25">
        <v>101511</v>
      </c>
      <c r="AI1217" s="25" t="s">
        <v>1155</v>
      </c>
      <c r="AK1217" s="27" t="s">
        <v>1208</v>
      </c>
      <c r="AL1217" s="27"/>
      <c r="AX1217" s="27"/>
      <c r="AY1217" s="27"/>
      <c r="BK1217" s="27"/>
      <c r="BL1217" s="27"/>
      <c r="BX1217" s="27"/>
      <c r="BY1217" s="27"/>
      <c r="CH1217" s="29"/>
    </row>
    <row r="1218" spans="1:107" x14ac:dyDescent="0.2">
      <c r="A1218" s="18">
        <v>10051</v>
      </c>
      <c r="B1218" s="19">
        <v>11</v>
      </c>
      <c r="C1218" s="19">
        <f t="shared" si="84"/>
        <v>100510011</v>
      </c>
      <c r="D1218" s="23" t="s">
        <v>1217</v>
      </c>
      <c r="E1218" s="20" t="s">
        <v>1209</v>
      </c>
      <c r="I1218" s="21" t="s">
        <v>206</v>
      </c>
      <c r="J1218" s="21"/>
      <c r="K1218" s="21"/>
      <c r="L1218" s="21"/>
      <c r="M1218" s="21"/>
      <c r="N1218" s="21" t="s">
        <v>1147</v>
      </c>
      <c r="O1218" s="21" t="s">
        <v>1147</v>
      </c>
      <c r="P1218" s="114"/>
      <c r="Q1218" s="114" t="s">
        <v>2041</v>
      </c>
      <c r="R1218" s="114"/>
      <c r="S1218" s="114"/>
      <c r="T1218" s="114" t="s">
        <v>2714</v>
      </c>
      <c r="U1218" s="117" t="s">
        <v>2961</v>
      </c>
      <c r="V1218" s="21" t="s">
        <v>109</v>
      </c>
      <c r="W1218" s="21" t="s">
        <v>1</v>
      </c>
      <c r="X1218" s="21"/>
      <c r="Z1218" s="21"/>
      <c r="AA1218" s="21"/>
      <c r="AB1218" s="21"/>
      <c r="AC1218" s="21">
        <v>51</v>
      </c>
      <c r="AD1218" s="21"/>
      <c r="AE1218" s="39"/>
      <c r="AF1218" s="39" t="s">
        <v>2042</v>
      </c>
      <c r="AG1218" s="21"/>
      <c r="AH1218" s="25">
        <v>101512</v>
      </c>
      <c r="AI1218" s="25" t="s">
        <v>1157</v>
      </c>
      <c r="AK1218" s="27" t="s">
        <v>1211</v>
      </c>
      <c r="AL1218" s="27"/>
      <c r="AX1218" s="27"/>
      <c r="AY1218" s="27"/>
      <c r="BK1218" s="27"/>
      <c r="BL1218" s="27"/>
      <c r="BX1218" s="27"/>
      <c r="BY1218" s="27"/>
      <c r="CH1218" s="29"/>
    </row>
    <row r="1219" spans="1:107" x14ac:dyDescent="0.2">
      <c r="A1219" s="18">
        <v>10051</v>
      </c>
      <c r="B1219" s="19">
        <v>12</v>
      </c>
      <c r="C1219" s="19">
        <f t="shared" si="84"/>
        <v>100510012</v>
      </c>
      <c r="D1219" s="23" t="s">
        <v>1217</v>
      </c>
      <c r="E1219" s="20" t="s">
        <v>1209</v>
      </c>
      <c r="I1219" s="21" t="s">
        <v>206</v>
      </c>
      <c r="J1219" s="21"/>
      <c r="K1219" s="21"/>
      <c r="L1219" s="21"/>
      <c r="M1219" s="21"/>
      <c r="N1219" s="21" t="s">
        <v>1147</v>
      </c>
      <c r="O1219" s="21" t="s">
        <v>1147</v>
      </c>
      <c r="P1219" s="114"/>
      <c r="Q1219" s="114" t="s">
        <v>2041</v>
      </c>
      <c r="R1219" s="114"/>
      <c r="S1219" s="114"/>
      <c r="T1219" s="114" t="s">
        <v>2714</v>
      </c>
      <c r="U1219" s="117" t="s">
        <v>2962</v>
      </c>
      <c r="V1219" s="21" t="s">
        <v>109</v>
      </c>
      <c r="W1219" s="21" t="s">
        <v>1</v>
      </c>
      <c r="X1219" s="21"/>
      <c r="Z1219" s="21"/>
      <c r="AA1219" s="21"/>
      <c r="AB1219" s="21"/>
      <c r="AC1219" s="21">
        <v>51</v>
      </c>
      <c r="AD1219" s="21"/>
      <c r="AE1219" s="39"/>
      <c r="AF1219" s="39" t="s">
        <v>2042</v>
      </c>
      <c r="AG1219" s="21"/>
      <c r="AH1219" s="25">
        <v>101513</v>
      </c>
      <c r="AI1219" s="25" t="s">
        <v>1148</v>
      </c>
      <c r="AK1219" s="27" t="s">
        <v>1212</v>
      </c>
      <c r="AL1219" s="27"/>
      <c r="AX1219" s="27"/>
      <c r="AY1219" s="27"/>
      <c r="BK1219" s="27"/>
      <c r="BL1219" s="27"/>
      <c r="BX1219" s="27"/>
      <c r="BY1219" s="27"/>
      <c r="CH1219" s="29"/>
    </row>
    <row r="1220" spans="1:107" x14ac:dyDescent="0.2">
      <c r="A1220" s="18">
        <v>10051</v>
      </c>
      <c r="B1220" s="19">
        <v>13</v>
      </c>
      <c r="C1220" s="19">
        <f t="shared" si="84"/>
        <v>100510013</v>
      </c>
      <c r="D1220" s="23" t="s">
        <v>1217</v>
      </c>
      <c r="E1220" s="20" t="s">
        <v>1209</v>
      </c>
      <c r="I1220" s="21" t="s">
        <v>206</v>
      </c>
      <c r="J1220" s="21"/>
      <c r="K1220" s="21"/>
      <c r="L1220" s="21"/>
      <c r="M1220" s="21"/>
      <c r="N1220" s="21" t="s">
        <v>1147</v>
      </c>
      <c r="O1220" s="21" t="s">
        <v>1147</v>
      </c>
      <c r="P1220" s="114"/>
      <c r="Q1220" s="114" t="s">
        <v>2041</v>
      </c>
      <c r="R1220" s="114"/>
      <c r="S1220" s="114"/>
      <c r="T1220" s="114" t="s">
        <v>2714</v>
      </c>
      <c r="U1220" s="117" t="s">
        <v>2963</v>
      </c>
      <c r="V1220" s="21" t="s">
        <v>109</v>
      </c>
      <c r="W1220" s="21" t="s">
        <v>1</v>
      </c>
      <c r="X1220" s="21"/>
      <c r="Z1220" s="21"/>
      <c r="AA1220" s="21"/>
      <c r="AB1220" s="21"/>
      <c r="AC1220" s="21">
        <v>51</v>
      </c>
      <c r="AD1220" s="21"/>
      <c r="AE1220" s="39"/>
      <c r="AF1220" s="39" t="s">
        <v>2042</v>
      </c>
      <c r="AG1220" s="21"/>
      <c r="AH1220" s="25">
        <v>101514</v>
      </c>
      <c r="AI1220" s="25" t="s">
        <v>1150</v>
      </c>
      <c r="AK1220" s="27" t="s">
        <v>1213</v>
      </c>
      <c r="AL1220" s="27"/>
      <c r="AX1220" s="27"/>
      <c r="AY1220" s="27"/>
      <c r="BK1220" s="27"/>
      <c r="BL1220" s="27"/>
      <c r="BX1220" s="27"/>
      <c r="BY1220" s="27"/>
      <c r="CH1220" s="29"/>
    </row>
    <row r="1221" spans="1:107" x14ac:dyDescent="0.2">
      <c r="A1221" s="18">
        <v>10051</v>
      </c>
      <c r="B1221" s="19">
        <v>14</v>
      </c>
      <c r="C1221" s="19">
        <f t="shared" si="84"/>
        <v>100510014</v>
      </c>
      <c r="D1221" s="23" t="s">
        <v>1217</v>
      </c>
      <c r="E1221" s="20" t="s">
        <v>1209</v>
      </c>
      <c r="I1221" s="21" t="s">
        <v>206</v>
      </c>
      <c r="J1221" s="21"/>
      <c r="K1221" s="21"/>
      <c r="L1221" s="21"/>
      <c r="M1221" s="21"/>
      <c r="N1221" s="21" t="s">
        <v>1147</v>
      </c>
      <c r="O1221" s="21" t="s">
        <v>1147</v>
      </c>
      <c r="P1221" s="114"/>
      <c r="Q1221" s="114" t="s">
        <v>2041</v>
      </c>
      <c r="R1221" s="114"/>
      <c r="S1221" s="114"/>
      <c r="T1221" s="114" t="s">
        <v>2714</v>
      </c>
      <c r="U1221" s="117" t="s">
        <v>2964</v>
      </c>
      <c r="V1221" s="21" t="s">
        <v>109</v>
      </c>
      <c r="W1221" s="21" t="s">
        <v>1</v>
      </c>
      <c r="X1221" s="21"/>
      <c r="Z1221" s="21"/>
      <c r="AA1221" s="21"/>
      <c r="AB1221" s="21"/>
      <c r="AC1221" s="21">
        <v>51</v>
      </c>
      <c r="AD1221" s="21"/>
      <c r="AE1221" s="39"/>
      <c r="AF1221" s="39" t="s">
        <v>2042</v>
      </c>
      <c r="AG1221" s="21"/>
      <c r="AH1221" s="25">
        <v>101515</v>
      </c>
      <c r="AI1221" s="25" t="s">
        <v>1152</v>
      </c>
      <c r="AK1221" s="27" t="s">
        <v>1214</v>
      </c>
      <c r="AL1221" s="27"/>
      <c r="AX1221" s="27"/>
      <c r="AY1221" s="27"/>
      <c r="BK1221" s="27"/>
      <c r="BL1221" s="27"/>
      <c r="BX1221" s="27"/>
      <c r="BY1221" s="27"/>
      <c r="CH1221" s="29"/>
    </row>
    <row r="1222" spans="1:107" x14ac:dyDescent="0.2">
      <c r="A1222" s="18">
        <v>10052</v>
      </c>
      <c r="B1222" s="19">
        <v>10</v>
      </c>
      <c r="C1222" s="19">
        <f t="shared" si="84"/>
        <v>100520010</v>
      </c>
      <c r="D1222" s="23" t="s">
        <v>1218</v>
      </c>
      <c r="E1222" s="20" t="s">
        <v>1209</v>
      </c>
      <c r="I1222" s="21" t="s">
        <v>206</v>
      </c>
      <c r="J1222" s="21"/>
      <c r="K1222" s="21"/>
      <c r="L1222" s="21"/>
      <c r="M1222" s="21"/>
      <c r="N1222" s="21" t="s">
        <v>1147</v>
      </c>
      <c r="O1222" s="21" t="s">
        <v>1147</v>
      </c>
      <c r="P1222" s="114"/>
      <c r="Q1222" s="114" t="s">
        <v>2041</v>
      </c>
      <c r="R1222" s="114"/>
      <c r="S1222" s="114"/>
      <c r="T1222" s="114" t="s">
        <v>2714</v>
      </c>
      <c r="U1222" s="117" t="s">
        <v>2965</v>
      </c>
      <c r="V1222" s="21" t="s">
        <v>109</v>
      </c>
      <c r="W1222" s="21" t="s">
        <v>1</v>
      </c>
      <c r="X1222" s="21"/>
      <c r="Z1222" s="21"/>
      <c r="AA1222" s="21"/>
      <c r="AB1222" s="21"/>
      <c r="AC1222" s="21">
        <v>52</v>
      </c>
      <c r="AD1222" s="21"/>
      <c r="AE1222" s="39"/>
      <c r="AF1222" s="39" t="s">
        <v>2042</v>
      </c>
      <c r="AG1222" s="21"/>
      <c r="AH1222" s="25">
        <v>101521</v>
      </c>
      <c r="AI1222" s="25" t="s">
        <v>1155</v>
      </c>
      <c r="AK1222" s="27" t="s">
        <v>1208</v>
      </c>
      <c r="AL1222" s="27"/>
      <c r="AX1222" s="27"/>
      <c r="AY1222" s="27"/>
      <c r="BK1222" s="27"/>
      <c r="BL1222" s="27"/>
      <c r="BX1222" s="27"/>
      <c r="BY1222" s="27"/>
      <c r="CH1222" s="29"/>
    </row>
    <row r="1223" spans="1:107" x14ac:dyDescent="0.2">
      <c r="A1223" s="18">
        <v>10052</v>
      </c>
      <c r="B1223" s="19">
        <v>11</v>
      </c>
      <c r="C1223" s="19">
        <f t="shared" si="84"/>
        <v>100520011</v>
      </c>
      <c r="D1223" s="23" t="s">
        <v>1218</v>
      </c>
      <c r="E1223" s="20" t="s">
        <v>1209</v>
      </c>
      <c r="I1223" s="21" t="s">
        <v>206</v>
      </c>
      <c r="J1223" s="21"/>
      <c r="K1223" s="21"/>
      <c r="L1223" s="21"/>
      <c r="M1223" s="21"/>
      <c r="N1223" s="21" t="s">
        <v>1147</v>
      </c>
      <c r="O1223" s="21" t="s">
        <v>1147</v>
      </c>
      <c r="P1223" s="114"/>
      <c r="Q1223" s="114" t="s">
        <v>2041</v>
      </c>
      <c r="R1223" s="114"/>
      <c r="S1223" s="114"/>
      <c r="T1223" s="114" t="s">
        <v>2714</v>
      </c>
      <c r="U1223" s="117" t="s">
        <v>2966</v>
      </c>
      <c r="V1223" s="21" t="s">
        <v>109</v>
      </c>
      <c r="W1223" s="21" t="s">
        <v>1</v>
      </c>
      <c r="X1223" s="21"/>
      <c r="Z1223" s="21"/>
      <c r="AA1223" s="21"/>
      <c r="AB1223" s="21"/>
      <c r="AC1223" s="21">
        <v>52</v>
      </c>
      <c r="AD1223" s="21"/>
      <c r="AE1223" s="39"/>
      <c r="AF1223" s="39" t="s">
        <v>2042</v>
      </c>
      <c r="AG1223" s="21"/>
      <c r="AH1223" s="25">
        <v>101522</v>
      </c>
      <c r="AI1223" s="25" t="s">
        <v>1157</v>
      </c>
      <c r="AK1223" s="27" t="s">
        <v>1211</v>
      </c>
      <c r="AL1223" s="27"/>
      <c r="AX1223" s="27"/>
      <c r="AY1223" s="27"/>
      <c r="BK1223" s="27"/>
      <c r="BL1223" s="27"/>
      <c r="BX1223" s="27"/>
      <c r="BY1223" s="27"/>
      <c r="CH1223" s="29"/>
    </row>
    <row r="1224" spans="1:107" x14ac:dyDescent="0.2">
      <c r="A1224" s="18">
        <v>10052</v>
      </c>
      <c r="B1224" s="19">
        <v>12</v>
      </c>
      <c r="C1224" s="19">
        <f t="shared" si="84"/>
        <v>100520012</v>
      </c>
      <c r="D1224" s="23" t="s">
        <v>1218</v>
      </c>
      <c r="E1224" s="20" t="s">
        <v>1209</v>
      </c>
      <c r="I1224" s="21" t="s">
        <v>206</v>
      </c>
      <c r="J1224" s="21"/>
      <c r="K1224" s="21"/>
      <c r="L1224" s="21"/>
      <c r="M1224" s="21"/>
      <c r="N1224" s="21" t="s">
        <v>1147</v>
      </c>
      <c r="O1224" s="21" t="s">
        <v>1147</v>
      </c>
      <c r="P1224" s="114"/>
      <c r="Q1224" s="114" t="s">
        <v>2041</v>
      </c>
      <c r="R1224" s="114"/>
      <c r="S1224" s="114"/>
      <c r="T1224" s="114" t="s">
        <v>2714</v>
      </c>
      <c r="U1224" s="117" t="s">
        <v>2967</v>
      </c>
      <c r="V1224" s="21" t="s">
        <v>109</v>
      </c>
      <c r="W1224" s="21" t="s">
        <v>1</v>
      </c>
      <c r="X1224" s="21"/>
      <c r="Z1224" s="21"/>
      <c r="AA1224" s="21"/>
      <c r="AB1224" s="21"/>
      <c r="AC1224" s="21">
        <v>52</v>
      </c>
      <c r="AD1224" s="21"/>
      <c r="AE1224" s="39"/>
      <c r="AF1224" s="39" t="s">
        <v>2042</v>
      </c>
      <c r="AG1224" s="21"/>
      <c r="AH1224" s="25">
        <v>101523</v>
      </c>
      <c r="AI1224" s="25" t="s">
        <v>1148</v>
      </c>
      <c r="AK1224" s="27" t="s">
        <v>1212</v>
      </c>
      <c r="AL1224" s="27"/>
      <c r="AX1224" s="27"/>
      <c r="AY1224" s="27"/>
      <c r="BK1224" s="27"/>
      <c r="BL1224" s="27"/>
      <c r="BX1224" s="27"/>
      <c r="BY1224" s="27"/>
      <c r="CH1224" s="29"/>
    </row>
    <row r="1225" spans="1:107" x14ac:dyDescent="0.2">
      <c r="A1225" s="18">
        <v>10052</v>
      </c>
      <c r="B1225" s="19">
        <v>13</v>
      </c>
      <c r="C1225" s="19">
        <f t="shared" si="84"/>
        <v>100520013</v>
      </c>
      <c r="D1225" s="23" t="s">
        <v>1218</v>
      </c>
      <c r="E1225" s="20" t="s">
        <v>1209</v>
      </c>
      <c r="I1225" s="21" t="s">
        <v>206</v>
      </c>
      <c r="J1225" s="21"/>
      <c r="K1225" s="21"/>
      <c r="L1225" s="21"/>
      <c r="M1225" s="21"/>
      <c r="N1225" s="21" t="s">
        <v>1147</v>
      </c>
      <c r="O1225" s="21" t="s">
        <v>1147</v>
      </c>
      <c r="P1225" s="114"/>
      <c r="Q1225" s="114" t="s">
        <v>2041</v>
      </c>
      <c r="R1225" s="114"/>
      <c r="S1225" s="114"/>
      <c r="T1225" s="114" t="s">
        <v>2714</v>
      </c>
      <c r="U1225" s="117" t="s">
        <v>2968</v>
      </c>
      <c r="V1225" s="21" t="s">
        <v>109</v>
      </c>
      <c r="W1225" s="21" t="s">
        <v>1</v>
      </c>
      <c r="X1225" s="21"/>
      <c r="Z1225" s="21"/>
      <c r="AA1225" s="21"/>
      <c r="AB1225" s="21"/>
      <c r="AC1225" s="21">
        <v>52</v>
      </c>
      <c r="AD1225" s="21"/>
      <c r="AE1225" s="39"/>
      <c r="AF1225" s="39" t="s">
        <v>2042</v>
      </c>
      <c r="AG1225" s="21"/>
      <c r="AH1225" s="25">
        <v>101524</v>
      </c>
      <c r="AI1225" s="25" t="s">
        <v>1150</v>
      </c>
      <c r="AK1225" s="27" t="s">
        <v>1213</v>
      </c>
      <c r="AL1225" s="27"/>
      <c r="AX1225" s="27"/>
      <c r="AY1225" s="27"/>
      <c r="BK1225" s="27"/>
      <c r="BL1225" s="27"/>
      <c r="BX1225" s="27"/>
      <c r="BY1225" s="27"/>
      <c r="CH1225" s="29"/>
    </row>
    <row r="1226" spans="1:107" x14ac:dyDescent="0.2">
      <c r="A1226" s="18">
        <v>10052</v>
      </c>
      <c r="B1226" s="19">
        <v>14</v>
      </c>
      <c r="C1226" s="19">
        <f t="shared" si="84"/>
        <v>100520014</v>
      </c>
      <c r="D1226" s="23" t="s">
        <v>1218</v>
      </c>
      <c r="E1226" s="20" t="s">
        <v>1209</v>
      </c>
      <c r="I1226" s="21" t="s">
        <v>206</v>
      </c>
      <c r="J1226" s="21"/>
      <c r="K1226" s="21"/>
      <c r="L1226" s="21"/>
      <c r="M1226" s="21"/>
      <c r="N1226" s="21" t="s">
        <v>1147</v>
      </c>
      <c r="O1226" s="21" t="s">
        <v>1147</v>
      </c>
      <c r="P1226" s="114"/>
      <c r="Q1226" s="114" t="s">
        <v>2041</v>
      </c>
      <c r="R1226" s="114"/>
      <c r="S1226" s="114"/>
      <c r="T1226" s="114" t="s">
        <v>2714</v>
      </c>
      <c r="U1226" s="117" t="s">
        <v>2969</v>
      </c>
      <c r="V1226" s="21" t="s">
        <v>109</v>
      </c>
      <c r="W1226" s="21" t="s">
        <v>1</v>
      </c>
      <c r="X1226" s="21"/>
      <c r="Z1226" s="21"/>
      <c r="AA1226" s="21"/>
      <c r="AB1226" s="21"/>
      <c r="AC1226" s="21">
        <v>52</v>
      </c>
      <c r="AD1226" s="21"/>
      <c r="AE1226" s="39"/>
      <c r="AF1226" s="39" t="s">
        <v>2042</v>
      </c>
      <c r="AG1226" s="21"/>
      <c r="AH1226" s="25">
        <v>101525</v>
      </c>
      <c r="AI1226" s="25" t="s">
        <v>1152</v>
      </c>
      <c r="AK1226" s="27" t="s">
        <v>1214</v>
      </c>
      <c r="AL1226" s="27"/>
      <c r="AX1226" s="27"/>
      <c r="AY1226" s="27"/>
      <c r="BK1226" s="27"/>
      <c r="BL1226" s="27"/>
      <c r="BX1226" s="27"/>
      <c r="BY1226" s="27"/>
      <c r="CH1226" s="29"/>
    </row>
    <row r="1227" spans="1:107" x14ac:dyDescent="0.2">
      <c r="A1227" s="18">
        <v>10053</v>
      </c>
      <c r="B1227" s="19">
        <v>10</v>
      </c>
      <c r="C1227" s="19">
        <f t="shared" si="84"/>
        <v>100530010</v>
      </c>
      <c r="D1227" s="23" t="s">
        <v>1347</v>
      </c>
      <c r="E1227" s="20" t="s">
        <v>640</v>
      </c>
      <c r="I1227" s="21" t="s">
        <v>206</v>
      </c>
      <c r="J1227" s="21"/>
      <c r="K1227" s="21"/>
      <c r="L1227" s="21"/>
      <c r="M1227" s="21"/>
      <c r="N1227" s="21" t="s">
        <v>163</v>
      </c>
      <c r="O1227" s="21" t="s">
        <v>163</v>
      </c>
      <c r="P1227" s="114"/>
      <c r="Q1227" s="114" t="s">
        <v>2041</v>
      </c>
      <c r="R1227" s="114"/>
      <c r="S1227" s="114"/>
      <c r="T1227" s="114" t="s">
        <v>2714</v>
      </c>
      <c r="U1227" s="117" t="s">
        <v>2970</v>
      </c>
      <c r="V1227" s="21" t="s">
        <v>109</v>
      </c>
      <c r="W1227" s="21" t="s">
        <v>1</v>
      </c>
      <c r="X1227" s="21"/>
      <c r="Z1227" s="21"/>
      <c r="AA1227" s="21"/>
      <c r="AB1227" s="21"/>
      <c r="AC1227" s="21">
        <v>53</v>
      </c>
      <c r="AD1227" s="21"/>
      <c r="AE1227" s="39"/>
      <c r="AF1227" s="39" t="s">
        <v>2042</v>
      </c>
      <c r="AG1227" s="21"/>
      <c r="AH1227" s="25">
        <v>101531</v>
      </c>
      <c r="AI1227" s="25" t="s">
        <v>176</v>
      </c>
      <c r="AK1227" s="27" t="s">
        <v>635</v>
      </c>
      <c r="AL1227" s="27"/>
      <c r="AX1227" s="27"/>
      <c r="AY1227" s="27"/>
      <c r="BK1227" s="27"/>
      <c r="BL1227" s="27"/>
      <c r="BX1227" s="27"/>
      <c r="BY1227" s="27"/>
      <c r="CH1227" s="29"/>
    </row>
    <row r="1228" spans="1:107" x14ac:dyDescent="0.2">
      <c r="A1228" s="18">
        <v>10053</v>
      </c>
      <c r="B1228" s="19">
        <v>11</v>
      </c>
      <c r="C1228" s="19">
        <f t="shared" si="84"/>
        <v>100530011</v>
      </c>
      <c r="D1228" s="23" t="s">
        <v>1347</v>
      </c>
      <c r="E1228" s="20" t="s">
        <v>640</v>
      </c>
      <c r="I1228" s="21" t="s">
        <v>206</v>
      </c>
      <c r="J1228" s="21"/>
      <c r="K1228" s="21"/>
      <c r="L1228" s="21"/>
      <c r="M1228" s="21"/>
      <c r="N1228" s="21" t="s">
        <v>163</v>
      </c>
      <c r="O1228" s="21" t="s">
        <v>163</v>
      </c>
      <c r="P1228" s="114"/>
      <c r="Q1228" s="114" t="s">
        <v>2041</v>
      </c>
      <c r="R1228" s="114"/>
      <c r="S1228" s="114"/>
      <c r="T1228" s="114" t="s">
        <v>2714</v>
      </c>
      <c r="U1228" s="117" t="s">
        <v>2971</v>
      </c>
      <c r="V1228" s="21" t="s">
        <v>109</v>
      </c>
      <c r="W1228" s="21" t="s">
        <v>1</v>
      </c>
      <c r="X1228" s="21"/>
      <c r="Z1228" s="21"/>
      <c r="AA1228" s="21"/>
      <c r="AB1228" s="21"/>
      <c r="AC1228" s="21">
        <v>53</v>
      </c>
      <c r="AD1228" s="21"/>
      <c r="AE1228" s="39"/>
      <c r="AF1228" s="39" t="s">
        <v>2042</v>
      </c>
      <c r="AG1228" s="21"/>
      <c r="AH1228" s="25">
        <v>101532</v>
      </c>
      <c r="AI1228" s="25" t="s">
        <v>260</v>
      </c>
      <c r="AK1228" s="27" t="s">
        <v>636</v>
      </c>
      <c r="AL1228" s="27"/>
      <c r="AX1228" s="27"/>
      <c r="AY1228" s="27"/>
      <c r="BK1228" s="27"/>
      <c r="BL1228" s="27"/>
      <c r="BX1228" s="27"/>
      <c r="BY1228" s="27"/>
      <c r="CH1228" s="29"/>
    </row>
    <row r="1229" spans="1:107" x14ac:dyDescent="0.2">
      <c r="A1229" s="18">
        <v>10053</v>
      </c>
      <c r="B1229" s="19">
        <v>12</v>
      </c>
      <c r="C1229" s="19">
        <f t="shared" si="84"/>
        <v>100530012</v>
      </c>
      <c r="D1229" s="23" t="s">
        <v>1347</v>
      </c>
      <c r="E1229" s="20" t="s">
        <v>640</v>
      </c>
      <c r="I1229" s="21" t="s">
        <v>206</v>
      </c>
      <c r="J1229" s="21"/>
      <c r="K1229" s="21"/>
      <c r="L1229" s="21"/>
      <c r="M1229" s="21"/>
      <c r="N1229" s="21" t="s">
        <v>163</v>
      </c>
      <c r="O1229" s="21" t="s">
        <v>163</v>
      </c>
      <c r="P1229" s="114"/>
      <c r="Q1229" s="114" t="s">
        <v>2041</v>
      </c>
      <c r="R1229" s="114"/>
      <c r="S1229" s="114"/>
      <c r="T1229" s="114" t="s">
        <v>2714</v>
      </c>
      <c r="U1229" s="117" t="s">
        <v>2972</v>
      </c>
      <c r="V1229" s="21" t="s">
        <v>109</v>
      </c>
      <c r="W1229" s="21" t="s">
        <v>1</v>
      </c>
      <c r="X1229" s="21"/>
      <c r="Z1229" s="21"/>
      <c r="AA1229" s="21"/>
      <c r="AB1229" s="21"/>
      <c r="AC1229" s="21">
        <v>53</v>
      </c>
      <c r="AD1229" s="21"/>
      <c r="AE1229" s="39"/>
      <c r="AF1229" s="39" t="s">
        <v>2042</v>
      </c>
      <c r="AG1229" s="21"/>
      <c r="AH1229" s="25">
        <v>101533</v>
      </c>
      <c r="AI1229" s="25" t="s">
        <v>264</v>
      </c>
      <c r="AK1229" s="27" t="s">
        <v>637</v>
      </c>
      <c r="AL1229" s="27"/>
      <c r="AX1229" s="27"/>
      <c r="AY1229" s="27"/>
      <c r="BK1229" s="27"/>
      <c r="BL1229" s="27"/>
      <c r="BX1229" s="27"/>
      <c r="BY1229" s="27"/>
      <c r="CH1229" s="29"/>
    </row>
    <row r="1230" spans="1:107" x14ac:dyDescent="0.2">
      <c r="A1230" s="18">
        <v>10053</v>
      </c>
      <c r="B1230" s="19">
        <v>13</v>
      </c>
      <c r="C1230" s="19">
        <f t="shared" si="84"/>
        <v>100530013</v>
      </c>
      <c r="D1230" s="23" t="s">
        <v>1347</v>
      </c>
      <c r="E1230" s="20" t="s">
        <v>640</v>
      </c>
      <c r="I1230" s="21" t="s">
        <v>206</v>
      </c>
      <c r="J1230" s="21"/>
      <c r="K1230" s="21"/>
      <c r="L1230" s="21"/>
      <c r="M1230" s="21"/>
      <c r="N1230" s="21" t="s">
        <v>163</v>
      </c>
      <c r="O1230" s="21" t="s">
        <v>163</v>
      </c>
      <c r="P1230" s="114"/>
      <c r="Q1230" s="114" t="s">
        <v>2041</v>
      </c>
      <c r="R1230" s="114"/>
      <c r="S1230" s="114"/>
      <c r="T1230" s="114" t="s">
        <v>2714</v>
      </c>
      <c r="U1230" s="117" t="s">
        <v>2973</v>
      </c>
      <c r="V1230" s="21" t="s">
        <v>109</v>
      </c>
      <c r="W1230" s="21" t="s">
        <v>1</v>
      </c>
      <c r="X1230" s="21"/>
      <c r="Z1230" s="21"/>
      <c r="AA1230" s="21"/>
      <c r="AB1230" s="21"/>
      <c r="AC1230" s="21">
        <v>53</v>
      </c>
      <c r="AD1230" s="21"/>
      <c r="AE1230" s="39"/>
      <c r="AF1230" s="39" t="s">
        <v>2042</v>
      </c>
      <c r="AG1230" s="21"/>
      <c r="AH1230" s="25">
        <v>101534</v>
      </c>
      <c r="AI1230" s="25" t="s">
        <v>265</v>
      </c>
      <c r="AK1230" s="27" t="s">
        <v>638</v>
      </c>
      <c r="AL1230" s="27"/>
      <c r="AX1230" s="27"/>
      <c r="AY1230" s="27"/>
      <c r="BK1230" s="27"/>
      <c r="BL1230" s="27"/>
      <c r="BX1230" s="27"/>
      <c r="BY1230" s="27"/>
      <c r="CH1230" s="29"/>
    </row>
    <row r="1231" spans="1:107" x14ac:dyDescent="0.2">
      <c r="A1231" s="18">
        <v>10053</v>
      </c>
      <c r="B1231" s="19">
        <v>14</v>
      </c>
      <c r="C1231" s="19">
        <f t="shared" si="84"/>
        <v>100530014</v>
      </c>
      <c r="D1231" s="23" t="s">
        <v>1347</v>
      </c>
      <c r="E1231" s="20" t="s">
        <v>640</v>
      </c>
      <c r="I1231" s="21" t="s">
        <v>206</v>
      </c>
      <c r="J1231" s="21"/>
      <c r="K1231" s="21"/>
      <c r="L1231" s="21"/>
      <c r="M1231" s="21"/>
      <c r="N1231" s="21" t="s">
        <v>163</v>
      </c>
      <c r="O1231" s="21" t="s">
        <v>163</v>
      </c>
      <c r="P1231" s="114"/>
      <c r="Q1231" s="114" t="s">
        <v>2041</v>
      </c>
      <c r="R1231" s="114"/>
      <c r="S1231" s="114"/>
      <c r="T1231" s="114" t="s">
        <v>2714</v>
      </c>
      <c r="U1231" s="117" t="s">
        <v>2974</v>
      </c>
      <c r="V1231" s="21" t="s">
        <v>109</v>
      </c>
      <c r="W1231" s="21" t="s">
        <v>1</v>
      </c>
      <c r="X1231" s="21"/>
      <c r="Z1231" s="21"/>
      <c r="AA1231" s="21"/>
      <c r="AB1231" s="21"/>
      <c r="AC1231" s="21">
        <v>53</v>
      </c>
      <c r="AD1231" s="21"/>
      <c r="AE1231" s="39"/>
      <c r="AF1231" s="39" t="s">
        <v>2042</v>
      </c>
      <c r="AG1231" s="21"/>
      <c r="AH1231" s="25">
        <v>101535</v>
      </c>
      <c r="AI1231" s="25" t="s">
        <v>266</v>
      </c>
      <c r="AK1231" s="27" t="s">
        <v>639</v>
      </c>
      <c r="AL1231" s="27"/>
      <c r="AX1231" s="27"/>
      <c r="AY1231" s="27"/>
      <c r="BK1231" s="27"/>
      <c r="BL1231" s="27"/>
      <c r="BX1231" s="27"/>
      <c r="BY1231" s="27"/>
      <c r="CH1231" s="29"/>
    </row>
    <row r="1232" spans="1:107" s="57" customFormat="1" x14ac:dyDescent="0.2">
      <c r="A1232" s="55">
        <v>10054</v>
      </c>
      <c r="B1232" s="56">
        <v>10</v>
      </c>
      <c r="C1232" s="56">
        <f t="shared" si="84"/>
        <v>100540010</v>
      </c>
      <c r="D1232" s="57" t="s">
        <v>1680</v>
      </c>
      <c r="E1232" s="58" t="s">
        <v>640</v>
      </c>
      <c r="F1232" s="58"/>
      <c r="G1232" s="58"/>
      <c r="H1232" s="58"/>
      <c r="I1232" s="59" t="s">
        <v>206</v>
      </c>
      <c r="J1232" s="59"/>
      <c r="K1232" s="59"/>
      <c r="L1232" s="59"/>
      <c r="M1232" s="59"/>
      <c r="N1232" s="59" t="s">
        <v>163</v>
      </c>
      <c r="O1232" s="59" t="s">
        <v>163</v>
      </c>
      <c r="P1232" s="59"/>
      <c r="Q1232" s="59" t="s">
        <v>2041</v>
      </c>
      <c r="R1232" s="59"/>
      <c r="S1232" s="59"/>
      <c r="T1232" s="59" t="s">
        <v>2714</v>
      </c>
      <c r="U1232" s="122" t="s">
        <v>2975</v>
      </c>
      <c r="V1232" s="59" t="s">
        <v>109</v>
      </c>
      <c r="W1232" s="59" t="s">
        <v>1</v>
      </c>
      <c r="X1232" s="59"/>
      <c r="Z1232" s="59"/>
      <c r="AA1232" s="59"/>
      <c r="AB1232" s="59"/>
      <c r="AC1232" s="59">
        <v>54</v>
      </c>
      <c r="AD1232" s="59"/>
      <c r="AE1232" s="60"/>
      <c r="AF1232" s="60" t="s">
        <v>2042</v>
      </c>
      <c r="AG1232" s="59"/>
      <c r="AH1232" s="61">
        <v>101541</v>
      </c>
      <c r="AI1232" s="61" t="s">
        <v>176</v>
      </c>
      <c r="AJ1232" s="61"/>
      <c r="AK1232" s="62" t="s">
        <v>635</v>
      </c>
      <c r="AL1232" s="62"/>
      <c r="AM1232" s="63"/>
      <c r="AN1232" s="63"/>
      <c r="AO1232" s="63"/>
      <c r="AP1232" s="63"/>
      <c r="AQ1232" s="63"/>
      <c r="AR1232" s="63"/>
      <c r="AS1232" s="63"/>
      <c r="AT1232" s="63"/>
      <c r="AU1232" s="61"/>
      <c r="AV1232" s="61"/>
      <c r="AW1232" s="61"/>
      <c r="AX1232" s="62"/>
      <c r="AY1232" s="62"/>
      <c r="AZ1232" s="63"/>
      <c r="BA1232" s="63"/>
      <c r="BB1232" s="63"/>
      <c r="BC1232" s="63"/>
      <c r="BD1232" s="63"/>
      <c r="BE1232" s="63"/>
      <c r="BF1232" s="63"/>
      <c r="BG1232" s="63"/>
      <c r="BH1232" s="61"/>
      <c r="BI1232" s="61"/>
      <c r="BJ1232" s="61"/>
      <c r="BK1232" s="62"/>
      <c r="BL1232" s="62"/>
      <c r="BM1232" s="63"/>
      <c r="BN1232" s="63"/>
      <c r="BO1232" s="63"/>
      <c r="BP1232" s="63"/>
      <c r="BQ1232" s="63"/>
      <c r="BR1232" s="63"/>
      <c r="BS1232" s="63"/>
      <c r="BT1232" s="63"/>
      <c r="BU1232" s="61"/>
      <c r="BV1232" s="61"/>
      <c r="BW1232" s="61"/>
      <c r="BX1232" s="62"/>
      <c r="BY1232" s="62"/>
      <c r="BZ1232" s="63"/>
      <c r="CA1232" s="63"/>
      <c r="CB1232" s="63"/>
      <c r="CC1232" s="63"/>
      <c r="CD1232" s="63"/>
      <c r="CE1232" s="63"/>
      <c r="CF1232" s="63"/>
      <c r="CG1232" s="63"/>
      <c r="CH1232" s="64"/>
      <c r="CJ1232" s="63"/>
      <c r="CT1232" s="65"/>
      <c r="CU1232" s="65"/>
      <c r="CV1232" s="65"/>
      <c r="CW1232" s="65"/>
      <c r="CX1232" s="65"/>
      <c r="CY1232" s="65"/>
      <c r="CZ1232" s="65"/>
      <c r="DA1232" s="65"/>
      <c r="DB1232" s="65"/>
      <c r="DC1232" s="63"/>
    </row>
    <row r="1233" spans="1:107" s="57" customFormat="1" x14ac:dyDescent="0.2">
      <c r="A1233" s="55">
        <v>10054</v>
      </c>
      <c r="B1233" s="56">
        <v>11</v>
      </c>
      <c r="C1233" s="56">
        <f t="shared" si="84"/>
        <v>100540011</v>
      </c>
      <c r="D1233" s="57" t="s">
        <v>1680</v>
      </c>
      <c r="E1233" s="58" t="s">
        <v>640</v>
      </c>
      <c r="F1233" s="58"/>
      <c r="G1233" s="58"/>
      <c r="H1233" s="58"/>
      <c r="I1233" s="59" t="s">
        <v>206</v>
      </c>
      <c r="J1233" s="59"/>
      <c r="K1233" s="59"/>
      <c r="L1233" s="59"/>
      <c r="M1233" s="59"/>
      <c r="N1233" s="59" t="s">
        <v>163</v>
      </c>
      <c r="O1233" s="59" t="s">
        <v>163</v>
      </c>
      <c r="P1233" s="59"/>
      <c r="Q1233" s="59" t="s">
        <v>2041</v>
      </c>
      <c r="R1233" s="59"/>
      <c r="S1233" s="59"/>
      <c r="T1233" s="59" t="s">
        <v>2714</v>
      </c>
      <c r="U1233" s="122" t="s">
        <v>2976</v>
      </c>
      <c r="V1233" s="59" t="s">
        <v>109</v>
      </c>
      <c r="W1233" s="59" t="s">
        <v>1</v>
      </c>
      <c r="X1233" s="59"/>
      <c r="Z1233" s="59"/>
      <c r="AA1233" s="59"/>
      <c r="AB1233" s="59"/>
      <c r="AC1233" s="59">
        <v>54</v>
      </c>
      <c r="AD1233" s="59"/>
      <c r="AE1233" s="60"/>
      <c r="AF1233" s="60" t="s">
        <v>2042</v>
      </c>
      <c r="AG1233" s="59"/>
      <c r="AH1233" s="61">
        <v>101542</v>
      </c>
      <c r="AI1233" s="61" t="s">
        <v>260</v>
      </c>
      <c r="AJ1233" s="61"/>
      <c r="AK1233" s="62" t="s">
        <v>636</v>
      </c>
      <c r="AL1233" s="62"/>
      <c r="AM1233" s="63"/>
      <c r="AN1233" s="63"/>
      <c r="AO1233" s="63"/>
      <c r="AP1233" s="63"/>
      <c r="AQ1233" s="63"/>
      <c r="AR1233" s="63"/>
      <c r="AS1233" s="63"/>
      <c r="AT1233" s="63"/>
      <c r="AU1233" s="61"/>
      <c r="AV1233" s="61"/>
      <c r="AW1233" s="61"/>
      <c r="AX1233" s="62"/>
      <c r="AY1233" s="62"/>
      <c r="AZ1233" s="63"/>
      <c r="BA1233" s="63"/>
      <c r="BB1233" s="63"/>
      <c r="BC1233" s="63"/>
      <c r="BD1233" s="63"/>
      <c r="BE1233" s="63"/>
      <c r="BF1233" s="63"/>
      <c r="BG1233" s="63"/>
      <c r="BH1233" s="61"/>
      <c r="BI1233" s="61"/>
      <c r="BJ1233" s="61"/>
      <c r="BK1233" s="62"/>
      <c r="BL1233" s="62"/>
      <c r="BM1233" s="63"/>
      <c r="BN1233" s="63"/>
      <c r="BO1233" s="63"/>
      <c r="BP1233" s="63"/>
      <c r="BQ1233" s="63"/>
      <c r="BR1233" s="63"/>
      <c r="BS1233" s="63"/>
      <c r="BT1233" s="63"/>
      <c r="BU1233" s="61"/>
      <c r="BV1233" s="61"/>
      <c r="BW1233" s="61"/>
      <c r="BX1233" s="62"/>
      <c r="BY1233" s="62"/>
      <c r="BZ1233" s="63"/>
      <c r="CA1233" s="63"/>
      <c r="CB1233" s="63"/>
      <c r="CC1233" s="63"/>
      <c r="CD1233" s="63"/>
      <c r="CE1233" s="63"/>
      <c r="CF1233" s="63"/>
      <c r="CG1233" s="63"/>
      <c r="CH1233" s="64"/>
      <c r="CJ1233" s="63"/>
      <c r="CT1233" s="65"/>
      <c r="CU1233" s="65"/>
      <c r="CV1233" s="65"/>
      <c r="CW1233" s="65"/>
      <c r="CX1233" s="65"/>
      <c r="CY1233" s="65"/>
      <c r="CZ1233" s="65"/>
      <c r="DA1233" s="65"/>
      <c r="DB1233" s="65"/>
      <c r="DC1233" s="63"/>
    </row>
    <row r="1234" spans="1:107" s="57" customFormat="1" x14ac:dyDescent="0.2">
      <c r="A1234" s="55">
        <v>10054</v>
      </c>
      <c r="B1234" s="56">
        <v>12</v>
      </c>
      <c r="C1234" s="56">
        <f t="shared" si="84"/>
        <v>100540012</v>
      </c>
      <c r="D1234" s="57" t="s">
        <v>1680</v>
      </c>
      <c r="E1234" s="58" t="s">
        <v>640</v>
      </c>
      <c r="F1234" s="58"/>
      <c r="G1234" s="58"/>
      <c r="H1234" s="58"/>
      <c r="I1234" s="59" t="s">
        <v>206</v>
      </c>
      <c r="J1234" s="59"/>
      <c r="K1234" s="59"/>
      <c r="L1234" s="59"/>
      <c r="M1234" s="59"/>
      <c r="N1234" s="59" t="s">
        <v>163</v>
      </c>
      <c r="O1234" s="59" t="s">
        <v>163</v>
      </c>
      <c r="P1234" s="59"/>
      <c r="Q1234" s="59" t="s">
        <v>2041</v>
      </c>
      <c r="R1234" s="59"/>
      <c r="S1234" s="59"/>
      <c r="T1234" s="59" t="s">
        <v>2714</v>
      </c>
      <c r="U1234" s="122" t="s">
        <v>2977</v>
      </c>
      <c r="V1234" s="59" t="s">
        <v>109</v>
      </c>
      <c r="W1234" s="59" t="s">
        <v>1</v>
      </c>
      <c r="X1234" s="59"/>
      <c r="Z1234" s="59"/>
      <c r="AA1234" s="59"/>
      <c r="AB1234" s="59"/>
      <c r="AC1234" s="59">
        <v>54</v>
      </c>
      <c r="AD1234" s="59"/>
      <c r="AE1234" s="60"/>
      <c r="AF1234" s="60" t="s">
        <v>2042</v>
      </c>
      <c r="AG1234" s="59"/>
      <c r="AH1234" s="61">
        <v>101543</v>
      </c>
      <c r="AI1234" s="61" t="s">
        <v>264</v>
      </c>
      <c r="AJ1234" s="61"/>
      <c r="AK1234" s="62" t="s">
        <v>637</v>
      </c>
      <c r="AL1234" s="62"/>
      <c r="AM1234" s="63"/>
      <c r="AN1234" s="63"/>
      <c r="AO1234" s="63"/>
      <c r="AP1234" s="63"/>
      <c r="AQ1234" s="63"/>
      <c r="AR1234" s="63"/>
      <c r="AS1234" s="63"/>
      <c r="AT1234" s="63"/>
      <c r="AU1234" s="61"/>
      <c r="AV1234" s="61"/>
      <c r="AW1234" s="61"/>
      <c r="AX1234" s="62"/>
      <c r="AY1234" s="62"/>
      <c r="AZ1234" s="63"/>
      <c r="BA1234" s="63"/>
      <c r="BB1234" s="63"/>
      <c r="BC1234" s="63"/>
      <c r="BD1234" s="63"/>
      <c r="BE1234" s="63"/>
      <c r="BF1234" s="63"/>
      <c r="BG1234" s="63"/>
      <c r="BH1234" s="61"/>
      <c r="BI1234" s="61"/>
      <c r="BJ1234" s="61"/>
      <c r="BK1234" s="62"/>
      <c r="BL1234" s="62"/>
      <c r="BM1234" s="63"/>
      <c r="BN1234" s="63"/>
      <c r="BO1234" s="63"/>
      <c r="BP1234" s="63"/>
      <c r="BQ1234" s="63"/>
      <c r="BR1234" s="63"/>
      <c r="BS1234" s="63"/>
      <c r="BT1234" s="63"/>
      <c r="BU1234" s="61"/>
      <c r="BV1234" s="61"/>
      <c r="BW1234" s="61"/>
      <c r="BX1234" s="62"/>
      <c r="BY1234" s="62"/>
      <c r="BZ1234" s="63"/>
      <c r="CA1234" s="63"/>
      <c r="CB1234" s="63"/>
      <c r="CC1234" s="63"/>
      <c r="CD1234" s="63"/>
      <c r="CE1234" s="63"/>
      <c r="CF1234" s="63"/>
      <c r="CG1234" s="63"/>
      <c r="CH1234" s="64"/>
      <c r="CJ1234" s="63"/>
      <c r="CT1234" s="65"/>
      <c r="CU1234" s="65"/>
      <c r="CV1234" s="65"/>
      <c r="CW1234" s="65"/>
      <c r="CX1234" s="65"/>
      <c r="CY1234" s="65"/>
      <c r="CZ1234" s="65"/>
      <c r="DA1234" s="65"/>
      <c r="DB1234" s="65"/>
      <c r="DC1234" s="63"/>
    </row>
    <row r="1235" spans="1:107" s="57" customFormat="1" x14ac:dyDescent="0.2">
      <c r="A1235" s="55">
        <v>10054</v>
      </c>
      <c r="B1235" s="56">
        <v>13</v>
      </c>
      <c r="C1235" s="56">
        <f t="shared" si="84"/>
        <v>100540013</v>
      </c>
      <c r="D1235" s="57" t="s">
        <v>1680</v>
      </c>
      <c r="E1235" s="58" t="s">
        <v>640</v>
      </c>
      <c r="F1235" s="58"/>
      <c r="G1235" s="58"/>
      <c r="H1235" s="58"/>
      <c r="I1235" s="59" t="s">
        <v>206</v>
      </c>
      <c r="J1235" s="59"/>
      <c r="K1235" s="59"/>
      <c r="L1235" s="59"/>
      <c r="M1235" s="59"/>
      <c r="N1235" s="59" t="s">
        <v>163</v>
      </c>
      <c r="O1235" s="59" t="s">
        <v>163</v>
      </c>
      <c r="P1235" s="59"/>
      <c r="Q1235" s="59" t="s">
        <v>2041</v>
      </c>
      <c r="R1235" s="59"/>
      <c r="S1235" s="59"/>
      <c r="T1235" s="59" t="s">
        <v>2714</v>
      </c>
      <c r="U1235" s="122" t="s">
        <v>2978</v>
      </c>
      <c r="V1235" s="59" t="s">
        <v>109</v>
      </c>
      <c r="W1235" s="59" t="s">
        <v>1</v>
      </c>
      <c r="X1235" s="59"/>
      <c r="Z1235" s="59"/>
      <c r="AA1235" s="59"/>
      <c r="AB1235" s="59"/>
      <c r="AC1235" s="59">
        <v>54</v>
      </c>
      <c r="AD1235" s="59"/>
      <c r="AE1235" s="60"/>
      <c r="AF1235" s="60" t="s">
        <v>2042</v>
      </c>
      <c r="AG1235" s="59"/>
      <c r="AH1235" s="61">
        <v>101544</v>
      </c>
      <c r="AI1235" s="61" t="s">
        <v>265</v>
      </c>
      <c r="AJ1235" s="61"/>
      <c r="AK1235" s="62" t="s">
        <v>638</v>
      </c>
      <c r="AL1235" s="62"/>
      <c r="AM1235" s="63"/>
      <c r="AN1235" s="63"/>
      <c r="AO1235" s="63"/>
      <c r="AP1235" s="63"/>
      <c r="AQ1235" s="63"/>
      <c r="AR1235" s="63"/>
      <c r="AS1235" s="63"/>
      <c r="AT1235" s="63"/>
      <c r="AU1235" s="61"/>
      <c r="AV1235" s="61"/>
      <c r="AW1235" s="61"/>
      <c r="AX1235" s="62"/>
      <c r="AY1235" s="62"/>
      <c r="AZ1235" s="63"/>
      <c r="BA1235" s="63"/>
      <c r="BB1235" s="63"/>
      <c r="BC1235" s="63"/>
      <c r="BD1235" s="63"/>
      <c r="BE1235" s="63"/>
      <c r="BF1235" s="63"/>
      <c r="BG1235" s="63"/>
      <c r="BH1235" s="61"/>
      <c r="BI1235" s="61"/>
      <c r="BJ1235" s="61"/>
      <c r="BK1235" s="62"/>
      <c r="BL1235" s="62"/>
      <c r="BM1235" s="63"/>
      <c r="BN1235" s="63"/>
      <c r="BO1235" s="63"/>
      <c r="BP1235" s="63"/>
      <c r="BQ1235" s="63"/>
      <c r="BR1235" s="63"/>
      <c r="BS1235" s="63"/>
      <c r="BT1235" s="63"/>
      <c r="BU1235" s="61"/>
      <c r="BV1235" s="61"/>
      <c r="BW1235" s="61"/>
      <c r="BX1235" s="62"/>
      <c r="BY1235" s="62"/>
      <c r="BZ1235" s="63"/>
      <c r="CA1235" s="63"/>
      <c r="CB1235" s="63"/>
      <c r="CC1235" s="63"/>
      <c r="CD1235" s="63"/>
      <c r="CE1235" s="63"/>
      <c r="CF1235" s="63"/>
      <c r="CG1235" s="63"/>
      <c r="CH1235" s="64"/>
      <c r="CJ1235" s="63"/>
      <c r="CT1235" s="65"/>
      <c r="CU1235" s="65"/>
      <c r="CV1235" s="65"/>
      <c r="CW1235" s="65"/>
      <c r="CX1235" s="65"/>
      <c r="CY1235" s="65"/>
      <c r="CZ1235" s="65"/>
      <c r="DA1235" s="65"/>
      <c r="DB1235" s="65"/>
      <c r="DC1235" s="63"/>
    </row>
    <row r="1236" spans="1:107" s="57" customFormat="1" x14ac:dyDescent="0.2">
      <c r="A1236" s="55">
        <v>10054</v>
      </c>
      <c r="B1236" s="56">
        <v>14</v>
      </c>
      <c r="C1236" s="56">
        <f t="shared" si="84"/>
        <v>100540014</v>
      </c>
      <c r="D1236" s="57" t="s">
        <v>1680</v>
      </c>
      <c r="E1236" s="58" t="s">
        <v>640</v>
      </c>
      <c r="F1236" s="58"/>
      <c r="G1236" s="58"/>
      <c r="H1236" s="58"/>
      <c r="I1236" s="59" t="s">
        <v>206</v>
      </c>
      <c r="J1236" s="59"/>
      <c r="K1236" s="59"/>
      <c r="L1236" s="59"/>
      <c r="M1236" s="59"/>
      <c r="N1236" s="59" t="s">
        <v>163</v>
      </c>
      <c r="O1236" s="59" t="s">
        <v>163</v>
      </c>
      <c r="P1236" s="59"/>
      <c r="Q1236" s="59" t="s">
        <v>2041</v>
      </c>
      <c r="R1236" s="59"/>
      <c r="S1236" s="59"/>
      <c r="T1236" s="59" t="s">
        <v>2714</v>
      </c>
      <c r="U1236" s="122" t="s">
        <v>2979</v>
      </c>
      <c r="V1236" s="59" t="s">
        <v>109</v>
      </c>
      <c r="W1236" s="59" t="s">
        <v>1</v>
      </c>
      <c r="X1236" s="59"/>
      <c r="Z1236" s="59"/>
      <c r="AA1236" s="59"/>
      <c r="AB1236" s="59"/>
      <c r="AC1236" s="59">
        <v>54</v>
      </c>
      <c r="AD1236" s="59"/>
      <c r="AE1236" s="60"/>
      <c r="AF1236" s="60" t="s">
        <v>2042</v>
      </c>
      <c r="AG1236" s="59"/>
      <c r="AH1236" s="61">
        <v>101545</v>
      </c>
      <c r="AI1236" s="61">
        <v>54</v>
      </c>
      <c r="AJ1236" s="61"/>
      <c r="AK1236" s="62" t="s">
        <v>639</v>
      </c>
      <c r="AL1236" s="62"/>
      <c r="AM1236" s="63"/>
      <c r="AN1236" s="63"/>
      <c r="AO1236" s="63"/>
      <c r="AP1236" s="63"/>
      <c r="AQ1236" s="63"/>
      <c r="AR1236" s="63"/>
      <c r="AS1236" s="63"/>
      <c r="AT1236" s="63"/>
      <c r="AU1236" s="61"/>
      <c r="AV1236" s="61"/>
      <c r="AW1236" s="61"/>
      <c r="AX1236" s="62"/>
      <c r="AY1236" s="62"/>
      <c r="AZ1236" s="63"/>
      <c r="BA1236" s="63"/>
      <c r="BB1236" s="63"/>
      <c r="BC1236" s="63"/>
      <c r="BD1236" s="63"/>
      <c r="BE1236" s="63"/>
      <c r="BF1236" s="63"/>
      <c r="BG1236" s="63"/>
      <c r="BH1236" s="61"/>
      <c r="BI1236" s="61"/>
      <c r="BJ1236" s="61"/>
      <c r="BK1236" s="62"/>
      <c r="BL1236" s="62"/>
      <c r="BM1236" s="63"/>
      <c r="BN1236" s="63"/>
      <c r="BO1236" s="63"/>
      <c r="BP1236" s="63"/>
      <c r="BQ1236" s="63"/>
      <c r="BR1236" s="63"/>
      <c r="BS1236" s="63"/>
      <c r="BT1236" s="63"/>
      <c r="BU1236" s="61"/>
      <c r="BV1236" s="61"/>
      <c r="BW1236" s="61"/>
      <c r="BX1236" s="62"/>
      <c r="BY1236" s="62"/>
      <c r="BZ1236" s="63"/>
      <c r="CA1236" s="63"/>
      <c r="CB1236" s="63"/>
      <c r="CC1236" s="63"/>
      <c r="CD1236" s="63"/>
      <c r="CE1236" s="63"/>
      <c r="CF1236" s="63"/>
      <c r="CG1236" s="63"/>
      <c r="CH1236" s="64"/>
      <c r="CJ1236" s="63"/>
      <c r="CT1236" s="65"/>
      <c r="CU1236" s="65"/>
      <c r="CV1236" s="65"/>
      <c r="CW1236" s="65"/>
      <c r="CX1236" s="65"/>
      <c r="CY1236" s="65"/>
      <c r="CZ1236" s="65"/>
      <c r="DA1236" s="65"/>
      <c r="DB1236" s="65"/>
      <c r="DC1236" s="63"/>
    </row>
    <row r="1237" spans="1:107" s="57" customFormat="1" x14ac:dyDescent="0.2">
      <c r="A1237" s="55">
        <v>10055</v>
      </c>
      <c r="B1237" s="56">
        <v>10</v>
      </c>
      <c r="C1237" s="56">
        <f t="shared" si="84"/>
        <v>100550010</v>
      </c>
      <c r="D1237" s="57" t="s">
        <v>1565</v>
      </c>
      <c r="E1237" s="58" t="s">
        <v>640</v>
      </c>
      <c r="F1237" s="58"/>
      <c r="G1237" s="58"/>
      <c r="H1237" s="58"/>
      <c r="I1237" s="59" t="s">
        <v>206</v>
      </c>
      <c r="J1237" s="59"/>
      <c r="K1237" s="59"/>
      <c r="L1237" s="59"/>
      <c r="M1237" s="59"/>
      <c r="N1237" s="59" t="s">
        <v>163</v>
      </c>
      <c r="O1237" s="59" t="s">
        <v>163</v>
      </c>
      <c r="P1237" s="59"/>
      <c r="Q1237" s="59" t="s">
        <v>2041</v>
      </c>
      <c r="R1237" s="59"/>
      <c r="S1237" s="59"/>
      <c r="T1237" s="59" t="s">
        <v>2714</v>
      </c>
      <c r="U1237" s="122" t="s">
        <v>2980</v>
      </c>
      <c r="V1237" s="59" t="s">
        <v>109</v>
      </c>
      <c r="W1237" s="59" t="s">
        <v>1</v>
      </c>
      <c r="X1237" s="59"/>
      <c r="Z1237" s="59"/>
      <c r="AA1237" s="59"/>
      <c r="AB1237" s="59"/>
      <c r="AC1237" s="59">
        <v>55</v>
      </c>
      <c r="AD1237" s="59"/>
      <c r="AE1237" s="60"/>
      <c r="AF1237" s="60" t="s">
        <v>2042</v>
      </c>
      <c r="AG1237" s="59"/>
      <c r="AH1237" s="61">
        <v>101551</v>
      </c>
      <c r="AI1237" s="61" t="s">
        <v>176</v>
      </c>
      <c r="AJ1237" s="61"/>
      <c r="AK1237" s="62" t="s">
        <v>635</v>
      </c>
      <c r="AL1237" s="62"/>
      <c r="AM1237" s="63"/>
      <c r="AN1237" s="63"/>
      <c r="AO1237" s="63"/>
      <c r="AP1237" s="63"/>
      <c r="AQ1237" s="63"/>
      <c r="AR1237" s="63"/>
      <c r="AS1237" s="63"/>
      <c r="AT1237" s="63"/>
      <c r="AU1237" s="61"/>
      <c r="AV1237" s="61"/>
      <c r="AW1237" s="61"/>
      <c r="AX1237" s="62"/>
      <c r="AY1237" s="62"/>
      <c r="AZ1237" s="63"/>
      <c r="BA1237" s="63"/>
      <c r="BB1237" s="63"/>
      <c r="BC1237" s="63"/>
      <c r="BD1237" s="63"/>
      <c r="BE1237" s="63"/>
      <c r="BF1237" s="63"/>
      <c r="BG1237" s="63"/>
      <c r="BH1237" s="61"/>
      <c r="BI1237" s="61"/>
      <c r="BJ1237" s="61"/>
      <c r="BK1237" s="62"/>
      <c r="BL1237" s="62"/>
      <c r="BM1237" s="63"/>
      <c r="BN1237" s="63"/>
      <c r="BO1237" s="63"/>
      <c r="BP1237" s="63"/>
      <c r="BQ1237" s="63"/>
      <c r="BR1237" s="63"/>
      <c r="BS1237" s="63"/>
      <c r="BT1237" s="63"/>
      <c r="BU1237" s="61"/>
      <c r="BV1237" s="61"/>
      <c r="BW1237" s="61"/>
      <c r="BX1237" s="62"/>
      <c r="BY1237" s="62"/>
      <c r="BZ1237" s="63"/>
      <c r="CA1237" s="63"/>
      <c r="CB1237" s="63"/>
      <c r="CC1237" s="63"/>
      <c r="CD1237" s="63"/>
      <c r="CE1237" s="63"/>
      <c r="CF1237" s="63"/>
      <c r="CG1237" s="63"/>
      <c r="CH1237" s="64"/>
      <c r="CJ1237" s="63"/>
      <c r="CT1237" s="65"/>
      <c r="CU1237" s="65"/>
      <c r="CV1237" s="65"/>
      <c r="CW1237" s="65"/>
      <c r="CX1237" s="65"/>
      <c r="CY1237" s="65"/>
      <c r="CZ1237" s="65"/>
      <c r="DA1237" s="65"/>
      <c r="DB1237" s="65"/>
      <c r="DC1237" s="63"/>
    </row>
    <row r="1238" spans="1:107" s="57" customFormat="1" x14ac:dyDescent="0.2">
      <c r="A1238" s="55">
        <v>10055</v>
      </c>
      <c r="B1238" s="56">
        <v>11</v>
      </c>
      <c r="C1238" s="56">
        <f t="shared" si="84"/>
        <v>100550011</v>
      </c>
      <c r="D1238" s="57" t="s">
        <v>1565</v>
      </c>
      <c r="E1238" s="58" t="s">
        <v>640</v>
      </c>
      <c r="F1238" s="58"/>
      <c r="G1238" s="58"/>
      <c r="H1238" s="58"/>
      <c r="I1238" s="59" t="s">
        <v>206</v>
      </c>
      <c r="J1238" s="59"/>
      <c r="K1238" s="59"/>
      <c r="L1238" s="59"/>
      <c r="M1238" s="59"/>
      <c r="N1238" s="59" t="s">
        <v>163</v>
      </c>
      <c r="O1238" s="59" t="s">
        <v>163</v>
      </c>
      <c r="P1238" s="59"/>
      <c r="Q1238" s="59" t="s">
        <v>2041</v>
      </c>
      <c r="R1238" s="59"/>
      <c r="S1238" s="59"/>
      <c r="T1238" s="59" t="s">
        <v>2714</v>
      </c>
      <c r="U1238" s="122" t="s">
        <v>2981</v>
      </c>
      <c r="V1238" s="59" t="s">
        <v>109</v>
      </c>
      <c r="W1238" s="59" t="s">
        <v>1</v>
      </c>
      <c r="X1238" s="59"/>
      <c r="Z1238" s="59"/>
      <c r="AA1238" s="59"/>
      <c r="AB1238" s="59"/>
      <c r="AC1238" s="59">
        <v>55</v>
      </c>
      <c r="AD1238" s="59"/>
      <c r="AE1238" s="60"/>
      <c r="AF1238" s="60" t="s">
        <v>2042</v>
      </c>
      <c r="AG1238" s="59"/>
      <c r="AH1238" s="61">
        <v>101552</v>
      </c>
      <c r="AI1238" s="61" t="s">
        <v>260</v>
      </c>
      <c r="AJ1238" s="61"/>
      <c r="AK1238" s="62" t="s">
        <v>636</v>
      </c>
      <c r="AL1238" s="62"/>
      <c r="AM1238" s="63"/>
      <c r="AN1238" s="63"/>
      <c r="AO1238" s="63"/>
      <c r="AP1238" s="63"/>
      <c r="AQ1238" s="63"/>
      <c r="AR1238" s="63"/>
      <c r="AS1238" s="63"/>
      <c r="AT1238" s="63"/>
      <c r="AU1238" s="61"/>
      <c r="AV1238" s="61"/>
      <c r="AW1238" s="61"/>
      <c r="AX1238" s="62"/>
      <c r="AY1238" s="62"/>
      <c r="AZ1238" s="63"/>
      <c r="BA1238" s="63"/>
      <c r="BB1238" s="63"/>
      <c r="BC1238" s="63"/>
      <c r="BD1238" s="63"/>
      <c r="BE1238" s="63"/>
      <c r="BF1238" s="63"/>
      <c r="BG1238" s="63"/>
      <c r="BH1238" s="61"/>
      <c r="BI1238" s="61"/>
      <c r="BJ1238" s="61"/>
      <c r="BK1238" s="62"/>
      <c r="BL1238" s="62"/>
      <c r="BM1238" s="63"/>
      <c r="BN1238" s="63"/>
      <c r="BO1238" s="63"/>
      <c r="BP1238" s="63"/>
      <c r="BQ1238" s="63"/>
      <c r="BR1238" s="63"/>
      <c r="BS1238" s="63"/>
      <c r="BT1238" s="63"/>
      <c r="BU1238" s="61"/>
      <c r="BV1238" s="61"/>
      <c r="BW1238" s="61"/>
      <c r="BX1238" s="62"/>
      <c r="BY1238" s="62"/>
      <c r="BZ1238" s="63"/>
      <c r="CA1238" s="63"/>
      <c r="CB1238" s="63"/>
      <c r="CC1238" s="63"/>
      <c r="CD1238" s="63"/>
      <c r="CE1238" s="63"/>
      <c r="CF1238" s="63"/>
      <c r="CG1238" s="63"/>
      <c r="CH1238" s="64"/>
      <c r="CJ1238" s="63"/>
      <c r="CT1238" s="65"/>
      <c r="CU1238" s="65"/>
      <c r="CV1238" s="65"/>
      <c r="CW1238" s="65"/>
      <c r="CX1238" s="65"/>
      <c r="CY1238" s="65"/>
      <c r="CZ1238" s="65"/>
      <c r="DA1238" s="65"/>
      <c r="DB1238" s="65"/>
      <c r="DC1238" s="63"/>
    </row>
    <row r="1239" spans="1:107" s="57" customFormat="1" x14ac:dyDescent="0.2">
      <c r="A1239" s="55">
        <v>10055</v>
      </c>
      <c r="B1239" s="56">
        <v>12</v>
      </c>
      <c r="C1239" s="56">
        <f t="shared" si="84"/>
        <v>100550012</v>
      </c>
      <c r="D1239" s="57" t="s">
        <v>1565</v>
      </c>
      <c r="E1239" s="58" t="s">
        <v>640</v>
      </c>
      <c r="F1239" s="58"/>
      <c r="G1239" s="58"/>
      <c r="H1239" s="58"/>
      <c r="I1239" s="59" t="s">
        <v>206</v>
      </c>
      <c r="J1239" s="59"/>
      <c r="K1239" s="59"/>
      <c r="L1239" s="59"/>
      <c r="M1239" s="59"/>
      <c r="N1239" s="59" t="s">
        <v>163</v>
      </c>
      <c r="O1239" s="59" t="s">
        <v>163</v>
      </c>
      <c r="P1239" s="59"/>
      <c r="Q1239" s="59" t="s">
        <v>2041</v>
      </c>
      <c r="R1239" s="59"/>
      <c r="S1239" s="59"/>
      <c r="T1239" s="59" t="s">
        <v>2714</v>
      </c>
      <c r="U1239" s="122" t="s">
        <v>2982</v>
      </c>
      <c r="V1239" s="59" t="s">
        <v>109</v>
      </c>
      <c r="W1239" s="59" t="s">
        <v>1</v>
      </c>
      <c r="X1239" s="59"/>
      <c r="Z1239" s="59"/>
      <c r="AA1239" s="59"/>
      <c r="AB1239" s="59"/>
      <c r="AC1239" s="59">
        <v>55</v>
      </c>
      <c r="AD1239" s="59"/>
      <c r="AE1239" s="60"/>
      <c r="AF1239" s="60" t="s">
        <v>2042</v>
      </c>
      <c r="AG1239" s="59"/>
      <c r="AH1239" s="61">
        <v>101553</v>
      </c>
      <c r="AI1239" s="61" t="s">
        <v>264</v>
      </c>
      <c r="AJ1239" s="61"/>
      <c r="AK1239" s="62" t="s">
        <v>637</v>
      </c>
      <c r="AL1239" s="62"/>
      <c r="AM1239" s="63"/>
      <c r="AN1239" s="63"/>
      <c r="AO1239" s="63"/>
      <c r="AP1239" s="63"/>
      <c r="AQ1239" s="63"/>
      <c r="AR1239" s="63"/>
      <c r="AS1239" s="63"/>
      <c r="AT1239" s="63"/>
      <c r="AU1239" s="61"/>
      <c r="AV1239" s="61"/>
      <c r="AW1239" s="61"/>
      <c r="AX1239" s="62"/>
      <c r="AY1239" s="62"/>
      <c r="AZ1239" s="63"/>
      <c r="BA1239" s="63"/>
      <c r="BB1239" s="63"/>
      <c r="BC1239" s="63"/>
      <c r="BD1239" s="63"/>
      <c r="BE1239" s="63"/>
      <c r="BF1239" s="63"/>
      <c r="BG1239" s="63"/>
      <c r="BH1239" s="61"/>
      <c r="BI1239" s="61"/>
      <c r="BJ1239" s="61"/>
      <c r="BK1239" s="62"/>
      <c r="BL1239" s="62"/>
      <c r="BM1239" s="63"/>
      <c r="BN1239" s="63"/>
      <c r="BO1239" s="63"/>
      <c r="BP1239" s="63"/>
      <c r="BQ1239" s="63"/>
      <c r="BR1239" s="63"/>
      <c r="BS1239" s="63"/>
      <c r="BT1239" s="63"/>
      <c r="BU1239" s="61"/>
      <c r="BV1239" s="61"/>
      <c r="BW1239" s="61"/>
      <c r="BX1239" s="62"/>
      <c r="BY1239" s="62"/>
      <c r="BZ1239" s="63"/>
      <c r="CA1239" s="63"/>
      <c r="CB1239" s="63"/>
      <c r="CC1239" s="63"/>
      <c r="CD1239" s="63"/>
      <c r="CE1239" s="63"/>
      <c r="CF1239" s="63"/>
      <c r="CG1239" s="63"/>
      <c r="CH1239" s="64"/>
      <c r="CJ1239" s="63"/>
      <c r="CT1239" s="65"/>
      <c r="CU1239" s="65"/>
      <c r="CV1239" s="65"/>
      <c r="CW1239" s="65"/>
      <c r="CX1239" s="65"/>
      <c r="CY1239" s="65"/>
      <c r="CZ1239" s="65"/>
      <c r="DA1239" s="65"/>
      <c r="DB1239" s="65"/>
      <c r="DC1239" s="63"/>
    </row>
    <row r="1240" spans="1:107" s="57" customFormat="1" x14ac:dyDescent="0.2">
      <c r="A1240" s="55">
        <v>10055</v>
      </c>
      <c r="B1240" s="56">
        <v>13</v>
      </c>
      <c r="C1240" s="56">
        <f t="shared" si="84"/>
        <v>100550013</v>
      </c>
      <c r="D1240" s="57" t="s">
        <v>1565</v>
      </c>
      <c r="E1240" s="58" t="s">
        <v>640</v>
      </c>
      <c r="F1240" s="58"/>
      <c r="G1240" s="58"/>
      <c r="H1240" s="58"/>
      <c r="I1240" s="59" t="s">
        <v>206</v>
      </c>
      <c r="J1240" s="59"/>
      <c r="K1240" s="59"/>
      <c r="L1240" s="59"/>
      <c r="M1240" s="59"/>
      <c r="N1240" s="59" t="s">
        <v>163</v>
      </c>
      <c r="O1240" s="59" t="s">
        <v>163</v>
      </c>
      <c r="P1240" s="59"/>
      <c r="Q1240" s="59" t="s">
        <v>2041</v>
      </c>
      <c r="R1240" s="59"/>
      <c r="S1240" s="59"/>
      <c r="T1240" s="59" t="s">
        <v>2714</v>
      </c>
      <c r="U1240" s="122" t="s">
        <v>2983</v>
      </c>
      <c r="V1240" s="59" t="s">
        <v>109</v>
      </c>
      <c r="W1240" s="59" t="s">
        <v>1</v>
      </c>
      <c r="X1240" s="59"/>
      <c r="Z1240" s="59"/>
      <c r="AA1240" s="59"/>
      <c r="AB1240" s="59"/>
      <c r="AC1240" s="59">
        <v>55</v>
      </c>
      <c r="AD1240" s="59"/>
      <c r="AE1240" s="60"/>
      <c r="AF1240" s="60" t="s">
        <v>2042</v>
      </c>
      <c r="AG1240" s="59"/>
      <c r="AH1240" s="61">
        <v>101554</v>
      </c>
      <c r="AI1240" s="61" t="s">
        <v>265</v>
      </c>
      <c r="AJ1240" s="61"/>
      <c r="AK1240" s="62" t="s">
        <v>638</v>
      </c>
      <c r="AL1240" s="62"/>
      <c r="AM1240" s="63"/>
      <c r="AN1240" s="63"/>
      <c r="AO1240" s="63"/>
      <c r="AP1240" s="63"/>
      <c r="AQ1240" s="63"/>
      <c r="AR1240" s="63"/>
      <c r="AS1240" s="63"/>
      <c r="AT1240" s="63"/>
      <c r="AU1240" s="61"/>
      <c r="AV1240" s="61"/>
      <c r="AW1240" s="61"/>
      <c r="AX1240" s="62"/>
      <c r="AY1240" s="62"/>
      <c r="AZ1240" s="63"/>
      <c r="BA1240" s="63"/>
      <c r="BB1240" s="63"/>
      <c r="BC1240" s="63"/>
      <c r="BD1240" s="63"/>
      <c r="BE1240" s="63"/>
      <c r="BF1240" s="63"/>
      <c r="BG1240" s="63"/>
      <c r="BH1240" s="61"/>
      <c r="BI1240" s="61"/>
      <c r="BJ1240" s="61"/>
      <c r="BK1240" s="62"/>
      <c r="BL1240" s="62"/>
      <c r="BM1240" s="63"/>
      <c r="BN1240" s="63"/>
      <c r="BO1240" s="63"/>
      <c r="BP1240" s="63"/>
      <c r="BQ1240" s="63"/>
      <c r="BR1240" s="63"/>
      <c r="BS1240" s="63"/>
      <c r="BT1240" s="63"/>
      <c r="BU1240" s="61"/>
      <c r="BV1240" s="61"/>
      <c r="BW1240" s="61"/>
      <c r="BX1240" s="62"/>
      <c r="BY1240" s="62"/>
      <c r="BZ1240" s="63"/>
      <c r="CA1240" s="63"/>
      <c r="CB1240" s="63"/>
      <c r="CC1240" s="63"/>
      <c r="CD1240" s="63"/>
      <c r="CE1240" s="63"/>
      <c r="CF1240" s="63"/>
      <c r="CG1240" s="63"/>
      <c r="CH1240" s="64"/>
      <c r="CJ1240" s="63"/>
      <c r="CT1240" s="65"/>
      <c r="CU1240" s="65"/>
      <c r="CV1240" s="65"/>
      <c r="CW1240" s="65"/>
      <c r="CX1240" s="65"/>
      <c r="CY1240" s="65"/>
      <c r="CZ1240" s="65"/>
      <c r="DA1240" s="65"/>
      <c r="DB1240" s="65"/>
      <c r="DC1240" s="63"/>
    </row>
    <row r="1241" spans="1:107" s="57" customFormat="1" x14ac:dyDescent="0.2">
      <c r="A1241" s="55">
        <v>10055</v>
      </c>
      <c r="B1241" s="56">
        <v>14</v>
      </c>
      <c r="C1241" s="56">
        <f t="shared" si="84"/>
        <v>100550014</v>
      </c>
      <c r="D1241" s="57" t="s">
        <v>1565</v>
      </c>
      <c r="E1241" s="58" t="s">
        <v>640</v>
      </c>
      <c r="F1241" s="58"/>
      <c r="G1241" s="58"/>
      <c r="H1241" s="58"/>
      <c r="I1241" s="59" t="s">
        <v>206</v>
      </c>
      <c r="J1241" s="59"/>
      <c r="K1241" s="59"/>
      <c r="L1241" s="59"/>
      <c r="M1241" s="59"/>
      <c r="N1241" s="59" t="s">
        <v>163</v>
      </c>
      <c r="O1241" s="59" t="s">
        <v>163</v>
      </c>
      <c r="P1241" s="59"/>
      <c r="Q1241" s="59" t="s">
        <v>2041</v>
      </c>
      <c r="R1241" s="59"/>
      <c r="S1241" s="59"/>
      <c r="T1241" s="59" t="s">
        <v>2714</v>
      </c>
      <c r="U1241" s="122" t="s">
        <v>2984</v>
      </c>
      <c r="V1241" s="59" t="s">
        <v>109</v>
      </c>
      <c r="W1241" s="59" t="s">
        <v>1</v>
      </c>
      <c r="X1241" s="59"/>
      <c r="Z1241" s="59"/>
      <c r="AA1241" s="59"/>
      <c r="AB1241" s="59"/>
      <c r="AC1241" s="59">
        <v>55</v>
      </c>
      <c r="AD1241" s="59"/>
      <c r="AE1241" s="60"/>
      <c r="AF1241" s="60" t="s">
        <v>2042</v>
      </c>
      <c r="AG1241" s="59"/>
      <c r="AH1241" s="61">
        <v>101555</v>
      </c>
      <c r="AI1241" s="61" t="s">
        <v>266</v>
      </c>
      <c r="AJ1241" s="61"/>
      <c r="AK1241" s="62" t="s">
        <v>639</v>
      </c>
      <c r="AL1241" s="62"/>
      <c r="AM1241" s="63"/>
      <c r="AN1241" s="63"/>
      <c r="AO1241" s="63"/>
      <c r="AP1241" s="63"/>
      <c r="AQ1241" s="63"/>
      <c r="AR1241" s="63"/>
      <c r="AS1241" s="63"/>
      <c r="AT1241" s="63"/>
      <c r="AU1241" s="61"/>
      <c r="AV1241" s="61"/>
      <c r="AW1241" s="61"/>
      <c r="AX1241" s="62"/>
      <c r="AY1241" s="62"/>
      <c r="AZ1241" s="63"/>
      <c r="BA1241" s="63"/>
      <c r="BB1241" s="63"/>
      <c r="BC1241" s="63"/>
      <c r="BD1241" s="63"/>
      <c r="BE1241" s="63"/>
      <c r="BF1241" s="63"/>
      <c r="BG1241" s="63"/>
      <c r="BH1241" s="61"/>
      <c r="BI1241" s="61"/>
      <c r="BJ1241" s="61"/>
      <c r="BK1241" s="62"/>
      <c r="BL1241" s="62"/>
      <c r="BM1241" s="63"/>
      <c r="BN1241" s="63"/>
      <c r="BO1241" s="63"/>
      <c r="BP1241" s="63"/>
      <c r="BQ1241" s="63"/>
      <c r="BR1241" s="63"/>
      <c r="BS1241" s="63"/>
      <c r="BT1241" s="63"/>
      <c r="BU1241" s="61"/>
      <c r="BV1241" s="61"/>
      <c r="BW1241" s="61"/>
      <c r="BX1241" s="62"/>
      <c r="BY1241" s="62"/>
      <c r="BZ1241" s="63"/>
      <c r="CA1241" s="63"/>
      <c r="CB1241" s="63"/>
      <c r="CC1241" s="63"/>
      <c r="CD1241" s="63"/>
      <c r="CE1241" s="63"/>
      <c r="CF1241" s="63"/>
      <c r="CG1241" s="63"/>
      <c r="CH1241" s="64"/>
      <c r="CJ1241" s="63"/>
      <c r="CT1241" s="65"/>
      <c r="CU1241" s="65"/>
      <c r="CV1241" s="65"/>
      <c r="CW1241" s="65"/>
      <c r="CX1241" s="65"/>
      <c r="CY1241" s="65"/>
      <c r="CZ1241" s="65"/>
      <c r="DA1241" s="65"/>
      <c r="DB1241" s="65"/>
      <c r="DC1241" s="63"/>
    </row>
    <row r="1242" spans="1:107" x14ac:dyDescent="0.2">
      <c r="A1242" s="18">
        <v>10056</v>
      </c>
      <c r="B1242" s="19">
        <v>10</v>
      </c>
      <c r="C1242" s="19">
        <f t="shared" si="84"/>
        <v>100560010</v>
      </c>
      <c r="D1242" s="23" t="s">
        <v>1546</v>
      </c>
      <c r="E1242" s="20" t="s">
        <v>640</v>
      </c>
      <c r="I1242" s="21" t="s">
        <v>206</v>
      </c>
      <c r="J1242" s="21"/>
      <c r="K1242" s="21"/>
      <c r="L1242" s="21"/>
      <c r="M1242" s="21"/>
      <c r="N1242" s="21" t="s">
        <v>163</v>
      </c>
      <c r="O1242" s="21" t="s">
        <v>163</v>
      </c>
      <c r="P1242" s="114"/>
      <c r="Q1242" s="114" t="s">
        <v>2041</v>
      </c>
      <c r="R1242" s="114"/>
      <c r="S1242" s="114"/>
      <c r="T1242" s="114" t="s">
        <v>2714</v>
      </c>
      <c r="U1242" s="117" t="s">
        <v>2985</v>
      </c>
      <c r="V1242" s="21" t="s">
        <v>109</v>
      </c>
      <c r="W1242" s="21" t="s">
        <v>1</v>
      </c>
      <c r="X1242" s="21"/>
      <c r="Z1242" s="21"/>
      <c r="AA1242" s="21"/>
      <c r="AB1242" s="21"/>
      <c r="AC1242" s="21">
        <v>56</v>
      </c>
      <c r="AD1242" s="21"/>
      <c r="AE1242" s="39"/>
      <c r="AF1242" s="39" t="s">
        <v>2042</v>
      </c>
      <c r="AG1242" s="21"/>
      <c r="AH1242" s="25">
        <v>101561</v>
      </c>
      <c r="AI1242" s="25" t="s">
        <v>176</v>
      </c>
      <c r="AK1242" s="27" t="s">
        <v>635</v>
      </c>
      <c r="AL1242" s="27"/>
      <c r="AX1242" s="27"/>
      <c r="AY1242" s="27"/>
      <c r="BK1242" s="27"/>
      <c r="BL1242" s="27"/>
      <c r="BX1242" s="27"/>
      <c r="BY1242" s="27"/>
      <c r="CH1242" s="29"/>
    </row>
    <row r="1243" spans="1:107" x14ac:dyDescent="0.2">
      <c r="A1243" s="18">
        <v>10056</v>
      </c>
      <c r="B1243" s="19">
        <v>11</v>
      </c>
      <c r="C1243" s="19">
        <f t="shared" si="84"/>
        <v>100560011</v>
      </c>
      <c r="D1243" s="23" t="s">
        <v>1546</v>
      </c>
      <c r="E1243" s="20" t="s">
        <v>640</v>
      </c>
      <c r="I1243" s="21" t="s">
        <v>206</v>
      </c>
      <c r="J1243" s="21"/>
      <c r="K1243" s="21"/>
      <c r="L1243" s="21"/>
      <c r="M1243" s="21"/>
      <c r="N1243" s="21" t="s">
        <v>163</v>
      </c>
      <c r="O1243" s="21" t="s">
        <v>163</v>
      </c>
      <c r="P1243" s="114"/>
      <c r="Q1243" s="114" t="s">
        <v>2041</v>
      </c>
      <c r="R1243" s="114"/>
      <c r="S1243" s="114"/>
      <c r="T1243" s="114" t="s">
        <v>2714</v>
      </c>
      <c r="U1243" s="117" t="s">
        <v>2986</v>
      </c>
      <c r="V1243" s="21" t="s">
        <v>109</v>
      </c>
      <c r="W1243" s="21" t="s">
        <v>1</v>
      </c>
      <c r="X1243" s="21"/>
      <c r="Z1243" s="21"/>
      <c r="AA1243" s="21"/>
      <c r="AB1243" s="21"/>
      <c r="AC1243" s="21">
        <v>56</v>
      </c>
      <c r="AD1243" s="21"/>
      <c r="AE1243" s="39"/>
      <c r="AF1243" s="39" t="s">
        <v>2042</v>
      </c>
      <c r="AG1243" s="21"/>
      <c r="AH1243" s="25">
        <v>101562</v>
      </c>
      <c r="AI1243" s="25" t="s">
        <v>260</v>
      </c>
      <c r="AK1243" s="27" t="s">
        <v>636</v>
      </c>
      <c r="AL1243" s="27"/>
      <c r="AX1243" s="27"/>
      <c r="AY1243" s="27"/>
      <c r="BK1243" s="27"/>
      <c r="BL1243" s="27"/>
      <c r="BX1243" s="27"/>
      <c r="BY1243" s="27"/>
      <c r="CH1243" s="29"/>
    </row>
    <row r="1244" spans="1:107" x14ac:dyDescent="0.2">
      <c r="A1244" s="18">
        <v>10056</v>
      </c>
      <c r="B1244" s="19">
        <v>12</v>
      </c>
      <c r="C1244" s="19">
        <f t="shared" si="84"/>
        <v>100560012</v>
      </c>
      <c r="D1244" s="23" t="s">
        <v>1546</v>
      </c>
      <c r="E1244" s="20" t="s">
        <v>640</v>
      </c>
      <c r="I1244" s="21" t="s">
        <v>206</v>
      </c>
      <c r="J1244" s="21"/>
      <c r="K1244" s="21"/>
      <c r="L1244" s="21"/>
      <c r="M1244" s="21"/>
      <c r="N1244" s="21" t="s">
        <v>163</v>
      </c>
      <c r="O1244" s="21" t="s">
        <v>163</v>
      </c>
      <c r="P1244" s="114"/>
      <c r="Q1244" s="114" t="s">
        <v>2041</v>
      </c>
      <c r="R1244" s="114"/>
      <c r="S1244" s="114"/>
      <c r="T1244" s="114" t="s">
        <v>2714</v>
      </c>
      <c r="U1244" s="117" t="s">
        <v>2987</v>
      </c>
      <c r="V1244" s="21" t="s">
        <v>109</v>
      </c>
      <c r="W1244" s="21" t="s">
        <v>1</v>
      </c>
      <c r="X1244" s="21"/>
      <c r="Z1244" s="21"/>
      <c r="AA1244" s="21"/>
      <c r="AB1244" s="21"/>
      <c r="AC1244" s="21">
        <v>56</v>
      </c>
      <c r="AD1244" s="21"/>
      <c r="AE1244" s="39"/>
      <c r="AF1244" s="39" t="s">
        <v>2042</v>
      </c>
      <c r="AG1244" s="21"/>
      <c r="AH1244" s="25">
        <v>101563</v>
      </c>
      <c r="AI1244" s="25" t="s">
        <v>264</v>
      </c>
      <c r="AK1244" s="27" t="s">
        <v>637</v>
      </c>
      <c r="AL1244" s="27"/>
      <c r="AX1244" s="27"/>
      <c r="AY1244" s="27"/>
      <c r="BK1244" s="27"/>
      <c r="BL1244" s="27"/>
      <c r="BX1244" s="27"/>
      <c r="BY1244" s="27"/>
      <c r="CH1244" s="29"/>
    </row>
    <row r="1245" spans="1:107" x14ac:dyDescent="0.2">
      <c r="A1245" s="18">
        <v>10056</v>
      </c>
      <c r="B1245" s="19">
        <v>13</v>
      </c>
      <c r="C1245" s="19">
        <f t="shared" si="84"/>
        <v>100560013</v>
      </c>
      <c r="D1245" s="23" t="s">
        <v>1546</v>
      </c>
      <c r="E1245" s="20" t="s">
        <v>640</v>
      </c>
      <c r="I1245" s="21" t="s">
        <v>206</v>
      </c>
      <c r="J1245" s="21"/>
      <c r="K1245" s="21"/>
      <c r="L1245" s="21"/>
      <c r="M1245" s="21"/>
      <c r="N1245" s="21" t="s">
        <v>163</v>
      </c>
      <c r="O1245" s="21" t="s">
        <v>163</v>
      </c>
      <c r="P1245" s="114"/>
      <c r="Q1245" s="114" t="s">
        <v>2041</v>
      </c>
      <c r="R1245" s="114"/>
      <c r="S1245" s="114"/>
      <c r="T1245" s="114" t="s">
        <v>2714</v>
      </c>
      <c r="U1245" s="117" t="s">
        <v>2988</v>
      </c>
      <c r="V1245" s="21" t="s">
        <v>109</v>
      </c>
      <c r="W1245" s="21" t="s">
        <v>1</v>
      </c>
      <c r="X1245" s="21"/>
      <c r="Z1245" s="21"/>
      <c r="AA1245" s="21"/>
      <c r="AB1245" s="21"/>
      <c r="AC1245" s="21">
        <v>56</v>
      </c>
      <c r="AD1245" s="21"/>
      <c r="AE1245" s="39"/>
      <c r="AF1245" s="39" t="s">
        <v>2042</v>
      </c>
      <c r="AG1245" s="21"/>
      <c r="AH1245" s="25">
        <v>101564</v>
      </c>
      <c r="AI1245" s="25" t="s">
        <v>265</v>
      </c>
      <c r="AK1245" s="27" t="s">
        <v>638</v>
      </c>
      <c r="AL1245" s="27"/>
      <c r="AX1245" s="27"/>
      <c r="AY1245" s="27"/>
      <c r="BK1245" s="27"/>
      <c r="BL1245" s="27"/>
      <c r="BX1245" s="27"/>
      <c r="BY1245" s="27"/>
      <c r="CH1245" s="29"/>
    </row>
    <row r="1246" spans="1:107" x14ac:dyDescent="0.2">
      <c r="A1246" s="18">
        <v>10056</v>
      </c>
      <c r="B1246" s="19">
        <v>14</v>
      </c>
      <c r="C1246" s="19">
        <f t="shared" si="84"/>
        <v>100560014</v>
      </c>
      <c r="D1246" s="23" t="s">
        <v>1546</v>
      </c>
      <c r="E1246" s="20" t="s">
        <v>640</v>
      </c>
      <c r="I1246" s="21" t="s">
        <v>206</v>
      </c>
      <c r="J1246" s="21"/>
      <c r="K1246" s="21"/>
      <c r="L1246" s="21"/>
      <c r="M1246" s="21"/>
      <c r="N1246" s="21" t="s">
        <v>163</v>
      </c>
      <c r="O1246" s="21" t="s">
        <v>163</v>
      </c>
      <c r="P1246" s="114"/>
      <c r="Q1246" s="114" t="s">
        <v>2041</v>
      </c>
      <c r="R1246" s="114"/>
      <c r="S1246" s="114"/>
      <c r="T1246" s="114" t="s">
        <v>2714</v>
      </c>
      <c r="U1246" s="117" t="s">
        <v>2989</v>
      </c>
      <c r="V1246" s="21" t="s">
        <v>109</v>
      </c>
      <c r="W1246" s="21" t="s">
        <v>1</v>
      </c>
      <c r="X1246" s="21"/>
      <c r="Z1246" s="21"/>
      <c r="AA1246" s="21"/>
      <c r="AB1246" s="21"/>
      <c r="AC1246" s="21">
        <v>56</v>
      </c>
      <c r="AD1246" s="21"/>
      <c r="AE1246" s="39"/>
      <c r="AF1246" s="39" t="s">
        <v>2042</v>
      </c>
      <c r="AG1246" s="21"/>
      <c r="AH1246" s="25">
        <v>101565</v>
      </c>
      <c r="AI1246" s="25" t="s">
        <v>266</v>
      </c>
      <c r="AK1246" s="27" t="s">
        <v>639</v>
      </c>
      <c r="AL1246" s="27"/>
      <c r="AX1246" s="27"/>
      <c r="AY1246" s="27"/>
      <c r="BK1246" s="27"/>
      <c r="BL1246" s="27"/>
      <c r="BX1246" s="27"/>
      <c r="BY1246" s="27"/>
      <c r="CH1246" s="29"/>
    </row>
    <row r="1247" spans="1:107" x14ac:dyDescent="0.2">
      <c r="A1247" s="18">
        <v>10057</v>
      </c>
      <c r="B1247" s="19">
        <v>10</v>
      </c>
      <c r="C1247" s="19">
        <f t="shared" si="84"/>
        <v>100570010</v>
      </c>
      <c r="D1247" s="23" t="s">
        <v>1396</v>
      </c>
      <c r="E1247" s="20" t="s">
        <v>640</v>
      </c>
      <c r="I1247" s="21" t="s">
        <v>206</v>
      </c>
      <c r="J1247" s="21"/>
      <c r="K1247" s="21"/>
      <c r="L1247" s="21"/>
      <c r="M1247" s="21"/>
      <c r="N1247" s="21" t="s">
        <v>163</v>
      </c>
      <c r="O1247" s="21" t="s">
        <v>163</v>
      </c>
      <c r="P1247" s="114"/>
      <c r="Q1247" s="114" t="s">
        <v>2041</v>
      </c>
      <c r="R1247" s="114"/>
      <c r="S1247" s="114"/>
      <c r="T1247" s="114" t="s">
        <v>2714</v>
      </c>
      <c r="U1247" s="117" t="s">
        <v>2990</v>
      </c>
      <c r="V1247" s="21" t="s">
        <v>109</v>
      </c>
      <c r="W1247" s="21" t="s">
        <v>1</v>
      </c>
      <c r="X1247" s="21"/>
      <c r="Z1247" s="21"/>
      <c r="AA1247" s="21"/>
      <c r="AB1247" s="21"/>
      <c r="AC1247" s="21">
        <v>57</v>
      </c>
      <c r="AD1247" s="21"/>
      <c r="AE1247" s="39"/>
      <c r="AF1247" s="39" t="s">
        <v>2042</v>
      </c>
      <c r="AG1247" s="21"/>
      <c r="AH1247" s="25">
        <v>101571</v>
      </c>
      <c r="AI1247" s="25" t="s">
        <v>176</v>
      </c>
      <c r="AK1247" s="27" t="s">
        <v>635</v>
      </c>
      <c r="AL1247" s="27"/>
      <c r="AX1247" s="27"/>
      <c r="AY1247" s="27"/>
      <c r="BK1247" s="27"/>
      <c r="BL1247" s="27"/>
      <c r="BX1247" s="27"/>
      <c r="BY1247" s="27"/>
      <c r="CH1247" s="29"/>
    </row>
    <row r="1248" spans="1:107" x14ac:dyDescent="0.2">
      <c r="A1248" s="18">
        <v>10057</v>
      </c>
      <c r="B1248" s="19">
        <v>11</v>
      </c>
      <c r="C1248" s="19">
        <f t="shared" si="84"/>
        <v>100570011</v>
      </c>
      <c r="D1248" s="23" t="s">
        <v>1396</v>
      </c>
      <c r="E1248" s="20" t="s">
        <v>640</v>
      </c>
      <c r="I1248" s="21" t="s">
        <v>206</v>
      </c>
      <c r="J1248" s="21"/>
      <c r="K1248" s="21"/>
      <c r="L1248" s="21"/>
      <c r="M1248" s="21"/>
      <c r="N1248" s="21" t="s">
        <v>163</v>
      </c>
      <c r="O1248" s="21" t="s">
        <v>163</v>
      </c>
      <c r="P1248" s="114"/>
      <c r="Q1248" s="114" t="s">
        <v>2041</v>
      </c>
      <c r="R1248" s="114"/>
      <c r="S1248" s="114"/>
      <c r="T1248" s="114" t="s">
        <v>2714</v>
      </c>
      <c r="U1248" s="117" t="s">
        <v>2991</v>
      </c>
      <c r="V1248" s="21" t="s">
        <v>109</v>
      </c>
      <c r="W1248" s="21" t="s">
        <v>1</v>
      </c>
      <c r="X1248" s="21"/>
      <c r="Z1248" s="21"/>
      <c r="AA1248" s="21"/>
      <c r="AB1248" s="21"/>
      <c r="AC1248" s="21">
        <v>57</v>
      </c>
      <c r="AD1248" s="21"/>
      <c r="AE1248" s="39"/>
      <c r="AF1248" s="39" t="s">
        <v>2042</v>
      </c>
      <c r="AG1248" s="21"/>
      <c r="AH1248" s="25">
        <v>101572</v>
      </c>
      <c r="AI1248" s="25" t="s">
        <v>260</v>
      </c>
      <c r="AK1248" s="27" t="s">
        <v>636</v>
      </c>
      <c r="AL1248" s="27"/>
      <c r="AX1248" s="27"/>
      <c r="AY1248" s="27"/>
      <c r="BK1248" s="27"/>
      <c r="BL1248" s="27"/>
      <c r="BX1248" s="27"/>
      <c r="BY1248" s="27"/>
      <c r="CH1248" s="29"/>
    </row>
    <row r="1249" spans="1:86" x14ac:dyDescent="0.2">
      <c r="A1249" s="18">
        <v>10057</v>
      </c>
      <c r="B1249" s="19">
        <v>12</v>
      </c>
      <c r="C1249" s="19">
        <f t="shared" ref="C1249:C1312" si="86">A1249*10000+B1249</f>
        <v>100570012</v>
      </c>
      <c r="D1249" s="23" t="s">
        <v>1396</v>
      </c>
      <c r="E1249" s="20" t="s">
        <v>640</v>
      </c>
      <c r="I1249" s="21" t="s">
        <v>206</v>
      </c>
      <c r="J1249" s="21"/>
      <c r="K1249" s="21"/>
      <c r="L1249" s="21"/>
      <c r="M1249" s="21"/>
      <c r="N1249" s="21" t="s">
        <v>163</v>
      </c>
      <c r="O1249" s="21" t="s">
        <v>163</v>
      </c>
      <c r="P1249" s="114"/>
      <c r="Q1249" s="114" t="s">
        <v>2041</v>
      </c>
      <c r="R1249" s="114"/>
      <c r="S1249" s="114"/>
      <c r="T1249" s="114" t="s">
        <v>2714</v>
      </c>
      <c r="U1249" s="117" t="s">
        <v>2992</v>
      </c>
      <c r="V1249" s="21" t="s">
        <v>109</v>
      </c>
      <c r="W1249" s="21" t="s">
        <v>1</v>
      </c>
      <c r="X1249" s="21"/>
      <c r="Z1249" s="21"/>
      <c r="AA1249" s="21"/>
      <c r="AB1249" s="21"/>
      <c r="AC1249" s="21">
        <v>57</v>
      </c>
      <c r="AD1249" s="21"/>
      <c r="AE1249" s="39"/>
      <c r="AF1249" s="39" t="s">
        <v>2042</v>
      </c>
      <c r="AG1249" s="21"/>
      <c r="AH1249" s="25">
        <v>101573</v>
      </c>
      <c r="AI1249" s="25" t="s">
        <v>264</v>
      </c>
      <c r="AK1249" s="27" t="s">
        <v>637</v>
      </c>
      <c r="AL1249" s="27"/>
      <c r="AX1249" s="27"/>
      <c r="AY1249" s="27"/>
      <c r="BK1249" s="27"/>
      <c r="BL1249" s="27"/>
      <c r="BX1249" s="27"/>
      <c r="BY1249" s="27"/>
      <c r="CH1249" s="29"/>
    </row>
    <row r="1250" spans="1:86" x14ac:dyDescent="0.2">
      <c r="A1250" s="18">
        <v>10057</v>
      </c>
      <c r="B1250" s="19">
        <v>13</v>
      </c>
      <c r="C1250" s="19">
        <f t="shared" si="86"/>
        <v>100570013</v>
      </c>
      <c r="D1250" s="23" t="s">
        <v>1396</v>
      </c>
      <c r="E1250" s="20" t="s">
        <v>640</v>
      </c>
      <c r="I1250" s="21" t="s">
        <v>206</v>
      </c>
      <c r="J1250" s="21"/>
      <c r="K1250" s="21"/>
      <c r="L1250" s="21"/>
      <c r="M1250" s="21"/>
      <c r="N1250" s="21" t="s">
        <v>163</v>
      </c>
      <c r="O1250" s="21" t="s">
        <v>163</v>
      </c>
      <c r="P1250" s="114"/>
      <c r="Q1250" s="114" t="s">
        <v>2041</v>
      </c>
      <c r="R1250" s="114"/>
      <c r="S1250" s="114"/>
      <c r="T1250" s="114" t="s">
        <v>2714</v>
      </c>
      <c r="U1250" s="117" t="s">
        <v>2993</v>
      </c>
      <c r="V1250" s="21" t="s">
        <v>109</v>
      </c>
      <c r="W1250" s="21" t="s">
        <v>1</v>
      </c>
      <c r="X1250" s="21"/>
      <c r="Z1250" s="21"/>
      <c r="AA1250" s="21"/>
      <c r="AB1250" s="21"/>
      <c r="AC1250" s="21">
        <v>57</v>
      </c>
      <c r="AD1250" s="21"/>
      <c r="AE1250" s="39"/>
      <c r="AF1250" s="39" t="s">
        <v>2042</v>
      </c>
      <c r="AG1250" s="21"/>
      <c r="AH1250" s="25">
        <v>101574</v>
      </c>
      <c r="AI1250" s="25" t="s">
        <v>265</v>
      </c>
      <c r="AK1250" s="27" t="s">
        <v>638</v>
      </c>
      <c r="AL1250" s="27"/>
      <c r="AX1250" s="27"/>
      <c r="AY1250" s="27"/>
      <c r="BK1250" s="27"/>
      <c r="BL1250" s="27"/>
      <c r="BX1250" s="27"/>
      <c r="BY1250" s="27"/>
      <c r="CH1250" s="29"/>
    </row>
    <row r="1251" spans="1:86" x14ac:dyDescent="0.2">
      <c r="A1251" s="18">
        <v>10057</v>
      </c>
      <c r="B1251" s="19">
        <v>14</v>
      </c>
      <c r="C1251" s="19">
        <f t="shared" si="86"/>
        <v>100570014</v>
      </c>
      <c r="D1251" s="23" t="s">
        <v>1396</v>
      </c>
      <c r="E1251" s="20" t="s">
        <v>640</v>
      </c>
      <c r="I1251" s="21" t="s">
        <v>206</v>
      </c>
      <c r="J1251" s="21"/>
      <c r="K1251" s="21"/>
      <c r="L1251" s="21"/>
      <c r="M1251" s="21"/>
      <c r="N1251" s="21" t="s">
        <v>163</v>
      </c>
      <c r="O1251" s="21" t="s">
        <v>163</v>
      </c>
      <c r="P1251" s="114"/>
      <c r="Q1251" s="114" t="s">
        <v>2041</v>
      </c>
      <c r="R1251" s="114"/>
      <c r="S1251" s="114"/>
      <c r="T1251" s="114" t="s">
        <v>2714</v>
      </c>
      <c r="U1251" s="117" t="s">
        <v>2994</v>
      </c>
      <c r="V1251" s="21" t="s">
        <v>109</v>
      </c>
      <c r="W1251" s="21" t="s">
        <v>1</v>
      </c>
      <c r="X1251" s="21"/>
      <c r="Z1251" s="21"/>
      <c r="AA1251" s="21"/>
      <c r="AB1251" s="21"/>
      <c r="AC1251" s="21">
        <v>57</v>
      </c>
      <c r="AD1251" s="21"/>
      <c r="AE1251" s="39"/>
      <c r="AF1251" s="39" t="s">
        <v>2042</v>
      </c>
      <c r="AG1251" s="21"/>
      <c r="AH1251" s="25">
        <v>101575</v>
      </c>
      <c r="AI1251" s="25" t="s">
        <v>266</v>
      </c>
      <c r="AK1251" s="27" t="s">
        <v>639</v>
      </c>
      <c r="AL1251" s="27"/>
      <c r="AX1251" s="27"/>
      <c r="AY1251" s="27"/>
      <c r="BK1251" s="27"/>
      <c r="BL1251" s="27"/>
      <c r="BX1251" s="27"/>
      <c r="BY1251" s="27"/>
      <c r="CH1251" s="29"/>
    </row>
    <row r="1252" spans="1:86" x14ac:dyDescent="0.2">
      <c r="A1252" s="18">
        <v>10058</v>
      </c>
      <c r="B1252" s="19">
        <v>10</v>
      </c>
      <c r="C1252" s="19">
        <f t="shared" si="86"/>
        <v>100580010</v>
      </c>
      <c r="D1252" s="23" t="s">
        <v>1397</v>
      </c>
      <c r="E1252" s="20" t="s">
        <v>640</v>
      </c>
      <c r="I1252" s="21" t="s">
        <v>206</v>
      </c>
      <c r="J1252" s="21"/>
      <c r="K1252" s="21"/>
      <c r="L1252" s="21"/>
      <c r="M1252" s="21"/>
      <c r="N1252" s="21" t="s">
        <v>163</v>
      </c>
      <c r="O1252" s="21" t="s">
        <v>163</v>
      </c>
      <c r="P1252" s="114"/>
      <c r="Q1252" s="114" t="s">
        <v>2041</v>
      </c>
      <c r="R1252" s="114"/>
      <c r="S1252" s="114"/>
      <c r="T1252" s="114" t="s">
        <v>2714</v>
      </c>
      <c r="U1252" s="117" t="s">
        <v>2995</v>
      </c>
      <c r="V1252" s="21" t="s">
        <v>109</v>
      </c>
      <c r="W1252" s="21" t="s">
        <v>1</v>
      </c>
      <c r="X1252" s="21"/>
      <c r="Z1252" s="21"/>
      <c r="AA1252" s="21"/>
      <c r="AB1252" s="21"/>
      <c r="AC1252" s="21">
        <v>58</v>
      </c>
      <c r="AD1252" s="21"/>
      <c r="AE1252" s="39"/>
      <c r="AF1252" s="39" t="s">
        <v>2042</v>
      </c>
      <c r="AG1252" s="21"/>
      <c r="AH1252" s="25">
        <v>101581</v>
      </c>
      <c r="AI1252" s="25" t="s">
        <v>176</v>
      </c>
      <c r="AK1252" s="27" t="s">
        <v>635</v>
      </c>
      <c r="AL1252" s="27"/>
      <c r="AX1252" s="27"/>
      <c r="AY1252" s="27"/>
      <c r="BK1252" s="27"/>
      <c r="BL1252" s="27"/>
      <c r="BX1252" s="27"/>
      <c r="BY1252" s="27"/>
      <c r="CH1252" s="29"/>
    </row>
    <row r="1253" spans="1:86" x14ac:dyDescent="0.2">
      <c r="A1253" s="18">
        <v>10058</v>
      </c>
      <c r="B1253" s="19">
        <v>11</v>
      </c>
      <c r="C1253" s="19">
        <f t="shared" si="86"/>
        <v>100580011</v>
      </c>
      <c r="D1253" s="23" t="s">
        <v>1397</v>
      </c>
      <c r="E1253" s="20" t="s">
        <v>640</v>
      </c>
      <c r="I1253" s="21" t="s">
        <v>206</v>
      </c>
      <c r="J1253" s="21"/>
      <c r="K1253" s="21"/>
      <c r="L1253" s="21"/>
      <c r="M1253" s="21"/>
      <c r="N1253" s="21" t="s">
        <v>163</v>
      </c>
      <c r="O1253" s="21" t="s">
        <v>163</v>
      </c>
      <c r="P1253" s="114"/>
      <c r="Q1253" s="114" t="s">
        <v>2041</v>
      </c>
      <c r="R1253" s="114"/>
      <c r="S1253" s="114"/>
      <c r="T1253" s="114" t="s">
        <v>2714</v>
      </c>
      <c r="U1253" s="117" t="s">
        <v>2996</v>
      </c>
      <c r="V1253" s="21" t="s">
        <v>109</v>
      </c>
      <c r="W1253" s="21" t="s">
        <v>1</v>
      </c>
      <c r="X1253" s="21"/>
      <c r="Z1253" s="21"/>
      <c r="AA1253" s="21"/>
      <c r="AB1253" s="21"/>
      <c r="AC1253" s="21">
        <v>58</v>
      </c>
      <c r="AD1253" s="21"/>
      <c r="AE1253" s="39"/>
      <c r="AF1253" s="39" t="s">
        <v>2042</v>
      </c>
      <c r="AG1253" s="21"/>
      <c r="AH1253" s="25">
        <v>101582</v>
      </c>
      <c r="AI1253" s="25" t="s">
        <v>260</v>
      </c>
      <c r="AK1253" s="27" t="s">
        <v>636</v>
      </c>
      <c r="AL1253" s="27"/>
      <c r="AX1253" s="27"/>
      <c r="AY1253" s="27"/>
      <c r="BK1253" s="27"/>
      <c r="BL1253" s="27"/>
      <c r="BX1253" s="27"/>
      <c r="BY1253" s="27"/>
      <c r="CH1253" s="29"/>
    </row>
    <row r="1254" spans="1:86" x14ac:dyDescent="0.2">
      <c r="A1254" s="18">
        <v>10058</v>
      </c>
      <c r="B1254" s="19">
        <v>12</v>
      </c>
      <c r="C1254" s="19">
        <f t="shared" si="86"/>
        <v>100580012</v>
      </c>
      <c r="D1254" s="23" t="s">
        <v>1397</v>
      </c>
      <c r="E1254" s="20" t="s">
        <v>640</v>
      </c>
      <c r="I1254" s="21" t="s">
        <v>206</v>
      </c>
      <c r="J1254" s="21"/>
      <c r="K1254" s="21"/>
      <c r="L1254" s="21"/>
      <c r="M1254" s="21"/>
      <c r="N1254" s="21" t="s">
        <v>163</v>
      </c>
      <c r="O1254" s="21" t="s">
        <v>163</v>
      </c>
      <c r="P1254" s="114"/>
      <c r="Q1254" s="114" t="s">
        <v>2041</v>
      </c>
      <c r="R1254" s="114"/>
      <c r="S1254" s="114"/>
      <c r="T1254" s="114" t="s">
        <v>2714</v>
      </c>
      <c r="U1254" s="117" t="s">
        <v>2997</v>
      </c>
      <c r="V1254" s="21" t="s">
        <v>109</v>
      </c>
      <c r="W1254" s="21" t="s">
        <v>1</v>
      </c>
      <c r="X1254" s="21"/>
      <c r="Z1254" s="21"/>
      <c r="AA1254" s="21"/>
      <c r="AB1254" s="21"/>
      <c r="AC1254" s="21">
        <v>58</v>
      </c>
      <c r="AD1254" s="21"/>
      <c r="AE1254" s="39"/>
      <c r="AF1254" s="39" t="s">
        <v>2042</v>
      </c>
      <c r="AG1254" s="21"/>
      <c r="AH1254" s="25">
        <v>101583</v>
      </c>
      <c r="AI1254" s="25" t="s">
        <v>264</v>
      </c>
      <c r="AK1254" s="27" t="s">
        <v>637</v>
      </c>
      <c r="AL1254" s="27"/>
      <c r="AX1254" s="27"/>
      <c r="AY1254" s="27"/>
      <c r="BK1254" s="27"/>
      <c r="BL1254" s="27"/>
      <c r="BX1254" s="27"/>
      <c r="BY1254" s="27"/>
      <c r="CH1254" s="29"/>
    </row>
    <row r="1255" spans="1:86" x14ac:dyDescent="0.2">
      <c r="A1255" s="18">
        <v>10058</v>
      </c>
      <c r="B1255" s="19">
        <v>13</v>
      </c>
      <c r="C1255" s="19">
        <f t="shared" si="86"/>
        <v>100580013</v>
      </c>
      <c r="D1255" s="23" t="s">
        <v>1397</v>
      </c>
      <c r="E1255" s="20" t="s">
        <v>640</v>
      </c>
      <c r="I1255" s="21" t="s">
        <v>206</v>
      </c>
      <c r="J1255" s="21"/>
      <c r="K1255" s="21"/>
      <c r="L1255" s="21"/>
      <c r="M1255" s="21"/>
      <c r="N1255" s="21" t="s">
        <v>163</v>
      </c>
      <c r="O1255" s="21" t="s">
        <v>163</v>
      </c>
      <c r="P1255" s="114"/>
      <c r="Q1255" s="114" t="s">
        <v>2041</v>
      </c>
      <c r="R1255" s="114"/>
      <c r="S1255" s="114"/>
      <c r="T1255" s="114" t="s">
        <v>2714</v>
      </c>
      <c r="U1255" s="117" t="s">
        <v>2998</v>
      </c>
      <c r="V1255" s="21" t="s">
        <v>109</v>
      </c>
      <c r="W1255" s="21" t="s">
        <v>1</v>
      </c>
      <c r="X1255" s="21"/>
      <c r="Z1255" s="21"/>
      <c r="AA1255" s="21"/>
      <c r="AB1255" s="21"/>
      <c r="AC1255" s="21">
        <v>58</v>
      </c>
      <c r="AD1255" s="21"/>
      <c r="AE1255" s="39"/>
      <c r="AF1255" s="39" t="s">
        <v>2042</v>
      </c>
      <c r="AG1255" s="21"/>
      <c r="AH1255" s="25">
        <v>101584</v>
      </c>
      <c r="AI1255" s="25" t="s">
        <v>265</v>
      </c>
      <c r="AK1255" s="27" t="s">
        <v>638</v>
      </c>
      <c r="AL1255" s="27"/>
      <c r="AX1255" s="27"/>
      <c r="AY1255" s="27"/>
      <c r="BK1255" s="27"/>
      <c r="BL1255" s="27"/>
      <c r="BX1255" s="27"/>
      <c r="BY1255" s="27"/>
      <c r="CH1255" s="29"/>
    </row>
    <row r="1256" spans="1:86" x14ac:dyDescent="0.2">
      <c r="A1256" s="18">
        <v>10058</v>
      </c>
      <c r="B1256" s="19">
        <v>14</v>
      </c>
      <c r="C1256" s="19">
        <f t="shared" si="86"/>
        <v>100580014</v>
      </c>
      <c r="D1256" s="23" t="s">
        <v>1397</v>
      </c>
      <c r="E1256" s="20" t="s">
        <v>640</v>
      </c>
      <c r="I1256" s="21" t="s">
        <v>206</v>
      </c>
      <c r="J1256" s="21"/>
      <c r="K1256" s="21"/>
      <c r="L1256" s="21"/>
      <c r="M1256" s="21"/>
      <c r="N1256" s="21" t="s">
        <v>163</v>
      </c>
      <c r="O1256" s="21" t="s">
        <v>163</v>
      </c>
      <c r="P1256" s="114"/>
      <c r="Q1256" s="114" t="s">
        <v>2041</v>
      </c>
      <c r="R1256" s="114"/>
      <c r="S1256" s="114"/>
      <c r="T1256" s="114" t="s">
        <v>2714</v>
      </c>
      <c r="U1256" s="117" t="s">
        <v>2999</v>
      </c>
      <c r="V1256" s="21" t="s">
        <v>109</v>
      </c>
      <c r="W1256" s="21" t="s">
        <v>1</v>
      </c>
      <c r="X1256" s="21"/>
      <c r="Z1256" s="21"/>
      <c r="AA1256" s="21"/>
      <c r="AB1256" s="21"/>
      <c r="AC1256" s="21">
        <v>58</v>
      </c>
      <c r="AD1256" s="21"/>
      <c r="AE1256" s="39"/>
      <c r="AF1256" s="39" t="s">
        <v>2042</v>
      </c>
      <c r="AG1256" s="21"/>
      <c r="AH1256" s="25">
        <v>101585</v>
      </c>
      <c r="AI1256" s="25" t="s">
        <v>266</v>
      </c>
      <c r="AK1256" s="27" t="s">
        <v>639</v>
      </c>
      <c r="AL1256" s="27"/>
      <c r="AX1256" s="27"/>
      <c r="AY1256" s="27"/>
      <c r="BK1256" s="27"/>
      <c r="BL1256" s="27"/>
      <c r="BX1256" s="27"/>
      <c r="BY1256" s="27"/>
      <c r="CH1256" s="29"/>
    </row>
    <row r="1257" spans="1:86" x14ac:dyDescent="0.2">
      <c r="A1257" s="18">
        <v>10059</v>
      </c>
      <c r="B1257" s="19">
        <v>10</v>
      </c>
      <c r="C1257" s="19">
        <f t="shared" si="86"/>
        <v>100590010</v>
      </c>
      <c r="D1257" s="23" t="s">
        <v>1579</v>
      </c>
      <c r="E1257" s="20" t="s">
        <v>640</v>
      </c>
      <c r="I1257" s="21" t="s">
        <v>206</v>
      </c>
      <c r="J1257" s="21"/>
      <c r="K1257" s="21"/>
      <c r="L1257" s="21"/>
      <c r="M1257" s="21"/>
      <c r="N1257" s="21" t="s">
        <v>163</v>
      </c>
      <c r="O1257" s="21" t="s">
        <v>163</v>
      </c>
      <c r="P1257" s="114"/>
      <c r="Q1257" s="114" t="s">
        <v>2041</v>
      </c>
      <c r="R1257" s="114"/>
      <c r="S1257" s="114"/>
      <c r="T1257" s="114" t="s">
        <v>2714</v>
      </c>
      <c r="U1257" s="117" t="s">
        <v>3000</v>
      </c>
      <c r="V1257" s="21" t="s">
        <v>109</v>
      </c>
      <c r="W1257" s="21" t="s">
        <v>1</v>
      </c>
      <c r="X1257" s="21"/>
      <c r="Z1257" s="21"/>
      <c r="AA1257" s="21"/>
      <c r="AB1257" s="21"/>
      <c r="AC1257" s="21">
        <v>59</v>
      </c>
      <c r="AD1257" s="21"/>
      <c r="AE1257" s="39"/>
      <c r="AF1257" s="39" t="s">
        <v>2042</v>
      </c>
      <c r="AG1257" s="21"/>
      <c r="AH1257" s="25">
        <v>101591</v>
      </c>
      <c r="AI1257" s="25" t="s">
        <v>176</v>
      </c>
      <c r="AK1257" s="27" t="s">
        <v>635</v>
      </c>
      <c r="AL1257" s="27"/>
      <c r="AX1257" s="27"/>
      <c r="AY1257" s="27"/>
      <c r="BK1257" s="27"/>
      <c r="BL1257" s="27"/>
      <c r="BX1257" s="27"/>
      <c r="BY1257" s="27"/>
      <c r="CH1257" s="29"/>
    </row>
    <row r="1258" spans="1:86" x14ac:dyDescent="0.2">
      <c r="A1258" s="18">
        <v>10059</v>
      </c>
      <c r="B1258" s="19">
        <v>11</v>
      </c>
      <c r="C1258" s="19">
        <f t="shared" si="86"/>
        <v>100590011</v>
      </c>
      <c r="D1258" s="23" t="s">
        <v>1579</v>
      </c>
      <c r="E1258" s="20" t="s">
        <v>640</v>
      </c>
      <c r="I1258" s="21" t="s">
        <v>206</v>
      </c>
      <c r="J1258" s="21"/>
      <c r="K1258" s="21"/>
      <c r="L1258" s="21"/>
      <c r="M1258" s="21"/>
      <c r="N1258" s="21" t="s">
        <v>163</v>
      </c>
      <c r="O1258" s="21" t="s">
        <v>163</v>
      </c>
      <c r="P1258" s="114"/>
      <c r="Q1258" s="114" t="s">
        <v>2041</v>
      </c>
      <c r="R1258" s="114"/>
      <c r="S1258" s="114"/>
      <c r="T1258" s="114" t="s">
        <v>2714</v>
      </c>
      <c r="U1258" s="117" t="s">
        <v>3001</v>
      </c>
      <c r="V1258" s="21" t="s">
        <v>109</v>
      </c>
      <c r="W1258" s="21" t="s">
        <v>1</v>
      </c>
      <c r="X1258" s="21"/>
      <c r="Z1258" s="21"/>
      <c r="AA1258" s="21"/>
      <c r="AB1258" s="21"/>
      <c r="AC1258" s="21">
        <v>59</v>
      </c>
      <c r="AD1258" s="21"/>
      <c r="AE1258" s="39"/>
      <c r="AF1258" s="39" t="s">
        <v>2042</v>
      </c>
      <c r="AG1258" s="21"/>
      <c r="AH1258" s="25">
        <v>101592</v>
      </c>
      <c r="AI1258" s="25" t="s">
        <v>260</v>
      </c>
      <c r="AK1258" s="27" t="s">
        <v>636</v>
      </c>
      <c r="AL1258" s="27"/>
      <c r="AX1258" s="27"/>
      <c r="AY1258" s="27"/>
      <c r="BK1258" s="27"/>
      <c r="BL1258" s="27"/>
      <c r="BX1258" s="27"/>
      <c r="BY1258" s="27"/>
      <c r="CH1258" s="29"/>
    </row>
    <row r="1259" spans="1:86" x14ac:dyDescent="0.2">
      <c r="A1259" s="18">
        <v>10059</v>
      </c>
      <c r="B1259" s="19">
        <v>12</v>
      </c>
      <c r="C1259" s="19">
        <f t="shared" si="86"/>
        <v>100590012</v>
      </c>
      <c r="D1259" s="23" t="s">
        <v>1579</v>
      </c>
      <c r="E1259" s="20" t="s">
        <v>640</v>
      </c>
      <c r="I1259" s="21" t="s">
        <v>206</v>
      </c>
      <c r="J1259" s="21"/>
      <c r="K1259" s="21"/>
      <c r="L1259" s="21"/>
      <c r="M1259" s="21"/>
      <c r="N1259" s="21" t="s">
        <v>163</v>
      </c>
      <c r="O1259" s="21" t="s">
        <v>163</v>
      </c>
      <c r="P1259" s="114"/>
      <c r="Q1259" s="114" t="s">
        <v>2041</v>
      </c>
      <c r="R1259" s="114"/>
      <c r="S1259" s="114"/>
      <c r="T1259" s="114" t="s">
        <v>2714</v>
      </c>
      <c r="U1259" s="117" t="s">
        <v>3002</v>
      </c>
      <c r="V1259" s="21" t="s">
        <v>109</v>
      </c>
      <c r="W1259" s="21" t="s">
        <v>1</v>
      </c>
      <c r="X1259" s="21"/>
      <c r="Z1259" s="21"/>
      <c r="AA1259" s="21"/>
      <c r="AB1259" s="21"/>
      <c r="AC1259" s="21">
        <v>59</v>
      </c>
      <c r="AD1259" s="21"/>
      <c r="AE1259" s="39"/>
      <c r="AF1259" s="39" t="s">
        <v>2042</v>
      </c>
      <c r="AG1259" s="21"/>
      <c r="AH1259" s="25">
        <v>101593</v>
      </c>
      <c r="AI1259" s="25" t="s">
        <v>264</v>
      </c>
      <c r="AK1259" s="27" t="s">
        <v>637</v>
      </c>
      <c r="AL1259" s="27"/>
      <c r="AX1259" s="27"/>
      <c r="AY1259" s="27"/>
      <c r="BK1259" s="27"/>
      <c r="BL1259" s="27"/>
      <c r="BX1259" s="27"/>
      <c r="BY1259" s="27"/>
      <c r="CH1259" s="29"/>
    </row>
    <row r="1260" spans="1:86" x14ac:dyDescent="0.2">
      <c r="A1260" s="18">
        <v>10059</v>
      </c>
      <c r="B1260" s="19">
        <v>13</v>
      </c>
      <c r="C1260" s="19">
        <f t="shared" si="86"/>
        <v>100590013</v>
      </c>
      <c r="D1260" s="23" t="s">
        <v>1579</v>
      </c>
      <c r="E1260" s="20" t="s">
        <v>640</v>
      </c>
      <c r="I1260" s="21" t="s">
        <v>206</v>
      </c>
      <c r="J1260" s="21"/>
      <c r="K1260" s="21"/>
      <c r="L1260" s="21"/>
      <c r="M1260" s="21"/>
      <c r="N1260" s="21" t="s">
        <v>163</v>
      </c>
      <c r="O1260" s="21" t="s">
        <v>163</v>
      </c>
      <c r="P1260" s="114"/>
      <c r="Q1260" s="114" t="s">
        <v>2041</v>
      </c>
      <c r="R1260" s="114"/>
      <c r="S1260" s="114"/>
      <c r="T1260" s="114" t="s">
        <v>2714</v>
      </c>
      <c r="U1260" s="117" t="s">
        <v>3003</v>
      </c>
      <c r="V1260" s="21" t="s">
        <v>109</v>
      </c>
      <c r="W1260" s="21" t="s">
        <v>1</v>
      </c>
      <c r="X1260" s="21"/>
      <c r="Z1260" s="21"/>
      <c r="AA1260" s="21"/>
      <c r="AB1260" s="21"/>
      <c r="AC1260" s="21">
        <v>59</v>
      </c>
      <c r="AD1260" s="21"/>
      <c r="AE1260" s="39"/>
      <c r="AF1260" s="39" t="s">
        <v>2042</v>
      </c>
      <c r="AG1260" s="21"/>
      <c r="AH1260" s="25">
        <v>101594</v>
      </c>
      <c r="AI1260" s="25" t="s">
        <v>265</v>
      </c>
      <c r="AK1260" s="27" t="s">
        <v>638</v>
      </c>
      <c r="AL1260" s="27"/>
      <c r="AX1260" s="27"/>
      <c r="AY1260" s="27"/>
      <c r="BK1260" s="27"/>
      <c r="BL1260" s="27"/>
      <c r="BX1260" s="27"/>
      <c r="BY1260" s="27"/>
      <c r="CH1260" s="29"/>
    </row>
    <row r="1261" spans="1:86" x14ac:dyDescent="0.2">
      <c r="A1261" s="18">
        <v>10059</v>
      </c>
      <c r="B1261" s="19">
        <v>14</v>
      </c>
      <c r="C1261" s="19">
        <f t="shared" si="86"/>
        <v>100590014</v>
      </c>
      <c r="D1261" s="23" t="s">
        <v>1579</v>
      </c>
      <c r="E1261" s="20" t="s">
        <v>640</v>
      </c>
      <c r="I1261" s="21" t="s">
        <v>206</v>
      </c>
      <c r="J1261" s="21"/>
      <c r="K1261" s="21"/>
      <c r="L1261" s="21"/>
      <c r="M1261" s="21"/>
      <c r="N1261" s="21" t="s">
        <v>163</v>
      </c>
      <c r="O1261" s="21" t="s">
        <v>163</v>
      </c>
      <c r="P1261" s="114"/>
      <c r="Q1261" s="114" t="s">
        <v>2041</v>
      </c>
      <c r="R1261" s="114"/>
      <c r="S1261" s="114"/>
      <c r="T1261" s="114" t="s">
        <v>2714</v>
      </c>
      <c r="U1261" s="117" t="s">
        <v>3004</v>
      </c>
      <c r="V1261" s="21" t="s">
        <v>109</v>
      </c>
      <c r="W1261" s="21" t="s">
        <v>1</v>
      </c>
      <c r="X1261" s="21"/>
      <c r="Z1261" s="21"/>
      <c r="AA1261" s="21"/>
      <c r="AB1261" s="21"/>
      <c r="AC1261" s="21">
        <v>59</v>
      </c>
      <c r="AD1261" s="21"/>
      <c r="AE1261" s="39"/>
      <c r="AF1261" s="39" t="s">
        <v>2042</v>
      </c>
      <c r="AG1261" s="21"/>
      <c r="AH1261" s="25">
        <v>101595</v>
      </c>
      <c r="AI1261" s="25" t="s">
        <v>266</v>
      </c>
      <c r="AK1261" s="27" t="s">
        <v>639</v>
      </c>
      <c r="AL1261" s="27"/>
      <c r="AX1261" s="27"/>
      <c r="AY1261" s="27"/>
      <c r="BK1261" s="27"/>
      <c r="BL1261" s="27"/>
      <c r="BX1261" s="27"/>
      <c r="BY1261" s="27"/>
      <c r="CH1261" s="29"/>
    </row>
    <row r="1262" spans="1:86" x14ac:dyDescent="0.2">
      <c r="A1262" s="18">
        <v>10060</v>
      </c>
      <c r="B1262" s="19">
        <v>10</v>
      </c>
      <c r="C1262" s="19">
        <f t="shared" si="86"/>
        <v>100600010</v>
      </c>
      <c r="D1262" s="23" t="s">
        <v>1588</v>
      </c>
      <c r="E1262" s="20" t="s">
        <v>640</v>
      </c>
      <c r="I1262" s="21" t="s">
        <v>206</v>
      </c>
      <c r="J1262" s="21"/>
      <c r="K1262" s="21"/>
      <c r="L1262" s="21"/>
      <c r="M1262" s="21"/>
      <c r="N1262" s="21" t="s">
        <v>163</v>
      </c>
      <c r="O1262" s="21" t="s">
        <v>163</v>
      </c>
      <c r="P1262" s="114"/>
      <c r="Q1262" s="114" t="s">
        <v>2041</v>
      </c>
      <c r="R1262" s="114"/>
      <c r="S1262" s="114"/>
      <c r="T1262" s="114" t="s">
        <v>2714</v>
      </c>
      <c r="U1262" s="118" t="s">
        <v>3005</v>
      </c>
      <c r="V1262" s="21" t="s">
        <v>109</v>
      </c>
      <c r="W1262" s="21" t="s">
        <v>1</v>
      </c>
      <c r="X1262" s="21"/>
      <c r="Z1262" s="21"/>
      <c r="AA1262" s="21"/>
      <c r="AB1262" s="21"/>
      <c r="AC1262" s="21">
        <v>60</v>
      </c>
      <c r="AD1262" s="21"/>
      <c r="AE1262" s="39"/>
      <c r="AF1262" s="39" t="s">
        <v>2042</v>
      </c>
      <c r="AG1262" s="21"/>
      <c r="AH1262" s="25">
        <v>101601</v>
      </c>
      <c r="AI1262" s="25" t="s">
        <v>176</v>
      </c>
      <c r="AK1262" s="27" t="s">
        <v>635</v>
      </c>
      <c r="AL1262" s="27"/>
      <c r="AX1262" s="27"/>
      <c r="AY1262" s="27"/>
      <c r="BK1262" s="27"/>
      <c r="BL1262" s="27"/>
      <c r="BX1262" s="27"/>
      <c r="BY1262" s="27"/>
      <c r="CH1262" s="29"/>
    </row>
    <row r="1263" spans="1:86" x14ac:dyDescent="0.2">
      <c r="A1263" s="18">
        <v>10060</v>
      </c>
      <c r="B1263" s="19">
        <v>11</v>
      </c>
      <c r="C1263" s="19">
        <f t="shared" si="86"/>
        <v>100600011</v>
      </c>
      <c r="D1263" s="23" t="s">
        <v>1588</v>
      </c>
      <c r="E1263" s="20" t="s">
        <v>640</v>
      </c>
      <c r="I1263" s="21" t="s">
        <v>206</v>
      </c>
      <c r="J1263" s="21"/>
      <c r="K1263" s="21"/>
      <c r="L1263" s="21"/>
      <c r="M1263" s="21"/>
      <c r="N1263" s="21" t="s">
        <v>163</v>
      </c>
      <c r="O1263" s="21" t="s">
        <v>163</v>
      </c>
      <c r="P1263" s="114"/>
      <c r="Q1263" s="114" t="s">
        <v>2041</v>
      </c>
      <c r="R1263" s="114"/>
      <c r="S1263" s="114"/>
      <c r="T1263" s="114" t="s">
        <v>2714</v>
      </c>
      <c r="U1263" s="118" t="s">
        <v>3006</v>
      </c>
      <c r="V1263" s="21" t="s">
        <v>109</v>
      </c>
      <c r="W1263" s="21" t="s">
        <v>1</v>
      </c>
      <c r="X1263" s="21"/>
      <c r="Z1263" s="21"/>
      <c r="AA1263" s="21"/>
      <c r="AB1263" s="21"/>
      <c r="AC1263" s="21">
        <v>60</v>
      </c>
      <c r="AD1263" s="21"/>
      <c r="AE1263" s="39"/>
      <c r="AF1263" s="39" t="s">
        <v>2042</v>
      </c>
      <c r="AG1263" s="21"/>
      <c r="AH1263" s="25">
        <v>101602</v>
      </c>
      <c r="AI1263" s="25" t="s">
        <v>260</v>
      </c>
      <c r="AK1263" s="27" t="s">
        <v>636</v>
      </c>
      <c r="AL1263" s="27"/>
      <c r="AX1263" s="27"/>
      <c r="AY1263" s="27"/>
      <c r="BK1263" s="27"/>
      <c r="BL1263" s="27"/>
      <c r="BX1263" s="27"/>
      <c r="BY1263" s="27"/>
      <c r="CH1263" s="29"/>
    </row>
    <row r="1264" spans="1:86" x14ac:dyDescent="0.2">
      <c r="A1264" s="18">
        <v>10060</v>
      </c>
      <c r="B1264" s="19">
        <v>12</v>
      </c>
      <c r="C1264" s="19">
        <f t="shared" si="86"/>
        <v>100600012</v>
      </c>
      <c r="D1264" s="23" t="s">
        <v>1588</v>
      </c>
      <c r="E1264" s="20" t="s">
        <v>640</v>
      </c>
      <c r="I1264" s="21" t="s">
        <v>206</v>
      </c>
      <c r="J1264" s="21"/>
      <c r="K1264" s="21"/>
      <c r="L1264" s="21"/>
      <c r="M1264" s="21"/>
      <c r="N1264" s="21" t="s">
        <v>163</v>
      </c>
      <c r="O1264" s="21" t="s">
        <v>163</v>
      </c>
      <c r="P1264" s="114"/>
      <c r="Q1264" s="114" t="s">
        <v>2041</v>
      </c>
      <c r="R1264" s="114"/>
      <c r="S1264" s="114"/>
      <c r="T1264" s="114" t="s">
        <v>2714</v>
      </c>
      <c r="U1264" s="118" t="s">
        <v>3007</v>
      </c>
      <c r="V1264" s="21" t="s">
        <v>109</v>
      </c>
      <c r="W1264" s="21" t="s">
        <v>1</v>
      </c>
      <c r="X1264" s="21"/>
      <c r="Z1264" s="21"/>
      <c r="AA1264" s="21"/>
      <c r="AB1264" s="21"/>
      <c r="AC1264" s="21">
        <v>60</v>
      </c>
      <c r="AD1264" s="21"/>
      <c r="AE1264" s="39"/>
      <c r="AF1264" s="39" t="s">
        <v>2042</v>
      </c>
      <c r="AG1264" s="21"/>
      <c r="AH1264" s="25">
        <v>101603</v>
      </c>
      <c r="AI1264" s="25" t="s">
        <v>264</v>
      </c>
      <c r="AK1264" s="27" t="s">
        <v>637</v>
      </c>
      <c r="AL1264" s="27"/>
      <c r="AX1264" s="27"/>
      <c r="AY1264" s="27"/>
      <c r="BK1264" s="27"/>
      <c r="BL1264" s="27"/>
      <c r="BX1264" s="27"/>
      <c r="BY1264" s="27"/>
      <c r="CH1264" s="29"/>
    </row>
    <row r="1265" spans="1:86" x14ac:dyDescent="0.2">
      <c r="A1265" s="18">
        <v>10060</v>
      </c>
      <c r="B1265" s="19">
        <v>13</v>
      </c>
      <c r="C1265" s="19">
        <f t="shared" si="86"/>
        <v>100600013</v>
      </c>
      <c r="D1265" s="23" t="s">
        <v>1588</v>
      </c>
      <c r="E1265" s="20" t="s">
        <v>640</v>
      </c>
      <c r="I1265" s="21" t="s">
        <v>206</v>
      </c>
      <c r="J1265" s="21"/>
      <c r="K1265" s="21"/>
      <c r="L1265" s="21"/>
      <c r="M1265" s="21"/>
      <c r="N1265" s="21" t="s">
        <v>163</v>
      </c>
      <c r="O1265" s="21" t="s">
        <v>163</v>
      </c>
      <c r="P1265" s="114"/>
      <c r="Q1265" s="114" t="s">
        <v>2041</v>
      </c>
      <c r="R1265" s="114"/>
      <c r="S1265" s="114"/>
      <c r="T1265" s="114" t="s">
        <v>2714</v>
      </c>
      <c r="U1265" s="118" t="s">
        <v>3008</v>
      </c>
      <c r="V1265" s="21" t="s">
        <v>109</v>
      </c>
      <c r="W1265" s="21" t="s">
        <v>1</v>
      </c>
      <c r="X1265" s="21"/>
      <c r="Z1265" s="21"/>
      <c r="AA1265" s="21"/>
      <c r="AB1265" s="21"/>
      <c r="AC1265" s="21">
        <v>60</v>
      </c>
      <c r="AD1265" s="21"/>
      <c r="AE1265" s="39"/>
      <c r="AF1265" s="39" t="s">
        <v>2042</v>
      </c>
      <c r="AG1265" s="21"/>
      <c r="AH1265" s="25">
        <v>101604</v>
      </c>
      <c r="AI1265" s="25" t="s">
        <v>265</v>
      </c>
      <c r="AK1265" s="27" t="s">
        <v>638</v>
      </c>
      <c r="AL1265" s="27"/>
      <c r="AX1265" s="27"/>
      <c r="AY1265" s="27"/>
      <c r="BK1265" s="27"/>
      <c r="BL1265" s="27"/>
      <c r="BX1265" s="27"/>
      <c r="BY1265" s="27"/>
      <c r="CH1265" s="29"/>
    </row>
    <row r="1266" spans="1:86" x14ac:dyDescent="0.2">
      <c r="A1266" s="18">
        <v>10060</v>
      </c>
      <c r="B1266" s="19">
        <v>14</v>
      </c>
      <c r="C1266" s="19">
        <f t="shared" si="86"/>
        <v>100600014</v>
      </c>
      <c r="D1266" s="23" t="s">
        <v>1588</v>
      </c>
      <c r="E1266" s="20" t="s">
        <v>640</v>
      </c>
      <c r="I1266" s="21" t="s">
        <v>206</v>
      </c>
      <c r="J1266" s="21"/>
      <c r="K1266" s="21"/>
      <c r="L1266" s="21"/>
      <c r="M1266" s="21"/>
      <c r="N1266" s="21" t="s">
        <v>163</v>
      </c>
      <c r="O1266" s="21" t="s">
        <v>163</v>
      </c>
      <c r="P1266" s="114"/>
      <c r="Q1266" s="114" t="s">
        <v>2041</v>
      </c>
      <c r="R1266" s="114"/>
      <c r="S1266" s="114"/>
      <c r="T1266" s="114" t="s">
        <v>2714</v>
      </c>
      <c r="U1266" s="118" t="s">
        <v>3009</v>
      </c>
      <c r="V1266" s="21" t="s">
        <v>109</v>
      </c>
      <c r="W1266" s="21" t="s">
        <v>1</v>
      </c>
      <c r="X1266" s="21"/>
      <c r="Z1266" s="21"/>
      <c r="AA1266" s="21"/>
      <c r="AB1266" s="21"/>
      <c r="AC1266" s="21">
        <v>60</v>
      </c>
      <c r="AD1266" s="21"/>
      <c r="AE1266" s="39"/>
      <c r="AF1266" s="39" t="s">
        <v>2042</v>
      </c>
      <c r="AG1266" s="21"/>
      <c r="AH1266" s="25">
        <v>101605</v>
      </c>
      <c r="AI1266" s="25" t="s">
        <v>266</v>
      </c>
      <c r="AK1266" s="27" t="s">
        <v>639</v>
      </c>
      <c r="AL1266" s="27"/>
      <c r="AX1266" s="27"/>
      <c r="AY1266" s="27"/>
      <c r="BK1266" s="27"/>
      <c r="BL1266" s="27"/>
      <c r="BX1266" s="27"/>
      <c r="BY1266" s="27"/>
      <c r="CH1266" s="29"/>
    </row>
    <row r="1267" spans="1:86" x14ac:dyDescent="0.2">
      <c r="A1267" s="18">
        <v>10061</v>
      </c>
      <c r="B1267" s="19">
        <v>10</v>
      </c>
      <c r="C1267" s="19">
        <f t="shared" si="86"/>
        <v>100610010</v>
      </c>
      <c r="D1267" s="23" t="s">
        <v>1547</v>
      </c>
      <c r="E1267" s="20" t="s">
        <v>640</v>
      </c>
      <c r="I1267" s="21" t="s">
        <v>206</v>
      </c>
      <c r="J1267" s="21"/>
      <c r="K1267" s="21"/>
      <c r="L1267" s="21"/>
      <c r="M1267" s="21"/>
      <c r="N1267" s="21" t="s">
        <v>163</v>
      </c>
      <c r="O1267" s="21" t="s">
        <v>163</v>
      </c>
      <c r="P1267" s="114"/>
      <c r="Q1267" s="114" t="s">
        <v>2041</v>
      </c>
      <c r="R1267" s="114"/>
      <c r="S1267" s="114"/>
      <c r="T1267" s="114" t="s">
        <v>2714</v>
      </c>
      <c r="U1267" s="117" t="s">
        <v>3010</v>
      </c>
      <c r="V1267" s="21" t="s">
        <v>109</v>
      </c>
      <c r="W1267" s="21" t="s">
        <v>1</v>
      </c>
      <c r="X1267" s="21"/>
      <c r="Z1267" s="21"/>
      <c r="AA1267" s="21"/>
      <c r="AB1267" s="21"/>
      <c r="AC1267" s="21">
        <v>61</v>
      </c>
      <c r="AD1267" s="21"/>
      <c r="AE1267" s="39"/>
      <c r="AF1267" s="39" t="s">
        <v>2042</v>
      </c>
      <c r="AG1267" s="21"/>
      <c r="AH1267" s="25">
        <v>101611</v>
      </c>
      <c r="AI1267" s="25" t="s">
        <v>176</v>
      </c>
      <c r="AK1267" s="27" t="s">
        <v>635</v>
      </c>
      <c r="AL1267" s="27"/>
      <c r="AX1267" s="27"/>
      <c r="AY1267" s="27"/>
      <c r="BK1267" s="27"/>
      <c r="BL1267" s="27"/>
      <c r="BX1267" s="27"/>
      <c r="BY1267" s="27"/>
      <c r="CH1267" s="29"/>
    </row>
    <row r="1268" spans="1:86" x14ac:dyDescent="0.2">
      <c r="A1268" s="18">
        <v>10061</v>
      </c>
      <c r="B1268" s="19">
        <v>11</v>
      </c>
      <c r="C1268" s="19">
        <f t="shared" si="86"/>
        <v>100610011</v>
      </c>
      <c r="D1268" s="23" t="s">
        <v>1547</v>
      </c>
      <c r="E1268" s="20" t="s">
        <v>640</v>
      </c>
      <c r="I1268" s="21" t="s">
        <v>206</v>
      </c>
      <c r="J1268" s="21"/>
      <c r="K1268" s="21"/>
      <c r="L1268" s="21"/>
      <c r="M1268" s="21"/>
      <c r="N1268" s="21" t="s">
        <v>163</v>
      </c>
      <c r="O1268" s="21" t="s">
        <v>163</v>
      </c>
      <c r="P1268" s="114"/>
      <c r="Q1268" s="114" t="s">
        <v>2041</v>
      </c>
      <c r="R1268" s="114"/>
      <c r="S1268" s="114"/>
      <c r="T1268" s="114" t="s">
        <v>2714</v>
      </c>
      <c r="U1268" s="117" t="s">
        <v>3011</v>
      </c>
      <c r="V1268" s="21" t="s">
        <v>109</v>
      </c>
      <c r="W1268" s="21" t="s">
        <v>1</v>
      </c>
      <c r="X1268" s="21"/>
      <c r="Z1268" s="21"/>
      <c r="AA1268" s="21"/>
      <c r="AB1268" s="21"/>
      <c r="AC1268" s="21">
        <v>61</v>
      </c>
      <c r="AD1268" s="21"/>
      <c r="AE1268" s="39"/>
      <c r="AF1268" s="39" t="s">
        <v>2042</v>
      </c>
      <c r="AG1268" s="21"/>
      <c r="AH1268" s="25">
        <v>101612</v>
      </c>
      <c r="AI1268" s="25" t="s">
        <v>260</v>
      </c>
      <c r="AK1268" s="27" t="s">
        <v>636</v>
      </c>
      <c r="AL1268" s="27"/>
      <c r="AX1268" s="27"/>
      <c r="AY1268" s="27"/>
      <c r="BK1268" s="27"/>
      <c r="BL1268" s="27"/>
      <c r="BX1268" s="27"/>
      <c r="BY1268" s="27"/>
      <c r="CH1268" s="29"/>
    </row>
    <row r="1269" spans="1:86" x14ac:dyDescent="0.2">
      <c r="A1269" s="18">
        <v>10061</v>
      </c>
      <c r="B1269" s="19">
        <v>12</v>
      </c>
      <c r="C1269" s="19">
        <f t="shared" si="86"/>
        <v>100610012</v>
      </c>
      <c r="D1269" s="23" t="s">
        <v>1547</v>
      </c>
      <c r="E1269" s="20" t="s">
        <v>640</v>
      </c>
      <c r="I1269" s="21" t="s">
        <v>206</v>
      </c>
      <c r="J1269" s="21"/>
      <c r="K1269" s="21"/>
      <c r="L1269" s="21"/>
      <c r="M1269" s="21"/>
      <c r="N1269" s="21" t="s">
        <v>163</v>
      </c>
      <c r="O1269" s="21" t="s">
        <v>163</v>
      </c>
      <c r="P1269" s="114"/>
      <c r="Q1269" s="114" t="s">
        <v>2041</v>
      </c>
      <c r="R1269" s="114"/>
      <c r="S1269" s="114"/>
      <c r="T1269" s="114" t="s">
        <v>2714</v>
      </c>
      <c r="U1269" s="117" t="s">
        <v>3012</v>
      </c>
      <c r="V1269" s="21" t="s">
        <v>109</v>
      </c>
      <c r="W1269" s="21" t="s">
        <v>1</v>
      </c>
      <c r="X1269" s="21"/>
      <c r="Z1269" s="21"/>
      <c r="AA1269" s="21"/>
      <c r="AB1269" s="21"/>
      <c r="AC1269" s="21">
        <v>61</v>
      </c>
      <c r="AD1269" s="21"/>
      <c r="AE1269" s="39"/>
      <c r="AF1269" s="39" t="s">
        <v>2042</v>
      </c>
      <c r="AG1269" s="21"/>
      <c r="AH1269" s="25">
        <v>101613</v>
      </c>
      <c r="AI1269" s="25" t="s">
        <v>264</v>
      </c>
      <c r="AK1269" s="27" t="s">
        <v>637</v>
      </c>
      <c r="AL1269" s="27"/>
      <c r="AX1269" s="27"/>
      <c r="AY1269" s="27"/>
      <c r="BK1269" s="27"/>
      <c r="BL1269" s="27"/>
      <c r="BX1269" s="27"/>
      <c r="BY1269" s="27"/>
      <c r="CH1269" s="29"/>
    </row>
    <row r="1270" spans="1:86" x14ac:dyDescent="0.2">
      <c r="A1270" s="18">
        <v>10061</v>
      </c>
      <c r="B1270" s="19">
        <v>13</v>
      </c>
      <c r="C1270" s="19">
        <f t="shared" si="86"/>
        <v>100610013</v>
      </c>
      <c r="D1270" s="23" t="s">
        <v>1547</v>
      </c>
      <c r="E1270" s="20" t="s">
        <v>640</v>
      </c>
      <c r="I1270" s="21" t="s">
        <v>206</v>
      </c>
      <c r="J1270" s="21"/>
      <c r="K1270" s="21"/>
      <c r="L1270" s="21"/>
      <c r="M1270" s="21"/>
      <c r="N1270" s="21" t="s">
        <v>163</v>
      </c>
      <c r="O1270" s="21" t="s">
        <v>163</v>
      </c>
      <c r="P1270" s="114"/>
      <c r="Q1270" s="114" t="s">
        <v>2041</v>
      </c>
      <c r="R1270" s="114"/>
      <c r="S1270" s="114"/>
      <c r="T1270" s="114" t="s">
        <v>2714</v>
      </c>
      <c r="U1270" s="117" t="s">
        <v>3013</v>
      </c>
      <c r="V1270" s="21" t="s">
        <v>109</v>
      </c>
      <c r="W1270" s="21" t="s">
        <v>1</v>
      </c>
      <c r="X1270" s="21"/>
      <c r="Z1270" s="21"/>
      <c r="AA1270" s="21"/>
      <c r="AB1270" s="21"/>
      <c r="AC1270" s="21">
        <v>61</v>
      </c>
      <c r="AD1270" s="21"/>
      <c r="AE1270" s="39"/>
      <c r="AF1270" s="39" t="s">
        <v>2042</v>
      </c>
      <c r="AG1270" s="21"/>
      <c r="AH1270" s="25">
        <v>101614</v>
      </c>
      <c r="AI1270" s="25" t="s">
        <v>265</v>
      </c>
      <c r="AK1270" s="27" t="s">
        <v>638</v>
      </c>
      <c r="AL1270" s="27"/>
      <c r="AX1270" s="27"/>
      <c r="AY1270" s="27"/>
      <c r="BK1270" s="27"/>
      <c r="BL1270" s="27"/>
      <c r="BX1270" s="27"/>
      <c r="BY1270" s="27"/>
      <c r="CH1270" s="29"/>
    </row>
    <row r="1271" spans="1:86" x14ac:dyDescent="0.2">
      <c r="A1271" s="18">
        <v>10061</v>
      </c>
      <c r="B1271" s="19">
        <v>14</v>
      </c>
      <c r="C1271" s="19">
        <f t="shared" si="86"/>
        <v>100610014</v>
      </c>
      <c r="D1271" s="23" t="s">
        <v>1547</v>
      </c>
      <c r="E1271" s="20" t="s">
        <v>640</v>
      </c>
      <c r="I1271" s="21" t="s">
        <v>206</v>
      </c>
      <c r="J1271" s="21"/>
      <c r="K1271" s="21"/>
      <c r="L1271" s="21"/>
      <c r="M1271" s="21"/>
      <c r="N1271" s="21" t="s">
        <v>163</v>
      </c>
      <c r="O1271" s="21" t="s">
        <v>163</v>
      </c>
      <c r="P1271" s="114"/>
      <c r="Q1271" s="114" t="s">
        <v>2041</v>
      </c>
      <c r="R1271" s="114"/>
      <c r="S1271" s="114"/>
      <c r="T1271" s="114" t="s">
        <v>2714</v>
      </c>
      <c r="U1271" s="117" t="s">
        <v>3014</v>
      </c>
      <c r="V1271" s="21" t="s">
        <v>109</v>
      </c>
      <c r="W1271" s="21" t="s">
        <v>1</v>
      </c>
      <c r="X1271" s="21"/>
      <c r="Z1271" s="21"/>
      <c r="AA1271" s="21"/>
      <c r="AB1271" s="21"/>
      <c r="AC1271" s="21">
        <v>61</v>
      </c>
      <c r="AD1271" s="21"/>
      <c r="AE1271" s="39"/>
      <c r="AF1271" s="39" t="s">
        <v>2042</v>
      </c>
      <c r="AG1271" s="21"/>
      <c r="AH1271" s="25">
        <v>101615</v>
      </c>
      <c r="AI1271" s="25" t="s">
        <v>266</v>
      </c>
      <c r="AK1271" s="27">
        <v>6150</v>
      </c>
      <c r="AL1271" s="27"/>
      <c r="AX1271" s="27"/>
      <c r="AY1271" s="27"/>
      <c r="BK1271" s="27"/>
      <c r="BL1271" s="27"/>
      <c r="BX1271" s="27"/>
      <c r="BY1271" s="27"/>
      <c r="CH1271" s="29"/>
    </row>
    <row r="1272" spans="1:86" x14ac:dyDescent="0.2">
      <c r="A1272" s="18">
        <v>10062</v>
      </c>
      <c r="B1272" s="19">
        <v>10</v>
      </c>
      <c r="C1272" s="19">
        <f t="shared" si="86"/>
        <v>100620010</v>
      </c>
      <c r="D1272" s="23" t="s">
        <v>953</v>
      </c>
      <c r="E1272" s="20" t="s">
        <v>1209</v>
      </c>
      <c r="I1272" s="22" t="s">
        <v>206</v>
      </c>
      <c r="J1272" s="22"/>
      <c r="K1272" s="22"/>
      <c r="L1272" s="22"/>
      <c r="M1272" s="22"/>
      <c r="N1272" s="22" t="s">
        <v>1147</v>
      </c>
      <c r="O1272" s="22" t="s">
        <v>1147</v>
      </c>
      <c r="P1272" s="22"/>
      <c r="Q1272" s="22" t="s">
        <v>2041</v>
      </c>
      <c r="R1272" s="22"/>
      <c r="S1272" s="22"/>
      <c r="T1272" s="22" t="s">
        <v>2714</v>
      </c>
      <c r="U1272" s="116" t="s">
        <v>3015</v>
      </c>
      <c r="V1272" s="22" t="s">
        <v>109</v>
      </c>
      <c r="W1272" s="22" t="s">
        <v>1</v>
      </c>
      <c r="X1272" s="22"/>
      <c r="Z1272" s="22"/>
      <c r="AA1272" s="22"/>
      <c r="AB1272" s="22"/>
      <c r="AC1272" s="22" t="s">
        <v>1215</v>
      </c>
      <c r="AD1272" s="22"/>
      <c r="AE1272" s="24"/>
      <c r="AF1272" s="24" t="s">
        <v>2042</v>
      </c>
      <c r="AG1272" s="22"/>
      <c r="AH1272" s="25" t="s">
        <v>957</v>
      </c>
      <c r="AI1272" s="25" t="s">
        <v>1155</v>
      </c>
      <c r="AK1272" s="40" t="s">
        <v>1208</v>
      </c>
      <c r="AL1272" s="40"/>
      <c r="AX1272" s="27"/>
      <c r="AY1272" s="27"/>
      <c r="BK1272" s="27"/>
      <c r="BL1272" s="27"/>
      <c r="BX1272" s="27"/>
      <c r="BY1272" s="27"/>
      <c r="CH1272" s="29"/>
    </row>
    <row r="1273" spans="1:86" x14ac:dyDescent="0.2">
      <c r="A1273" s="18">
        <v>10062</v>
      </c>
      <c r="B1273" s="19">
        <v>11</v>
      </c>
      <c r="C1273" s="19">
        <f t="shared" si="86"/>
        <v>100620011</v>
      </c>
      <c r="D1273" s="23" t="s">
        <v>953</v>
      </c>
      <c r="E1273" s="20" t="s">
        <v>1209</v>
      </c>
      <c r="I1273" s="22" t="s">
        <v>206</v>
      </c>
      <c r="J1273" s="22"/>
      <c r="K1273" s="22"/>
      <c r="L1273" s="22"/>
      <c r="M1273" s="22"/>
      <c r="N1273" s="22" t="s">
        <v>1147</v>
      </c>
      <c r="O1273" s="22" t="s">
        <v>1147</v>
      </c>
      <c r="P1273" s="22"/>
      <c r="Q1273" s="22" t="s">
        <v>2041</v>
      </c>
      <c r="R1273" s="22"/>
      <c r="S1273" s="22"/>
      <c r="T1273" s="22" t="s">
        <v>2714</v>
      </c>
      <c r="U1273" s="116" t="s">
        <v>3016</v>
      </c>
      <c r="V1273" s="22" t="s">
        <v>109</v>
      </c>
      <c r="W1273" s="22" t="s">
        <v>1</v>
      </c>
      <c r="X1273" s="22"/>
      <c r="Z1273" s="22"/>
      <c r="AA1273" s="22"/>
      <c r="AB1273" s="22"/>
      <c r="AC1273" s="22" t="s">
        <v>1215</v>
      </c>
      <c r="AD1273" s="22"/>
      <c r="AE1273" s="24"/>
      <c r="AF1273" s="24" t="s">
        <v>2042</v>
      </c>
      <c r="AG1273" s="22"/>
      <c r="AH1273" s="25" t="s">
        <v>958</v>
      </c>
      <c r="AI1273" s="25" t="s">
        <v>1157</v>
      </c>
      <c r="AK1273" s="40" t="s">
        <v>1211</v>
      </c>
      <c r="AL1273" s="40"/>
      <c r="AX1273" s="27"/>
      <c r="AY1273" s="27"/>
      <c r="BK1273" s="27"/>
      <c r="BL1273" s="27"/>
      <c r="BX1273" s="27"/>
      <c r="BY1273" s="27"/>
      <c r="CH1273" s="29"/>
    </row>
    <row r="1274" spans="1:86" x14ac:dyDescent="0.2">
      <c r="A1274" s="18">
        <v>10062</v>
      </c>
      <c r="B1274" s="19">
        <v>12</v>
      </c>
      <c r="C1274" s="19">
        <f t="shared" si="86"/>
        <v>100620012</v>
      </c>
      <c r="D1274" s="23" t="s">
        <v>953</v>
      </c>
      <c r="E1274" s="20" t="s">
        <v>1209</v>
      </c>
      <c r="I1274" s="22" t="s">
        <v>206</v>
      </c>
      <c r="J1274" s="22"/>
      <c r="K1274" s="22"/>
      <c r="L1274" s="22"/>
      <c r="M1274" s="22"/>
      <c r="N1274" s="22" t="s">
        <v>1147</v>
      </c>
      <c r="O1274" s="22" t="s">
        <v>1147</v>
      </c>
      <c r="P1274" s="22"/>
      <c r="Q1274" s="22" t="s">
        <v>2041</v>
      </c>
      <c r="R1274" s="22"/>
      <c r="S1274" s="22"/>
      <c r="T1274" s="22" t="s">
        <v>2714</v>
      </c>
      <c r="U1274" s="116" t="s">
        <v>3017</v>
      </c>
      <c r="V1274" s="22" t="s">
        <v>109</v>
      </c>
      <c r="W1274" s="22" t="s">
        <v>1</v>
      </c>
      <c r="X1274" s="22"/>
      <c r="Z1274" s="22"/>
      <c r="AA1274" s="22"/>
      <c r="AB1274" s="22"/>
      <c r="AC1274" s="22" t="s">
        <v>1215</v>
      </c>
      <c r="AD1274" s="22"/>
      <c r="AE1274" s="24"/>
      <c r="AF1274" s="24" t="s">
        <v>2042</v>
      </c>
      <c r="AG1274" s="22"/>
      <c r="AH1274" s="25" t="s">
        <v>959</v>
      </c>
      <c r="AI1274" s="25" t="s">
        <v>1148</v>
      </c>
      <c r="AK1274" s="40" t="s">
        <v>1212</v>
      </c>
      <c r="AL1274" s="40"/>
      <c r="AX1274" s="27"/>
      <c r="AY1274" s="27"/>
      <c r="BK1274" s="27"/>
      <c r="BL1274" s="27"/>
      <c r="BX1274" s="27"/>
      <c r="BY1274" s="27"/>
      <c r="CH1274" s="29"/>
    </row>
    <row r="1275" spans="1:86" x14ac:dyDescent="0.2">
      <c r="A1275" s="18">
        <v>10062</v>
      </c>
      <c r="B1275" s="19">
        <v>13</v>
      </c>
      <c r="C1275" s="19">
        <f t="shared" si="86"/>
        <v>100620013</v>
      </c>
      <c r="D1275" s="23" t="s">
        <v>953</v>
      </c>
      <c r="E1275" s="20" t="s">
        <v>1209</v>
      </c>
      <c r="I1275" s="22" t="s">
        <v>206</v>
      </c>
      <c r="J1275" s="22"/>
      <c r="K1275" s="22"/>
      <c r="L1275" s="22"/>
      <c r="M1275" s="22"/>
      <c r="N1275" s="22" t="s">
        <v>1147</v>
      </c>
      <c r="O1275" s="22" t="s">
        <v>1147</v>
      </c>
      <c r="P1275" s="22"/>
      <c r="Q1275" s="22" t="s">
        <v>2041</v>
      </c>
      <c r="R1275" s="22"/>
      <c r="S1275" s="22"/>
      <c r="T1275" s="22" t="s">
        <v>2714</v>
      </c>
      <c r="U1275" s="116" t="s">
        <v>3018</v>
      </c>
      <c r="V1275" s="22" t="s">
        <v>109</v>
      </c>
      <c r="W1275" s="22" t="s">
        <v>1</v>
      </c>
      <c r="X1275" s="22"/>
      <c r="Z1275" s="22"/>
      <c r="AA1275" s="22"/>
      <c r="AB1275" s="22"/>
      <c r="AC1275" s="22" t="s">
        <v>1215</v>
      </c>
      <c r="AD1275" s="22"/>
      <c r="AE1275" s="24"/>
      <c r="AF1275" s="24" t="s">
        <v>2042</v>
      </c>
      <c r="AG1275" s="22"/>
      <c r="AH1275" s="25" t="s">
        <v>960</v>
      </c>
      <c r="AI1275" s="25" t="s">
        <v>1150</v>
      </c>
      <c r="AK1275" s="40" t="s">
        <v>1213</v>
      </c>
      <c r="AL1275" s="40"/>
      <c r="AX1275" s="27"/>
      <c r="AY1275" s="27"/>
      <c r="BK1275" s="27"/>
      <c r="BL1275" s="27"/>
      <c r="BX1275" s="27"/>
      <c r="BY1275" s="27"/>
      <c r="CH1275" s="29"/>
    </row>
    <row r="1276" spans="1:86" x14ac:dyDescent="0.2">
      <c r="A1276" s="18">
        <v>10062</v>
      </c>
      <c r="B1276" s="19">
        <v>14</v>
      </c>
      <c r="C1276" s="19">
        <f t="shared" si="86"/>
        <v>100620014</v>
      </c>
      <c r="D1276" s="23" t="s">
        <v>953</v>
      </c>
      <c r="E1276" s="20" t="s">
        <v>1209</v>
      </c>
      <c r="I1276" s="22" t="s">
        <v>206</v>
      </c>
      <c r="J1276" s="22"/>
      <c r="K1276" s="22"/>
      <c r="L1276" s="22"/>
      <c r="M1276" s="22"/>
      <c r="N1276" s="22" t="s">
        <v>1147</v>
      </c>
      <c r="O1276" s="22" t="s">
        <v>1147</v>
      </c>
      <c r="P1276" s="22"/>
      <c r="Q1276" s="22" t="s">
        <v>2041</v>
      </c>
      <c r="R1276" s="22"/>
      <c r="S1276" s="22"/>
      <c r="T1276" s="22" t="s">
        <v>2714</v>
      </c>
      <c r="U1276" s="116" t="s">
        <v>3019</v>
      </c>
      <c r="V1276" s="22" t="s">
        <v>109</v>
      </c>
      <c r="W1276" s="22" t="s">
        <v>1</v>
      </c>
      <c r="X1276" s="22"/>
      <c r="Z1276" s="22"/>
      <c r="AA1276" s="22"/>
      <c r="AB1276" s="22"/>
      <c r="AC1276" s="22" t="s">
        <v>1215</v>
      </c>
      <c r="AD1276" s="22"/>
      <c r="AE1276" s="24"/>
      <c r="AF1276" s="24" t="s">
        <v>2042</v>
      </c>
      <c r="AG1276" s="22"/>
      <c r="AH1276" s="25" t="s">
        <v>961</v>
      </c>
      <c r="AI1276" s="25" t="s">
        <v>1152</v>
      </c>
      <c r="AK1276" s="40" t="s">
        <v>1214</v>
      </c>
      <c r="AL1276" s="40"/>
      <c r="AX1276" s="27"/>
      <c r="AY1276" s="27"/>
      <c r="BK1276" s="27"/>
      <c r="BL1276" s="27"/>
      <c r="BX1276" s="27"/>
      <c r="BY1276" s="27"/>
      <c r="CH1276" s="29"/>
    </row>
    <row r="1277" spans="1:86" x14ac:dyDescent="0.2">
      <c r="A1277" s="18">
        <v>10063</v>
      </c>
      <c r="B1277" s="19">
        <v>10</v>
      </c>
      <c r="C1277" s="19">
        <f t="shared" si="86"/>
        <v>100630010</v>
      </c>
      <c r="D1277" s="23" t="s">
        <v>954</v>
      </c>
      <c r="E1277" s="20" t="s">
        <v>1209</v>
      </c>
      <c r="I1277" s="22" t="s">
        <v>206</v>
      </c>
      <c r="J1277" s="22"/>
      <c r="K1277" s="22"/>
      <c r="L1277" s="22"/>
      <c r="M1277" s="22"/>
      <c r="N1277" s="22" t="s">
        <v>1147</v>
      </c>
      <c r="O1277" s="22" t="s">
        <v>1147</v>
      </c>
      <c r="P1277" s="22"/>
      <c r="Q1277" s="22" t="s">
        <v>2041</v>
      </c>
      <c r="R1277" s="22"/>
      <c r="S1277" s="22"/>
      <c r="T1277" s="22" t="s">
        <v>2714</v>
      </c>
      <c r="U1277" s="116" t="s">
        <v>3020</v>
      </c>
      <c r="V1277" s="22" t="s">
        <v>109</v>
      </c>
      <c r="W1277" s="22" t="s">
        <v>1</v>
      </c>
      <c r="X1277" s="22"/>
      <c r="Z1277" s="22"/>
      <c r="AA1277" s="22"/>
      <c r="AB1277" s="22"/>
      <c r="AC1277" s="22" t="s">
        <v>1216</v>
      </c>
      <c r="AD1277" s="22"/>
      <c r="AE1277" s="24"/>
      <c r="AF1277" s="24" t="s">
        <v>2042</v>
      </c>
      <c r="AG1277" s="22"/>
      <c r="AH1277" s="25" t="s">
        <v>962</v>
      </c>
      <c r="AI1277" s="25" t="s">
        <v>1155</v>
      </c>
      <c r="AK1277" s="40" t="s">
        <v>1208</v>
      </c>
      <c r="AL1277" s="40"/>
      <c r="AX1277" s="27"/>
      <c r="AY1277" s="27"/>
      <c r="BK1277" s="27"/>
      <c r="BL1277" s="27"/>
      <c r="BX1277" s="27"/>
      <c r="BY1277" s="27"/>
      <c r="CH1277" s="29"/>
    </row>
    <row r="1278" spans="1:86" x14ac:dyDescent="0.2">
      <c r="A1278" s="18">
        <v>10063</v>
      </c>
      <c r="B1278" s="19">
        <v>11</v>
      </c>
      <c r="C1278" s="19">
        <f t="shared" si="86"/>
        <v>100630011</v>
      </c>
      <c r="D1278" s="23" t="s">
        <v>954</v>
      </c>
      <c r="E1278" s="20" t="s">
        <v>1209</v>
      </c>
      <c r="I1278" s="22" t="s">
        <v>206</v>
      </c>
      <c r="J1278" s="22"/>
      <c r="K1278" s="22"/>
      <c r="L1278" s="22"/>
      <c r="M1278" s="22"/>
      <c r="N1278" s="22" t="s">
        <v>1147</v>
      </c>
      <c r="O1278" s="22" t="s">
        <v>1147</v>
      </c>
      <c r="P1278" s="22"/>
      <c r="Q1278" s="22" t="s">
        <v>2041</v>
      </c>
      <c r="R1278" s="22"/>
      <c r="S1278" s="22"/>
      <c r="T1278" s="22" t="s">
        <v>2714</v>
      </c>
      <c r="U1278" s="116" t="s">
        <v>3021</v>
      </c>
      <c r="V1278" s="22" t="s">
        <v>109</v>
      </c>
      <c r="W1278" s="22" t="s">
        <v>1</v>
      </c>
      <c r="X1278" s="22"/>
      <c r="Z1278" s="22"/>
      <c r="AA1278" s="22"/>
      <c r="AB1278" s="22"/>
      <c r="AC1278" s="22" t="s">
        <v>1216</v>
      </c>
      <c r="AD1278" s="22"/>
      <c r="AE1278" s="24"/>
      <c r="AF1278" s="24" t="s">
        <v>2042</v>
      </c>
      <c r="AG1278" s="22"/>
      <c r="AH1278" s="25" t="s">
        <v>963</v>
      </c>
      <c r="AI1278" s="25" t="s">
        <v>1157</v>
      </c>
      <c r="AK1278" s="40" t="s">
        <v>1211</v>
      </c>
      <c r="AL1278" s="40"/>
      <c r="AX1278" s="27"/>
      <c r="AY1278" s="27"/>
      <c r="BK1278" s="27"/>
      <c r="BL1278" s="27"/>
      <c r="BX1278" s="27"/>
      <c r="BY1278" s="27"/>
      <c r="CH1278" s="29"/>
    </row>
    <row r="1279" spans="1:86" x14ac:dyDescent="0.2">
      <c r="A1279" s="18">
        <v>10063</v>
      </c>
      <c r="B1279" s="19">
        <v>12</v>
      </c>
      <c r="C1279" s="19">
        <f t="shared" si="86"/>
        <v>100630012</v>
      </c>
      <c r="D1279" s="23" t="s">
        <v>1220</v>
      </c>
      <c r="E1279" s="20" t="s">
        <v>1221</v>
      </c>
      <c r="I1279" s="22" t="s">
        <v>206</v>
      </c>
      <c r="J1279" s="22"/>
      <c r="K1279" s="22"/>
      <c r="L1279" s="22"/>
      <c r="M1279" s="22"/>
      <c r="N1279" s="22" t="s">
        <v>1222</v>
      </c>
      <c r="O1279" s="22" t="s">
        <v>1222</v>
      </c>
      <c r="P1279" s="22"/>
      <c r="Q1279" s="22" t="s">
        <v>2041</v>
      </c>
      <c r="R1279" s="22"/>
      <c r="S1279" s="22"/>
      <c r="T1279" s="22" t="s">
        <v>2714</v>
      </c>
      <c r="U1279" s="116" t="s">
        <v>3022</v>
      </c>
      <c r="V1279" s="22" t="s">
        <v>109</v>
      </c>
      <c r="W1279" s="22" t="s">
        <v>1</v>
      </c>
      <c r="X1279" s="22"/>
      <c r="Z1279" s="22"/>
      <c r="AA1279" s="22"/>
      <c r="AB1279" s="22"/>
      <c r="AC1279" s="22" t="s">
        <v>1223</v>
      </c>
      <c r="AD1279" s="22"/>
      <c r="AE1279" s="24"/>
      <c r="AF1279" s="24" t="s">
        <v>2042</v>
      </c>
      <c r="AG1279" s="22"/>
      <c r="AH1279" s="25" t="s">
        <v>1224</v>
      </c>
      <c r="AI1279" s="25" t="s">
        <v>1225</v>
      </c>
      <c r="AK1279" s="40" t="s">
        <v>1226</v>
      </c>
      <c r="AL1279" s="40"/>
      <c r="AX1279" s="27"/>
      <c r="AY1279" s="27"/>
      <c r="BK1279" s="27"/>
      <c r="BL1279" s="27"/>
      <c r="BX1279" s="27"/>
      <c r="BY1279" s="27"/>
      <c r="CH1279" s="29"/>
    </row>
    <row r="1280" spans="1:86" x14ac:dyDescent="0.2">
      <c r="A1280" s="18">
        <v>10063</v>
      </c>
      <c r="B1280" s="19">
        <v>13</v>
      </c>
      <c r="C1280" s="19">
        <f t="shared" si="86"/>
        <v>100630013</v>
      </c>
      <c r="D1280" s="23" t="s">
        <v>1220</v>
      </c>
      <c r="E1280" s="20" t="s">
        <v>1221</v>
      </c>
      <c r="I1280" s="22" t="s">
        <v>206</v>
      </c>
      <c r="J1280" s="22"/>
      <c r="K1280" s="22"/>
      <c r="L1280" s="22"/>
      <c r="M1280" s="22"/>
      <c r="N1280" s="22" t="s">
        <v>1222</v>
      </c>
      <c r="O1280" s="22" t="s">
        <v>1222</v>
      </c>
      <c r="P1280" s="22"/>
      <c r="Q1280" s="22" t="s">
        <v>2041</v>
      </c>
      <c r="R1280" s="22"/>
      <c r="S1280" s="22"/>
      <c r="T1280" s="22" t="s">
        <v>2714</v>
      </c>
      <c r="U1280" s="116" t="s">
        <v>3023</v>
      </c>
      <c r="V1280" s="22" t="s">
        <v>109</v>
      </c>
      <c r="W1280" s="22" t="s">
        <v>1</v>
      </c>
      <c r="X1280" s="22"/>
      <c r="Z1280" s="22"/>
      <c r="AA1280" s="22"/>
      <c r="AB1280" s="22"/>
      <c r="AC1280" s="22" t="s">
        <v>1223</v>
      </c>
      <c r="AD1280" s="22"/>
      <c r="AE1280" s="24"/>
      <c r="AF1280" s="24" t="s">
        <v>2042</v>
      </c>
      <c r="AG1280" s="22"/>
      <c r="AH1280" s="25" t="s">
        <v>1227</v>
      </c>
      <c r="AI1280" s="25" t="s">
        <v>1228</v>
      </c>
      <c r="AK1280" s="40" t="s">
        <v>1229</v>
      </c>
      <c r="AL1280" s="40"/>
      <c r="AX1280" s="27"/>
      <c r="AY1280" s="27"/>
      <c r="BK1280" s="27"/>
      <c r="BL1280" s="27"/>
      <c r="BX1280" s="27"/>
      <c r="BY1280" s="27"/>
      <c r="CH1280" s="29"/>
    </row>
    <row r="1281" spans="1:86" x14ac:dyDescent="0.2">
      <c r="A1281" s="18">
        <v>10063</v>
      </c>
      <c r="B1281" s="19">
        <v>14</v>
      </c>
      <c r="C1281" s="19">
        <f t="shared" si="86"/>
        <v>100630014</v>
      </c>
      <c r="D1281" s="23" t="s">
        <v>1220</v>
      </c>
      <c r="E1281" s="20" t="s">
        <v>1221</v>
      </c>
      <c r="I1281" s="22" t="s">
        <v>206</v>
      </c>
      <c r="J1281" s="22"/>
      <c r="K1281" s="22"/>
      <c r="L1281" s="22"/>
      <c r="M1281" s="22"/>
      <c r="N1281" s="22" t="s">
        <v>1222</v>
      </c>
      <c r="O1281" s="22" t="s">
        <v>1222</v>
      </c>
      <c r="P1281" s="22"/>
      <c r="Q1281" s="22" t="s">
        <v>2041</v>
      </c>
      <c r="R1281" s="22"/>
      <c r="S1281" s="22"/>
      <c r="T1281" s="22" t="s">
        <v>2714</v>
      </c>
      <c r="U1281" s="116" t="s">
        <v>3024</v>
      </c>
      <c r="V1281" s="22" t="s">
        <v>109</v>
      </c>
      <c r="W1281" s="22" t="s">
        <v>1</v>
      </c>
      <c r="X1281" s="22"/>
      <c r="Z1281" s="22"/>
      <c r="AA1281" s="22"/>
      <c r="AB1281" s="22"/>
      <c r="AC1281" s="22" t="s">
        <v>1223</v>
      </c>
      <c r="AD1281" s="22"/>
      <c r="AE1281" s="24"/>
      <c r="AF1281" s="24" t="s">
        <v>2042</v>
      </c>
      <c r="AG1281" s="22"/>
      <c r="AH1281" s="25" t="s">
        <v>1230</v>
      </c>
      <c r="AI1281" s="25" t="s">
        <v>1231</v>
      </c>
      <c r="AK1281" s="40" t="s">
        <v>1232</v>
      </c>
      <c r="AL1281" s="40"/>
      <c r="AX1281" s="27"/>
      <c r="AY1281" s="27"/>
      <c r="BK1281" s="27"/>
      <c r="BL1281" s="27"/>
      <c r="BX1281" s="27"/>
      <c r="BY1281" s="27"/>
      <c r="CH1281" s="29"/>
    </row>
    <row r="1282" spans="1:86" x14ac:dyDescent="0.2">
      <c r="A1282" s="18">
        <v>10064</v>
      </c>
      <c r="B1282" s="19">
        <v>10</v>
      </c>
      <c r="C1282" s="19">
        <f t="shared" si="86"/>
        <v>100640010</v>
      </c>
      <c r="D1282" s="23" t="s">
        <v>1233</v>
      </c>
      <c r="E1282" s="20" t="s">
        <v>1234</v>
      </c>
      <c r="I1282" s="22" t="s">
        <v>206</v>
      </c>
      <c r="J1282" s="22"/>
      <c r="K1282" s="22"/>
      <c r="L1282" s="22"/>
      <c r="M1282" s="22"/>
      <c r="N1282" s="22" t="s">
        <v>1235</v>
      </c>
      <c r="O1282" s="22" t="s">
        <v>1235</v>
      </c>
      <c r="P1282" s="22"/>
      <c r="Q1282" s="22" t="s">
        <v>2041</v>
      </c>
      <c r="R1282" s="22"/>
      <c r="S1282" s="22"/>
      <c r="T1282" s="22" t="s">
        <v>2714</v>
      </c>
      <c r="U1282" s="116" t="s">
        <v>3025</v>
      </c>
      <c r="V1282" s="22" t="s">
        <v>109</v>
      </c>
      <c r="W1282" s="22" t="s">
        <v>1</v>
      </c>
      <c r="X1282" s="22"/>
      <c r="Z1282" s="22"/>
      <c r="AA1282" s="22"/>
      <c r="AB1282" s="22"/>
      <c r="AC1282" s="22" t="s">
        <v>1236</v>
      </c>
      <c r="AD1282" s="22"/>
      <c r="AE1282" s="24"/>
      <c r="AF1282" s="24" t="s">
        <v>2042</v>
      </c>
      <c r="AG1282" s="22"/>
      <c r="AH1282" s="25" t="s">
        <v>1237</v>
      </c>
      <c r="AI1282" s="25" t="s">
        <v>1238</v>
      </c>
      <c r="AK1282" s="40" t="s">
        <v>1239</v>
      </c>
      <c r="AL1282" s="40"/>
      <c r="AX1282" s="27"/>
      <c r="AY1282" s="27"/>
      <c r="BK1282" s="27"/>
      <c r="BL1282" s="27"/>
      <c r="BX1282" s="27"/>
      <c r="BY1282" s="27"/>
      <c r="CH1282" s="29"/>
    </row>
    <row r="1283" spans="1:86" x14ac:dyDescent="0.2">
      <c r="A1283" s="18">
        <v>10064</v>
      </c>
      <c r="B1283" s="19">
        <v>11</v>
      </c>
      <c r="C1283" s="19">
        <f t="shared" si="86"/>
        <v>100640011</v>
      </c>
      <c r="D1283" s="23" t="s">
        <v>1233</v>
      </c>
      <c r="E1283" s="20" t="s">
        <v>1234</v>
      </c>
      <c r="I1283" s="22" t="s">
        <v>206</v>
      </c>
      <c r="J1283" s="22"/>
      <c r="K1283" s="22"/>
      <c r="L1283" s="22"/>
      <c r="M1283" s="22"/>
      <c r="N1283" s="22" t="s">
        <v>1235</v>
      </c>
      <c r="O1283" s="22" t="s">
        <v>1235</v>
      </c>
      <c r="P1283" s="22"/>
      <c r="Q1283" s="22" t="s">
        <v>2041</v>
      </c>
      <c r="R1283" s="22"/>
      <c r="S1283" s="22"/>
      <c r="T1283" s="22" t="s">
        <v>2714</v>
      </c>
      <c r="U1283" s="116" t="s">
        <v>3026</v>
      </c>
      <c r="V1283" s="22" t="s">
        <v>109</v>
      </c>
      <c r="W1283" s="22" t="s">
        <v>1</v>
      </c>
      <c r="X1283" s="22"/>
      <c r="Z1283" s="22"/>
      <c r="AA1283" s="22"/>
      <c r="AB1283" s="22"/>
      <c r="AC1283" s="22" t="s">
        <v>1236</v>
      </c>
      <c r="AD1283" s="22"/>
      <c r="AE1283" s="24"/>
      <c r="AF1283" s="24" t="s">
        <v>2042</v>
      </c>
      <c r="AG1283" s="22"/>
      <c r="AH1283" s="25" t="s">
        <v>1240</v>
      </c>
      <c r="AI1283" s="25" t="s">
        <v>1241</v>
      </c>
      <c r="AK1283" s="40" t="s">
        <v>1242</v>
      </c>
      <c r="AL1283" s="40"/>
      <c r="AX1283" s="27"/>
      <c r="AY1283" s="27"/>
      <c r="BK1283" s="27"/>
      <c r="BL1283" s="27"/>
      <c r="BX1283" s="27"/>
      <c r="BY1283" s="27"/>
      <c r="CH1283" s="29"/>
    </row>
    <row r="1284" spans="1:86" x14ac:dyDescent="0.2">
      <c r="A1284" s="18">
        <v>10064</v>
      </c>
      <c r="B1284" s="19">
        <v>12</v>
      </c>
      <c r="C1284" s="19">
        <f t="shared" si="86"/>
        <v>100640012</v>
      </c>
      <c r="D1284" s="23" t="s">
        <v>1233</v>
      </c>
      <c r="E1284" s="20" t="s">
        <v>1234</v>
      </c>
      <c r="I1284" s="22" t="s">
        <v>206</v>
      </c>
      <c r="J1284" s="22"/>
      <c r="K1284" s="22"/>
      <c r="L1284" s="22"/>
      <c r="M1284" s="22"/>
      <c r="N1284" s="22" t="s">
        <v>1235</v>
      </c>
      <c r="O1284" s="22" t="s">
        <v>1235</v>
      </c>
      <c r="P1284" s="22"/>
      <c r="Q1284" s="22" t="s">
        <v>2041</v>
      </c>
      <c r="R1284" s="22"/>
      <c r="S1284" s="22"/>
      <c r="T1284" s="22" t="s">
        <v>2714</v>
      </c>
      <c r="U1284" s="116" t="s">
        <v>3027</v>
      </c>
      <c r="V1284" s="22" t="s">
        <v>109</v>
      </c>
      <c r="W1284" s="22" t="s">
        <v>1</v>
      </c>
      <c r="X1284" s="22"/>
      <c r="Z1284" s="22"/>
      <c r="AA1284" s="22"/>
      <c r="AB1284" s="22"/>
      <c r="AC1284" s="22" t="s">
        <v>1236</v>
      </c>
      <c r="AD1284" s="22"/>
      <c r="AE1284" s="24"/>
      <c r="AF1284" s="24" t="s">
        <v>2042</v>
      </c>
      <c r="AG1284" s="22"/>
      <c r="AH1284" s="25" t="s">
        <v>1243</v>
      </c>
      <c r="AI1284" s="25" t="s">
        <v>1244</v>
      </c>
      <c r="AK1284" s="40" t="s">
        <v>1245</v>
      </c>
      <c r="AL1284" s="40"/>
      <c r="AX1284" s="27"/>
      <c r="AY1284" s="27"/>
      <c r="BK1284" s="27"/>
      <c r="BL1284" s="27"/>
      <c r="BX1284" s="27"/>
      <c r="BY1284" s="27"/>
      <c r="CH1284" s="29"/>
    </row>
    <row r="1285" spans="1:86" x14ac:dyDescent="0.2">
      <c r="A1285" s="18">
        <v>10064</v>
      </c>
      <c r="B1285" s="19">
        <v>13</v>
      </c>
      <c r="C1285" s="19">
        <f t="shared" si="86"/>
        <v>100640013</v>
      </c>
      <c r="D1285" s="23" t="s">
        <v>1233</v>
      </c>
      <c r="E1285" s="20" t="s">
        <v>1234</v>
      </c>
      <c r="I1285" s="22" t="s">
        <v>206</v>
      </c>
      <c r="J1285" s="22"/>
      <c r="K1285" s="22"/>
      <c r="L1285" s="22"/>
      <c r="M1285" s="22"/>
      <c r="N1285" s="22" t="s">
        <v>1235</v>
      </c>
      <c r="O1285" s="22" t="s">
        <v>1235</v>
      </c>
      <c r="P1285" s="22"/>
      <c r="Q1285" s="22" t="s">
        <v>2041</v>
      </c>
      <c r="R1285" s="22"/>
      <c r="S1285" s="22"/>
      <c r="T1285" s="22" t="s">
        <v>2714</v>
      </c>
      <c r="U1285" s="116" t="s">
        <v>3028</v>
      </c>
      <c r="V1285" s="22" t="s">
        <v>109</v>
      </c>
      <c r="W1285" s="22" t="s">
        <v>1</v>
      </c>
      <c r="X1285" s="22"/>
      <c r="Z1285" s="22"/>
      <c r="AA1285" s="22"/>
      <c r="AB1285" s="22"/>
      <c r="AC1285" s="22" t="s">
        <v>1236</v>
      </c>
      <c r="AD1285" s="22"/>
      <c r="AE1285" s="24"/>
      <c r="AF1285" s="24" t="s">
        <v>2042</v>
      </c>
      <c r="AG1285" s="22"/>
      <c r="AH1285" s="25" t="s">
        <v>1246</v>
      </c>
      <c r="AI1285" s="25" t="s">
        <v>1247</v>
      </c>
      <c r="AK1285" s="40" t="s">
        <v>1248</v>
      </c>
      <c r="AL1285" s="40"/>
      <c r="AX1285" s="27"/>
      <c r="AY1285" s="27"/>
      <c r="BK1285" s="27"/>
      <c r="BL1285" s="27"/>
      <c r="BX1285" s="27"/>
      <c r="BY1285" s="27"/>
      <c r="CH1285" s="29"/>
    </row>
    <row r="1286" spans="1:86" x14ac:dyDescent="0.2">
      <c r="A1286" s="18">
        <v>10064</v>
      </c>
      <c r="B1286" s="19">
        <v>14</v>
      </c>
      <c r="C1286" s="19">
        <f t="shared" si="86"/>
        <v>100640014</v>
      </c>
      <c r="D1286" s="23" t="s">
        <v>1233</v>
      </c>
      <c r="E1286" s="20" t="s">
        <v>1234</v>
      </c>
      <c r="I1286" s="22" t="s">
        <v>206</v>
      </c>
      <c r="J1286" s="22"/>
      <c r="K1286" s="22"/>
      <c r="L1286" s="22"/>
      <c r="M1286" s="22"/>
      <c r="N1286" s="22" t="s">
        <v>1235</v>
      </c>
      <c r="O1286" s="22" t="s">
        <v>1235</v>
      </c>
      <c r="P1286" s="22"/>
      <c r="Q1286" s="22" t="s">
        <v>2041</v>
      </c>
      <c r="R1286" s="22"/>
      <c r="S1286" s="22"/>
      <c r="T1286" s="22" t="s">
        <v>2714</v>
      </c>
      <c r="U1286" s="116" t="s">
        <v>3029</v>
      </c>
      <c r="V1286" s="22" t="s">
        <v>109</v>
      </c>
      <c r="W1286" s="22" t="s">
        <v>1</v>
      </c>
      <c r="X1286" s="22"/>
      <c r="Z1286" s="22"/>
      <c r="AA1286" s="22"/>
      <c r="AB1286" s="22"/>
      <c r="AC1286" s="22" t="s">
        <v>1236</v>
      </c>
      <c r="AD1286" s="22"/>
      <c r="AE1286" s="24"/>
      <c r="AF1286" s="24" t="s">
        <v>2042</v>
      </c>
      <c r="AG1286" s="22"/>
      <c r="AH1286" s="25" t="s">
        <v>1249</v>
      </c>
      <c r="AI1286" s="25" t="s">
        <v>1231</v>
      </c>
      <c r="AK1286" s="40" t="s">
        <v>1232</v>
      </c>
      <c r="AL1286" s="40"/>
      <c r="AX1286" s="27"/>
      <c r="AY1286" s="27"/>
      <c r="BK1286" s="27"/>
      <c r="BL1286" s="27"/>
      <c r="BX1286" s="27"/>
      <c r="BY1286" s="27"/>
      <c r="CH1286" s="29"/>
    </row>
    <row r="1287" spans="1:86" x14ac:dyDescent="0.2">
      <c r="A1287" s="18">
        <v>10065</v>
      </c>
      <c r="B1287" s="19">
        <v>10</v>
      </c>
      <c r="C1287" s="19">
        <f t="shared" si="86"/>
        <v>100650010</v>
      </c>
      <c r="D1287" s="23" t="s">
        <v>1250</v>
      </c>
      <c r="E1287" s="20" t="s">
        <v>1234</v>
      </c>
      <c r="I1287" s="22" t="s">
        <v>206</v>
      </c>
      <c r="J1287" s="22"/>
      <c r="K1287" s="22"/>
      <c r="L1287" s="22"/>
      <c r="M1287" s="22"/>
      <c r="N1287" s="22" t="s">
        <v>1235</v>
      </c>
      <c r="O1287" s="22" t="s">
        <v>1235</v>
      </c>
      <c r="P1287" s="22"/>
      <c r="Q1287" s="22" t="s">
        <v>2041</v>
      </c>
      <c r="R1287" s="22"/>
      <c r="S1287" s="22"/>
      <c r="T1287" s="22" t="s">
        <v>2714</v>
      </c>
      <c r="U1287" s="116" t="s">
        <v>3030</v>
      </c>
      <c r="V1287" s="22" t="s">
        <v>109</v>
      </c>
      <c r="W1287" s="22" t="s">
        <v>1</v>
      </c>
      <c r="X1287" s="22"/>
      <c r="Z1287" s="22"/>
      <c r="AA1287" s="22"/>
      <c r="AB1287" s="22"/>
      <c r="AC1287" s="22" t="s">
        <v>1251</v>
      </c>
      <c r="AD1287" s="22"/>
      <c r="AE1287" s="24"/>
      <c r="AF1287" s="24" t="s">
        <v>2042</v>
      </c>
      <c r="AG1287" s="22"/>
      <c r="AH1287" s="25" t="s">
        <v>1252</v>
      </c>
      <c r="AI1287" s="25" t="s">
        <v>1238</v>
      </c>
      <c r="AK1287" s="40" t="s">
        <v>1239</v>
      </c>
      <c r="AL1287" s="40"/>
      <c r="AX1287" s="27"/>
      <c r="AY1287" s="27"/>
      <c r="BK1287" s="27"/>
      <c r="BL1287" s="27"/>
      <c r="BX1287" s="27"/>
      <c r="BY1287" s="27"/>
      <c r="CH1287" s="29"/>
    </row>
    <row r="1288" spans="1:86" x14ac:dyDescent="0.2">
      <c r="A1288" s="18">
        <v>10065</v>
      </c>
      <c r="B1288" s="19">
        <v>11</v>
      </c>
      <c r="C1288" s="19">
        <f t="shared" si="86"/>
        <v>100650011</v>
      </c>
      <c r="D1288" s="23" t="s">
        <v>1250</v>
      </c>
      <c r="E1288" s="20" t="s">
        <v>1234</v>
      </c>
      <c r="I1288" s="22" t="s">
        <v>206</v>
      </c>
      <c r="J1288" s="22"/>
      <c r="K1288" s="22"/>
      <c r="L1288" s="22"/>
      <c r="M1288" s="22"/>
      <c r="N1288" s="22" t="s">
        <v>1235</v>
      </c>
      <c r="O1288" s="22" t="s">
        <v>1235</v>
      </c>
      <c r="P1288" s="22"/>
      <c r="Q1288" s="22" t="s">
        <v>2041</v>
      </c>
      <c r="R1288" s="22"/>
      <c r="S1288" s="22"/>
      <c r="T1288" s="22" t="s">
        <v>2714</v>
      </c>
      <c r="U1288" s="116" t="s">
        <v>3031</v>
      </c>
      <c r="V1288" s="22" t="s">
        <v>109</v>
      </c>
      <c r="W1288" s="22" t="s">
        <v>1</v>
      </c>
      <c r="X1288" s="22"/>
      <c r="Z1288" s="22"/>
      <c r="AA1288" s="22"/>
      <c r="AB1288" s="22"/>
      <c r="AC1288" s="22" t="s">
        <v>1251</v>
      </c>
      <c r="AD1288" s="22"/>
      <c r="AE1288" s="24"/>
      <c r="AF1288" s="24" t="s">
        <v>2042</v>
      </c>
      <c r="AG1288" s="22"/>
      <c r="AH1288" s="25" t="s">
        <v>1253</v>
      </c>
      <c r="AI1288" s="25" t="s">
        <v>1241</v>
      </c>
      <c r="AK1288" s="40" t="s">
        <v>1242</v>
      </c>
      <c r="AL1288" s="40"/>
      <c r="AX1288" s="27"/>
      <c r="AY1288" s="27"/>
      <c r="BK1288" s="27"/>
      <c r="BL1288" s="27"/>
      <c r="BX1288" s="27"/>
      <c r="BY1288" s="27"/>
      <c r="CH1288" s="29"/>
    </row>
    <row r="1289" spans="1:86" x14ac:dyDescent="0.2">
      <c r="A1289" s="18">
        <v>10065</v>
      </c>
      <c r="B1289" s="19">
        <v>12</v>
      </c>
      <c r="C1289" s="19">
        <f t="shared" si="86"/>
        <v>100650012</v>
      </c>
      <c r="D1289" s="23" t="s">
        <v>1250</v>
      </c>
      <c r="E1289" s="20" t="s">
        <v>1234</v>
      </c>
      <c r="I1289" s="22" t="s">
        <v>206</v>
      </c>
      <c r="J1289" s="22"/>
      <c r="K1289" s="22"/>
      <c r="L1289" s="22"/>
      <c r="M1289" s="22"/>
      <c r="N1289" s="22" t="s">
        <v>1235</v>
      </c>
      <c r="O1289" s="22" t="s">
        <v>1235</v>
      </c>
      <c r="P1289" s="22"/>
      <c r="Q1289" s="22" t="s">
        <v>2041</v>
      </c>
      <c r="R1289" s="22"/>
      <c r="S1289" s="22"/>
      <c r="T1289" s="22" t="s">
        <v>2714</v>
      </c>
      <c r="U1289" s="116" t="s">
        <v>3032</v>
      </c>
      <c r="V1289" s="22" t="s">
        <v>109</v>
      </c>
      <c r="W1289" s="22" t="s">
        <v>1</v>
      </c>
      <c r="X1289" s="22"/>
      <c r="Z1289" s="22"/>
      <c r="AA1289" s="22"/>
      <c r="AB1289" s="22"/>
      <c r="AC1289" s="22" t="s">
        <v>1251</v>
      </c>
      <c r="AD1289" s="22"/>
      <c r="AE1289" s="24"/>
      <c r="AF1289" s="24" t="s">
        <v>2042</v>
      </c>
      <c r="AG1289" s="22"/>
      <c r="AH1289" s="25" t="s">
        <v>1254</v>
      </c>
      <c r="AI1289" s="25" t="s">
        <v>1244</v>
      </c>
      <c r="AK1289" s="40" t="s">
        <v>1245</v>
      </c>
      <c r="AL1289" s="40"/>
      <c r="AX1289" s="27"/>
      <c r="AY1289" s="27"/>
      <c r="BK1289" s="27"/>
      <c r="BL1289" s="27"/>
      <c r="BX1289" s="27"/>
      <c r="BY1289" s="27"/>
      <c r="CH1289" s="29"/>
    </row>
    <row r="1290" spans="1:86" x14ac:dyDescent="0.2">
      <c r="A1290" s="18">
        <v>10065</v>
      </c>
      <c r="B1290" s="19">
        <v>13</v>
      </c>
      <c r="C1290" s="19">
        <f t="shared" si="86"/>
        <v>100650013</v>
      </c>
      <c r="D1290" s="23" t="s">
        <v>1250</v>
      </c>
      <c r="E1290" s="20" t="s">
        <v>1234</v>
      </c>
      <c r="I1290" s="22" t="s">
        <v>206</v>
      </c>
      <c r="J1290" s="22"/>
      <c r="K1290" s="22"/>
      <c r="L1290" s="22"/>
      <c r="M1290" s="22"/>
      <c r="N1290" s="22" t="s">
        <v>1235</v>
      </c>
      <c r="O1290" s="22" t="s">
        <v>1235</v>
      </c>
      <c r="P1290" s="22"/>
      <c r="Q1290" s="22" t="s">
        <v>2041</v>
      </c>
      <c r="R1290" s="22"/>
      <c r="S1290" s="22"/>
      <c r="T1290" s="22" t="s">
        <v>2714</v>
      </c>
      <c r="U1290" s="116" t="s">
        <v>3033</v>
      </c>
      <c r="V1290" s="22" t="s">
        <v>109</v>
      </c>
      <c r="W1290" s="22" t="s">
        <v>1</v>
      </c>
      <c r="X1290" s="22"/>
      <c r="Z1290" s="22"/>
      <c r="AA1290" s="22"/>
      <c r="AB1290" s="22"/>
      <c r="AC1290" s="22" t="s">
        <v>1251</v>
      </c>
      <c r="AD1290" s="22"/>
      <c r="AE1290" s="24"/>
      <c r="AF1290" s="24" t="s">
        <v>2042</v>
      </c>
      <c r="AG1290" s="22"/>
      <c r="AH1290" s="25" t="s">
        <v>1255</v>
      </c>
      <c r="AI1290" s="25" t="s">
        <v>1247</v>
      </c>
      <c r="AK1290" s="40" t="s">
        <v>1248</v>
      </c>
      <c r="AL1290" s="40"/>
      <c r="AX1290" s="27"/>
      <c r="AY1290" s="27"/>
      <c r="BK1290" s="27"/>
      <c r="BL1290" s="27"/>
      <c r="BX1290" s="27"/>
      <c r="BY1290" s="27"/>
      <c r="CH1290" s="29"/>
    </row>
    <row r="1291" spans="1:86" x14ac:dyDescent="0.2">
      <c r="A1291" s="18">
        <v>10065</v>
      </c>
      <c r="B1291" s="19">
        <v>14</v>
      </c>
      <c r="C1291" s="19">
        <f t="shared" si="86"/>
        <v>100650014</v>
      </c>
      <c r="D1291" s="23" t="s">
        <v>1250</v>
      </c>
      <c r="E1291" s="20" t="s">
        <v>1234</v>
      </c>
      <c r="I1291" s="22" t="s">
        <v>206</v>
      </c>
      <c r="J1291" s="22"/>
      <c r="K1291" s="22"/>
      <c r="L1291" s="22"/>
      <c r="M1291" s="22"/>
      <c r="N1291" s="22" t="s">
        <v>1235</v>
      </c>
      <c r="O1291" s="22" t="s">
        <v>1235</v>
      </c>
      <c r="P1291" s="22"/>
      <c r="Q1291" s="22" t="s">
        <v>2041</v>
      </c>
      <c r="R1291" s="22"/>
      <c r="S1291" s="22"/>
      <c r="T1291" s="22" t="s">
        <v>2714</v>
      </c>
      <c r="U1291" s="116" t="s">
        <v>3034</v>
      </c>
      <c r="V1291" s="22" t="s">
        <v>109</v>
      </c>
      <c r="W1291" s="22" t="s">
        <v>1</v>
      </c>
      <c r="X1291" s="22"/>
      <c r="Z1291" s="22"/>
      <c r="AA1291" s="22"/>
      <c r="AB1291" s="22"/>
      <c r="AC1291" s="22" t="s">
        <v>1251</v>
      </c>
      <c r="AD1291" s="22"/>
      <c r="AE1291" s="24"/>
      <c r="AF1291" s="24" t="s">
        <v>2042</v>
      </c>
      <c r="AG1291" s="22"/>
      <c r="AH1291" s="25" t="s">
        <v>1256</v>
      </c>
      <c r="AI1291" s="25" t="s">
        <v>1231</v>
      </c>
      <c r="AK1291" s="40" t="s">
        <v>1232</v>
      </c>
      <c r="AL1291" s="40"/>
      <c r="AX1291" s="27"/>
      <c r="AY1291" s="27"/>
      <c r="BK1291" s="27"/>
      <c r="BL1291" s="27"/>
      <c r="BX1291" s="27"/>
      <c r="BY1291" s="27"/>
      <c r="CH1291" s="29"/>
    </row>
    <row r="1292" spans="1:86" x14ac:dyDescent="0.2">
      <c r="A1292" s="18">
        <v>10066</v>
      </c>
      <c r="B1292" s="19">
        <v>10</v>
      </c>
      <c r="C1292" s="19">
        <f t="shared" si="86"/>
        <v>100660010</v>
      </c>
      <c r="D1292" s="23" t="s">
        <v>1351</v>
      </c>
      <c r="E1292" s="20" t="s">
        <v>1234</v>
      </c>
      <c r="I1292" s="21" t="s">
        <v>206</v>
      </c>
      <c r="J1292" s="21"/>
      <c r="K1292" s="21"/>
      <c r="L1292" s="21"/>
      <c r="M1292" s="21"/>
      <c r="N1292" s="21" t="s">
        <v>1235</v>
      </c>
      <c r="O1292" s="21" t="s">
        <v>1235</v>
      </c>
      <c r="P1292" s="114"/>
      <c r="Q1292" s="114" t="s">
        <v>2041</v>
      </c>
      <c r="R1292" s="114"/>
      <c r="S1292" s="114"/>
      <c r="T1292" s="114" t="s">
        <v>2714</v>
      </c>
      <c r="U1292" s="117" t="s">
        <v>3035</v>
      </c>
      <c r="V1292" s="21" t="s">
        <v>109</v>
      </c>
      <c r="W1292" s="21" t="s">
        <v>1</v>
      </c>
      <c r="X1292" s="21"/>
      <c r="Z1292" s="21"/>
      <c r="AA1292" s="21"/>
      <c r="AB1292" s="21"/>
      <c r="AC1292" s="21">
        <v>66</v>
      </c>
      <c r="AD1292" s="21"/>
      <c r="AE1292" s="39"/>
      <c r="AF1292" s="39" t="s">
        <v>2042</v>
      </c>
      <c r="AG1292" s="21"/>
      <c r="AH1292" s="25">
        <v>101661</v>
      </c>
      <c r="AI1292" s="25" t="s">
        <v>1238</v>
      </c>
      <c r="AK1292" s="27" t="s">
        <v>1239</v>
      </c>
      <c r="AL1292" s="27"/>
      <c r="AX1292" s="27"/>
      <c r="AY1292" s="27"/>
      <c r="BK1292" s="27"/>
      <c r="BL1292" s="27"/>
      <c r="BX1292" s="27"/>
      <c r="BY1292" s="27"/>
      <c r="CH1292" s="29"/>
    </row>
    <row r="1293" spans="1:86" x14ac:dyDescent="0.2">
      <c r="A1293" s="18">
        <v>10066</v>
      </c>
      <c r="B1293" s="19">
        <v>11</v>
      </c>
      <c r="C1293" s="19">
        <f t="shared" si="86"/>
        <v>100660011</v>
      </c>
      <c r="D1293" s="23" t="s">
        <v>1351</v>
      </c>
      <c r="E1293" s="20" t="s">
        <v>1234</v>
      </c>
      <c r="I1293" s="21" t="s">
        <v>206</v>
      </c>
      <c r="J1293" s="21"/>
      <c r="K1293" s="21"/>
      <c r="L1293" s="21"/>
      <c r="M1293" s="21"/>
      <c r="N1293" s="21" t="s">
        <v>1235</v>
      </c>
      <c r="O1293" s="21" t="s">
        <v>1235</v>
      </c>
      <c r="P1293" s="114"/>
      <c r="Q1293" s="114" t="s">
        <v>2041</v>
      </c>
      <c r="R1293" s="114"/>
      <c r="S1293" s="114"/>
      <c r="T1293" s="114" t="s">
        <v>2714</v>
      </c>
      <c r="U1293" s="117" t="s">
        <v>3036</v>
      </c>
      <c r="V1293" s="21" t="s">
        <v>109</v>
      </c>
      <c r="W1293" s="21" t="s">
        <v>1</v>
      </c>
      <c r="X1293" s="21"/>
      <c r="Z1293" s="21"/>
      <c r="AA1293" s="21"/>
      <c r="AB1293" s="21"/>
      <c r="AC1293" s="21">
        <v>66</v>
      </c>
      <c r="AD1293" s="21"/>
      <c r="AE1293" s="39"/>
      <c r="AF1293" s="39" t="s">
        <v>2042</v>
      </c>
      <c r="AG1293" s="21"/>
      <c r="AH1293" s="25">
        <v>101662</v>
      </c>
      <c r="AI1293" s="25" t="s">
        <v>1241</v>
      </c>
      <c r="AK1293" s="27" t="s">
        <v>1242</v>
      </c>
      <c r="AL1293" s="27"/>
      <c r="AX1293" s="27"/>
      <c r="AY1293" s="27"/>
      <c r="BK1293" s="27"/>
      <c r="BL1293" s="27"/>
      <c r="BX1293" s="27"/>
      <c r="BY1293" s="27"/>
      <c r="CH1293" s="29"/>
    </row>
    <row r="1294" spans="1:86" x14ac:dyDescent="0.2">
      <c r="A1294" s="18">
        <v>10066</v>
      </c>
      <c r="B1294" s="19">
        <v>12</v>
      </c>
      <c r="C1294" s="19">
        <f t="shared" si="86"/>
        <v>100660012</v>
      </c>
      <c r="D1294" s="23" t="s">
        <v>1351</v>
      </c>
      <c r="E1294" s="20" t="s">
        <v>1234</v>
      </c>
      <c r="I1294" s="21" t="s">
        <v>206</v>
      </c>
      <c r="J1294" s="21"/>
      <c r="K1294" s="21"/>
      <c r="L1294" s="21"/>
      <c r="M1294" s="21"/>
      <c r="N1294" s="21" t="s">
        <v>1235</v>
      </c>
      <c r="O1294" s="21" t="s">
        <v>1235</v>
      </c>
      <c r="P1294" s="114"/>
      <c r="Q1294" s="114" t="s">
        <v>2041</v>
      </c>
      <c r="R1294" s="114"/>
      <c r="S1294" s="114"/>
      <c r="T1294" s="114" t="s">
        <v>2714</v>
      </c>
      <c r="U1294" s="117" t="s">
        <v>3037</v>
      </c>
      <c r="V1294" s="21" t="s">
        <v>109</v>
      </c>
      <c r="W1294" s="21" t="s">
        <v>1</v>
      </c>
      <c r="X1294" s="21"/>
      <c r="Z1294" s="21"/>
      <c r="AA1294" s="21"/>
      <c r="AB1294" s="21"/>
      <c r="AC1294" s="21">
        <v>66</v>
      </c>
      <c r="AD1294" s="21"/>
      <c r="AE1294" s="39"/>
      <c r="AF1294" s="39" t="s">
        <v>2042</v>
      </c>
      <c r="AG1294" s="21"/>
      <c r="AH1294" s="25">
        <v>101663</v>
      </c>
      <c r="AI1294" s="25" t="s">
        <v>1244</v>
      </c>
      <c r="AK1294" s="27" t="s">
        <v>1245</v>
      </c>
      <c r="AL1294" s="27"/>
      <c r="AX1294" s="27"/>
      <c r="AY1294" s="27"/>
      <c r="BK1294" s="27"/>
      <c r="BL1294" s="27"/>
      <c r="BX1294" s="27"/>
      <c r="BY1294" s="27"/>
      <c r="CH1294" s="29"/>
    </row>
    <row r="1295" spans="1:86" x14ac:dyDescent="0.2">
      <c r="A1295" s="18">
        <v>10066</v>
      </c>
      <c r="B1295" s="19">
        <v>13</v>
      </c>
      <c r="C1295" s="19">
        <f t="shared" si="86"/>
        <v>100660013</v>
      </c>
      <c r="D1295" s="23" t="s">
        <v>1351</v>
      </c>
      <c r="E1295" s="20" t="s">
        <v>1234</v>
      </c>
      <c r="I1295" s="21" t="s">
        <v>206</v>
      </c>
      <c r="J1295" s="21"/>
      <c r="K1295" s="21"/>
      <c r="L1295" s="21"/>
      <c r="M1295" s="21"/>
      <c r="N1295" s="21" t="s">
        <v>1235</v>
      </c>
      <c r="O1295" s="21" t="s">
        <v>1235</v>
      </c>
      <c r="P1295" s="114"/>
      <c r="Q1295" s="114" t="s">
        <v>2041</v>
      </c>
      <c r="R1295" s="114"/>
      <c r="S1295" s="114"/>
      <c r="T1295" s="114" t="s">
        <v>2714</v>
      </c>
      <c r="U1295" s="117" t="s">
        <v>3038</v>
      </c>
      <c r="V1295" s="21" t="s">
        <v>109</v>
      </c>
      <c r="W1295" s="21" t="s">
        <v>1</v>
      </c>
      <c r="X1295" s="21"/>
      <c r="Z1295" s="21"/>
      <c r="AA1295" s="21"/>
      <c r="AB1295" s="21"/>
      <c r="AC1295" s="21">
        <v>66</v>
      </c>
      <c r="AD1295" s="21"/>
      <c r="AE1295" s="39"/>
      <c r="AF1295" s="39" t="s">
        <v>2042</v>
      </c>
      <c r="AG1295" s="21"/>
      <c r="AH1295" s="25">
        <v>101664</v>
      </c>
      <c r="AI1295" s="25" t="s">
        <v>1247</v>
      </c>
      <c r="AK1295" s="27" t="s">
        <v>1248</v>
      </c>
      <c r="AL1295" s="27"/>
      <c r="AX1295" s="27"/>
      <c r="AY1295" s="27"/>
      <c r="BK1295" s="27"/>
      <c r="BL1295" s="27"/>
      <c r="BX1295" s="27"/>
      <c r="BY1295" s="27"/>
      <c r="CH1295" s="29"/>
    </row>
    <row r="1296" spans="1:86" x14ac:dyDescent="0.2">
      <c r="A1296" s="18">
        <v>10066</v>
      </c>
      <c r="B1296" s="19">
        <v>14</v>
      </c>
      <c r="C1296" s="19">
        <f t="shared" si="86"/>
        <v>100660014</v>
      </c>
      <c r="D1296" s="23" t="s">
        <v>1351</v>
      </c>
      <c r="E1296" s="20" t="s">
        <v>1234</v>
      </c>
      <c r="I1296" s="21" t="s">
        <v>206</v>
      </c>
      <c r="J1296" s="21"/>
      <c r="K1296" s="21"/>
      <c r="L1296" s="21"/>
      <c r="M1296" s="21"/>
      <c r="N1296" s="21" t="s">
        <v>1235</v>
      </c>
      <c r="O1296" s="21" t="s">
        <v>1235</v>
      </c>
      <c r="P1296" s="114"/>
      <c r="Q1296" s="114" t="s">
        <v>2041</v>
      </c>
      <c r="R1296" s="114"/>
      <c r="S1296" s="114"/>
      <c r="T1296" s="114" t="s">
        <v>2714</v>
      </c>
      <c r="U1296" s="117" t="s">
        <v>3039</v>
      </c>
      <c r="V1296" s="21" t="s">
        <v>109</v>
      </c>
      <c r="W1296" s="21" t="s">
        <v>1</v>
      </c>
      <c r="X1296" s="21"/>
      <c r="Z1296" s="21"/>
      <c r="AA1296" s="21"/>
      <c r="AB1296" s="21"/>
      <c r="AC1296" s="21">
        <v>66</v>
      </c>
      <c r="AD1296" s="21"/>
      <c r="AE1296" s="39"/>
      <c r="AF1296" s="39" t="s">
        <v>2042</v>
      </c>
      <c r="AG1296" s="21"/>
      <c r="AH1296" s="25">
        <v>101665</v>
      </c>
      <c r="AI1296" s="25" t="s">
        <v>1231</v>
      </c>
      <c r="AK1296" s="27" t="s">
        <v>1232</v>
      </c>
      <c r="AL1296" s="27"/>
      <c r="AX1296" s="27"/>
      <c r="AY1296" s="27"/>
      <c r="BK1296" s="27"/>
      <c r="BL1296" s="27"/>
      <c r="BX1296" s="27"/>
      <c r="BY1296" s="27"/>
      <c r="CH1296" s="29"/>
    </row>
    <row r="1297" spans="1:107" x14ac:dyDescent="0.2">
      <c r="A1297" s="18">
        <v>10067</v>
      </c>
      <c r="B1297" s="19">
        <v>10</v>
      </c>
      <c r="C1297" s="19">
        <f t="shared" si="86"/>
        <v>100670010</v>
      </c>
      <c r="D1297" s="23" t="s">
        <v>1348</v>
      </c>
      <c r="E1297" s="20" t="s">
        <v>640</v>
      </c>
      <c r="I1297" s="21" t="s">
        <v>206</v>
      </c>
      <c r="J1297" s="21"/>
      <c r="K1297" s="21"/>
      <c r="L1297" s="21"/>
      <c r="M1297" s="21"/>
      <c r="N1297" s="21" t="s">
        <v>163</v>
      </c>
      <c r="O1297" s="21" t="s">
        <v>163</v>
      </c>
      <c r="P1297" s="114"/>
      <c r="Q1297" s="114" t="s">
        <v>2041</v>
      </c>
      <c r="R1297" s="114"/>
      <c r="S1297" s="114"/>
      <c r="T1297" s="114" t="s">
        <v>2714</v>
      </c>
      <c r="U1297" s="117" t="s">
        <v>3040</v>
      </c>
      <c r="V1297" s="21" t="s">
        <v>109</v>
      </c>
      <c r="W1297" s="21" t="s">
        <v>1</v>
      </c>
      <c r="X1297" s="21"/>
      <c r="Z1297" s="21"/>
      <c r="AA1297" s="21"/>
      <c r="AB1297" s="21"/>
      <c r="AC1297" s="21">
        <v>67</v>
      </c>
      <c r="AD1297" s="21"/>
      <c r="AE1297" s="39"/>
      <c r="AF1297" s="39" t="s">
        <v>2042</v>
      </c>
      <c r="AG1297" s="21"/>
      <c r="AH1297" s="25">
        <v>101671</v>
      </c>
      <c r="AI1297" s="25" t="s">
        <v>176</v>
      </c>
      <c r="AK1297" s="27" t="s">
        <v>635</v>
      </c>
      <c r="AL1297" s="27"/>
      <c r="AX1297" s="27"/>
      <c r="AY1297" s="27"/>
      <c r="BK1297" s="27"/>
      <c r="BL1297" s="27"/>
      <c r="BX1297" s="27"/>
      <c r="BY1297" s="27"/>
      <c r="CH1297" s="29"/>
    </row>
    <row r="1298" spans="1:107" x14ac:dyDescent="0.2">
      <c r="A1298" s="18">
        <v>10067</v>
      </c>
      <c r="B1298" s="19">
        <v>11</v>
      </c>
      <c r="C1298" s="19">
        <f t="shared" si="86"/>
        <v>100670011</v>
      </c>
      <c r="D1298" s="23" t="s">
        <v>1348</v>
      </c>
      <c r="E1298" s="20" t="s">
        <v>640</v>
      </c>
      <c r="I1298" s="21" t="s">
        <v>206</v>
      </c>
      <c r="J1298" s="21"/>
      <c r="K1298" s="21"/>
      <c r="L1298" s="21"/>
      <c r="M1298" s="21"/>
      <c r="N1298" s="21" t="s">
        <v>163</v>
      </c>
      <c r="O1298" s="21" t="s">
        <v>163</v>
      </c>
      <c r="P1298" s="114"/>
      <c r="Q1298" s="114" t="s">
        <v>2041</v>
      </c>
      <c r="R1298" s="114"/>
      <c r="S1298" s="114"/>
      <c r="T1298" s="114" t="s">
        <v>2714</v>
      </c>
      <c r="U1298" s="117" t="s">
        <v>3041</v>
      </c>
      <c r="V1298" s="21" t="s">
        <v>109</v>
      </c>
      <c r="W1298" s="21" t="s">
        <v>1</v>
      </c>
      <c r="X1298" s="21"/>
      <c r="Z1298" s="21"/>
      <c r="AA1298" s="21"/>
      <c r="AB1298" s="21"/>
      <c r="AC1298" s="21">
        <v>67</v>
      </c>
      <c r="AD1298" s="21"/>
      <c r="AE1298" s="39"/>
      <c r="AF1298" s="39" t="s">
        <v>2042</v>
      </c>
      <c r="AG1298" s="21"/>
      <c r="AH1298" s="25">
        <v>101672</v>
      </c>
      <c r="AI1298" s="25" t="s">
        <v>260</v>
      </c>
      <c r="AK1298" s="27" t="s">
        <v>636</v>
      </c>
      <c r="AL1298" s="27"/>
      <c r="AX1298" s="27"/>
      <c r="AY1298" s="27"/>
      <c r="BK1298" s="27"/>
      <c r="BL1298" s="27"/>
      <c r="BX1298" s="27"/>
      <c r="BY1298" s="27"/>
      <c r="CH1298" s="29"/>
    </row>
    <row r="1299" spans="1:107" x14ac:dyDescent="0.2">
      <c r="A1299" s="18">
        <v>10067</v>
      </c>
      <c r="B1299" s="19">
        <v>12</v>
      </c>
      <c r="C1299" s="19">
        <f t="shared" si="86"/>
        <v>100670012</v>
      </c>
      <c r="D1299" s="23" t="s">
        <v>1348</v>
      </c>
      <c r="E1299" s="20" t="s">
        <v>640</v>
      </c>
      <c r="I1299" s="21" t="s">
        <v>206</v>
      </c>
      <c r="J1299" s="21"/>
      <c r="K1299" s="21"/>
      <c r="L1299" s="21"/>
      <c r="M1299" s="21"/>
      <c r="N1299" s="21" t="s">
        <v>163</v>
      </c>
      <c r="O1299" s="21" t="s">
        <v>163</v>
      </c>
      <c r="P1299" s="114"/>
      <c r="Q1299" s="114" t="s">
        <v>2041</v>
      </c>
      <c r="R1299" s="114"/>
      <c r="S1299" s="114"/>
      <c r="T1299" s="114" t="s">
        <v>2714</v>
      </c>
      <c r="U1299" s="117" t="s">
        <v>3042</v>
      </c>
      <c r="V1299" s="21" t="s">
        <v>109</v>
      </c>
      <c r="W1299" s="21" t="s">
        <v>1</v>
      </c>
      <c r="X1299" s="21"/>
      <c r="Z1299" s="21"/>
      <c r="AA1299" s="21"/>
      <c r="AB1299" s="21"/>
      <c r="AC1299" s="21">
        <v>67</v>
      </c>
      <c r="AD1299" s="21"/>
      <c r="AE1299" s="39"/>
      <c r="AF1299" s="39" t="s">
        <v>2042</v>
      </c>
      <c r="AG1299" s="21"/>
      <c r="AH1299" s="25">
        <v>101673</v>
      </c>
      <c r="AI1299" s="25" t="s">
        <v>264</v>
      </c>
      <c r="AK1299" s="27" t="s">
        <v>637</v>
      </c>
      <c r="AL1299" s="27"/>
      <c r="AX1299" s="27"/>
      <c r="AY1299" s="27"/>
      <c r="BK1299" s="27"/>
      <c r="BL1299" s="27"/>
      <c r="BX1299" s="27"/>
      <c r="BY1299" s="27"/>
      <c r="CH1299" s="29"/>
    </row>
    <row r="1300" spans="1:107" x14ac:dyDescent="0.2">
      <c r="A1300" s="18">
        <v>10067</v>
      </c>
      <c r="B1300" s="19">
        <v>13</v>
      </c>
      <c r="C1300" s="19">
        <f t="shared" si="86"/>
        <v>100670013</v>
      </c>
      <c r="D1300" s="23" t="s">
        <v>1348</v>
      </c>
      <c r="E1300" s="20" t="s">
        <v>640</v>
      </c>
      <c r="I1300" s="21" t="s">
        <v>206</v>
      </c>
      <c r="J1300" s="21"/>
      <c r="K1300" s="21"/>
      <c r="L1300" s="21"/>
      <c r="M1300" s="21"/>
      <c r="N1300" s="21" t="s">
        <v>163</v>
      </c>
      <c r="O1300" s="21" t="s">
        <v>163</v>
      </c>
      <c r="P1300" s="114"/>
      <c r="Q1300" s="114" t="s">
        <v>2041</v>
      </c>
      <c r="R1300" s="114"/>
      <c r="S1300" s="114"/>
      <c r="T1300" s="114" t="s">
        <v>2714</v>
      </c>
      <c r="U1300" s="117" t="s">
        <v>3043</v>
      </c>
      <c r="V1300" s="21" t="s">
        <v>109</v>
      </c>
      <c r="W1300" s="21" t="s">
        <v>1</v>
      </c>
      <c r="X1300" s="21"/>
      <c r="Z1300" s="21"/>
      <c r="AA1300" s="21"/>
      <c r="AB1300" s="21"/>
      <c r="AC1300" s="21">
        <v>67</v>
      </c>
      <c r="AD1300" s="21"/>
      <c r="AE1300" s="39"/>
      <c r="AF1300" s="39" t="s">
        <v>2042</v>
      </c>
      <c r="AG1300" s="21"/>
      <c r="AH1300" s="25">
        <v>101674</v>
      </c>
      <c r="AI1300" s="25" t="s">
        <v>265</v>
      </c>
      <c r="AK1300" s="27" t="s">
        <v>638</v>
      </c>
      <c r="AL1300" s="27"/>
      <c r="AX1300" s="27"/>
      <c r="AY1300" s="27"/>
      <c r="BK1300" s="27"/>
      <c r="BL1300" s="27"/>
      <c r="BX1300" s="27"/>
      <c r="BY1300" s="27"/>
      <c r="CH1300" s="29"/>
    </row>
    <row r="1301" spans="1:107" x14ac:dyDescent="0.2">
      <c r="A1301" s="18">
        <v>10067</v>
      </c>
      <c r="B1301" s="19">
        <v>14</v>
      </c>
      <c r="C1301" s="19">
        <f t="shared" si="86"/>
        <v>100670014</v>
      </c>
      <c r="D1301" s="23" t="s">
        <v>1348</v>
      </c>
      <c r="E1301" s="20" t="s">
        <v>640</v>
      </c>
      <c r="I1301" s="21" t="s">
        <v>206</v>
      </c>
      <c r="J1301" s="21"/>
      <c r="K1301" s="21"/>
      <c r="L1301" s="21"/>
      <c r="M1301" s="21"/>
      <c r="N1301" s="21" t="s">
        <v>163</v>
      </c>
      <c r="O1301" s="21" t="s">
        <v>163</v>
      </c>
      <c r="P1301" s="114"/>
      <c r="Q1301" s="114" t="s">
        <v>2041</v>
      </c>
      <c r="R1301" s="114"/>
      <c r="S1301" s="114"/>
      <c r="T1301" s="114" t="s">
        <v>2714</v>
      </c>
      <c r="U1301" s="117" t="s">
        <v>3044</v>
      </c>
      <c r="V1301" s="21" t="s">
        <v>109</v>
      </c>
      <c r="W1301" s="21" t="s">
        <v>1</v>
      </c>
      <c r="X1301" s="21"/>
      <c r="Z1301" s="21"/>
      <c r="AA1301" s="21"/>
      <c r="AB1301" s="21"/>
      <c r="AC1301" s="21">
        <v>67</v>
      </c>
      <c r="AD1301" s="21"/>
      <c r="AE1301" s="39"/>
      <c r="AF1301" s="39" t="s">
        <v>2042</v>
      </c>
      <c r="AG1301" s="21"/>
      <c r="AH1301" s="25">
        <v>101675</v>
      </c>
      <c r="AI1301" s="25" t="s">
        <v>266</v>
      </c>
      <c r="AK1301" s="27" t="s">
        <v>639</v>
      </c>
      <c r="AL1301" s="27"/>
      <c r="AX1301" s="27"/>
      <c r="AY1301" s="27"/>
      <c r="BK1301" s="27"/>
      <c r="BL1301" s="27"/>
      <c r="BX1301" s="27"/>
      <c r="BY1301" s="27"/>
      <c r="CH1301" s="29"/>
    </row>
    <row r="1302" spans="1:107" s="57" customFormat="1" x14ac:dyDescent="0.2">
      <c r="A1302" s="55">
        <v>10068</v>
      </c>
      <c r="B1302" s="56">
        <v>10</v>
      </c>
      <c r="C1302" s="56">
        <f t="shared" si="86"/>
        <v>100680010</v>
      </c>
      <c r="D1302" s="57" t="s">
        <v>1665</v>
      </c>
      <c r="E1302" s="58" t="s">
        <v>640</v>
      </c>
      <c r="F1302" s="58"/>
      <c r="G1302" s="58"/>
      <c r="H1302" s="58"/>
      <c r="I1302" s="59" t="s">
        <v>206</v>
      </c>
      <c r="J1302" s="59"/>
      <c r="K1302" s="59"/>
      <c r="L1302" s="59"/>
      <c r="M1302" s="59"/>
      <c r="N1302" s="59" t="s">
        <v>163</v>
      </c>
      <c r="O1302" s="59" t="s">
        <v>163</v>
      </c>
      <c r="P1302" s="59"/>
      <c r="Q1302" s="59" t="s">
        <v>2041</v>
      </c>
      <c r="R1302" s="59"/>
      <c r="S1302" s="59"/>
      <c r="T1302" s="59" t="s">
        <v>2714</v>
      </c>
      <c r="U1302" s="122" t="s">
        <v>3045</v>
      </c>
      <c r="V1302" s="59" t="s">
        <v>109</v>
      </c>
      <c r="W1302" s="59" t="s">
        <v>1</v>
      </c>
      <c r="X1302" s="59"/>
      <c r="Z1302" s="59"/>
      <c r="AA1302" s="59"/>
      <c r="AB1302" s="59"/>
      <c r="AC1302" s="59">
        <v>68</v>
      </c>
      <c r="AD1302" s="59"/>
      <c r="AE1302" s="60"/>
      <c r="AF1302" s="60" t="s">
        <v>2042</v>
      </c>
      <c r="AG1302" s="59"/>
      <c r="AH1302" s="61">
        <v>101681</v>
      </c>
      <c r="AI1302" s="61" t="s">
        <v>176</v>
      </c>
      <c r="AJ1302" s="61"/>
      <c r="AK1302" s="62" t="s">
        <v>635</v>
      </c>
      <c r="AL1302" s="62"/>
      <c r="AM1302" s="63"/>
      <c r="AN1302" s="63"/>
      <c r="AO1302" s="63"/>
      <c r="AP1302" s="63"/>
      <c r="AQ1302" s="63"/>
      <c r="AR1302" s="63"/>
      <c r="AS1302" s="63"/>
      <c r="AT1302" s="63"/>
      <c r="AU1302" s="61"/>
      <c r="AV1302" s="61"/>
      <c r="AW1302" s="61"/>
      <c r="AX1302" s="62"/>
      <c r="AY1302" s="62"/>
      <c r="AZ1302" s="63"/>
      <c r="BA1302" s="63"/>
      <c r="BB1302" s="63"/>
      <c r="BC1302" s="63"/>
      <c r="BD1302" s="63"/>
      <c r="BE1302" s="63"/>
      <c r="BF1302" s="63"/>
      <c r="BG1302" s="63"/>
      <c r="BH1302" s="61"/>
      <c r="BI1302" s="61"/>
      <c r="BJ1302" s="61"/>
      <c r="BK1302" s="62"/>
      <c r="BL1302" s="62"/>
      <c r="BM1302" s="63"/>
      <c r="BN1302" s="63"/>
      <c r="BO1302" s="63"/>
      <c r="BP1302" s="63"/>
      <c r="BQ1302" s="63"/>
      <c r="BR1302" s="63"/>
      <c r="BS1302" s="63"/>
      <c r="BT1302" s="63"/>
      <c r="BU1302" s="61"/>
      <c r="BV1302" s="61"/>
      <c r="BW1302" s="61"/>
      <c r="BX1302" s="62"/>
      <c r="BY1302" s="62"/>
      <c r="BZ1302" s="63"/>
      <c r="CA1302" s="63"/>
      <c r="CB1302" s="63"/>
      <c r="CC1302" s="63"/>
      <c r="CD1302" s="63"/>
      <c r="CE1302" s="63"/>
      <c r="CF1302" s="63"/>
      <c r="CG1302" s="63"/>
      <c r="CH1302" s="64"/>
      <c r="CJ1302" s="63"/>
      <c r="CT1302" s="65"/>
      <c r="CU1302" s="65"/>
      <c r="CV1302" s="65"/>
      <c r="CW1302" s="65"/>
      <c r="CX1302" s="65"/>
      <c r="CY1302" s="65"/>
      <c r="CZ1302" s="65"/>
      <c r="DA1302" s="65"/>
      <c r="DB1302" s="65"/>
      <c r="DC1302" s="63"/>
    </row>
    <row r="1303" spans="1:107" s="57" customFormat="1" x14ac:dyDescent="0.2">
      <c r="A1303" s="55">
        <v>10068</v>
      </c>
      <c r="B1303" s="56">
        <v>11</v>
      </c>
      <c r="C1303" s="56">
        <f t="shared" si="86"/>
        <v>100680011</v>
      </c>
      <c r="D1303" s="57" t="s">
        <v>1665</v>
      </c>
      <c r="E1303" s="58" t="s">
        <v>640</v>
      </c>
      <c r="F1303" s="58"/>
      <c r="G1303" s="58"/>
      <c r="H1303" s="58"/>
      <c r="I1303" s="59" t="s">
        <v>206</v>
      </c>
      <c r="J1303" s="59"/>
      <c r="K1303" s="59"/>
      <c r="L1303" s="59"/>
      <c r="M1303" s="59"/>
      <c r="N1303" s="59" t="s">
        <v>163</v>
      </c>
      <c r="O1303" s="59" t="s">
        <v>163</v>
      </c>
      <c r="P1303" s="59"/>
      <c r="Q1303" s="59" t="s">
        <v>2041</v>
      </c>
      <c r="R1303" s="59"/>
      <c r="S1303" s="59"/>
      <c r="T1303" s="59" t="s">
        <v>2714</v>
      </c>
      <c r="U1303" s="122" t="s">
        <v>3046</v>
      </c>
      <c r="V1303" s="59" t="s">
        <v>109</v>
      </c>
      <c r="W1303" s="59" t="s">
        <v>1</v>
      </c>
      <c r="X1303" s="59"/>
      <c r="Z1303" s="59"/>
      <c r="AA1303" s="59"/>
      <c r="AB1303" s="59"/>
      <c r="AC1303" s="59">
        <v>68</v>
      </c>
      <c r="AD1303" s="59"/>
      <c r="AE1303" s="60"/>
      <c r="AF1303" s="60" t="s">
        <v>2042</v>
      </c>
      <c r="AG1303" s="59"/>
      <c r="AH1303" s="61">
        <v>101682</v>
      </c>
      <c r="AI1303" s="61" t="s">
        <v>260</v>
      </c>
      <c r="AJ1303" s="61"/>
      <c r="AK1303" s="62" t="s">
        <v>636</v>
      </c>
      <c r="AL1303" s="62"/>
      <c r="AM1303" s="63"/>
      <c r="AN1303" s="63"/>
      <c r="AO1303" s="63"/>
      <c r="AP1303" s="63"/>
      <c r="AQ1303" s="63"/>
      <c r="AR1303" s="63"/>
      <c r="AS1303" s="63"/>
      <c r="AT1303" s="63"/>
      <c r="AU1303" s="61"/>
      <c r="AV1303" s="61"/>
      <c r="AW1303" s="61"/>
      <c r="AX1303" s="62"/>
      <c r="AY1303" s="62"/>
      <c r="AZ1303" s="63"/>
      <c r="BA1303" s="63"/>
      <c r="BB1303" s="63"/>
      <c r="BC1303" s="63"/>
      <c r="BD1303" s="63"/>
      <c r="BE1303" s="63"/>
      <c r="BF1303" s="63"/>
      <c r="BG1303" s="63"/>
      <c r="BH1303" s="61"/>
      <c r="BI1303" s="61"/>
      <c r="BJ1303" s="61"/>
      <c r="BK1303" s="62"/>
      <c r="BL1303" s="62"/>
      <c r="BM1303" s="63"/>
      <c r="BN1303" s="63"/>
      <c r="BO1303" s="63"/>
      <c r="BP1303" s="63"/>
      <c r="BQ1303" s="63"/>
      <c r="BR1303" s="63"/>
      <c r="BS1303" s="63"/>
      <c r="BT1303" s="63"/>
      <c r="BU1303" s="61"/>
      <c r="BV1303" s="61"/>
      <c r="BW1303" s="61"/>
      <c r="BX1303" s="62"/>
      <c r="BY1303" s="62"/>
      <c r="BZ1303" s="63"/>
      <c r="CA1303" s="63"/>
      <c r="CB1303" s="63"/>
      <c r="CC1303" s="63"/>
      <c r="CD1303" s="63"/>
      <c r="CE1303" s="63"/>
      <c r="CF1303" s="63"/>
      <c r="CG1303" s="63"/>
      <c r="CH1303" s="64"/>
      <c r="CJ1303" s="63"/>
      <c r="CT1303" s="65"/>
      <c r="CU1303" s="65"/>
      <c r="CV1303" s="65"/>
      <c r="CW1303" s="65"/>
      <c r="CX1303" s="65"/>
      <c r="CY1303" s="65"/>
      <c r="CZ1303" s="65"/>
      <c r="DA1303" s="65"/>
      <c r="DB1303" s="65"/>
      <c r="DC1303" s="63"/>
    </row>
    <row r="1304" spans="1:107" s="57" customFormat="1" x14ac:dyDescent="0.2">
      <c r="A1304" s="55">
        <v>10068</v>
      </c>
      <c r="B1304" s="56">
        <v>12</v>
      </c>
      <c r="C1304" s="56">
        <f t="shared" si="86"/>
        <v>100680012</v>
      </c>
      <c r="D1304" s="57" t="s">
        <v>1665</v>
      </c>
      <c r="E1304" s="58" t="s">
        <v>640</v>
      </c>
      <c r="F1304" s="58"/>
      <c r="G1304" s="58"/>
      <c r="H1304" s="58"/>
      <c r="I1304" s="59" t="s">
        <v>206</v>
      </c>
      <c r="J1304" s="59"/>
      <c r="K1304" s="59"/>
      <c r="L1304" s="59"/>
      <c r="M1304" s="59"/>
      <c r="N1304" s="59" t="s">
        <v>163</v>
      </c>
      <c r="O1304" s="59" t="s">
        <v>163</v>
      </c>
      <c r="P1304" s="59"/>
      <c r="Q1304" s="59" t="s">
        <v>2041</v>
      </c>
      <c r="R1304" s="59"/>
      <c r="S1304" s="59"/>
      <c r="T1304" s="59" t="s">
        <v>2714</v>
      </c>
      <c r="U1304" s="122" t="s">
        <v>3047</v>
      </c>
      <c r="V1304" s="59" t="s">
        <v>109</v>
      </c>
      <c r="W1304" s="59" t="s">
        <v>1</v>
      </c>
      <c r="X1304" s="59"/>
      <c r="Z1304" s="59"/>
      <c r="AA1304" s="59"/>
      <c r="AB1304" s="59"/>
      <c r="AC1304" s="59">
        <v>68</v>
      </c>
      <c r="AD1304" s="59"/>
      <c r="AE1304" s="60"/>
      <c r="AF1304" s="60" t="s">
        <v>2042</v>
      </c>
      <c r="AG1304" s="59"/>
      <c r="AH1304" s="61">
        <v>101683</v>
      </c>
      <c r="AI1304" s="61" t="s">
        <v>264</v>
      </c>
      <c r="AJ1304" s="61"/>
      <c r="AK1304" s="62" t="s">
        <v>637</v>
      </c>
      <c r="AL1304" s="62"/>
      <c r="AM1304" s="63"/>
      <c r="AN1304" s="63"/>
      <c r="AO1304" s="63"/>
      <c r="AP1304" s="63"/>
      <c r="AQ1304" s="63"/>
      <c r="AR1304" s="63"/>
      <c r="AS1304" s="63"/>
      <c r="AT1304" s="63"/>
      <c r="AU1304" s="61"/>
      <c r="AV1304" s="61"/>
      <c r="AW1304" s="61"/>
      <c r="AX1304" s="62"/>
      <c r="AY1304" s="62"/>
      <c r="AZ1304" s="63"/>
      <c r="BA1304" s="63"/>
      <c r="BB1304" s="63"/>
      <c r="BC1304" s="63"/>
      <c r="BD1304" s="63"/>
      <c r="BE1304" s="63"/>
      <c r="BF1304" s="63"/>
      <c r="BG1304" s="63"/>
      <c r="BH1304" s="61"/>
      <c r="BI1304" s="61"/>
      <c r="BJ1304" s="61"/>
      <c r="BK1304" s="62"/>
      <c r="BL1304" s="62"/>
      <c r="BM1304" s="63"/>
      <c r="BN1304" s="63"/>
      <c r="BO1304" s="63"/>
      <c r="BP1304" s="63"/>
      <c r="BQ1304" s="63"/>
      <c r="BR1304" s="63"/>
      <c r="BS1304" s="63"/>
      <c r="BT1304" s="63"/>
      <c r="BU1304" s="61"/>
      <c r="BV1304" s="61"/>
      <c r="BW1304" s="61"/>
      <c r="BX1304" s="62"/>
      <c r="BY1304" s="62"/>
      <c r="BZ1304" s="63"/>
      <c r="CA1304" s="63"/>
      <c r="CB1304" s="63"/>
      <c r="CC1304" s="63"/>
      <c r="CD1304" s="63"/>
      <c r="CE1304" s="63"/>
      <c r="CF1304" s="63"/>
      <c r="CG1304" s="63"/>
      <c r="CH1304" s="64"/>
      <c r="CJ1304" s="63"/>
      <c r="CT1304" s="65"/>
      <c r="CU1304" s="65"/>
      <c r="CV1304" s="65"/>
      <c r="CW1304" s="65"/>
      <c r="CX1304" s="65"/>
      <c r="CY1304" s="65"/>
      <c r="CZ1304" s="65"/>
      <c r="DA1304" s="65"/>
      <c r="DB1304" s="65"/>
      <c r="DC1304" s="63"/>
    </row>
    <row r="1305" spans="1:107" s="57" customFormat="1" x14ac:dyDescent="0.2">
      <c r="A1305" s="55">
        <v>10068</v>
      </c>
      <c r="B1305" s="56">
        <v>13</v>
      </c>
      <c r="C1305" s="56">
        <f t="shared" si="86"/>
        <v>100680013</v>
      </c>
      <c r="D1305" s="57" t="s">
        <v>1665</v>
      </c>
      <c r="E1305" s="58" t="s">
        <v>640</v>
      </c>
      <c r="F1305" s="58"/>
      <c r="G1305" s="58"/>
      <c r="H1305" s="58"/>
      <c r="I1305" s="59" t="s">
        <v>206</v>
      </c>
      <c r="J1305" s="59"/>
      <c r="K1305" s="59"/>
      <c r="L1305" s="59"/>
      <c r="M1305" s="59"/>
      <c r="N1305" s="59" t="s">
        <v>163</v>
      </c>
      <c r="O1305" s="59" t="s">
        <v>163</v>
      </c>
      <c r="P1305" s="59"/>
      <c r="Q1305" s="59" t="s">
        <v>2041</v>
      </c>
      <c r="R1305" s="59"/>
      <c r="S1305" s="59"/>
      <c r="T1305" s="59" t="s">
        <v>2714</v>
      </c>
      <c r="U1305" s="122" t="s">
        <v>3048</v>
      </c>
      <c r="V1305" s="59" t="s">
        <v>109</v>
      </c>
      <c r="W1305" s="59" t="s">
        <v>1</v>
      </c>
      <c r="X1305" s="59"/>
      <c r="Z1305" s="59"/>
      <c r="AA1305" s="59"/>
      <c r="AB1305" s="59"/>
      <c r="AC1305" s="59">
        <v>68</v>
      </c>
      <c r="AD1305" s="59"/>
      <c r="AE1305" s="60"/>
      <c r="AF1305" s="60" t="s">
        <v>2042</v>
      </c>
      <c r="AG1305" s="59"/>
      <c r="AH1305" s="61">
        <v>101684</v>
      </c>
      <c r="AI1305" s="61" t="s">
        <v>265</v>
      </c>
      <c r="AJ1305" s="61"/>
      <c r="AK1305" s="62" t="s">
        <v>638</v>
      </c>
      <c r="AL1305" s="62"/>
      <c r="AM1305" s="63"/>
      <c r="AN1305" s="63"/>
      <c r="AO1305" s="63"/>
      <c r="AP1305" s="63"/>
      <c r="AQ1305" s="63"/>
      <c r="AR1305" s="63"/>
      <c r="AS1305" s="63"/>
      <c r="AT1305" s="63"/>
      <c r="AU1305" s="61"/>
      <c r="AV1305" s="61"/>
      <c r="AW1305" s="61"/>
      <c r="AX1305" s="62"/>
      <c r="AY1305" s="62"/>
      <c r="AZ1305" s="63"/>
      <c r="BA1305" s="63"/>
      <c r="BB1305" s="63"/>
      <c r="BC1305" s="63"/>
      <c r="BD1305" s="63"/>
      <c r="BE1305" s="63"/>
      <c r="BF1305" s="63"/>
      <c r="BG1305" s="63"/>
      <c r="BH1305" s="61"/>
      <c r="BI1305" s="61"/>
      <c r="BJ1305" s="61"/>
      <c r="BK1305" s="62"/>
      <c r="BL1305" s="62"/>
      <c r="BM1305" s="63"/>
      <c r="BN1305" s="63"/>
      <c r="BO1305" s="63"/>
      <c r="BP1305" s="63"/>
      <c r="BQ1305" s="63"/>
      <c r="BR1305" s="63"/>
      <c r="BS1305" s="63"/>
      <c r="BT1305" s="63"/>
      <c r="BU1305" s="61"/>
      <c r="BV1305" s="61"/>
      <c r="BW1305" s="61"/>
      <c r="BX1305" s="62"/>
      <c r="BY1305" s="62"/>
      <c r="BZ1305" s="63"/>
      <c r="CA1305" s="63"/>
      <c r="CB1305" s="63"/>
      <c r="CC1305" s="63"/>
      <c r="CD1305" s="63"/>
      <c r="CE1305" s="63"/>
      <c r="CF1305" s="63"/>
      <c r="CG1305" s="63"/>
      <c r="CH1305" s="64"/>
      <c r="CJ1305" s="63"/>
      <c r="CT1305" s="65"/>
      <c r="CU1305" s="65"/>
      <c r="CV1305" s="65"/>
      <c r="CW1305" s="65"/>
      <c r="CX1305" s="65"/>
      <c r="CY1305" s="65"/>
      <c r="CZ1305" s="65"/>
      <c r="DA1305" s="65"/>
      <c r="DB1305" s="65"/>
      <c r="DC1305" s="63"/>
    </row>
    <row r="1306" spans="1:107" s="57" customFormat="1" x14ac:dyDescent="0.2">
      <c r="A1306" s="55">
        <v>10068</v>
      </c>
      <c r="B1306" s="56">
        <v>14</v>
      </c>
      <c r="C1306" s="56">
        <f t="shared" si="86"/>
        <v>100680014</v>
      </c>
      <c r="D1306" s="57" t="s">
        <v>1665</v>
      </c>
      <c r="E1306" s="58" t="s">
        <v>640</v>
      </c>
      <c r="F1306" s="58"/>
      <c r="G1306" s="58"/>
      <c r="H1306" s="58"/>
      <c r="I1306" s="59" t="s">
        <v>206</v>
      </c>
      <c r="J1306" s="59"/>
      <c r="K1306" s="59"/>
      <c r="L1306" s="59"/>
      <c r="M1306" s="59"/>
      <c r="N1306" s="59" t="s">
        <v>163</v>
      </c>
      <c r="O1306" s="59" t="s">
        <v>163</v>
      </c>
      <c r="P1306" s="59"/>
      <c r="Q1306" s="59" t="s">
        <v>2041</v>
      </c>
      <c r="R1306" s="59"/>
      <c r="S1306" s="59"/>
      <c r="T1306" s="59" t="s">
        <v>2714</v>
      </c>
      <c r="U1306" s="122" t="s">
        <v>3049</v>
      </c>
      <c r="V1306" s="59" t="s">
        <v>109</v>
      </c>
      <c r="W1306" s="59" t="s">
        <v>1</v>
      </c>
      <c r="X1306" s="59"/>
      <c r="Z1306" s="59"/>
      <c r="AA1306" s="59"/>
      <c r="AB1306" s="59"/>
      <c r="AC1306" s="59">
        <v>68</v>
      </c>
      <c r="AD1306" s="59"/>
      <c r="AE1306" s="60"/>
      <c r="AF1306" s="60" t="s">
        <v>2042</v>
      </c>
      <c r="AG1306" s="59"/>
      <c r="AH1306" s="61">
        <v>101685</v>
      </c>
      <c r="AI1306" s="61" t="s">
        <v>266</v>
      </c>
      <c r="AJ1306" s="61"/>
      <c r="AK1306" s="62" t="s">
        <v>639</v>
      </c>
      <c r="AL1306" s="62"/>
      <c r="AM1306" s="63"/>
      <c r="AN1306" s="63"/>
      <c r="AO1306" s="63"/>
      <c r="AP1306" s="63"/>
      <c r="AQ1306" s="63"/>
      <c r="AR1306" s="63"/>
      <c r="AS1306" s="63"/>
      <c r="AT1306" s="63"/>
      <c r="AU1306" s="61"/>
      <c r="AV1306" s="61"/>
      <c r="AW1306" s="61"/>
      <c r="AX1306" s="62"/>
      <c r="AY1306" s="62"/>
      <c r="AZ1306" s="63"/>
      <c r="BA1306" s="63"/>
      <c r="BB1306" s="63"/>
      <c r="BC1306" s="63"/>
      <c r="BD1306" s="63"/>
      <c r="BE1306" s="63"/>
      <c r="BF1306" s="63"/>
      <c r="BG1306" s="63"/>
      <c r="BH1306" s="61"/>
      <c r="BI1306" s="61"/>
      <c r="BJ1306" s="61"/>
      <c r="BK1306" s="62"/>
      <c r="BL1306" s="62"/>
      <c r="BM1306" s="63"/>
      <c r="BN1306" s="63"/>
      <c r="BO1306" s="63"/>
      <c r="BP1306" s="63"/>
      <c r="BQ1306" s="63"/>
      <c r="BR1306" s="63"/>
      <c r="BS1306" s="63"/>
      <c r="BT1306" s="63"/>
      <c r="BU1306" s="61"/>
      <c r="BV1306" s="61"/>
      <c r="BW1306" s="61"/>
      <c r="BX1306" s="62"/>
      <c r="BY1306" s="62"/>
      <c r="BZ1306" s="63"/>
      <c r="CA1306" s="63"/>
      <c r="CB1306" s="63"/>
      <c r="CC1306" s="63"/>
      <c r="CD1306" s="63"/>
      <c r="CE1306" s="63"/>
      <c r="CF1306" s="63"/>
      <c r="CG1306" s="63"/>
      <c r="CH1306" s="64"/>
      <c r="CJ1306" s="63"/>
      <c r="CT1306" s="65"/>
      <c r="CU1306" s="65"/>
      <c r="CV1306" s="65"/>
      <c r="CW1306" s="65"/>
      <c r="CX1306" s="65"/>
      <c r="CY1306" s="65"/>
      <c r="CZ1306" s="65"/>
      <c r="DA1306" s="65"/>
      <c r="DB1306" s="65"/>
      <c r="DC1306" s="63"/>
    </row>
    <row r="1307" spans="1:107" s="57" customFormat="1" x14ac:dyDescent="0.2">
      <c r="A1307" s="55">
        <v>10069</v>
      </c>
      <c r="B1307" s="56">
        <v>10</v>
      </c>
      <c r="C1307" s="56">
        <f t="shared" si="86"/>
        <v>100690010</v>
      </c>
      <c r="D1307" s="57" t="s">
        <v>1681</v>
      </c>
      <c r="E1307" s="58" t="s">
        <v>640</v>
      </c>
      <c r="F1307" s="58"/>
      <c r="G1307" s="58"/>
      <c r="H1307" s="58"/>
      <c r="I1307" s="59" t="s">
        <v>206</v>
      </c>
      <c r="J1307" s="59"/>
      <c r="K1307" s="59"/>
      <c r="L1307" s="59"/>
      <c r="M1307" s="59"/>
      <c r="N1307" s="59" t="s">
        <v>163</v>
      </c>
      <c r="O1307" s="59" t="s">
        <v>163</v>
      </c>
      <c r="P1307" s="59"/>
      <c r="Q1307" s="59" t="s">
        <v>2041</v>
      </c>
      <c r="R1307" s="59"/>
      <c r="S1307" s="59"/>
      <c r="T1307" s="59" t="s">
        <v>2714</v>
      </c>
      <c r="U1307" s="122" t="s">
        <v>3050</v>
      </c>
      <c r="V1307" s="59" t="s">
        <v>109</v>
      </c>
      <c r="W1307" s="59" t="s">
        <v>1</v>
      </c>
      <c r="X1307" s="59"/>
      <c r="Z1307" s="59"/>
      <c r="AA1307" s="59"/>
      <c r="AB1307" s="59"/>
      <c r="AC1307" s="59">
        <v>69</v>
      </c>
      <c r="AD1307" s="59"/>
      <c r="AE1307" s="60"/>
      <c r="AF1307" s="60" t="s">
        <v>2042</v>
      </c>
      <c r="AG1307" s="59"/>
      <c r="AH1307" s="61">
        <v>101691</v>
      </c>
      <c r="AI1307" s="61" t="s">
        <v>176</v>
      </c>
      <c r="AJ1307" s="61"/>
      <c r="AK1307" s="62" t="s">
        <v>635</v>
      </c>
      <c r="AL1307" s="62"/>
      <c r="AM1307" s="63"/>
      <c r="AN1307" s="63"/>
      <c r="AO1307" s="63"/>
      <c r="AP1307" s="63"/>
      <c r="AQ1307" s="63"/>
      <c r="AR1307" s="63"/>
      <c r="AS1307" s="63"/>
      <c r="AT1307" s="63"/>
      <c r="AU1307" s="61"/>
      <c r="AV1307" s="61"/>
      <c r="AW1307" s="61"/>
      <c r="AX1307" s="62"/>
      <c r="AY1307" s="62"/>
      <c r="AZ1307" s="63"/>
      <c r="BA1307" s="63"/>
      <c r="BB1307" s="63"/>
      <c r="BC1307" s="63"/>
      <c r="BD1307" s="63"/>
      <c r="BE1307" s="63"/>
      <c r="BF1307" s="63"/>
      <c r="BG1307" s="63"/>
      <c r="BH1307" s="61"/>
      <c r="BI1307" s="61"/>
      <c r="BJ1307" s="61"/>
      <c r="BK1307" s="62"/>
      <c r="BL1307" s="62"/>
      <c r="BM1307" s="63"/>
      <c r="BN1307" s="63"/>
      <c r="BO1307" s="63"/>
      <c r="BP1307" s="63"/>
      <c r="BQ1307" s="63"/>
      <c r="BR1307" s="63"/>
      <c r="BS1307" s="63"/>
      <c r="BT1307" s="63"/>
      <c r="BU1307" s="61"/>
      <c r="BV1307" s="61"/>
      <c r="BW1307" s="61"/>
      <c r="BX1307" s="62"/>
      <c r="BY1307" s="62"/>
      <c r="BZ1307" s="63"/>
      <c r="CA1307" s="63"/>
      <c r="CB1307" s="63"/>
      <c r="CC1307" s="63"/>
      <c r="CD1307" s="63"/>
      <c r="CE1307" s="63"/>
      <c r="CF1307" s="63"/>
      <c r="CG1307" s="63"/>
      <c r="CH1307" s="64"/>
      <c r="CJ1307" s="63"/>
      <c r="CT1307" s="65"/>
      <c r="CU1307" s="65"/>
      <c r="CV1307" s="65"/>
      <c r="CW1307" s="65"/>
      <c r="CX1307" s="65"/>
      <c r="CY1307" s="65"/>
      <c r="CZ1307" s="65"/>
      <c r="DA1307" s="65"/>
      <c r="DB1307" s="65"/>
      <c r="DC1307" s="63"/>
    </row>
    <row r="1308" spans="1:107" s="57" customFormat="1" x14ac:dyDescent="0.2">
      <c r="A1308" s="55">
        <v>10069</v>
      </c>
      <c r="B1308" s="56">
        <v>11</v>
      </c>
      <c r="C1308" s="56">
        <f t="shared" si="86"/>
        <v>100690011</v>
      </c>
      <c r="D1308" s="57" t="s">
        <v>1681</v>
      </c>
      <c r="E1308" s="58" t="s">
        <v>640</v>
      </c>
      <c r="F1308" s="58"/>
      <c r="G1308" s="58"/>
      <c r="H1308" s="58"/>
      <c r="I1308" s="59" t="s">
        <v>206</v>
      </c>
      <c r="J1308" s="59"/>
      <c r="K1308" s="59"/>
      <c r="L1308" s="59"/>
      <c r="M1308" s="59"/>
      <c r="N1308" s="59" t="s">
        <v>163</v>
      </c>
      <c r="O1308" s="59" t="s">
        <v>163</v>
      </c>
      <c r="P1308" s="59"/>
      <c r="Q1308" s="59" t="s">
        <v>2041</v>
      </c>
      <c r="R1308" s="59"/>
      <c r="S1308" s="59"/>
      <c r="T1308" s="59" t="s">
        <v>2714</v>
      </c>
      <c r="U1308" s="122" t="s">
        <v>3051</v>
      </c>
      <c r="V1308" s="59" t="s">
        <v>109</v>
      </c>
      <c r="W1308" s="59" t="s">
        <v>1</v>
      </c>
      <c r="X1308" s="59"/>
      <c r="Z1308" s="59"/>
      <c r="AA1308" s="59"/>
      <c r="AB1308" s="59"/>
      <c r="AC1308" s="59">
        <v>69</v>
      </c>
      <c r="AD1308" s="59"/>
      <c r="AE1308" s="60"/>
      <c r="AF1308" s="60" t="s">
        <v>2042</v>
      </c>
      <c r="AG1308" s="59"/>
      <c r="AH1308" s="61">
        <v>101692</v>
      </c>
      <c r="AI1308" s="61" t="s">
        <v>260</v>
      </c>
      <c r="AJ1308" s="61"/>
      <c r="AK1308" s="62" t="s">
        <v>636</v>
      </c>
      <c r="AL1308" s="62"/>
      <c r="AM1308" s="63"/>
      <c r="AN1308" s="63"/>
      <c r="AO1308" s="63"/>
      <c r="AP1308" s="63"/>
      <c r="AQ1308" s="63"/>
      <c r="AR1308" s="63"/>
      <c r="AS1308" s="63"/>
      <c r="AT1308" s="63"/>
      <c r="AU1308" s="61"/>
      <c r="AV1308" s="61"/>
      <c r="AW1308" s="61"/>
      <c r="AX1308" s="62"/>
      <c r="AY1308" s="62"/>
      <c r="AZ1308" s="63"/>
      <c r="BA1308" s="63"/>
      <c r="BB1308" s="63"/>
      <c r="BC1308" s="63"/>
      <c r="BD1308" s="63"/>
      <c r="BE1308" s="63"/>
      <c r="BF1308" s="63"/>
      <c r="BG1308" s="63"/>
      <c r="BH1308" s="61"/>
      <c r="BI1308" s="61"/>
      <c r="BJ1308" s="61"/>
      <c r="BK1308" s="62"/>
      <c r="BL1308" s="62"/>
      <c r="BM1308" s="63"/>
      <c r="BN1308" s="63"/>
      <c r="BO1308" s="63"/>
      <c r="BP1308" s="63"/>
      <c r="BQ1308" s="63"/>
      <c r="BR1308" s="63"/>
      <c r="BS1308" s="63"/>
      <c r="BT1308" s="63"/>
      <c r="BU1308" s="61"/>
      <c r="BV1308" s="61"/>
      <c r="BW1308" s="61"/>
      <c r="BX1308" s="62"/>
      <c r="BY1308" s="62"/>
      <c r="BZ1308" s="63"/>
      <c r="CA1308" s="63"/>
      <c r="CB1308" s="63"/>
      <c r="CC1308" s="63"/>
      <c r="CD1308" s="63"/>
      <c r="CE1308" s="63"/>
      <c r="CF1308" s="63"/>
      <c r="CG1308" s="63"/>
      <c r="CH1308" s="64"/>
      <c r="CJ1308" s="63"/>
      <c r="CT1308" s="65"/>
      <c r="CU1308" s="65"/>
      <c r="CV1308" s="65"/>
      <c r="CW1308" s="65"/>
      <c r="CX1308" s="65"/>
      <c r="CY1308" s="65"/>
      <c r="CZ1308" s="65"/>
      <c r="DA1308" s="65"/>
      <c r="DB1308" s="65"/>
      <c r="DC1308" s="63"/>
    </row>
    <row r="1309" spans="1:107" s="57" customFormat="1" x14ac:dyDescent="0.2">
      <c r="A1309" s="55">
        <v>10069</v>
      </c>
      <c r="B1309" s="56">
        <v>12</v>
      </c>
      <c r="C1309" s="56">
        <f t="shared" si="86"/>
        <v>100690012</v>
      </c>
      <c r="D1309" s="57" t="s">
        <v>1681</v>
      </c>
      <c r="E1309" s="58" t="s">
        <v>640</v>
      </c>
      <c r="F1309" s="58"/>
      <c r="G1309" s="58"/>
      <c r="H1309" s="58"/>
      <c r="I1309" s="59" t="s">
        <v>206</v>
      </c>
      <c r="J1309" s="59"/>
      <c r="K1309" s="59"/>
      <c r="L1309" s="59"/>
      <c r="M1309" s="59"/>
      <c r="N1309" s="59" t="s">
        <v>163</v>
      </c>
      <c r="O1309" s="59" t="s">
        <v>163</v>
      </c>
      <c r="P1309" s="59"/>
      <c r="Q1309" s="59" t="s">
        <v>2041</v>
      </c>
      <c r="R1309" s="59"/>
      <c r="S1309" s="59"/>
      <c r="T1309" s="59" t="s">
        <v>2714</v>
      </c>
      <c r="U1309" s="122" t="s">
        <v>3052</v>
      </c>
      <c r="V1309" s="59" t="s">
        <v>109</v>
      </c>
      <c r="W1309" s="59" t="s">
        <v>1</v>
      </c>
      <c r="X1309" s="59"/>
      <c r="Z1309" s="59"/>
      <c r="AA1309" s="59"/>
      <c r="AB1309" s="59"/>
      <c r="AC1309" s="59">
        <v>69</v>
      </c>
      <c r="AD1309" s="59"/>
      <c r="AE1309" s="60"/>
      <c r="AF1309" s="60" t="s">
        <v>2042</v>
      </c>
      <c r="AG1309" s="59"/>
      <c r="AH1309" s="61">
        <v>101693</v>
      </c>
      <c r="AI1309" s="61" t="s">
        <v>264</v>
      </c>
      <c r="AJ1309" s="61"/>
      <c r="AK1309" s="62" t="s">
        <v>637</v>
      </c>
      <c r="AL1309" s="62"/>
      <c r="AM1309" s="63"/>
      <c r="AN1309" s="63"/>
      <c r="AO1309" s="63"/>
      <c r="AP1309" s="63"/>
      <c r="AQ1309" s="63"/>
      <c r="AR1309" s="63"/>
      <c r="AS1309" s="63"/>
      <c r="AT1309" s="63"/>
      <c r="AU1309" s="61"/>
      <c r="AV1309" s="61"/>
      <c r="AW1309" s="61"/>
      <c r="AX1309" s="62"/>
      <c r="AY1309" s="62"/>
      <c r="AZ1309" s="63"/>
      <c r="BA1309" s="63"/>
      <c r="BB1309" s="63"/>
      <c r="BC1309" s="63"/>
      <c r="BD1309" s="63"/>
      <c r="BE1309" s="63"/>
      <c r="BF1309" s="63"/>
      <c r="BG1309" s="63"/>
      <c r="BH1309" s="61"/>
      <c r="BI1309" s="61"/>
      <c r="BJ1309" s="61"/>
      <c r="BK1309" s="62"/>
      <c r="BL1309" s="62"/>
      <c r="BM1309" s="63"/>
      <c r="BN1309" s="63"/>
      <c r="BO1309" s="63"/>
      <c r="BP1309" s="63"/>
      <c r="BQ1309" s="63"/>
      <c r="BR1309" s="63"/>
      <c r="BS1309" s="63"/>
      <c r="BT1309" s="63"/>
      <c r="BU1309" s="61"/>
      <c r="BV1309" s="61"/>
      <c r="BW1309" s="61"/>
      <c r="BX1309" s="62"/>
      <c r="BY1309" s="62"/>
      <c r="BZ1309" s="63"/>
      <c r="CA1309" s="63"/>
      <c r="CB1309" s="63"/>
      <c r="CC1309" s="63"/>
      <c r="CD1309" s="63"/>
      <c r="CE1309" s="63"/>
      <c r="CF1309" s="63"/>
      <c r="CG1309" s="63"/>
      <c r="CH1309" s="64"/>
      <c r="CJ1309" s="63"/>
      <c r="CT1309" s="65"/>
      <c r="CU1309" s="65"/>
      <c r="CV1309" s="65"/>
      <c r="CW1309" s="65"/>
      <c r="CX1309" s="65"/>
      <c r="CY1309" s="65"/>
      <c r="CZ1309" s="65"/>
      <c r="DA1309" s="65"/>
      <c r="DB1309" s="65"/>
      <c r="DC1309" s="63"/>
    </row>
    <row r="1310" spans="1:107" s="57" customFormat="1" x14ac:dyDescent="0.2">
      <c r="A1310" s="55">
        <v>10069</v>
      </c>
      <c r="B1310" s="56">
        <v>13</v>
      </c>
      <c r="C1310" s="56">
        <f t="shared" si="86"/>
        <v>100690013</v>
      </c>
      <c r="D1310" s="57" t="s">
        <v>1681</v>
      </c>
      <c r="E1310" s="58" t="s">
        <v>640</v>
      </c>
      <c r="F1310" s="58"/>
      <c r="G1310" s="58"/>
      <c r="H1310" s="58"/>
      <c r="I1310" s="59" t="s">
        <v>206</v>
      </c>
      <c r="J1310" s="59"/>
      <c r="K1310" s="59"/>
      <c r="L1310" s="59"/>
      <c r="M1310" s="59"/>
      <c r="N1310" s="59" t="s">
        <v>163</v>
      </c>
      <c r="O1310" s="59" t="s">
        <v>163</v>
      </c>
      <c r="P1310" s="59"/>
      <c r="Q1310" s="59" t="s">
        <v>2041</v>
      </c>
      <c r="R1310" s="59"/>
      <c r="S1310" s="59"/>
      <c r="T1310" s="59" t="s">
        <v>2714</v>
      </c>
      <c r="U1310" s="122" t="s">
        <v>3053</v>
      </c>
      <c r="V1310" s="59" t="s">
        <v>109</v>
      </c>
      <c r="W1310" s="59" t="s">
        <v>1</v>
      </c>
      <c r="X1310" s="59"/>
      <c r="Z1310" s="59"/>
      <c r="AA1310" s="59"/>
      <c r="AB1310" s="59"/>
      <c r="AC1310" s="59">
        <v>69</v>
      </c>
      <c r="AD1310" s="59"/>
      <c r="AE1310" s="60"/>
      <c r="AF1310" s="60" t="s">
        <v>2042</v>
      </c>
      <c r="AG1310" s="59"/>
      <c r="AH1310" s="61">
        <v>101694</v>
      </c>
      <c r="AI1310" s="61" t="s">
        <v>265</v>
      </c>
      <c r="AJ1310" s="61"/>
      <c r="AK1310" s="62" t="s">
        <v>638</v>
      </c>
      <c r="AL1310" s="62"/>
      <c r="AM1310" s="63"/>
      <c r="AN1310" s="63"/>
      <c r="AO1310" s="63"/>
      <c r="AP1310" s="63"/>
      <c r="AQ1310" s="63"/>
      <c r="AR1310" s="63"/>
      <c r="AS1310" s="63"/>
      <c r="AT1310" s="63"/>
      <c r="AU1310" s="61"/>
      <c r="AV1310" s="61"/>
      <c r="AW1310" s="61"/>
      <c r="AX1310" s="62"/>
      <c r="AY1310" s="62"/>
      <c r="AZ1310" s="63"/>
      <c r="BA1310" s="63"/>
      <c r="BB1310" s="63"/>
      <c r="BC1310" s="63"/>
      <c r="BD1310" s="63"/>
      <c r="BE1310" s="63"/>
      <c r="BF1310" s="63"/>
      <c r="BG1310" s="63"/>
      <c r="BH1310" s="61"/>
      <c r="BI1310" s="61"/>
      <c r="BJ1310" s="61"/>
      <c r="BK1310" s="62"/>
      <c r="BL1310" s="62"/>
      <c r="BM1310" s="63"/>
      <c r="BN1310" s="63"/>
      <c r="BO1310" s="63"/>
      <c r="BP1310" s="63"/>
      <c r="BQ1310" s="63"/>
      <c r="BR1310" s="63"/>
      <c r="BS1310" s="63"/>
      <c r="BT1310" s="63"/>
      <c r="BU1310" s="61"/>
      <c r="BV1310" s="61"/>
      <c r="BW1310" s="61"/>
      <c r="BX1310" s="62"/>
      <c r="BY1310" s="62"/>
      <c r="BZ1310" s="63"/>
      <c r="CA1310" s="63"/>
      <c r="CB1310" s="63"/>
      <c r="CC1310" s="63"/>
      <c r="CD1310" s="63"/>
      <c r="CE1310" s="63"/>
      <c r="CF1310" s="63"/>
      <c r="CG1310" s="63"/>
      <c r="CH1310" s="64"/>
      <c r="CJ1310" s="63"/>
      <c r="CT1310" s="65"/>
      <c r="CU1310" s="65"/>
      <c r="CV1310" s="65"/>
      <c r="CW1310" s="65"/>
      <c r="CX1310" s="65"/>
      <c r="CY1310" s="65"/>
      <c r="CZ1310" s="65"/>
      <c r="DA1310" s="65"/>
      <c r="DB1310" s="65"/>
      <c r="DC1310" s="63"/>
    </row>
    <row r="1311" spans="1:107" s="57" customFormat="1" x14ac:dyDescent="0.2">
      <c r="A1311" s="55">
        <v>10069</v>
      </c>
      <c r="B1311" s="56">
        <v>14</v>
      </c>
      <c r="C1311" s="56">
        <f t="shared" si="86"/>
        <v>100690014</v>
      </c>
      <c r="D1311" s="57" t="s">
        <v>1681</v>
      </c>
      <c r="E1311" s="58" t="s">
        <v>640</v>
      </c>
      <c r="F1311" s="58"/>
      <c r="G1311" s="58"/>
      <c r="H1311" s="58"/>
      <c r="I1311" s="59" t="s">
        <v>206</v>
      </c>
      <c r="J1311" s="59"/>
      <c r="K1311" s="59"/>
      <c r="L1311" s="59"/>
      <c r="M1311" s="59"/>
      <c r="N1311" s="59" t="s">
        <v>163</v>
      </c>
      <c r="O1311" s="59" t="s">
        <v>163</v>
      </c>
      <c r="P1311" s="59"/>
      <c r="Q1311" s="59" t="s">
        <v>2041</v>
      </c>
      <c r="R1311" s="59"/>
      <c r="S1311" s="59"/>
      <c r="T1311" s="59" t="s">
        <v>2714</v>
      </c>
      <c r="U1311" s="122" t="s">
        <v>3054</v>
      </c>
      <c r="V1311" s="59" t="s">
        <v>109</v>
      </c>
      <c r="W1311" s="59" t="s">
        <v>1</v>
      </c>
      <c r="X1311" s="59"/>
      <c r="Z1311" s="59"/>
      <c r="AA1311" s="59"/>
      <c r="AB1311" s="59"/>
      <c r="AC1311" s="59">
        <v>69</v>
      </c>
      <c r="AD1311" s="59"/>
      <c r="AE1311" s="60"/>
      <c r="AF1311" s="60" t="s">
        <v>2042</v>
      </c>
      <c r="AG1311" s="59"/>
      <c r="AH1311" s="61">
        <v>101695</v>
      </c>
      <c r="AI1311" s="61" t="s">
        <v>266</v>
      </c>
      <c r="AJ1311" s="61"/>
      <c r="AK1311" s="62" t="s">
        <v>639</v>
      </c>
      <c r="AL1311" s="62"/>
      <c r="AM1311" s="63"/>
      <c r="AN1311" s="63"/>
      <c r="AO1311" s="63"/>
      <c r="AP1311" s="63"/>
      <c r="AQ1311" s="63"/>
      <c r="AR1311" s="63"/>
      <c r="AS1311" s="63"/>
      <c r="AT1311" s="63"/>
      <c r="AU1311" s="61"/>
      <c r="AV1311" s="61"/>
      <c r="AW1311" s="61"/>
      <c r="AX1311" s="62"/>
      <c r="AY1311" s="62"/>
      <c r="AZ1311" s="63"/>
      <c r="BA1311" s="63"/>
      <c r="BB1311" s="63"/>
      <c r="BC1311" s="63"/>
      <c r="BD1311" s="63"/>
      <c r="BE1311" s="63"/>
      <c r="BF1311" s="63"/>
      <c r="BG1311" s="63"/>
      <c r="BH1311" s="61"/>
      <c r="BI1311" s="61"/>
      <c r="BJ1311" s="61"/>
      <c r="BK1311" s="62"/>
      <c r="BL1311" s="62"/>
      <c r="BM1311" s="63"/>
      <c r="BN1311" s="63"/>
      <c r="BO1311" s="63"/>
      <c r="BP1311" s="63"/>
      <c r="BQ1311" s="63"/>
      <c r="BR1311" s="63"/>
      <c r="BS1311" s="63"/>
      <c r="BT1311" s="63"/>
      <c r="BU1311" s="61"/>
      <c r="BV1311" s="61"/>
      <c r="BW1311" s="61"/>
      <c r="BX1311" s="62"/>
      <c r="BY1311" s="62"/>
      <c r="BZ1311" s="63"/>
      <c r="CA1311" s="63"/>
      <c r="CB1311" s="63"/>
      <c r="CC1311" s="63"/>
      <c r="CD1311" s="63"/>
      <c r="CE1311" s="63"/>
      <c r="CF1311" s="63"/>
      <c r="CG1311" s="63"/>
      <c r="CH1311" s="64"/>
      <c r="CJ1311" s="63"/>
      <c r="CT1311" s="65"/>
      <c r="CU1311" s="65"/>
      <c r="CV1311" s="65"/>
      <c r="CW1311" s="65"/>
      <c r="CX1311" s="65"/>
      <c r="CY1311" s="65"/>
      <c r="CZ1311" s="65"/>
      <c r="DA1311" s="65"/>
      <c r="DB1311" s="65"/>
      <c r="DC1311" s="63"/>
    </row>
    <row r="1312" spans="1:107" s="57" customFormat="1" x14ac:dyDescent="0.2">
      <c r="A1312" s="55">
        <v>10070</v>
      </c>
      <c r="B1312" s="56">
        <v>10</v>
      </c>
      <c r="C1312" s="56">
        <f t="shared" si="86"/>
        <v>100700010</v>
      </c>
      <c r="D1312" s="57" t="s">
        <v>1944</v>
      </c>
      <c r="E1312" s="58" t="s">
        <v>640</v>
      </c>
      <c r="F1312" s="58"/>
      <c r="G1312" s="58"/>
      <c r="H1312" s="58"/>
      <c r="I1312" s="59" t="s">
        <v>206</v>
      </c>
      <c r="J1312" s="59"/>
      <c r="K1312" s="59"/>
      <c r="L1312" s="59"/>
      <c r="M1312" s="59"/>
      <c r="N1312" s="59" t="s">
        <v>163</v>
      </c>
      <c r="O1312" s="59" t="s">
        <v>163</v>
      </c>
      <c r="P1312" s="59"/>
      <c r="Q1312" s="59" t="s">
        <v>2041</v>
      </c>
      <c r="R1312" s="59"/>
      <c r="S1312" s="59"/>
      <c r="T1312" s="59" t="s">
        <v>2714</v>
      </c>
      <c r="U1312" s="122" t="s">
        <v>3055</v>
      </c>
      <c r="V1312" s="59" t="s">
        <v>109</v>
      </c>
      <c r="W1312" s="59" t="s">
        <v>1</v>
      </c>
      <c r="X1312" s="59"/>
      <c r="Z1312" s="59"/>
      <c r="AA1312" s="59"/>
      <c r="AB1312" s="59"/>
      <c r="AC1312" s="59">
        <v>70</v>
      </c>
      <c r="AD1312" s="59"/>
      <c r="AE1312" s="60"/>
      <c r="AF1312" s="60" t="s">
        <v>2042</v>
      </c>
      <c r="AG1312" s="59"/>
      <c r="AH1312" s="61">
        <v>101701</v>
      </c>
      <c r="AI1312" s="61" t="s">
        <v>176</v>
      </c>
      <c r="AJ1312" s="61"/>
      <c r="AK1312" s="62" t="s">
        <v>635</v>
      </c>
      <c r="AL1312" s="62"/>
      <c r="AM1312" s="63"/>
      <c r="AN1312" s="63"/>
      <c r="AO1312" s="63"/>
      <c r="AP1312" s="63"/>
      <c r="AQ1312" s="63"/>
      <c r="AR1312" s="63"/>
      <c r="AS1312" s="63"/>
      <c r="AT1312" s="63"/>
      <c r="AU1312" s="61"/>
      <c r="AV1312" s="61"/>
      <c r="AW1312" s="61"/>
      <c r="AX1312" s="62"/>
      <c r="AY1312" s="62"/>
      <c r="AZ1312" s="63"/>
      <c r="BA1312" s="63"/>
      <c r="BB1312" s="63"/>
      <c r="BC1312" s="63"/>
      <c r="BD1312" s="63"/>
      <c r="BE1312" s="63"/>
      <c r="BF1312" s="63"/>
      <c r="BG1312" s="63"/>
      <c r="BH1312" s="61"/>
      <c r="BI1312" s="61"/>
      <c r="BJ1312" s="61"/>
      <c r="BK1312" s="62"/>
      <c r="BL1312" s="62"/>
      <c r="BM1312" s="63"/>
      <c r="BN1312" s="63"/>
      <c r="BO1312" s="63"/>
      <c r="BP1312" s="63"/>
      <c r="BQ1312" s="63"/>
      <c r="BR1312" s="63"/>
      <c r="BS1312" s="63"/>
      <c r="BT1312" s="63"/>
      <c r="BU1312" s="61"/>
      <c r="BV1312" s="61"/>
      <c r="BW1312" s="61"/>
      <c r="BX1312" s="62"/>
      <c r="BY1312" s="62"/>
      <c r="BZ1312" s="63"/>
      <c r="CA1312" s="63"/>
      <c r="CB1312" s="63"/>
      <c r="CC1312" s="63"/>
      <c r="CD1312" s="63"/>
      <c r="CE1312" s="63"/>
      <c r="CF1312" s="63"/>
      <c r="CG1312" s="63"/>
      <c r="CH1312" s="64"/>
      <c r="CJ1312" s="63"/>
      <c r="CT1312" s="65"/>
      <c r="CU1312" s="65"/>
      <c r="CV1312" s="65"/>
      <c r="CW1312" s="65"/>
      <c r="CX1312" s="65"/>
      <c r="CY1312" s="65"/>
      <c r="CZ1312" s="65"/>
      <c r="DA1312" s="65"/>
      <c r="DB1312" s="65"/>
      <c r="DC1312" s="63"/>
    </row>
    <row r="1313" spans="1:107" s="57" customFormat="1" x14ac:dyDescent="0.2">
      <c r="A1313" s="55">
        <v>10070</v>
      </c>
      <c r="B1313" s="56">
        <v>11</v>
      </c>
      <c r="C1313" s="56">
        <f t="shared" ref="C1313:C1431" si="87">A1313*10000+B1313</f>
        <v>100700011</v>
      </c>
      <c r="D1313" s="57" t="s">
        <v>1944</v>
      </c>
      <c r="E1313" s="58" t="s">
        <v>640</v>
      </c>
      <c r="F1313" s="58"/>
      <c r="G1313" s="58"/>
      <c r="H1313" s="58"/>
      <c r="I1313" s="59" t="s">
        <v>206</v>
      </c>
      <c r="J1313" s="59"/>
      <c r="K1313" s="59"/>
      <c r="L1313" s="59"/>
      <c r="M1313" s="59"/>
      <c r="N1313" s="59" t="s">
        <v>163</v>
      </c>
      <c r="O1313" s="59" t="s">
        <v>163</v>
      </c>
      <c r="P1313" s="59"/>
      <c r="Q1313" s="59" t="s">
        <v>2041</v>
      </c>
      <c r="R1313" s="59"/>
      <c r="S1313" s="59"/>
      <c r="T1313" s="59" t="s">
        <v>2714</v>
      </c>
      <c r="U1313" s="122" t="s">
        <v>3056</v>
      </c>
      <c r="V1313" s="59" t="s">
        <v>109</v>
      </c>
      <c r="W1313" s="59" t="s">
        <v>1</v>
      </c>
      <c r="X1313" s="59"/>
      <c r="Z1313" s="59"/>
      <c r="AA1313" s="59"/>
      <c r="AB1313" s="59"/>
      <c r="AC1313" s="59">
        <v>70</v>
      </c>
      <c r="AD1313" s="59"/>
      <c r="AE1313" s="60"/>
      <c r="AF1313" s="60" t="s">
        <v>2042</v>
      </c>
      <c r="AG1313" s="59"/>
      <c r="AH1313" s="61">
        <v>101702</v>
      </c>
      <c r="AI1313" s="61" t="s">
        <v>260</v>
      </c>
      <c r="AJ1313" s="61"/>
      <c r="AK1313" s="62" t="s">
        <v>636</v>
      </c>
      <c r="AL1313" s="62"/>
      <c r="AM1313" s="63"/>
      <c r="AN1313" s="63"/>
      <c r="AO1313" s="63"/>
      <c r="AP1313" s="63"/>
      <c r="AQ1313" s="63"/>
      <c r="AR1313" s="63"/>
      <c r="AS1313" s="63"/>
      <c r="AT1313" s="63"/>
      <c r="AU1313" s="61"/>
      <c r="AV1313" s="61"/>
      <c r="AW1313" s="61"/>
      <c r="AX1313" s="62"/>
      <c r="AY1313" s="62"/>
      <c r="AZ1313" s="63"/>
      <c r="BA1313" s="63"/>
      <c r="BB1313" s="63"/>
      <c r="BC1313" s="63"/>
      <c r="BD1313" s="63"/>
      <c r="BE1313" s="63"/>
      <c r="BF1313" s="63"/>
      <c r="BG1313" s="63"/>
      <c r="BH1313" s="61"/>
      <c r="BI1313" s="61"/>
      <c r="BJ1313" s="61"/>
      <c r="BK1313" s="62"/>
      <c r="BL1313" s="62"/>
      <c r="BM1313" s="63"/>
      <c r="BN1313" s="63"/>
      <c r="BO1313" s="63"/>
      <c r="BP1313" s="63"/>
      <c r="BQ1313" s="63"/>
      <c r="BR1313" s="63"/>
      <c r="BS1313" s="63"/>
      <c r="BT1313" s="63"/>
      <c r="BU1313" s="61"/>
      <c r="BV1313" s="61"/>
      <c r="BW1313" s="61"/>
      <c r="BX1313" s="62"/>
      <c r="BY1313" s="62"/>
      <c r="BZ1313" s="63"/>
      <c r="CA1313" s="63"/>
      <c r="CB1313" s="63"/>
      <c r="CC1313" s="63"/>
      <c r="CD1313" s="63"/>
      <c r="CE1313" s="63"/>
      <c r="CF1313" s="63"/>
      <c r="CG1313" s="63"/>
      <c r="CH1313" s="64"/>
      <c r="CJ1313" s="63"/>
      <c r="CT1313" s="65"/>
      <c r="CU1313" s="65"/>
      <c r="CV1313" s="65"/>
      <c r="CW1313" s="65"/>
      <c r="CX1313" s="65"/>
      <c r="CY1313" s="65"/>
      <c r="CZ1313" s="65"/>
      <c r="DA1313" s="65"/>
      <c r="DB1313" s="65"/>
      <c r="DC1313" s="63"/>
    </row>
    <row r="1314" spans="1:107" s="57" customFormat="1" x14ac:dyDescent="0.2">
      <c r="A1314" s="55">
        <v>10070</v>
      </c>
      <c r="B1314" s="56">
        <v>12</v>
      </c>
      <c r="C1314" s="56">
        <f t="shared" si="87"/>
        <v>100700012</v>
      </c>
      <c r="D1314" s="57" t="s">
        <v>1944</v>
      </c>
      <c r="E1314" s="58" t="s">
        <v>640</v>
      </c>
      <c r="F1314" s="58"/>
      <c r="G1314" s="58"/>
      <c r="H1314" s="58"/>
      <c r="I1314" s="59" t="s">
        <v>206</v>
      </c>
      <c r="J1314" s="59"/>
      <c r="K1314" s="59"/>
      <c r="L1314" s="59"/>
      <c r="M1314" s="59"/>
      <c r="N1314" s="59" t="s">
        <v>163</v>
      </c>
      <c r="O1314" s="59" t="s">
        <v>163</v>
      </c>
      <c r="P1314" s="59"/>
      <c r="Q1314" s="59" t="s">
        <v>2041</v>
      </c>
      <c r="R1314" s="59"/>
      <c r="S1314" s="59"/>
      <c r="T1314" s="59" t="s">
        <v>2714</v>
      </c>
      <c r="U1314" s="122" t="s">
        <v>3057</v>
      </c>
      <c r="V1314" s="59" t="s">
        <v>109</v>
      </c>
      <c r="W1314" s="59" t="s">
        <v>1</v>
      </c>
      <c r="X1314" s="59"/>
      <c r="Z1314" s="59"/>
      <c r="AA1314" s="59"/>
      <c r="AB1314" s="59"/>
      <c r="AC1314" s="59">
        <v>70</v>
      </c>
      <c r="AD1314" s="59"/>
      <c r="AE1314" s="60"/>
      <c r="AF1314" s="60" t="s">
        <v>2042</v>
      </c>
      <c r="AG1314" s="59"/>
      <c r="AH1314" s="61">
        <v>101703</v>
      </c>
      <c r="AI1314" s="61" t="s">
        <v>264</v>
      </c>
      <c r="AJ1314" s="61"/>
      <c r="AK1314" s="62" t="s">
        <v>637</v>
      </c>
      <c r="AL1314" s="62"/>
      <c r="AM1314" s="63"/>
      <c r="AN1314" s="63"/>
      <c r="AO1314" s="63"/>
      <c r="AP1314" s="63"/>
      <c r="AQ1314" s="63"/>
      <c r="AR1314" s="63"/>
      <c r="AS1314" s="63"/>
      <c r="AT1314" s="63"/>
      <c r="AU1314" s="61"/>
      <c r="AV1314" s="61"/>
      <c r="AW1314" s="61"/>
      <c r="AX1314" s="62"/>
      <c r="AY1314" s="62"/>
      <c r="AZ1314" s="63"/>
      <c r="BA1314" s="63"/>
      <c r="BB1314" s="63"/>
      <c r="BC1314" s="63"/>
      <c r="BD1314" s="63"/>
      <c r="BE1314" s="63"/>
      <c r="BF1314" s="63"/>
      <c r="BG1314" s="63"/>
      <c r="BH1314" s="61"/>
      <c r="BI1314" s="61"/>
      <c r="BJ1314" s="61"/>
      <c r="BK1314" s="62"/>
      <c r="BL1314" s="62"/>
      <c r="BM1314" s="63"/>
      <c r="BN1314" s="63"/>
      <c r="BO1314" s="63"/>
      <c r="BP1314" s="63"/>
      <c r="BQ1314" s="63"/>
      <c r="BR1314" s="63"/>
      <c r="BS1314" s="63"/>
      <c r="BT1314" s="63"/>
      <c r="BU1314" s="61"/>
      <c r="BV1314" s="61"/>
      <c r="BW1314" s="61"/>
      <c r="BX1314" s="62"/>
      <c r="BY1314" s="62"/>
      <c r="BZ1314" s="63"/>
      <c r="CA1314" s="63"/>
      <c r="CB1314" s="63"/>
      <c r="CC1314" s="63"/>
      <c r="CD1314" s="63"/>
      <c r="CE1314" s="63"/>
      <c r="CF1314" s="63"/>
      <c r="CG1314" s="63"/>
      <c r="CH1314" s="64"/>
      <c r="CJ1314" s="63"/>
      <c r="CT1314" s="65"/>
      <c r="CU1314" s="65"/>
      <c r="CV1314" s="65"/>
      <c r="CW1314" s="65"/>
      <c r="CX1314" s="65"/>
      <c r="CY1314" s="65"/>
      <c r="CZ1314" s="65"/>
      <c r="DA1314" s="65"/>
      <c r="DB1314" s="65"/>
      <c r="DC1314" s="63"/>
    </row>
    <row r="1315" spans="1:107" s="57" customFormat="1" x14ac:dyDescent="0.2">
      <c r="A1315" s="55">
        <v>10070</v>
      </c>
      <c r="B1315" s="56">
        <v>13</v>
      </c>
      <c r="C1315" s="56">
        <f t="shared" si="87"/>
        <v>100700013</v>
      </c>
      <c r="D1315" s="57" t="s">
        <v>1944</v>
      </c>
      <c r="E1315" s="58" t="s">
        <v>640</v>
      </c>
      <c r="F1315" s="58"/>
      <c r="G1315" s="58"/>
      <c r="H1315" s="58"/>
      <c r="I1315" s="59" t="s">
        <v>206</v>
      </c>
      <c r="J1315" s="59"/>
      <c r="K1315" s="59"/>
      <c r="L1315" s="59"/>
      <c r="M1315" s="59"/>
      <c r="N1315" s="59" t="s">
        <v>163</v>
      </c>
      <c r="O1315" s="59" t="s">
        <v>163</v>
      </c>
      <c r="P1315" s="59"/>
      <c r="Q1315" s="59" t="s">
        <v>2041</v>
      </c>
      <c r="R1315" s="59"/>
      <c r="S1315" s="59"/>
      <c r="T1315" s="59" t="s">
        <v>2714</v>
      </c>
      <c r="U1315" s="122" t="s">
        <v>3058</v>
      </c>
      <c r="V1315" s="59" t="s">
        <v>109</v>
      </c>
      <c r="W1315" s="59" t="s">
        <v>1</v>
      </c>
      <c r="X1315" s="59"/>
      <c r="Z1315" s="59"/>
      <c r="AA1315" s="59"/>
      <c r="AB1315" s="59"/>
      <c r="AC1315" s="59">
        <v>70</v>
      </c>
      <c r="AD1315" s="59"/>
      <c r="AE1315" s="60"/>
      <c r="AF1315" s="60" t="s">
        <v>2042</v>
      </c>
      <c r="AG1315" s="59"/>
      <c r="AH1315" s="61">
        <v>101704</v>
      </c>
      <c r="AI1315" s="61" t="s">
        <v>265</v>
      </c>
      <c r="AJ1315" s="61"/>
      <c r="AK1315" s="62" t="s">
        <v>638</v>
      </c>
      <c r="AL1315" s="62"/>
      <c r="AM1315" s="63"/>
      <c r="AN1315" s="63"/>
      <c r="AO1315" s="63"/>
      <c r="AP1315" s="63"/>
      <c r="AQ1315" s="63"/>
      <c r="AR1315" s="63"/>
      <c r="AS1315" s="63"/>
      <c r="AT1315" s="63"/>
      <c r="AU1315" s="61"/>
      <c r="AV1315" s="61"/>
      <c r="AW1315" s="61"/>
      <c r="AX1315" s="62"/>
      <c r="AY1315" s="62"/>
      <c r="AZ1315" s="63"/>
      <c r="BA1315" s="63"/>
      <c r="BB1315" s="63"/>
      <c r="BC1315" s="63"/>
      <c r="BD1315" s="63"/>
      <c r="BE1315" s="63"/>
      <c r="BF1315" s="63"/>
      <c r="BG1315" s="63"/>
      <c r="BH1315" s="61"/>
      <c r="BI1315" s="61"/>
      <c r="BJ1315" s="61"/>
      <c r="BK1315" s="62"/>
      <c r="BL1315" s="62"/>
      <c r="BM1315" s="63"/>
      <c r="BN1315" s="63"/>
      <c r="BO1315" s="63"/>
      <c r="BP1315" s="63"/>
      <c r="BQ1315" s="63"/>
      <c r="BR1315" s="63"/>
      <c r="BS1315" s="63"/>
      <c r="BT1315" s="63"/>
      <c r="BU1315" s="61"/>
      <c r="BV1315" s="61"/>
      <c r="BW1315" s="61"/>
      <c r="BX1315" s="62"/>
      <c r="BY1315" s="62"/>
      <c r="BZ1315" s="63"/>
      <c r="CA1315" s="63"/>
      <c r="CB1315" s="63"/>
      <c r="CC1315" s="63"/>
      <c r="CD1315" s="63"/>
      <c r="CE1315" s="63"/>
      <c r="CF1315" s="63"/>
      <c r="CG1315" s="63"/>
      <c r="CH1315" s="64"/>
      <c r="CJ1315" s="63"/>
      <c r="CT1315" s="65"/>
      <c r="CU1315" s="65"/>
      <c r="CV1315" s="65"/>
      <c r="CW1315" s="65"/>
      <c r="CX1315" s="65"/>
      <c r="CY1315" s="65"/>
      <c r="CZ1315" s="65"/>
      <c r="DA1315" s="65"/>
      <c r="DB1315" s="65"/>
      <c r="DC1315" s="63"/>
    </row>
    <row r="1316" spans="1:107" s="57" customFormat="1" x14ac:dyDescent="0.2">
      <c r="A1316" s="55">
        <v>10070</v>
      </c>
      <c r="B1316" s="56">
        <v>14</v>
      </c>
      <c r="C1316" s="56">
        <f t="shared" si="87"/>
        <v>100700014</v>
      </c>
      <c r="D1316" s="57" t="s">
        <v>1944</v>
      </c>
      <c r="E1316" s="58" t="s">
        <v>640</v>
      </c>
      <c r="F1316" s="58"/>
      <c r="G1316" s="58"/>
      <c r="H1316" s="58"/>
      <c r="I1316" s="59" t="s">
        <v>206</v>
      </c>
      <c r="J1316" s="59"/>
      <c r="K1316" s="59"/>
      <c r="L1316" s="59"/>
      <c r="M1316" s="59"/>
      <c r="N1316" s="59" t="s">
        <v>163</v>
      </c>
      <c r="O1316" s="59" t="s">
        <v>163</v>
      </c>
      <c r="P1316" s="59"/>
      <c r="Q1316" s="59" t="s">
        <v>2041</v>
      </c>
      <c r="R1316" s="59"/>
      <c r="S1316" s="59"/>
      <c r="T1316" s="59" t="s">
        <v>2714</v>
      </c>
      <c r="U1316" s="122" t="s">
        <v>3059</v>
      </c>
      <c r="V1316" s="59" t="s">
        <v>109</v>
      </c>
      <c r="W1316" s="59" t="s">
        <v>1</v>
      </c>
      <c r="X1316" s="59"/>
      <c r="Z1316" s="59"/>
      <c r="AA1316" s="59"/>
      <c r="AB1316" s="59"/>
      <c r="AC1316" s="59">
        <v>70</v>
      </c>
      <c r="AD1316" s="59"/>
      <c r="AE1316" s="60"/>
      <c r="AF1316" s="60" t="s">
        <v>2042</v>
      </c>
      <c r="AG1316" s="59"/>
      <c r="AH1316" s="61">
        <v>101705</v>
      </c>
      <c r="AI1316" s="61" t="s">
        <v>266</v>
      </c>
      <c r="AJ1316" s="61"/>
      <c r="AK1316" s="62" t="s">
        <v>639</v>
      </c>
      <c r="AL1316" s="62"/>
      <c r="AM1316" s="63"/>
      <c r="AN1316" s="63"/>
      <c r="AO1316" s="63"/>
      <c r="AP1316" s="63"/>
      <c r="AQ1316" s="63"/>
      <c r="AR1316" s="63"/>
      <c r="AS1316" s="63"/>
      <c r="AT1316" s="63"/>
      <c r="AU1316" s="61"/>
      <c r="AV1316" s="61"/>
      <c r="AW1316" s="61"/>
      <c r="AX1316" s="62"/>
      <c r="AY1316" s="62"/>
      <c r="AZ1316" s="63"/>
      <c r="BA1316" s="63"/>
      <c r="BB1316" s="63"/>
      <c r="BC1316" s="63"/>
      <c r="BD1316" s="63"/>
      <c r="BE1316" s="63"/>
      <c r="BF1316" s="63"/>
      <c r="BG1316" s="63"/>
      <c r="BH1316" s="61"/>
      <c r="BI1316" s="61"/>
      <c r="BJ1316" s="61"/>
      <c r="BK1316" s="62"/>
      <c r="BL1316" s="62"/>
      <c r="BM1316" s="63"/>
      <c r="BN1316" s="63"/>
      <c r="BO1316" s="63"/>
      <c r="BP1316" s="63"/>
      <c r="BQ1316" s="63"/>
      <c r="BR1316" s="63"/>
      <c r="BS1316" s="63"/>
      <c r="BT1316" s="63"/>
      <c r="BU1316" s="61"/>
      <c r="BV1316" s="61"/>
      <c r="BW1316" s="61"/>
      <c r="BX1316" s="62"/>
      <c r="BY1316" s="62"/>
      <c r="BZ1316" s="63"/>
      <c r="CA1316" s="63"/>
      <c r="CB1316" s="63"/>
      <c r="CC1316" s="63"/>
      <c r="CD1316" s="63"/>
      <c r="CE1316" s="63"/>
      <c r="CF1316" s="63"/>
      <c r="CG1316" s="63"/>
      <c r="CH1316" s="64"/>
      <c r="CJ1316" s="63"/>
      <c r="CT1316" s="65"/>
      <c r="CU1316" s="65"/>
      <c r="CV1316" s="65"/>
      <c r="CW1316" s="65"/>
      <c r="CX1316" s="65"/>
      <c r="CY1316" s="65"/>
      <c r="CZ1316" s="65"/>
      <c r="DA1316" s="65"/>
      <c r="DB1316" s="65"/>
      <c r="DC1316" s="63"/>
    </row>
    <row r="1317" spans="1:107" s="57" customFormat="1" x14ac:dyDescent="0.2">
      <c r="A1317" s="55">
        <v>10071</v>
      </c>
      <c r="B1317" s="56">
        <v>10</v>
      </c>
      <c r="C1317" s="56">
        <f t="shared" si="87"/>
        <v>100710010</v>
      </c>
      <c r="D1317" s="57" t="s">
        <v>2075</v>
      </c>
      <c r="E1317" s="58" t="s">
        <v>640</v>
      </c>
      <c r="F1317" s="58"/>
      <c r="G1317" s="58"/>
      <c r="H1317" s="58"/>
      <c r="I1317" s="59" t="s">
        <v>206</v>
      </c>
      <c r="J1317" s="59"/>
      <c r="K1317" s="59"/>
      <c r="L1317" s="59"/>
      <c r="M1317" s="59"/>
      <c r="N1317" s="59" t="s">
        <v>163</v>
      </c>
      <c r="O1317" s="59" t="s">
        <v>163</v>
      </c>
      <c r="P1317" s="59"/>
      <c r="Q1317" s="59" t="s">
        <v>2041</v>
      </c>
      <c r="R1317" s="59"/>
      <c r="S1317" s="59"/>
      <c r="T1317" s="59" t="s">
        <v>2714</v>
      </c>
      <c r="U1317" s="122" t="s">
        <v>3060</v>
      </c>
      <c r="V1317" s="59" t="s">
        <v>109</v>
      </c>
      <c r="W1317" s="59" t="s">
        <v>1</v>
      </c>
      <c r="X1317" s="59"/>
      <c r="Z1317" s="59"/>
      <c r="AA1317" s="59"/>
      <c r="AB1317" s="59"/>
      <c r="AC1317" s="59">
        <v>71</v>
      </c>
      <c r="AD1317" s="59"/>
      <c r="AE1317" s="60"/>
      <c r="AF1317" s="60" t="s">
        <v>2042</v>
      </c>
      <c r="AG1317" s="59"/>
      <c r="AH1317" s="61">
        <v>101711</v>
      </c>
      <c r="AI1317" s="61" t="s">
        <v>176</v>
      </c>
      <c r="AJ1317" s="61"/>
      <c r="AK1317" s="62" t="s">
        <v>635</v>
      </c>
      <c r="AL1317" s="62"/>
      <c r="AM1317" s="63"/>
      <c r="AN1317" s="63"/>
      <c r="AO1317" s="63"/>
      <c r="AP1317" s="63"/>
      <c r="AQ1317" s="63"/>
      <c r="AR1317" s="63"/>
      <c r="AS1317" s="63"/>
      <c r="AT1317" s="63"/>
      <c r="AU1317" s="61"/>
      <c r="AV1317" s="61"/>
      <c r="AW1317" s="61"/>
      <c r="AX1317" s="62"/>
      <c r="AY1317" s="62"/>
      <c r="AZ1317" s="63"/>
      <c r="BA1317" s="63"/>
      <c r="BB1317" s="63"/>
      <c r="BC1317" s="63"/>
      <c r="BD1317" s="63"/>
      <c r="BE1317" s="63"/>
      <c r="BF1317" s="63"/>
      <c r="BG1317" s="63"/>
      <c r="BH1317" s="61"/>
      <c r="BI1317" s="61"/>
      <c r="BJ1317" s="61"/>
      <c r="BK1317" s="62"/>
      <c r="BL1317" s="62"/>
      <c r="BM1317" s="63"/>
      <c r="BN1317" s="63"/>
      <c r="BO1317" s="63"/>
      <c r="BP1317" s="63"/>
      <c r="BQ1317" s="63"/>
      <c r="BR1317" s="63"/>
      <c r="BS1317" s="63"/>
      <c r="BT1317" s="63"/>
      <c r="BU1317" s="61"/>
      <c r="BV1317" s="61"/>
      <c r="BW1317" s="61"/>
      <c r="BX1317" s="62"/>
      <c r="BY1317" s="62"/>
      <c r="BZ1317" s="63"/>
      <c r="CA1317" s="63"/>
      <c r="CB1317" s="63"/>
      <c r="CC1317" s="63"/>
      <c r="CD1317" s="63"/>
      <c r="CE1317" s="63"/>
      <c r="CF1317" s="63"/>
      <c r="CG1317" s="63"/>
      <c r="CH1317" s="64"/>
      <c r="CJ1317" s="63"/>
      <c r="CT1317" s="65"/>
      <c r="CU1317" s="65"/>
      <c r="CV1317" s="65"/>
      <c r="CW1317" s="65"/>
      <c r="CX1317" s="65"/>
      <c r="CY1317" s="65"/>
      <c r="CZ1317" s="65"/>
      <c r="DA1317" s="65"/>
      <c r="DB1317" s="65"/>
      <c r="DC1317" s="63"/>
    </row>
    <row r="1318" spans="1:107" s="57" customFormat="1" x14ac:dyDescent="0.2">
      <c r="A1318" s="55">
        <v>10071</v>
      </c>
      <c r="B1318" s="56">
        <v>11</v>
      </c>
      <c r="C1318" s="56">
        <f t="shared" si="87"/>
        <v>100710011</v>
      </c>
      <c r="D1318" s="57" t="s">
        <v>2075</v>
      </c>
      <c r="E1318" s="58" t="s">
        <v>640</v>
      </c>
      <c r="F1318" s="58"/>
      <c r="G1318" s="58"/>
      <c r="H1318" s="58"/>
      <c r="I1318" s="59" t="s">
        <v>206</v>
      </c>
      <c r="J1318" s="59"/>
      <c r="K1318" s="59"/>
      <c r="L1318" s="59"/>
      <c r="M1318" s="59"/>
      <c r="N1318" s="59" t="s">
        <v>163</v>
      </c>
      <c r="O1318" s="59" t="s">
        <v>163</v>
      </c>
      <c r="P1318" s="59"/>
      <c r="Q1318" s="59" t="s">
        <v>2041</v>
      </c>
      <c r="R1318" s="59"/>
      <c r="S1318" s="59"/>
      <c r="T1318" s="59" t="s">
        <v>2714</v>
      </c>
      <c r="U1318" s="122" t="s">
        <v>3061</v>
      </c>
      <c r="V1318" s="59" t="s">
        <v>109</v>
      </c>
      <c r="W1318" s="59" t="s">
        <v>1</v>
      </c>
      <c r="X1318" s="59"/>
      <c r="Z1318" s="59"/>
      <c r="AA1318" s="59"/>
      <c r="AB1318" s="59"/>
      <c r="AC1318" s="59">
        <v>71</v>
      </c>
      <c r="AD1318" s="59"/>
      <c r="AE1318" s="60"/>
      <c r="AF1318" s="60" t="s">
        <v>2042</v>
      </c>
      <c r="AG1318" s="59"/>
      <c r="AH1318" s="61">
        <v>101712</v>
      </c>
      <c r="AI1318" s="61" t="s">
        <v>260</v>
      </c>
      <c r="AJ1318" s="61"/>
      <c r="AK1318" s="62" t="s">
        <v>636</v>
      </c>
      <c r="AL1318" s="62"/>
      <c r="AM1318" s="63"/>
      <c r="AN1318" s="63"/>
      <c r="AO1318" s="63"/>
      <c r="AP1318" s="63"/>
      <c r="AQ1318" s="63"/>
      <c r="AR1318" s="63"/>
      <c r="AS1318" s="63"/>
      <c r="AT1318" s="63"/>
      <c r="AU1318" s="61"/>
      <c r="AV1318" s="61"/>
      <c r="AW1318" s="61"/>
      <c r="AX1318" s="62"/>
      <c r="AY1318" s="62"/>
      <c r="AZ1318" s="63"/>
      <c r="BA1318" s="63"/>
      <c r="BB1318" s="63"/>
      <c r="BC1318" s="63"/>
      <c r="BD1318" s="63"/>
      <c r="BE1318" s="63"/>
      <c r="BF1318" s="63"/>
      <c r="BG1318" s="63"/>
      <c r="BH1318" s="61"/>
      <c r="BI1318" s="61"/>
      <c r="BJ1318" s="61"/>
      <c r="BK1318" s="62"/>
      <c r="BL1318" s="62"/>
      <c r="BM1318" s="63"/>
      <c r="BN1318" s="63"/>
      <c r="BO1318" s="63"/>
      <c r="BP1318" s="63"/>
      <c r="BQ1318" s="63"/>
      <c r="BR1318" s="63"/>
      <c r="BS1318" s="63"/>
      <c r="BT1318" s="63"/>
      <c r="BU1318" s="61"/>
      <c r="BV1318" s="61"/>
      <c r="BW1318" s="61"/>
      <c r="BX1318" s="62"/>
      <c r="BY1318" s="62"/>
      <c r="BZ1318" s="63"/>
      <c r="CA1318" s="63"/>
      <c r="CB1318" s="63"/>
      <c r="CC1318" s="63"/>
      <c r="CD1318" s="63"/>
      <c r="CE1318" s="63"/>
      <c r="CF1318" s="63"/>
      <c r="CG1318" s="63"/>
      <c r="CH1318" s="64"/>
      <c r="CJ1318" s="63"/>
      <c r="CT1318" s="65"/>
      <c r="CU1318" s="65"/>
      <c r="CV1318" s="65"/>
      <c r="CW1318" s="65"/>
      <c r="CX1318" s="65"/>
      <c r="CY1318" s="65"/>
      <c r="CZ1318" s="65"/>
      <c r="DA1318" s="65"/>
      <c r="DB1318" s="65"/>
      <c r="DC1318" s="63"/>
    </row>
    <row r="1319" spans="1:107" s="57" customFormat="1" x14ac:dyDescent="0.2">
      <c r="A1319" s="55">
        <v>10071</v>
      </c>
      <c r="B1319" s="56">
        <v>12</v>
      </c>
      <c r="C1319" s="56">
        <f t="shared" si="87"/>
        <v>100710012</v>
      </c>
      <c r="D1319" s="57" t="s">
        <v>2075</v>
      </c>
      <c r="E1319" s="58" t="s">
        <v>640</v>
      </c>
      <c r="F1319" s="58"/>
      <c r="G1319" s="58"/>
      <c r="H1319" s="58"/>
      <c r="I1319" s="59" t="s">
        <v>206</v>
      </c>
      <c r="J1319" s="59"/>
      <c r="K1319" s="59"/>
      <c r="L1319" s="59"/>
      <c r="M1319" s="59"/>
      <c r="N1319" s="59" t="s">
        <v>163</v>
      </c>
      <c r="O1319" s="59" t="s">
        <v>163</v>
      </c>
      <c r="P1319" s="59"/>
      <c r="Q1319" s="59" t="s">
        <v>2041</v>
      </c>
      <c r="R1319" s="59"/>
      <c r="S1319" s="59"/>
      <c r="T1319" s="59" t="s">
        <v>2714</v>
      </c>
      <c r="U1319" s="122" t="s">
        <v>3062</v>
      </c>
      <c r="V1319" s="59" t="s">
        <v>109</v>
      </c>
      <c r="W1319" s="59" t="s">
        <v>1</v>
      </c>
      <c r="X1319" s="59"/>
      <c r="Z1319" s="59"/>
      <c r="AA1319" s="59"/>
      <c r="AB1319" s="59"/>
      <c r="AC1319" s="59">
        <v>71</v>
      </c>
      <c r="AD1319" s="59"/>
      <c r="AE1319" s="60"/>
      <c r="AF1319" s="60" t="s">
        <v>2042</v>
      </c>
      <c r="AG1319" s="59"/>
      <c r="AH1319" s="61">
        <v>101713</v>
      </c>
      <c r="AI1319" s="61" t="s">
        <v>264</v>
      </c>
      <c r="AJ1319" s="61"/>
      <c r="AK1319" s="62" t="s">
        <v>637</v>
      </c>
      <c r="AL1319" s="62"/>
      <c r="AM1319" s="63"/>
      <c r="AN1319" s="63"/>
      <c r="AO1319" s="63"/>
      <c r="AP1319" s="63"/>
      <c r="AQ1319" s="63"/>
      <c r="AR1319" s="63"/>
      <c r="AS1319" s="63"/>
      <c r="AT1319" s="63"/>
      <c r="AU1319" s="61"/>
      <c r="AV1319" s="61"/>
      <c r="AW1319" s="61"/>
      <c r="AX1319" s="62"/>
      <c r="AY1319" s="62"/>
      <c r="AZ1319" s="63"/>
      <c r="BA1319" s="63"/>
      <c r="BB1319" s="63"/>
      <c r="BC1319" s="63"/>
      <c r="BD1319" s="63"/>
      <c r="BE1319" s="63"/>
      <c r="BF1319" s="63"/>
      <c r="BG1319" s="63"/>
      <c r="BH1319" s="61"/>
      <c r="BI1319" s="61"/>
      <c r="BJ1319" s="61"/>
      <c r="BK1319" s="62"/>
      <c r="BL1319" s="62"/>
      <c r="BM1319" s="63"/>
      <c r="BN1319" s="63"/>
      <c r="BO1319" s="63"/>
      <c r="BP1319" s="63"/>
      <c r="BQ1319" s="63"/>
      <c r="BR1319" s="63"/>
      <c r="BS1319" s="63"/>
      <c r="BT1319" s="63"/>
      <c r="BU1319" s="61"/>
      <c r="BV1319" s="61"/>
      <c r="BW1319" s="61"/>
      <c r="BX1319" s="62"/>
      <c r="BY1319" s="62"/>
      <c r="BZ1319" s="63"/>
      <c r="CA1319" s="63"/>
      <c r="CB1319" s="63"/>
      <c r="CC1319" s="63"/>
      <c r="CD1319" s="63"/>
      <c r="CE1319" s="63"/>
      <c r="CF1319" s="63"/>
      <c r="CG1319" s="63"/>
      <c r="CH1319" s="64"/>
      <c r="CJ1319" s="63"/>
      <c r="CT1319" s="65"/>
      <c r="CU1319" s="65"/>
      <c r="CV1319" s="65"/>
      <c r="CW1319" s="65"/>
      <c r="CX1319" s="65"/>
      <c r="CY1319" s="65"/>
      <c r="CZ1319" s="65"/>
      <c r="DA1319" s="65"/>
      <c r="DB1319" s="65"/>
      <c r="DC1319" s="63"/>
    </row>
    <row r="1320" spans="1:107" s="57" customFormat="1" x14ac:dyDescent="0.2">
      <c r="A1320" s="55">
        <v>10071</v>
      </c>
      <c r="B1320" s="56">
        <v>13</v>
      </c>
      <c r="C1320" s="56">
        <f t="shared" si="87"/>
        <v>100710013</v>
      </c>
      <c r="D1320" s="57" t="s">
        <v>2075</v>
      </c>
      <c r="E1320" s="58" t="s">
        <v>640</v>
      </c>
      <c r="F1320" s="58"/>
      <c r="G1320" s="58"/>
      <c r="H1320" s="58"/>
      <c r="I1320" s="59" t="s">
        <v>206</v>
      </c>
      <c r="J1320" s="59"/>
      <c r="K1320" s="59"/>
      <c r="L1320" s="59"/>
      <c r="M1320" s="59"/>
      <c r="N1320" s="59" t="s">
        <v>163</v>
      </c>
      <c r="O1320" s="59" t="s">
        <v>163</v>
      </c>
      <c r="P1320" s="59"/>
      <c r="Q1320" s="59" t="s">
        <v>2041</v>
      </c>
      <c r="R1320" s="59"/>
      <c r="S1320" s="59"/>
      <c r="T1320" s="59" t="s">
        <v>2714</v>
      </c>
      <c r="U1320" s="122" t="s">
        <v>3063</v>
      </c>
      <c r="V1320" s="59" t="s">
        <v>109</v>
      </c>
      <c r="W1320" s="59" t="s">
        <v>1</v>
      </c>
      <c r="X1320" s="59"/>
      <c r="Z1320" s="59"/>
      <c r="AA1320" s="59"/>
      <c r="AB1320" s="59"/>
      <c r="AC1320" s="59">
        <v>71</v>
      </c>
      <c r="AD1320" s="59"/>
      <c r="AE1320" s="60"/>
      <c r="AF1320" s="60" t="s">
        <v>2042</v>
      </c>
      <c r="AG1320" s="59"/>
      <c r="AH1320" s="61">
        <v>101714</v>
      </c>
      <c r="AI1320" s="61" t="s">
        <v>265</v>
      </c>
      <c r="AJ1320" s="61"/>
      <c r="AK1320" s="62" t="s">
        <v>638</v>
      </c>
      <c r="AL1320" s="62"/>
      <c r="AM1320" s="63"/>
      <c r="AN1320" s="63"/>
      <c r="AO1320" s="63"/>
      <c r="AP1320" s="63"/>
      <c r="AQ1320" s="63"/>
      <c r="AR1320" s="63"/>
      <c r="AS1320" s="63"/>
      <c r="AT1320" s="63"/>
      <c r="AU1320" s="61"/>
      <c r="AV1320" s="61"/>
      <c r="AW1320" s="61"/>
      <c r="AX1320" s="62"/>
      <c r="AY1320" s="62"/>
      <c r="AZ1320" s="63"/>
      <c r="BA1320" s="63"/>
      <c r="BB1320" s="63"/>
      <c r="BC1320" s="63"/>
      <c r="BD1320" s="63"/>
      <c r="BE1320" s="63"/>
      <c r="BF1320" s="63"/>
      <c r="BG1320" s="63"/>
      <c r="BH1320" s="61"/>
      <c r="BI1320" s="61"/>
      <c r="BJ1320" s="61"/>
      <c r="BK1320" s="62"/>
      <c r="BL1320" s="62"/>
      <c r="BM1320" s="63"/>
      <c r="BN1320" s="63"/>
      <c r="BO1320" s="63"/>
      <c r="BP1320" s="63"/>
      <c r="BQ1320" s="63"/>
      <c r="BR1320" s="63"/>
      <c r="BS1320" s="63"/>
      <c r="BT1320" s="63"/>
      <c r="BU1320" s="61"/>
      <c r="BV1320" s="61"/>
      <c r="BW1320" s="61"/>
      <c r="BX1320" s="62"/>
      <c r="BY1320" s="62"/>
      <c r="BZ1320" s="63"/>
      <c r="CA1320" s="63"/>
      <c r="CB1320" s="63"/>
      <c r="CC1320" s="63"/>
      <c r="CD1320" s="63"/>
      <c r="CE1320" s="63"/>
      <c r="CF1320" s="63"/>
      <c r="CG1320" s="63"/>
      <c r="CH1320" s="64"/>
      <c r="CJ1320" s="63"/>
      <c r="CT1320" s="65"/>
      <c r="CU1320" s="65"/>
      <c r="CV1320" s="65"/>
      <c r="CW1320" s="65"/>
      <c r="CX1320" s="65"/>
      <c r="CY1320" s="65"/>
      <c r="CZ1320" s="65"/>
      <c r="DA1320" s="65"/>
      <c r="DB1320" s="65"/>
      <c r="DC1320" s="63"/>
    </row>
    <row r="1321" spans="1:107" s="57" customFormat="1" x14ac:dyDescent="0.2">
      <c r="A1321" s="55">
        <v>10071</v>
      </c>
      <c r="B1321" s="56">
        <v>14</v>
      </c>
      <c r="C1321" s="56">
        <f t="shared" si="87"/>
        <v>100710014</v>
      </c>
      <c r="D1321" s="57" t="s">
        <v>2075</v>
      </c>
      <c r="E1321" s="58" t="s">
        <v>640</v>
      </c>
      <c r="F1321" s="58"/>
      <c r="G1321" s="58"/>
      <c r="H1321" s="58"/>
      <c r="I1321" s="59" t="s">
        <v>206</v>
      </c>
      <c r="J1321" s="59"/>
      <c r="K1321" s="59"/>
      <c r="L1321" s="59"/>
      <c r="M1321" s="59"/>
      <c r="N1321" s="59" t="s">
        <v>163</v>
      </c>
      <c r="O1321" s="59" t="s">
        <v>163</v>
      </c>
      <c r="P1321" s="59"/>
      <c r="Q1321" s="59" t="s">
        <v>2041</v>
      </c>
      <c r="R1321" s="59"/>
      <c r="S1321" s="59"/>
      <c r="T1321" s="59" t="s">
        <v>2714</v>
      </c>
      <c r="U1321" s="122" t="s">
        <v>3064</v>
      </c>
      <c r="V1321" s="59" t="s">
        <v>109</v>
      </c>
      <c r="W1321" s="59" t="s">
        <v>1</v>
      </c>
      <c r="X1321" s="59"/>
      <c r="Z1321" s="59"/>
      <c r="AA1321" s="59"/>
      <c r="AB1321" s="59"/>
      <c r="AC1321" s="59">
        <v>71</v>
      </c>
      <c r="AD1321" s="59"/>
      <c r="AE1321" s="60"/>
      <c r="AF1321" s="60" t="s">
        <v>2042</v>
      </c>
      <c r="AG1321" s="59"/>
      <c r="AH1321" s="61">
        <v>101715</v>
      </c>
      <c r="AI1321" s="61" t="s">
        <v>266</v>
      </c>
      <c r="AJ1321" s="61"/>
      <c r="AK1321" s="62" t="s">
        <v>639</v>
      </c>
      <c r="AL1321" s="62"/>
      <c r="AM1321" s="63"/>
      <c r="AN1321" s="63"/>
      <c r="AO1321" s="63"/>
      <c r="AP1321" s="63"/>
      <c r="AQ1321" s="63"/>
      <c r="AR1321" s="63"/>
      <c r="AS1321" s="63"/>
      <c r="AT1321" s="63"/>
      <c r="AU1321" s="61"/>
      <c r="AV1321" s="61"/>
      <c r="AW1321" s="61"/>
      <c r="AX1321" s="62"/>
      <c r="AY1321" s="62"/>
      <c r="AZ1321" s="63"/>
      <c r="BA1321" s="63"/>
      <c r="BB1321" s="63"/>
      <c r="BC1321" s="63"/>
      <c r="BD1321" s="63"/>
      <c r="BE1321" s="63"/>
      <c r="BF1321" s="63"/>
      <c r="BG1321" s="63"/>
      <c r="BH1321" s="61"/>
      <c r="BI1321" s="61"/>
      <c r="BJ1321" s="61"/>
      <c r="BK1321" s="62"/>
      <c r="BL1321" s="62"/>
      <c r="BM1321" s="63"/>
      <c r="BN1321" s="63"/>
      <c r="BO1321" s="63"/>
      <c r="BP1321" s="63"/>
      <c r="BQ1321" s="63"/>
      <c r="BR1321" s="63"/>
      <c r="BS1321" s="63"/>
      <c r="BT1321" s="63"/>
      <c r="BU1321" s="61"/>
      <c r="BV1321" s="61"/>
      <c r="BW1321" s="61"/>
      <c r="BX1321" s="62"/>
      <c r="BY1321" s="62"/>
      <c r="BZ1321" s="63"/>
      <c r="CA1321" s="63"/>
      <c r="CB1321" s="63"/>
      <c r="CC1321" s="63"/>
      <c r="CD1321" s="63"/>
      <c r="CE1321" s="63"/>
      <c r="CF1321" s="63"/>
      <c r="CG1321" s="63"/>
      <c r="CH1321" s="64"/>
      <c r="CJ1321" s="63"/>
      <c r="CT1321" s="65"/>
      <c r="CU1321" s="65"/>
      <c r="CV1321" s="65"/>
      <c r="CW1321" s="65"/>
      <c r="CX1321" s="65"/>
      <c r="CY1321" s="65"/>
      <c r="CZ1321" s="65"/>
      <c r="DA1321" s="65"/>
      <c r="DB1321" s="65"/>
      <c r="DC1321" s="63"/>
    </row>
    <row r="1322" spans="1:107" s="57" customFormat="1" x14ac:dyDescent="0.2">
      <c r="A1322" s="55">
        <v>10072</v>
      </c>
      <c r="B1322" s="56">
        <v>10</v>
      </c>
      <c r="C1322" s="56">
        <f t="shared" ref="C1322:C1326" si="88">A1322*10000+B1322</f>
        <v>100720010</v>
      </c>
      <c r="D1322" s="57" t="s">
        <v>3544</v>
      </c>
      <c r="E1322" s="58" t="s">
        <v>640</v>
      </c>
      <c r="F1322" s="58"/>
      <c r="G1322" s="58"/>
      <c r="H1322" s="58"/>
      <c r="I1322" s="59" t="s">
        <v>206</v>
      </c>
      <c r="J1322" s="59"/>
      <c r="K1322" s="59"/>
      <c r="L1322" s="59"/>
      <c r="M1322" s="59"/>
      <c r="N1322" s="59" t="s">
        <v>163</v>
      </c>
      <c r="O1322" s="59" t="s">
        <v>163</v>
      </c>
      <c r="P1322" s="59"/>
      <c r="Q1322" s="59" t="s">
        <v>2041</v>
      </c>
      <c r="R1322" s="59"/>
      <c r="S1322" s="59"/>
      <c r="T1322" s="59" t="s">
        <v>2714</v>
      </c>
      <c r="U1322" s="122" t="s">
        <v>3550</v>
      </c>
      <c r="V1322" s="59" t="s">
        <v>109</v>
      </c>
      <c r="W1322" s="59" t="s">
        <v>1</v>
      </c>
      <c r="X1322" s="59"/>
      <c r="Z1322" s="59"/>
      <c r="AA1322" s="59"/>
      <c r="AB1322" s="59"/>
      <c r="AC1322" s="59">
        <v>72</v>
      </c>
      <c r="AD1322" s="59"/>
      <c r="AE1322" s="60"/>
      <c r="AF1322" s="60" t="s">
        <v>2042</v>
      </c>
      <c r="AG1322" s="59"/>
      <c r="AH1322" s="61">
        <v>101721</v>
      </c>
      <c r="AI1322" s="61" t="s">
        <v>176</v>
      </c>
      <c r="AJ1322" s="61"/>
      <c r="AK1322" s="62" t="s">
        <v>635</v>
      </c>
      <c r="AL1322" s="62"/>
      <c r="AM1322" s="63"/>
      <c r="AN1322" s="63"/>
      <c r="AO1322" s="63"/>
      <c r="AP1322" s="63"/>
      <c r="AQ1322" s="63"/>
      <c r="AR1322" s="63"/>
      <c r="AS1322" s="63"/>
      <c r="AT1322" s="63"/>
      <c r="AU1322" s="61"/>
      <c r="AV1322" s="61"/>
      <c r="AW1322" s="61"/>
      <c r="AX1322" s="62"/>
      <c r="AY1322" s="62"/>
      <c r="AZ1322" s="63"/>
      <c r="BA1322" s="63"/>
      <c r="BB1322" s="63"/>
      <c r="BC1322" s="63"/>
      <c r="BD1322" s="63"/>
      <c r="BE1322" s="63"/>
      <c r="BF1322" s="63"/>
      <c r="BG1322" s="63"/>
      <c r="BH1322" s="61"/>
      <c r="BI1322" s="61"/>
      <c r="BJ1322" s="61"/>
      <c r="BK1322" s="62"/>
      <c r="BL1322" s="62"/>
      <c r="BM1322" s="63"/>
      <c r="BN1322" s="63"/>
      <c r="BO1322" s="63"/>
      <c r="BP1322" s="63"/>
      <c r="BQ1322" s="63"/>
      <c r="BR1322" s="63"/>
      <c r="BS1322" s="63"/>
      <c r="BT1322" s="63"/>
      <c r="BU1322" s="61"/>
      <c r="BV1322" s="61"/>
      <c r="BW1322" s="61"/>
      <c r="BX1322" s="62"/>
      <c r="BY1322" s="62"/>
      <c r="BZ1322" s="63"/>
      <c r="CA1322" s="63"/>
      <c r="CB1322" s="63"/>
      <c r="CC1322" s="63"/>
      <c r="CD1322" s="63"/>
      <c r="CE1322" s="63"/>
      <c r="CF1322" s="63"/>
      <c r="CG1322" s="63"/>
      <c r="CH1322" s="64"/>
      <c r="CJ1322" s="63"/>
      <c r="CT1322" s="65"/>
      <c r="CU1322" s="65"/>
      <c r="CV1322" s="65"/>
      <c r="CW1322" s="65"/>
      <c r="CX1322" s="65"/>
      <c r="CY1322" s="65"/>
      <c r="CZ1322" s="65"/>
      <c r="DA1322" s="65"/>
      <c r="DB1322" s="65"/>
      <c r="DC1322" s="63"/>
    </row>
    <row r="1323" spans="1:107" s="57" customFormat="1" x14ac:dyDescent="0.2">
      <c r="A1323" s="55">
        <v>10072</v>
      </c>
      <c r="B1323" s="56">
        <v>11</v>
      </c>
      <c r="C1323" s="56">
        <f t="shared" si="88"/>
        <v>100720011</v>
      </c>
      <c r="D1323" s="57" t="s">
        <v>3544</v>
      </c>
      <c r="E1323" s="58" t="s">
        <v>640</v>
      </c>
      <c r="F1323" s="58"/>
      <c r="G1323" s="58"/>
      <c r="H1323" s="58"/>
      <c r="I1323" s="59" t="s">
        <v>206</v>
      </c>
      <c r="J1323" s="59"/>
      <c r="K1323" s="59"/>
      <c r="L1323" s="59"/>
      <c r="M1323" s="59"/>
      <c r="N1323" s="59" t="s">
        <v>163</v>
      </c>
      <c r="O1323" s="59" t="s">
        <v>163</v>
      </c>
      <c r="P1323" s="59"/>
      <c r="Q1323" s="59" t="s">
        <v>2041</v>
      </c>
      <c r="R1323" s="59"/>
      <c r="S1323" s="59"/>
      <c r="T1323" s="59" t="s">
        <v>2714</v>
      </c>
      <c r="U1323" s="122" t="s">
        <v>3551</v>
      </c>
      <c r="V1323" s="59" t="s">
        <v>109</v>
      </c>
      <c r="W1323" s="59" t="s">
        <v>1</v>
      </c>
      <c r="X1323" s="59"/>
      <c r="Z1323" s="59"/>
      <c r="AA1323" s="59"/>
      <c r="AB1323" s="59"/>
      <c r="AC1323" s="59">
        <v>72</v>
      </c>
      <c r="AD1323" s="59"/>
      <c r="AE1323" s="60"/>
      <c r="AF1323" s="60" t="s">
        <v>2042</v>
      </c>
      <c r="AG1323" s="59"/>
      <c r="AH1323" s="61">
        <v>101722</v>
      </c>
      <c r="AI1323" s="61" t="s">
        <v>260</v>
      </c>
      <c r="AJ1323" s="61"/>
      <c r="AK1323" s="62" t="s">
        <v>636</v>
      </c>
      <c r="AL1323" s="62"/>
      <c r="AM1323" s="63"/>
      <c r="AN1323" s="63"/>
      <c r="AO1323" s="63"/>
      <c r="AP1323" s="63"/>
      <c r="AQ1323" s="63"/>
      <c r="AR1323" s="63"/>
      <c r="AS1323" s="63"/>
      <c r="AT1323" s="63"/>
      <c r="AU1323" s="61"/>
      <c r="AV1323" s="61"/>
      <c r="AW1323" s="61"/>
      <c r="AX1323" s="62"/>
      <c r="AY1323" s="62"/>
      <c r="AZ1323" s="63"/>
      <c r="BA1323" s="63"/>
      <c r="BB1323" s="63"/>
      <c r="BC1323" s="63"/>
      <c r="BD1323" s="63"/>
      <c r="BE1323" s="63"/>
      <c r="BF1323" s="63"/>
      <c r="BG1323" s="63"/>
      <c r="BH1323" s="61"/>
      <c r="BI1323" s="61"/>
      <c r="BJ1323" s="61"/>
      <c r="BK1323" s="62"/>
      <c r="BL1323" s="62"/>
      <c r="BM1323" s="63"/>
      <c r="BN1323" s="63"/>
      <c r="BO1323" s="63"/>
      <c r="BP1323" s="63"/>
      <c r="BQ1323" s="63"/>
      <c r="BR1323" s="63"/>
      <c r="BS1323" s="63"/>
      <c r="BT1323" s="63"/>
      <c r="BU1323" s="61"/>
      <c r="BV1323" s="61"/>
      <c r="BW1323" s="61"/>
      <c r="BX1323" s="62"/>
      <c r="BY1323" s="62"/>
      <c r="BZ1323" s="63"/>
      <c r="CA1323" s="63"/>
      <c r="CB1323" s="63"/>
      <c r="CC1323" s="63"/>
      <c r="CD1323" s="63"/>
      <c r="CE1323" s="63"/>
      <c r="CF1323" s="63"/>
      <c r="CG1323" s="63"/>
      <c r="CH1323" s="64"/>
      <c r="CJ1323" s="63"/>
      <c r="CT1323" s="65"/>
      <c r="CU1323" s="65"/>
      <c r="CV1323" s="65"/>
      <c r="CW1323" s="65"/>
      <c r="CX1323" s="65"/>
      <c r="CY1323" s="65"/>
      <c r="CZ1323" s="65"/>
      <c r="DA1323" s="65"/>
      <c r="DB1323" s="65"/>
      <c r="DC1323" s="63"/>
    </row>
    <row r="1324" spans="1:107" s="57" customFormat="1" x14ac:dyDescent="0.2">
      <c r="A1324" s="55">
        <v>10072</v>
      </c>
      <c r="B1324" s="56">
        <v>12</v>
      </c>
      <c r="C1324" s="56">
        <f t="shared" si="88"/>
        <v>100720012</v>
      </c>
      <c r="D1324" s="57" t="s">
        <v>3544</v>
      </c>
      <c r="E1324" s="58" t="s">
        <v>640</v>
      </c>
      <c r="F1324" s="58"/>
      <c r="G1324" s="58"/>
      <c r="H1324" s="58"/>
      <c r="I1324" s="59" t="s">
        <v>206</v>
      </c>
      <c r="J1324" s="59"/>
      <c r="K1324" s="59"/>
      <c r="L1324" s="59"/>
      <c r="M1324" s="59"/>
      <c r="N1324" s="59" t="s">
        <v>163</v>
      </c>
      <c r="O1324" s="59" t="s">
        <v>163</v>
      </c>
      <c r="P1324" s="59"/>
      <c r="Q1324" s="59" t="s">
        <v>2041</v>
      </c>
      <c r="R1324" s="59"/>
      <c r="S1324" s="59"/>
      <c r="T1324" s="59" t="s">
        <v>2714</v>
      </c>
      <c r="U1324" s="122" t="s">
        <v>3552</v>
      </c>
      <c r="V1324" s="59" t="s">
        <v>109</v>
      </c>
      <c r="W1324" s="59" t="s">
        <v>1</v>
      </c>
      <c r="X1324" s="59"/>
      <c r="Z1324" s="59"/>
      <c r="AA1324" s="59"/>
      <c r="AB1324" s="59"/>
      <c r="AC1324" s="59">
        <v>72</v>
      </c>
      <c r="AD1324" s="59"/>
      <c r="AE1324" s="60"/>
      <c r="AF1324" s="60" t="s">
        <v>2042</v>
      </c>
      <c r="AG1324" s="59"/>
      <c r="AH1324" s="61">
        <v>101723</v>
      </c>
      <c r="AI1324" s="61" t="s">
        <v>264</v>
      </c>
      <c r="AJ1324" s="61"/>
      <c r="AK1324" s="62" t="s">
        <v>637</v>
      </c>
      <c r="AL1324" s="62"/>
      <c r="AM1324" s="63"/>
      <c r="AN1324" s="63"/>
      <c r="AO1324" s="63"/>
      <c r="AP1324" s="63"/>
      <c r="AQ1324" s="63"/>
      <c r="AR1324" s="63"/>
      <c r="AS1324" s="63"/>
      <c r="AT1324" s="63"/>
      <c r="AU1324" s="61"/>
      <c r="AV1324" s="61"/>
      <c r="AW1324" s="61"/>
      <c r="AX1324" s="62"/>
      <c r="AY1324" s="62"/>
      <c r="AZ1324" s="63"/>
      <c r="BA1324" s="63"/>
      <c r="BB1324" s="63"/>
      <c r="BC1324" s="63"/>
      <c r="BD1324" s="63"/>
      <c r="BE1324" s="63"/>
      <c r="BF1324" s="63"/>
      <c r="BG1324" s="63"/>
      <c r="BH1324" s="61"/>
      <c r="BI1324" s="61"/>
      <c r="BJ1324" s="61"/>
      <c r="BK1324" s="62"/>
      <c r="BL1324" s="62"/>
      <c r="BM1324" s="63"/>
      <c r="BN1324" s="63"/>
      <c r="BO1324" s="63"/>
      <c r="BP1324" s="63"/>
      <c r="BQ1324" s="63"/>
      <c r="BR1324" s="63"/>
      <c r="BS1324" s="63"/>
      <c r="BT1324" s="63"/>
      <c r="BU1324" s="61"/>
      <c r="BV1324" s="61"/>
      <c r="BW1324" s="61"/>
      <c r="BX1324" s="62"/>
      <c r="BY1324" s="62"/>
      <c r="BZ1324" s="63"/>
      <c r="CA1324" s="63"/>
      <c r="CB1324" s="63"/>
      <c r="CC1324" s="63"/>
      <c r="CD1324" s="63"/>
      <c r="CE1324" s="63"/>
      <c r="CF1324" s="63"/>
      <c r="CG1324" s="63"/>
      <c r="CH1324" s="64"/>
      <c r="CJ1324" s="63"/>
      <c r="CT1324" s="65"/>
      <c r="CU1324" s="65"/>
      <c r="CV1324" s="65"/>
      <c r="CW1324" s="65"/>
      <c r="CX1324" s="65"/>
      <c r="CY1324" s="65"/>
      <c r="CZ1324" s="65"/>
      <c r="DA1324" s="65"/>
      <c r="DB1324" s="65"/>
      <c r="DC1324" s="63"/>
    </row>
    <row r="1325" spans="1:107" s="57" customFormat="1" x14ac:dyDescent="0.2">
      <c r="A1325" s="55">
        <v>10072</v>
      </c>
      <c r="B1325" s="56">
        <v>13</v>
      </c>
      <c r="C1325" s="56">
        <f t="shared" si="88"/>
        <v>100720013</v>
      </c>
      <c r="D1325" s="57" t="s">
        <v>3544</v>
      </c>
      <c r="E1325" s="58" t="s">
        <v>640</v>
      </c>
      <c r="F1325" s="58"/>
      <c r="G1325" s="58"/>
      <c r="H1325" s="58"/>
      <c r="I1325" s="59" t="s">
        <v>206</v>
      </c>
      <c r="J1325" s="59"/>
      <c r="K1325" s="59"/>
      <c r="L1325" s="59"/>
      <c r="M1325" s="59"/>
      <c r="N1325" s="59" t="s">
        <v>163</v>
      </c>
      <c r="O1325" s="59" t="s">
        <v>163</v>
      </c>
      <c r="P1325" s="59"/>
      <c r="Q1325" s="59" t="s">
        <v>2041</v>
      </c>
      <c r="R1325" s="59"/>
      <c r="S1325" s="59"/>
      <c r="T1325" s="59" t="s">
        <v>2714</v>
      </c>
      <c r="U1325" s="122" t="s">
        <v>3553</v>
      </c>
      <c r="V1325" s="59" t="s">
        <v>109</v>
      </c>
      <c r="W1325" s="59" t="s">
        <v>1</v>
      </c>
      <c r="X1325" s="59"/>
      <c r="Z1325" s="59"/>
      <c r="AA1325" s="59"/>
      <c r="AB1325" s="59"/>
      <c r="AC1325" s="59">
        <v>72</v>
      </c>
      <c r="AD1325" s="59"/>
      <c r="AE1325" s="60"/>
      <c r="AF1325" s="60" t="s">
        <v>2042</v>
      </c>
      <c r="AG1325" s="59"/>
      <c r="AH1325" s="61">
        <v>101724</v>
      </c>
      <c r="AI1325" s="61" t="s">
        <v>265</v>
      </c>
      <c r="AJ1325" s="61"/>
      <c r="AK1325" s="62" t="s">
        <v>638</v>
      </c>
      <c r="AL1325" s="62"/>
      <c r="AM1325" s="63"/>
      <c r="AN1325" s="63"/>
      <c r="AO1325" s="63"/>
      <c r="AP1325" s="63"/>
      <c r="AQ1325" s="63"/>
      <c r="AR1325" s="63"/>
      <c r="AS1325" s="63"/>
      <c r="AT1325" s="63"/>
      <c r="AU1325" s="61"/>
      <c r="AV1325" s="61"/>
      <c r="AW1325" s="61"/>
      <c r="AX1325" s="62"/>
      <c r="AY1325" s="62"/>
      <c r="AZ1325" s="63"/>
      <c r="BA1325" s="63"/>
      <c r="BB1325" s="63"/>
      <c r="BC1325" s="63"/>
      <c r="BD1325" s="63"/>
      <c r="BE1325" s="63"/>
      <c r="BF1325" s="63"/>
      <c r="BG1325" s="63"/>
      <c r="BH1325" s="61"/>
      <c r="BI1325" s="61"/>
      <c r="BJ1325" s="61"/>
      <c r="BK1325" s="62"/>
      <c r="BL1325" s="62"/>
      <c r="BM1325" s="63"/>
      <c r="BN1325" s="63"/>
      <c r="BO1325" s="63"/>
      <c r="BP1325" s="63"/>
      <c r="BQ1325" s="63"/>
      <c r="BR1325" s="63"/>
      <c r="BS1325" s="63"/>
      <c r="BT1325" s="63"/>
      <c r="BU1325" s="61"/>
      <c r="BV1325" s="61"/>
      <c r="BW1325" s="61"/>
      <c r="BX1325" s="62"/>
      <c r="BY1325" s="62"/>
      <c r="BZ1325" s="63"/>
      <c r="CA1325" s="63"/>
      <c r="CB1325" s="63"/>
      <c r="CC1325" s="63"/>
      <c r="CD1325" s="63"/>
      <c r="CE1325" s="63"/>
      <c r="CF1325" s="63"/>
      <c r="CG1325" s="63"/>
      <c r="CH1325" s="64"/>
      <c r="CJ1325" s="63"/>
      <c r="CT1325" s="65"/>
      <c r="CU1325" s="65"/>
      <c r="CV1325" s="65"/>
      <c r="CW1325" s="65"/>
      <c r="CX1325" s="65"/>
      <c r="CY1325" s="65"/>
      <c r="CZ1325" s="65"/>
      <c r="DA1325" s="65"/>
      <c r="DB1325" s="65"/>
      <c r="DC1325" s="63"/>
    </row>
    <row r="1326" spans="1:107" s="57" customFormat="1" x14ac:dyDescent="0.2">
      <c r="A1326" s="55">
        <v>10072</v>
      </c>
      <c r="B1326" s="56">
        <v>14</v>
      </c>
      <c r="C1326" s="56">
        <f t="shared" si="88"/>
        <v>100720014</v>
      </c>
      <c r="D1326" s="57" t="s">
        <v>3544</v>
      </c>
      <c r="E1326" s="58" t="s">
        <v>640</v>
      </c>
      <c r="F1326" s="58"/>
      <c r="G1326" s="58"/>
      <c r="H1326" s="58"/>
      <c r="I1326" s="59" t="s">
        <v>206</v>
      </c>
      <c r="J1326" s="59"/>
      <c r="K1326" s="59"/>
      <c r="L1326" s="59"/>
      <c r="M1326" s="59"/>
      <c r="N1326" s="59" t="s">
        <v>163</v>
      </c>
      <c r="O1326" s="59" t="s">
        <v>163</v>
      </c>
      <c r="P1326" s="59"/>
      <c r="Q1326" s="59" t="s">
        <v>2041</v>
      </c>
      <c r="R1326" s="59"/>
      <c r="S1326" s="59"/>
      <c r="T1326" s="59" t="s">
        <v>2714</v>
      </c>
      <c r="U1326" s="122" t="s">
        <v>3554</v>
      </c>
      <c r="V1326" s="59" t="s">
        <v>109</v>
      </c>
      <c r="W1326" s="59" t="s">
        <v>1</v>
      </c>
      <c r="X1326" s="59"/>
      <c r="Z1326" s="59"/>
      <c r="AA1326" s="59"/>
      <c r="AB1326" s="59"/>
      <c r="AC1326" s="59">
        <v>72</v>
      </c>
      <c r="AD1326" s="59"/>
      <c r="AE1326" s="60"/>
      <c r="AF1326" s="60" t="s">
        <v>2042</v>
      </c>
      <c r="AG1326" s="59"/>
      <c r="AH1326" s="61">
        <v>101725</v>
      </c>
      <c r="AI1326" s="61" t="s">
        <v>266</v>
      </c>
      <c r="AJ1326" s="61"/>
      <c r="AK1326" s="62" t="s">
        <v>639</v>
      </c>
      <c r="AL1326" s="62"/>
      <c r="AM1326" s="63"/>
      <c r="AN1326" s="63"/>
      <c r="AO1326" s="63"/>
      <c r="AP1326" s="63"/>
      <c r="AQ1326" s="63"/>
      <c r="AR1326" s="63"/>
      <c r="AS1326" s="63"/>
      <c r="AT1326" s="63"/>
      <c r="AU1326" s="61"/>
      <c r="AV1326" s="61"/>
      <c r="AW1326" s="61"/>
      <c r="AX1326" s="62"/>
      <c r="AY1326" s="62"/>
      <c r="AZ1326" s="63"/>
      <c r="BA1326" s="63"/>
      <c r="BB1326" s="63"/>
      <c r="BC1326" s="63"/>
      <c r="BD1326" s="63"/>
      <c r="BE1326" s="63"/>
      <c r="BF1326" s="63"/>
      <c r="BG1326" s="63"/>
      <c r="BH1326" s="61"/>
      <c r="BI1326" s="61"/>
      <c r="BJ1326" s="61"/>
      <c r="BK1326" s="62"/>
      <c r="BL1326" s="62"/>
      <c r="BM1326" s="63"/>
      <c r="BN1326" s="63"/>
      <c r="BO1326" s="63"/>
      <c r="BP1326" s="63"/>
      <c r="BQ1326" s="63"/>
      <c r="BR1326" s="63"/>
      <c r="BS1326" s="63"/>
      <c r="BT1326" s="63"/>
      <c r="BU1326" s="61"/>
      <c r="BV1326" s="61"/>
      <c r="BW1326" s="61"/>
      <c r="BX1326" s="62"/>
      <c r="BY1326" s="62"/>
      <c r="BZ1326" s="63"/>
      <c r="CA1326" s="63"/>
      <c r="CB1326" s="63"/>
      <c r="CC1326" s="63"/>
      <c r="CD1326" s="63"/>
      <c r="CE1326" s="63"/>
      <c r="CF1326" s="63"/>
      <c r="CG1326" s="63"/>
      <c r="CH1326" s="64"/>
      <c r="CJ1326" s="63"/>
      <c r="CT1326" s="65"/>
      <c r="CU1326" s="65"/>
      <c r="CV1326" s="65"/>
      <c r="CW1326" s="65"/>
      <c r="CX1326" s="65"/>
      <c r="CY1326" s="65"/>
      <c r="CZ1326" s="65"/>
      <c r="DA1326" s="65"/>
      <c r="DB1326" s="65"/>
      <c r="DC1326" s="63"/>
    </row>
    <row r="1327" spans="1:107" x14ac:dyDescent="0.2">
      <c r="A1327" s="18">
        <v>10073</v>
      </c>
      <c r="B1327" s="19">
        <v>10</v>
      </c>
      <c r="C1327" s="19">
        <f t="shared" si="87"/>
        <v>100730010</v>
      </c>
      <c r="D1327" s="23" t="s">
        <v>1349</v>
      </c>
      <c r="E1327" s="20" t="s">
        <v>640</v>
      </c>
      <c r="I1327" s="21" t="s">
        <v>206</v>
      </c>
      <c r="J1327" s="21"/>
      <c r="K1327" s="21"/>
      <c r="L1327" s="21"/>
      <c r="M1327" s="21"/>
      <c r="N1327" s="21" t="s">
        <v>163</v>
      </c>
      <c r="O1327" s="21" t="s">
        <v>163</v>
      </c>
      <c r="P1327" s="114"/>
      <c r="Q1327" s="114" t="s">
        <v>2041</v>
      </c>
      <c r="R1327" s="114"/>
      <c r="S1327" s="114"/>
      <c r="T1327" s="114" t="s">
        <v>2714</v>
      </c>
      <c r="U1327" s="117" t="s">
        <v>3065</v>
      </c>
      <c r="V1327" s="21" t="s">
        <v>109</v>
      </c>
      <c r="W1327" s="21" t="s">
        <v>1</v>
      </c>
      <c r="X1327" s="21"/>
      <c r="Z1327" s="21"/>
      <c r="AA1327" s="21"/>
      <c r="AB1327" s="21"/>
      <c r="AC1327" s="21">
        <v>73</v>
      </c>
      <c r="AD1327" s="21"/>
      <c r="AE1327" s="39"/>
      <c r="AF1327" s="39" t="s">
        <v>2042</v>
      </c>
      <c r="AG1327" s="21"/>
      <c r="AH1327" s="25">
        <v>101731</v>
      </c>
      <c r="AI1327" s="25" t="s">
        <v>176</v>
      </c>
      <c r="AK1327" s="27" t="s">
        <v>635</v>
      </c>
      <c r="AL1327" s="27"/>
      <c r="AX1327" s="27"/>
      <c r="AY1327" s="27"/>
      <c r="BK1327" s="27"/>
      <c r="BL1327" s="27"/>
      <c r="BX1327" s="27"/>
      <c r="BY1327" s="27"/>
      <c r="CH1327" s="29"/>
    </row>
    <row r="1328" spans="1:107" x14ac:dyDescent="0.2">
      <c r="A1328" s="18">
        <v>10073</v>
      </c>
      <c r="B1328" s="19">
        <v>11</v>
      </c>
      <c r="C1328" s="19">
        <f t="shared" si="87"/>
        <v>100730011</v>
      </c>
      <c r="D1328" s="23" t="s">
        <v>1349</v>
      </c>
      <c r="E1328" s="20" t="s">
        <v>640</v>
      </c>
      <c r="I1328" s="21" t="s">
        <v>206</v>
      </c>
      <c r="J1328" s="21"/>
      <c r="K1328" s="21"/>
      <c r="L1328" s="21"/>
      <c r="M1328" s="21"/>
      <c r="N1328" s="21" t="s">
        <v>163</v>
      </c>
      <c r="O1328" s="21" t="s">
        <v>163</v>
      </c>
      <c r="P1328" s="114"/>
      <c r="Q1328" s="114" t="s">
        <v>2041</v>
      </c>
      <c r="R1328" s="114"/>
      <c r="S1328" s="114"/>
      <c r="T1328" s="114" t="s">
        <v>2714</v>
      </c>
      <c r="U1328" s="117" t="s">
        <v>3066</v>
      </c>
      <c r="V1328" s="21" t="s">
        <v>109</v>
      </c>
      <c r="W1328" s="21" t="s">
        <v>1</v>
      </c>
      <c r="X1328" s="21"/>
      <c r="Z1328" s="21"/>
      <c r="AA1328" s="21"/>
      <c r="AB1328" s="21"/>
      <c r="AC1328" s="21">
        <v>73</v>
      </c>
      <c r="AD1328" s="21"/>
      <c r="AE1328" s="39"/>
      <c r="AF1328" s="39" t="s">
        <v>2042</v>
      </c>
      <c r="AG1328" s="21"/>
      <c r="AH1328" s="25">
        <v>101732</v>
      </c>
      <c r="AI1328" s="25" t="s">
        <v>260</v>
      </c>
      <c r="AK1328" s="27" t="s">
        <v>636</v>
      </c>
      <c r="AL1328" s="27"/>
      <c r="AX1328" s="27"/>
      <c r="AY1328" s="27"/>
      <c r="BK1328" s="27"/>
      <c r="BL1328" s="27"/>
      <c r="BX1328" s="27"/>
      <c r="BY1328" s="27"/>
      <c r="CH1328" s="29"/>
    </row>
    <row r="1329" spans="1:107" x14ac:dyDescent="0.2">
      <c r="A1329" s="18">
        <v>10073</v>
      </c>
      <c r="B1329" s="19">
        <v>12</v>
      </c>
      <c r="C1329" s="19">
        <f t="shared" si="87"/>
        <v>100730012</v>
      </c>
      <c r="D1329" s="23" t="s">
        <v>1349</v>
      </c>
      <c r="E1329" s="20" t="s">
        <v>640</v>
      </c>
      <c r="I1329" s="21" t="s">
        <v>206</v>
      </c>
      <c r="J1329" s="21"/>
      <c r="K1329" s="21"/>
      <c r="L1329" s="21"/>
      <c r="M1329" s="21"/>
      <c r="N1329" s="21" t="s">
        <v>163</v>
      </c>
      <c r="O1329" s="21" t="s">
        <v>163</v>
      </c>
      <c r="P1329" s="114"/>
      <c r="Q1329" s="114" t="s">
        <v>2041</v>
      </c>
      <c r="R1329" s="114"/>
      <c r="S1329" s="114"/>
      <c r="T1329" s="114" t="s">
        <v>2714</v>
      </c>
      <c r="U1329" s="117" t="s">
        <v>3067</v>
      </c>
      <c r="V1329" s="21" t="s">
        <v>109</v>
      </c>
      <c r="W1329" s="21" t="s">
        <v>1</v>
      </c>
      <c r="X1329" s="21"/>
      <c r="Z1329" s="21"/>
      <c r="AA1329" s="21"/>
      <c r="AB1329" s="21"/>
      <c r="AC1329" s="21">
        <v>73</v>
      </c>
      <c r="AD1329" s="21"/>
      <c r="AE1329" s="39"/>
      <c r="AF1329" s="39" t="s">
        <v>2042</v>
      </c>
      <c r="AG1329" s="21"/>
      <c r="AH1329" s="25">
        <v>101733</v>
      </c>
      <c r="AI1329" s="25" t="s">
        <v>264</v>
      </c>
      <c r="AK1329" s="27" t="s">
        <v>637</v>
      </c>
      <c r="AL1329" s="27"/>
      <c r="AX1329" s="27"/>
      <c r="AY1329" s="27"/>
      <c r="BK1329" s="27"/>
      <c r="BL1329" s="27"/>
      <c r="BX1329" s="27"/>
      <c r="BY1329" s="27"/>
      <c r="CH1329" s="29"/>
    </row>
    <row r="1330" spans="1:107" x14ac:dyDescent="0.2">
      <c r="A1330" s="18">
        <v>10073</v>
      </c>
      <c r="B1330" s="19">
        <v>13</v>
      </c>
      <c r="C1330" s="19">
        <f t="shared" si="87"/>
        <v>100730013</v>
      </c>
      <c r="D1330" s="23" t="s">
        <v>1349</v>
      </c>
      <c r="E1330" s="20" t="s">
        <v>640</v>
      </c>
      <c r="I1330" s="21" t="s">
        <v>206</v>
      </c>
      <c r="J1330" s="21"/>
      <c r="K1330" s="21"/>
      <c r="L1330" s="21"/>
      <c r="M1330" s="21"/>
      <c r="N1330" s="21" t="s">
        <v>163</v>
      </c>
      <c r="O1330" s="21" t="s">
        <v>163</v>
      </c>
      <c r="P1330" s="114"/>
      <c r="Q1330" s="114" t="s">
        <v>2041</v>
      </c>
      <c r="R1330" s="114"/>
      <c r="S1330" s="114"/>
      <c r="T1330" s="114" t="s">
        <v>2714</v>
      </c>
      <c r="U1330" s="117" t="s">
        <v>3068</v>
      </c>
      <c r="V1330" s="21" t="s">
        <v>109</v>
      </c>
      <c r="W1330" s="21" t="s">
        <v>1</v>
      </c>
      <c r="X1330" s="21"/>
      <c r="Z1330" s="21"/>
      <c r="AA1330" s="21"/>
      <c r="AB1330" s="21"/>
      <c r="AC1330" s="21">
        <v>73</v>
      </c>
      <c r="AD1330" s="21"/>
      <c r="AE1330" s="39"/>
      <c r="AF1330" s="39" t="s">
        <v>2042</v>
      </c>
      <c r="AG1330" s="21"/>
      <c r="AH1330" s="25">
        <v>101734</v>
      </c>
      <c r="AI1330" s="25" t="s">
        <v>265</v>
      </c>
      <c r="AK1330" s="27" t="s">
        <v>638</v>
      </c>
      <c r="AL1330" s="27"/>
      <c r="AX1330" s="27"/>
      <c r="AY1330" s="27"/>
      <c r="BK1330" s="27"/>
      <c r="BL1330" s="27"/>
      <c r="BX1330" s="27"/>
      <c r="BY1330" s="27"/>
      <c r="CH1330" s="29"/>
    </row>
    <row r="1331" spans="1:107" x14ac:dyDescent="0.2">
      <c r="A1331" s="18">
        <v>10073</v>
      </c>
      <c r="B1331" s="19">
        <v>14</v>
      </c>
      <c r="C1331" s="19">
        <f t="shared" si="87"/>
        <v>100730014</v>
      </c>
      <c r="D1331" s="23" t="s">
        <v>1349</v>
      </c>
      <c r="E1331" s="20" t="s">
        <v>640</v>
      </c>
      <c r="I1331" s="21" t="s">
        <v>206</v>
      </c>
      <c r="J1331" s="21"/>
      <c r="K1331" s="21"/>
      <c r="L1331" s="21"/>
      <c r="M1331" s="21"/>
      <c r="N1331" s="21" t="s">
        <v>163</v>
      </c>
      <c r="O1331" s="21" t="s">
        <v>163</v>
      </c>
      <c r="P1331" s="114"/>
      <c r="Q1331" s="114" t="s">
        <v>2041</v>
      </c>
      <c r="R1331" s="114"/>
      <c r="S1331" s="114"/>
      <c r="T1331" s="114" t="s">
        <v>2714</v>
      </c>
      <c r="U1331" s="117" t="s">
        <v>3069</v>
      </c>
      <c r="V1331" s="21" t="s">
        <v>109</v>
      </c>
      <c r="W1331" s="21" t="s">
        <v>1</v>
      </c>
      <c r="X1331" s="21"/>
      <c r="Z1331" s="21"/>
      <c r="AA1331" s="21"/>
      <c r="AB1331" s="21"/>
      <c r="AC1331" s="21">
        <v>73</v>
      </c>
      <c r="AD1331" s="21"/>
      <c r="AE1331" s="39"/>
      <c r="AF1331" s="39" t="s">
        <v>2042</v>
      </c>
      <c r="AG1331" s="21"/>
      <c r="AH1331" s="25">
        <v>101735</v>
      </c>
      <c r="AI1331" s="25" t="s">
        <v>266</v>
      </c>
      <c r="AK1331" s="27" t="s">
        <v>639</v>
      </c>
      <c r="AL1331" s="27"/>
      <c r="AX1331" s="27"/>
      <c r="AY1331" s="27"/>
      <c r="BK1331" s="27"/>
      <c r="BL1331" s="27"/>
      <c r="BX1331" s="27"/>
      <c r="BY1331" s="27"/>
      <c r="CH1331" s="29"/>
    </row>
    <row r="1332" spans="1:107" s="57" customFormat="1" x14ac:dyDescent="0.2">
      <c r="A1332" s="55">
        <v>10074</v>
      </c>
      <c r="B1332" s="56">
        <v>10</v>
      </c>
      <c r="C1332" s="56">
        <f t="shared" si="87"/>
        <v>100740010</v>
      </c>
      <c r="D1332" s="57" t="s">
        <v>3591</v>
      </c>
      <c r="E1332" s="58" t="s">
        <v>640</v>
      </c>
      <c r="F1332" s="58"/>
      <c r="G1332" s="58"/>
      <c r="H1332" s="58"/>
      <c r="I1332" s="59" t="s">
        <v>206</v>
      </c>
      <c r="J1332" s="59"/>
      <c r="K1332" s="59"/>
      <c r="L1332" s="59"/>
      <c r="M1332" s="59"/>
      <c r="N1332" s="59" t="s">
        <v>163</v>
      </c>
      <c r="O1332" s="59" t="s">
        <v>163</v>
      </c>
      <c r="P1332" s="59"/>
      <c r="Q1332" s="59" t="s">
        <v>2041</v>
      </c>
      <c r="R1332" s="59"/>
      <c r="S1332" s="59"/>
      <c r="T1332" s="59" t="s">
        <v>2714</v>
      </c>
      <c r="U1332" s="122" t="s">
        <v>3597</v>
      </c>
      <c r="V1332" s="59" t="s">
        <v>109</v>
      </c>
      <c r="W1332" s="59" t="s">
        <v>1</v>
      </c>
      <c r="X1332" s="59"/>
      <c r="Z1332" s="59"/>
      <c r="AA1332" s="59"/>
      <c r="AB1332" s="59"/>
      <c r="AC1332" s="59">
        <v>74</v>
      </c>
      <c r="AD1332" s="59"/>
      <c r="AE1332" s="60"/>
      <c r="AF1332" s="60" t="s">
        <v>2042</v>
      </c>
      <c r="AG1332" s="59"/>
      <c r="AH1332" s="61">
        <v>101741</v>
      </c>
      <c r="AI1332" s="61" t="s">
        <v>176</v>
      </c>
      <c r="AJ1332" s="61"/>
      <c r="AK1332" s="62" t="s">
        <v>635</v>
      </c>
      <c r="AL1332" s="62"/>
      <c r="AM1332" s="63"/>
      <c r="AN1332" s="63"/>
      <c r="AO1332" s="63"/>
      <c r="AP1332" s="63"/>
      <c r="AQ1332" s="63"/>
      <c r="AR1332" s="63"/>
      <c r="AS1332" s="63"/>
      <c r="AT1332" s="63"/>
      <c r="AU1332" s="61"/>
      <c r="AV1332" s="61"/>
      <c r="AW1332" s="61"/>
      <c r="AX1332" s="62"/>
      <c r="AY1332" s="62"/>
      <c r="AZ1332" s="63"/>
      <c r="BA1332" s="63"/>
      <c r="BB1332" s="63"/>
      <c r="BC1332" s="63"/>
      <c r="BD1332" s="63"/>
      <c r="BE1332" s="63"/>
      <c r="BF1332" s="63"/>
      <c r="BG1332" s="63"/>
      <c r="BH1332" s="61"/>
      <c r="BI1332" s="61"/>
      <c r="BJ1332" s="61"/>
      <c r="BK1332" s="62"/>
      <c r="BL1332" s="62"/>
      <c r="BM1332" s="63"/>
      <c r="BN1332" s="63"/>
      <c r="BO1332" s="63"/>
      <c r="BP1332" s="63"/>
      <c r="BQ1332" s="63"/>
      <c r="BR1332" s="63"/>
      <c r="BS1332" s="63"/>
      <c r="BT1332" s="63"/>
      <c r="BU1332" s="61"/>
      <c r="BV1332" s="61"/>
      <c r="BW1332" s="61"/>
      <c r="BX1332" s="62"/>
      <c r="BY1332" s="62"/>
      <c r="BZ1332" s="63"/>
      <c r="CA1332" s="63"/>
      <c r="CB1332" s="63"/>
      <c r="CC1332" s="63"/>
      <c r="CD1332" s="63"/>
      <c r="CE1332" s="63"/>
      <c r="CF1332" s="63"/>
      <c r="CG1332" s="63"/>
      <c r="CH1332" s="64"/>
      <c r="CJ1332" s="63"/>
      <c r="CT1332" s="65"/>
      <c r="CU1332" s="65"/>
      <c r="CV1332" s="65"/>
      <c r="CW1332" s="65"/>
      <c r="CX1332" s="65"/>
      <c r="CY1332" s="65"/>
      <c r="CZ1332" s="65"/>
      <c r="DA1332" s="65"/>
      <c r="DB1332" s="65"/>
      <c r="DC1332" s="63"/>
    </row>
    <row r="1333" spans="1:107" s="57" customFormat="1" x14ac:dyDescent="0.2">
      <c r="A1333" s="55">
        <v>10074</v>
      </c>
      <c r="B1333" s="56">
        <v>11</v>
      </c>
      <c r="C1333" s="56">
        <f t="shared" si="87"/>
        <v>100740011</v>
      </c>
      <c r="D1333" s="57" t="s">
        <v>3591</v>
      </c>
      <c r="E1333" s="58" t="s">
        <v>640</v>
      </c>
      <c r="F1333" s="58"/>
      <c r="G1333" s="58"/>
      <c r="H1333" s="58"/>
      <c r="I1333" s="59" t="s">
        <v>206</v>
      </c>
      <c r="J1333" s="59"/>
      <c r="K1333" s="59"/>
      <c r="L1333" s="59"/>
      <c r="M1333" s="59"/>
      <c r="N1333" s="59" t="s">
        <v>163</v>
      </c>
      <c r="O1333" s="59" t="s">
        <v>163</v>
      </c>
      <c r="P1333" s="59"/>
      <c r="Q1333" s="59" t="s">
        <v>2041</v>
      </c>
      <c r="R1333" s="59"/>
      <c r="S1333" s="59"/>
      <c r="T1333" s="59" t="s">
        <v>2714</v>
      </c>
      <c r="U1333" s="122" t="s">
        <v>3598</v>
      </c>
      <c r="V1333" s="59" t="s">
        <v>109</v>
      </c>
      <c r="W1333" s="59" t="s">
        <v>1</v>
      </c>
      <c r="X1333" s="59"/>
      <c r="Z1333" s="59"/>
      <c r="AA1333" s="59"/>
      <c r="AB1333" s="59"/>
      <c r="AC1333" s="59">
        <v>74</v>
      </c>
      <c r="AD1333" s="59"/>
      <c r="AE1333" s="60"/>
      <c r="AF1333" s="60" t="s">
        <v>2042</v>
      </c>
      <c r="AG1333" s="59"/>
      <c r="AH1333" s="61">
        <v>101742</v>
      </c>
      <c r="AI1333" s="61" t="s">
        <v>260</v>
      </c>
      <c r="AJ1333" s="61"/>
      <c r="AK1333" s="62" t="s">
        <v>636</v>
      </c>
      <c r="AL1333" s="62"/>
      <c r="AM1333" s="63"/>
      <c r="AN1333" s="63"/>
      <c r="AO1333" s="63"/>
      <c r="AP1333" s="63"/>
      <c r="AQ1333" s="63"/>
      <c r="AR1333" s="63"/>
      <c r="AS1333" s="63"/>
      <c r="AT1333" s="63"/>
      <c r="AU1333" s="61"/>
      <c r="AV1333" s="61"/>
      <c r="AW1333" s="61"/>
      <c r="AX1333" s="62"/>
      <c r="AY1333" s="62"/>
      <c r="AZ1333" s="63"/>
      <c r="BA1333" s="63"/>
      <c r="BB1333" s="63"/>
      <c r="BC1333" s="63"/>
      <c r="BD1333" s="63"/>
      <c r="BE1333" s="63"/>
      <c r="BF1333" s="63"/>
      <c r="BG1333" s="63"/>
      <c r="BH1333" s="61"/>
      <c r="BI1333" s="61"/>
      <c r="BJ1333" s="61"/>
      <c r="BK1333" s="62"/>
      <c r="BL1333" s="62"/>
      <c r="BM1333" s="63"/>
      <c r="BN1333" s="63"/>
      <c r="BO1333" s="63"/>
      <c r="BP1333" s="63"/>
      <c r="BQ1333" s="63"/>
      <c r="BR1333" s="63"/>
      <c r="BS1333" s="63"/>
      <c r="BT1333" s="63"/>
      <c r="BU1333" s="61"/>
      <c r="BV1333" s="61"/>
      <c r="BW1333" s="61"/>
      <c r="BX1333" s="62"/>
      <c r="BY1333" s="62"/>
      <c r="BZ1333" s="63"/>
      <c r="CA1333" s="63"/>
      <c r="CB1333" s="63"/>
      <c r="CC1333" s="63"/>
      <c r="CD1333" s="63"/>
      <c r="CE1333" s="63"/>
      <c r="CF1333" s="63"/>
      <c r="CG1333" s="63"/>
      <c r="CH1333" s="64"/>
      <c r="CJ1333" s="63"/>
      <c r="CT1333" s="65"/>
      <c r="CU1333" s="65"/>
      <c r="CV1333" s="65"/>
      <c r="CW1333" s="65"/>
      <c r="CX1333" s="65"/>
      <c r="CY1333" s="65"/>
      <c r="CZ1333" s="65"/>
      <c r="DA1333" s="65"/>
      <c r="DB1333" s="65"/>
      <c r="DC1333" s="63"/>
    </row>
    <row r="1334" spans="1:107" s="57" customFormat="1" x14ac:dyDescent="0.2">
      <c r="A1334" s="55">
        <v>10074</v>
      </c>
      <c r="B1334" s="56">
        <v>12</v>
      </c>
      <c r="C1334" s="56">
        <f t="shared" si="87"/>
        <v>100740012</v>
      </c>
      <c r="D1334" s="57" t="s">
        <v>3591</v>
      </c>
      <c r="E1334" s="58" t="s">
        <v>640</v>
      </c>
      <c r="F1334" s="58"/>
      <c r="G1334" s="58"/>
      <c r="H1334" s="58"/>
      <c r="I1334" s="59" t="s">
        <v>206</v>
      </c>
      <c r="J1334" s="59"/>
      <c r="K1334" s="59"/>
      <c r="L1334" s="59"/>
      <c r="M1334" s="59"/>
      <c r="N1334" s="59" t="s">
        <v>163</v>
      </c>
      <c r="O1334" s="59" t="s">
        <v>163</v>
      </c>
      <c r="P1334" s="59"/>
      <c r="Q1334" s="59" t="s">
        <v>2041</v>
      </c>
      <c r="R1334" s="59"/>
      <c r="S1334" s="59"/>
      <c r="T1334" s="59" t="s">
        <v>2714</v>
      </c>
      <c r="U1334" s="122" t="s">
        <v>3599</v>
      </c>
      <c r="V1334" s="59" t="s">
        <v>109</v>
      </c>
      <c r="W1334" s="59" t="s">
        <v>1</v>
      </c>
      <c r="X1334" s="59"/>
      <c r="Z1334" s="59"/>
      <c r="AA1334" s="59"/>
      <c r="AB1334" s="59"/>
      <c r="AC1334" s="59">
        <v>74</v>
      </c>
      <c r="AD1334" s="59"/>
      <c r="AE1334" s="60"/>
      <c r="AF1334" s="60" t="s">
        <v>2042</v>
      </c>
      <c r="AG1334" s="59"/>
      <c r="AH1334" s="61">
        <v>101743</v>
      </c>
      <c r="AI1334" s="61" t="s">
        <v>264</v>
      </c>
      <c r="AJ1334" s="61"/>
      <c r="AK1334" s="62" t="s">
        <v>637</v>
      </c>
      <c r="AL1334" s="62"/>
      <c r="AM1334" s="63"/>
      <c r="AN1334" s="63"/>
      <c r="AO1334" s="63"/>
      <c r="AP1334" s="63"/>
      <c r="AQ1334" s="63"/>
      <c r="AR1334" s="63"/>
      <c r="AS1334" s="63"/>
      <c r="AT1334" s="63"/>
      <c r="AU1334" s="61"/>
      <c r="AV1334" s="61"/>
      <c r="AW1334" s="61"/>
      <c r="AX1334" s="62"/>
      <c r="AY1334" s="62"/>
      <c r="AZ1334" s="63"/>
      <c r="BA1334" s="63"/>
      <c r="BB1334" s="63"/>
      <c r="BC1334" s="63"/>
      <c r="BD1334" s="63"/>
      <c r="BE1334" s="63"/>
      <c r="BF1334" s="63"/>
      <c r="BG1334" s="63"/>
      <c r="BH1334" s="61"/>
      <c r="BI1334" s="61"/>
      <c r="BJ1334" s="61"/>
      <c r="BK1334" s="62"/>
      <c r="BL1334" s="62"/>
      <c r="BM1334" s="63"/>
      <c r="BN1334" s="63"/>
      <c r="BO1334" s="63"/>
      <c r="BP1334" s="63"/>
      <c r="BQ1334" s="63"/>
      <c r="BR1334" s="63"/>
      <c r="BS1334" s="63"/>
      <c r="BT1334" s="63"/>
      <c r="BU1334" s="61"/>
      <c r="BV1334" s="61"/>
      <c r="BW1334" s="61"/>
      <c r="BX1334" s="62"/>
      <c r="BY1334" s="62"/>
      <c r="BZ1334" s="63"/>
      <c r="CA1334" s="63"/>
      <c r="CB1334" s="63"/>
      <c r="CC1334" s="63"/>
      <c r="CD1334" s="63"/>
      <c r="CE1334" s="63"/>
      <c r="CF1334" s="63"/>
      <c r="CG1334" s="63"/>
      <c r="CH1334" s="64"/>
      <c r="CJ1334" s="63"/>
      <c r="CT1334" s="65"/>
      <c r="CU1334" s="65"/>
      <c r="CV1334" s="65"/>
      <c r="CW1334" s="65"/>
      <c r="CX1334" s="65"/>
      <c r="CY1334" s="65"/>
      <c r="CZ1334" s="65"/>
      <c r="DA1334" s="65"/>
      <c r="DB1334" s="65"/>
      <c r="DC1334" s="63"/>
    </row>
    <row r="1335" spans="1:107" s="57" customFormat="1" x14ac:dyDescent="0.2">
      <c r="A1335" s="55">
        <v>10074</v>
      </c>
      <c r="B1335" s="56">
        <v>13</v>
      </c>
      <c r="C1335" s="56">
        <f t="shared" si="87"/>
        <v>100740013</v>
      </c>
      <c r="D1335" s="57" t="s">
        <v>3591</v>
      </c>
      <c r="E1335" s="58" t="s">
        <v>640</v>
      </c>
      <c r="F1335" s="58"/>
      <c r="G1335" s="58"/>
      <c r="H1335" s="58"/>
      <c r="I1335" s="59" t="s">
        <v>206</v>
      </c>
      <c r="J1335" s="59"/>
      <c r="K1335" s="59"/>
      <c r="L1335" s="59"/>
      <c r="M1335" s="59"/>
      <c r="N1335" s="59" t="s">
        <v>163</v>
      </c>
      <c r="O1335" s="59" t="s">
        <v>163</v>
      </c>
      <c r="P1335" s="59"/>
      <c r="Q1335" s="59" t="s">
        <v>2041</v>
      </c>
      <c r="R1335" s="59"/>
      <c r="S1335" s="59"/>
      <c r="T1335" s="59" t="s">
        <v>2714</v>
      </c>
      <c r="U1335" s="122" t="s">
        <v>3600</v>
      </c>
      <c r="V1335" s="59" t="s">
        <v>109</v>
      </c>
      <c r="W1335" s="59" t="s">
        <v>1</v>
      </c>
      <c r="X1335" s="59"/>
      <c r="Z1335" s="59"/>
      <c r="AA1335" s="59"/>
      <c r="AB1335" s="59"/>
      <c r="AC1335" s="59">
        <v>74</v>
      </c>
      <c r="AD1335" s="59"/>
      <c r="AE1335" s="60"/>
      <c r="AF1335" s="60" t="s">
        <v>2042</v>
      </c>
      <c r="AG1335" s="59"/>
      <c r="AH1335" s="61">
        <v>101744</v>
      </c>
      <c r="AI1335" s="61" t="s">
        <v>265</v>
      </c>
      <c r="AJ1335" s="61"/>
      <c r="AK1335" s="62" t="s">
        <v>638</v>
      </c>
      <c r="AL1335" s="62"/>
      <c r="AM1335" s="63"/>
      <c r="AN1335" s="63"/>
      <c r="AO1335" s="63"/>
      <c r="AP1335" s="63"/>
      <c r="AQ1335" s="63"/>
      <c r="AR1335" s="63"/>
      <c r="AS1335" s="63"/>
      <c r="AT1335" s="63"/>
      <c r="AU1335" s="61"/>
      <c r="AV1335" s="61"/>
      <c r="AW1335" s="61"/>
      <c r="AX1335" s="62"/>
      <c r="AY1335" s="62"/>
      <c r="AZ1335" s="63"/>
      <c r="BA1335" s="63"/>
      <c r="BB1335" s="63"/>
      <c r="BC1335" s="63"/>
      <c r="BD1335" s="63"/>
      <c r="BE1335" s="63"/>
      <c r="BF1335" s="63"/>
      <c r="BG1335" s="63"/>
      <c r="BH1335" s="61"/>
      <c r="BI1335" s="61"/>
      <c r="BJ1335" s="61"/>
      <c r="BK1335" s="62"/>
      <c r="BL1335" s="62"/>
      <c r="BM1335" s="63"/>
      <c r="BN1335" s="63"/>
      <c r="BO1335" s="63"/>
      <c r="BP1335" s="63"/>
      <c r="BQ1335" s="63"/>
      <c r="BR1335" s="63"/>
      <c r="BS1335" s="63"/>
      <c r="BT1335" s="63"/>
      <c r="BU1335" s="61"/>
      <c r="BV1335" s="61"/>
      <c r="BW1335" s="61"/>
      <c r="BX1335" s="62"/>
      <c r="BY1335" s="62"/>
      <c r="BZ1335" s="63"/>
      <c r="CA1335" s="63"/>
      <c r="CB1335" s="63"/>
      <c r="CC1335" s="63"/>
      <c r="CD1335" s="63"/>
      <c r="CE1335" s="63"/>
      <c r="CF1335" s="63"/>
      <c r="CG1335" s="63"/>
      <c r="CH1335" s="64"/>
      <c r="CJ1335" s="63"/>
      <c r="CT1335" s="65"/>
      <c r="CU1335" s="65"/>
      <c r="CV1335" s="65"/>
      <c r="CW1335" s="65"/>
      <c r="CX1335" s="65"/>
      <c r="CY1335" s="65"/>
      <c r="CZ1335" s="65"/>
      <c r="DA1335" s="65"/>
      <c r="DB1335" s="65"/>
      <c r="DC1335" s="63"/>
    </row>
    <row r="1336" spans="1:107" s="57" customFormat="1" x14ac:dyDescent="0.2">
      <c r="A1336" s="55">
        <v>10074</v>
      </c>
      <c r="B1336" s="56">
        <v>14</v>
      </c>
      <c r="C1336" s="56">
        <f t="shared" si="87"/>
        <v>100740014</v>
      </c>
      <c r="D1336" s="57" t="s">
        <v>3591</v>
      </c>
      <c r="E1336" s="58" t="s">
        <v>640</v>
      </c>
      <c r="F1336" s="58"/>
      <c r="G1336" s="58"/>
      <c r="H1336" s="58"/>
      <c r="I1336" s="59" t="s">
        <v>206</v>
      </c>
      <c r="J1336" s="59"/>
      <c r="K1336" s="59"/>
      <c r="L1336" s="59"/>
      <c r="M1336" s="59"/>
      <c r="N1336" s="59" t="s">
        <v>163</v>
      </c>
      <c r="O1336" s="59" t="s">
        <v>163</v>
      </c>
      <c r="P1336" s="59"/>
      <c r="Q1336" s="59" t="s">
        <v>2041</v>
      </c>
      <c r="R1336" s="59"/>
      <c r="S1336" s="59"/>
      <c r="T1336" s="59" t="s">
        <v>2714</v>
      </c>
      <c r="U1336" s="122" t="s">
        <v>3601</v>
      </c>
      <c r="V1336" s="59" t="s">
        <v>109</v>
      </c>
      <c r="W1336" s="59" t="s">
        <v>1</v>
      </c>
      <c r="X1336" s="59"/>
      <c r="Z1336" s="59"/>
      <c r="AA1336" s="59"/>
      <c r="AB1336" s="59"/>
      <c r="AC1336" s="59">
        <v>74</v>
      </c>
      <c r="AD1336" s="59"/>
      <c r="AE1336" s="60"/>
      <c r="AF1336" s="60" t="s">
        <v>2042</v>
      </c>
      <c r="AG1336" s="59"/>
      <c r="AH1336" s="61">
        <v>101745</v>
      </c>
      <c r="AI1336" s="61" t="s">
        <v>266</v>
      </c>
      <c r="AJ1336" s="61"/>
      <c r="AK1336" s="62" t="s">
        <v>639</v>
      </c>
      <c r="AL1336" s="62"/>
      <c r="AM1336" s="63"/>
      <c r="AN1336" s="63"/>
      <c r="AO1336" s="63"/>
      <c r="AP1336" s="63"/>
      <c r="AQ1336" s="63"/>
      <c r="AR1336" s="63"/>
      <c r="AS1336" s="63"/>
      <c r="AT1336" s="63"/>
      <c r="AU1336" s="61"/>
      <c r="AV1336" s="61"/>
      <c r="AW1336" s="61"/>
      <c r="AX1336" s="62"/>
      <c r="AY1336" s="62"/>
      <c r="AZ1336" s="63"/>
      <c r="BA1336" s="63"/>
      <c r="BB1336" s="63"/>
      <c r="BC1336" s="63"/>
      <c r="BD1336" s="63"/>
      <c r="BE1336" s="63"/>
      <c r="BF1336" s="63"/>
      <c r="BG1336" s="63"/>
      <c r="BH1336" s="61"/>
      <c r="BI1336" s="61"/>
      <c r="BJ1336" s="61"/>
      <c r="BK1336" s="62"/>
      <c r="BL1336" s="62"/>
      <c r="BM1336" s="63"/>
      <c r="BN1336" s="63"/>
      <c r="BO1336" s="63"/>
      <c r="BP1336" s="63"/>
      <c r="BQ1336" s="63"/>
      <c r="BR1336" s="63"/>
      <c r="BS1336" s="63"/>
      <c r="BT1336" s="63"/>
      <c r="BU1336" s="61"/>
      <c r="BV1336" s="61"/>
      <c r="BW1336" s="61"/>
      <c r="BX1336" s="62"/>
      <c r="BY1336" s="62"/>
      <c r="BZ1336" s="63"/>
      <c r="CA1336" s="63"/>
      <c r="CB1336" s="63"/>
      <c r="CC1336" s="63"/>
      <c r="CD1336" s="63"/>
      <c r="CE1336" s="63"/>
      <c r="CF1336" s="63"/>
      <c r="CG1336" s="63"/>
      <c r="CH1336" s="64"/>
      <c r="CJ1336" s="63"/>
      <c r="CT1336" s="65"/>
      <c r="CU1336" s="65"/>
      <c r="CV1336" s="65"/>
      <c r="CW1336" s="65"/>
      <c r="CX1336" s="65"/>
      <c r="CY1336" s="65"/>
      <c r="CZ1336" s="65"/>
      <c r="DA1336" s="65"/>
      <c r="DB1336" s="65"/>
      <c r="DC1336" s="63"/>
    </row>
    <row r="1337" spans="1:107" s="57" customFormat="1" x14ac:dyDescent="0.2">
      <c r="A1337" s="55">
        <v>10075</v>
      </c>
      <c r="B1337" s="56">
        <v>10</v>
      </c>
      <c r="C1337" s="56">
        <f t="shared" si="87"/>
        <v>100750010</v>
      </c>
      <c r="D1337" s="57" t="s">
        <v>2062</v>
      </c>
      <c r="E1337" s="58" t="s">
        <v>640</v>
      </c>
      <c r="F1337" s="58"/>
      <c r="G1337" s="58"/>
      <c r="H1337" s="58"/>
      <c r="I1337" s="59" t="s">
        <v>206</v>
      </c>
      <c r="J1337" s="59"/>
      <c r="K1337" s="59"/>
      <c r="L1337" s="59"/>
      <c r="M1337" s="59"/>
      <c r="N1337" s="59" t="s">
        <v>163</v>
      </c>
      <c r="O1337" s="59" t="s">
        <v>163</v>
      </c>
      <c r="P1337" s="59"/>
      <c r="Q1337" s="59" t="s">
        <v>2041</v>
      </c>
      <c r="R1337" s="59"/>
      <c r="S1337" s="59"/>
      <c r="T1337" s="59" t="s">
        <v>2714</v>
      </c>
      <c r="U1337" s="122" t="s">
        <v>3070</v>
      </c>
      <c r="V1337" s="59" t="s">
        <v>109</v>
      </c>
      <c r="W1337" s="59" t="s">
        <v>1</v>
      </c>
      <c r="X1337" s="59"/>
      <c r="Z1337" s="59"/>
      <c r="AA1337" s="59"/>
      <c r="AB1337" s="59"/>
      <c r="AC1337" s="59">
        <v>75</v>
      </c>
      <c r="AD1337" s="59"/>
      <c r="AE1337" s="60"/>
      <c r="AF1337" s="60" t="s">
        <v>2042</v>
      </c>
      <c r="AG1337" s="59"/>
      <c r="AH1337" s="61">
        <v>101751</v>
      </c>
      <c r="AI1337" s="61" t="s">
        <v>176</v>
      </c>
      <c r="AJ1337" s="61"/>
      <c r="AK1337" s="62" t="s">
        <v>635</v>
      </c>
      <c r="AL1337" s="62"/>
      <c r="AM1337" s="63"/>
      <c r="AN1337" s="63"/>
      <c r="AO1337" s="63"/>
      <c r="AP1337" s="63"/>
      <c r="AQ1337" s="63"/>
      <c r="AR1337" s="63"/>
      <c r="AS1337" s="63"/>
      <c r="AT1337" s="63"/>
      <c r="AU1337" s="61"/>
      <c r="AV1337" s="61"/>
      <c r="AW1337" s="61"/>
      <c r="AX1337" s="62"/>
      <c r="AY1337" s="62"/>
      <c r="AZ1337" s="63"/>
      <c r="BA1337" s="63"/>
      <c r="BB1337" s="63"/>
      <c r="BC1337" s="63"/>
      <c r="BD1337" s="63"/>
      <c r="BE1337" s="63"/>
      <c r="BF1337" s="63"/>
      <c r="BG1337" s="63"/>
      <c r="BH1337" s="61"/>
      <c r="BI1337" s="61"/>
      <c r="BJ1337" s="61"/>
      <c r="BK1337" s="62"/>
      <c r="BL1337" s="62"/>
      <c r="BM1337" s="63"/>
      <c r="BN1337" s="63"/>
      <c r="BO1337" s="63"/>
      <c r="BP1337" s="63"/>
      <c r="BQ1337" s="63"/>
      <c r="BR1337" s="63"/>
      <c r="BS1337" s="63"/>
      <c r="BT1337" s="63"/>
      <c r="BU1337" s="61"/>
      <c r="BV1337" s="61"/>
      <c r="BW1337" s="61"/>
      <c r="BX1337" s="62"/>
      <c r="BY1337" s="62"/>
      <c r="BZ1337" s="63"/>
      <c r="CA1337" s="63"/>
      <c r="CB1337" s="63"/>
      <c r="CC1337" s="63"/>
      <c r="CD1337" s="63"/>
      <c r="CE1337" s="63"/>
      <c r="CF1337" s="63"/>
      <c r="CG1337" s="63"/>
      <c r="CH1337" s="64"/>
      <c r="CJ1337" s="63"/>
      <c r="CT1337" s="65"/>
      <c r="CU1337" s="65"/>
      <c r="CV1337" s="65"/>
      <c r="CW1337" s="65"/>
      <c r="CX1337" s="65"/>
      <c r="CY1337" s="65"/>
      <c r="CZ1337" s="65"/>
      <c r="DA1337" s="65"/>
      <c r="DB1337" s="65"/>
      <c r="DC1337" s="63"/>
    </row>
    <row r="1338" spans="1:107" s="57" customFormat="1" x14ac:dyDescent="0.2">
      <c r="A1338" s="55">
        <v>10075</v>
      </c>
      <c r="B1338" s="56">
        <v>11</v>
      </c>
      <c r="C1338" s="56">
        <f t="shared" si="87"/>
        <v>100750011</v>
      </c>
      <c r="D1338" s="57" t="s">
        <v>2062</v>
      </c>
      <c r="E1338" s="58" t="s">
        <v>640</v>
      </c>
      <c r="F1338" s="58"/>
      <c r="G1338" s="58"/>
      <c r="H1338" s="58"/>
      <c r="I1338" s="59" t="s">
        <v>206</v>
      </c>
      <c r="J1338" s="59"/>
      <c r="K1338" s="59"/>
      <c r="L1338" s="59"/>
      <c r="M1338" s="59"/>
      <c r="N1338" s="59" t="s">
        <v>163</v>
      </c>
      <c r="O1338" s="59" t="s">
        <v>163</v>
      </c>
      <c r="P1338" s="59"/>
      <c r="Q1338" s="59" t="s">
        <v>2041</v>
      </c>
      <c r="R1338" s="59"/>
      <c r="S1338" s="59"/>
      <c r="T1338" s="59" t="s">
        <v>2714</v>
      </c>
      <c r="U1338" s="122" t="s">
        <v>3071</v>
      </c>
      <c r="V1338" s="59" t="s">
        <v>109</v>
      </c>
      <c r="W1338" s="59" t="s">
        <v>1</v>
      </c>
      <c r="X1338" s="59"/>
      <c r="Z1338" s="59"/>
      <c r="AA1338" s="59"/>
      <c r="AB1338" s="59"/>
      <c r="AC1338" s="59">
        <v>75</v>
      </c>
      <c r="AD1338" s="59"/>
      <c r="AE1338" s="60"/>
      <c r="AF1338" s="60" t="s">
        <v>2042</v>
      </c>
      <c r="AG1338" s="59"/>
      <c r="AH1338" s="61">
        <v>101752</v>
      </c>
      <c r="AI1338" s="61" t="s">
        <v>260</v>
      </c>
      <c r="AJ1338" s="61"/>
      <c r="AK1338" s="62" t="s">
        <v>636</v>
      </c>
      <c r="AL1338" s="62"/>
      <c r="AM1338" s="63"/>
      <c r="AN1338" s="63"/>
      <c r="AO1338" s="63"/>
      <c r="AP1338" s="63"/>
      <c r="AQ1338" s="63"/>
      <c r="AR1338" s="63"/>
      <c r="AS1338" s="63"/>
      <c r="AT1338" s="63"/>
      <c r="AU1338" s="61"/>
      <c r="AV1338" s="61"/>
      <c r="AW1338" s="61"/>
      <c r="AX1338" s="62"/>
      <c r="AY1338" s="62"/>
      <c r="AZ1338" s="63"/>
      <c r="BA1338" s="63"/>
      <c r="BB1338" s="63"/>
      <c r="BC1338" s="63"/>
      <c r="BD1338" s="63"/>
      <c r="BE1338" s="63"/>
      <c r="BF1338" s="63"/>
      <c r="BG1338" s="63"/>
      <c r="BH1338" s="61"/>
      <c r="BI1338" s="61"/>
      <c r="BJ1338" s="61"/>
      <c r="BK1338" s="62"/>
      <c r="BL1338" s="62"/>
      <c r="BM1338" s="63"/>
      <c r="BN1338" s="63"/>
      <c r="BO1338" s="63"/>
      <c r="BP1338" s="63"/>
      <c r="BQ1338" s="63"/>
      <c r="BR1338" s="63"/>
      <c r="BS1338" s="63"/>
      <c r="BT1338" s="63"/>
      <c r="BU1338" s="61"/>
      <c r="BV1338" s="61"/>
      <c r="BW1338" s="61"/>
      <c r="BX1338" s="62"/>
      <c r="BY1338" s="62"/>
      <c r="BZ1338" s="63"/>
      <c r="CA1338" s="63"/>
      <c r="CB1338" s="63"/>
      <c r="CC1338" s="63"/>
      <c r="CD1338" s="63"/>
      <c r="CE1338" s="63"/>
      <c r="CF1338" s="63"/>
      <c r="CG1338" s="63"/>
      <c r="CH1338" s="64"/>
      <c r="CJ1338" s="63"/>
      <c r="CT1338" s="65"/>
      <c r="CU1338" s="65"/>
      <c r="CV1338" s="65"/>
      <c r="CW1338" s="65"/>
      <c r="CX1338" s="65"/>
      <c r="CY1338" s="65"/>
      <c r="CZ1338" s="65"/>
      <c r="DA1338" s="65"/>
      <c r="DB1338" s="65"/>
      <c r="DC1338" s="63"/>
    </row>
    <row r="1339" spans="1:107" s="57" customFormat="1" x14ac:dyDescent="0.2">
      <c r="A1339" s="55">
        <v>10075</v>
      </c>
      <c r="B1339" s="56">
        <v>12</v>
      </c>
      <c r="C1339" s="56">
        <f t="shared" si="87"/>
        <v>100750012</v>
      </c>
      <c r="D1339" s="57" t="s">
        <v>2062</v>
      </c>
      <c r="E1339" s="58" t="s">
        <v>640</v>
      </c>
      <c r="F1339" s="58"/>
      <c r="G1339" s="58"/>
      <c r="H1339" s="58"/>
      <c r="I1339" s="59" t="s">
        <v>206</v>
      </c>
      <c r="J1339" s="59"/>
      <c r="K1339" s="59"/>
      <c r="L1339" s="59"/>
      <c r="M1339" s="59"/>
      <c r="N1339" s="59" t="s">
        <v>163</v>
      </c>
      <c r="O1339" s="59" t="s">
        <v>163</v>
      </c>
      <c r="P1339" s="59"/>
      <c r="Q1339" s="59" t="s">
        <v>2041</v>
      </c>
      <c r="R1339" s="59"/>
      <c r="S1339" s="59"/>
      <c r="T1339" s="59" t="s">
        <v>2714</v>
      </c>
      <c r="U1339" s="122" t="s">
        <v>3072</v>
      </c>
      <c r="V1339" s="59" t="s">
        <v>109</v>
      </c>
      <c r="W1339" s="59" t="s">
        <v>1</v>
      </c>
      <c r="X1339" s="59"/>
      <c r="Z1339" s="59"/>
      <c r="AA1339" s="59"/>
      <c r="AB1339" s="59"/>
      <c r="AC1339" s="59">
        <v>75</v>
      </c>
      <c r="AD1339" s="59"/>
      <c r="AE1339" s="60"/>
      <c r="AF1339" s="60" t="s">
        <v>2042</v>
      </c>
      <c r="AG1339" s="59"/>
      <c r="AH1339" s="61">
        <v>101753</v>
      </c>
      <c r="AI1339" s="61" t="s">
        <v>264</v>
      </c>
      <c r="AJ1339" s="61"/>
      <c r="AK1339" s="62" t="s">
        <v>637</v>
      </c>
      <c r="AL1339" s="62"/>
      <c r="AM1339" s="63"/>
      <c r="AN1339" s="63"/>
      <c r="AO1339" s="63"/>
      <c r="AP1339" s="63"/>
      <c r="AQ1339" s="63"/>
      <c r="AR1339" s="63"/>
      <c r="AS1339" s="63"/>
      <c r="AT1339" s="63"/>
      <c r="AU1339" s="61"/>
      <c r="AV1339" s="61"/>
      <c r="AW1339" s="61"/>
      <c r="AX1339" s="62"/>
      <c r="AY1339" s="62"/>
      <c r="AZ1339" s="63"/>
      <c r="BA1339" s="63"/>
      <c r="BB1339" s="63"/>
      <c r="BC1339" s="63"/>
      <c r="BD1339" s="63"/>
      <c r="BE1339" s="63"/>
      <c r="BF1339" s="63"/>
      <c r="BG1339" s="63"/>
      <c r="BH1339" s="61"/>
      <c r="BI1339" s="61"/>
      <c r="BJ1339" s="61"/>
      <c r="BK1339" s="62"/>
      <c r="BL1339" s="62"/>
      <c r="BM1339" s="63"/>
      <c r="BN1339" s="63"/>
      <c r="BO1339" s="63"/>
      <c r="BP1339" s="63"/>
      <c r="BQ1339" s="63"/>
      <c r="BR1339" s="63"/>
      <c r="BS1339" s="63"/>
      <c r="BT1339" s="63"/>
      <c r="BU1339" s="61"/>
      <c r="BV1339" s="61"/>
      <c r="BW1339" s="61"/>
      <c r="BX1339" s="62"/>
      <c r="BY1339" s="62"/>
      <c r="BZ1339" s="63"/>
      <c r="CA1339" s="63"/>
      <c r="CB1339" s="63"/>
      <c r="CC1339" s="63"/>
      <c r="CD1339" s="63"/>
      <c r="CE1339" s="63"/>
      <c r="CF1339" s="63"/>
      <c r="CG1339" s="63"/>
      <c r="CH1339" s="64"/>
      <c r="CJ1339" s="63"/>
      <c r="CT1339" s="65"/>
      <c r="CU1339" s="65"/>
      <c r="CV1339" s="65"/>
      <c r="CW1339" s="65"/>
      <c r="CX1339" s="65"/>
      <c r="CY1339" s="65"/>
      <c r="CZ1339" s="65"/>
      <c r="DA1339" s="65"/>
      <c r="DB1339" s="65"/>
      <c r="DC1339" s="63"/>
    </row>
    <row r="1340" spans="1:107" s="57" customFormat="1" x14ac:dyDescent="0.2">
      <c r="A1340" s="55">
        <v>10075</v>
      </c>
      <c r="B1340" s="56">
        <v>13</v>
      </c>
      <c r="C1340" s="56">
        <f t="shared" si="87"/>
        <v>100750013</v>
      </c>
      <c r="D1340" s="57" t="s">
        <v>2062</v>
      </c>
      <c r="E1340" s="58" t="s">
        <v>640</v>
      </c>
      <c r="F1340" s="58"/>
      <c r="G1340" s="58"/>
      <c r="H1340" s="58"/>
      <c r="I1340" s="59" t="s">
        <v>206</v>
      </c>
      <c r="J1340" s="59"/>
      <c r="K1340" s="59"/>
      <c r="L1340" s="59"/>
      <c r="M1340" s="59"/>
      <c r="N1340" s="59" t="s">
        <v>163</v>
      </c>
      <c r="O1340" s="59" t="s">
        <v>163</v>
      </c>
      <c r="P1340" s="59"/>
      <c r="Q1340" s="59" t="s">
        <v>2041</v>
      </c>
      <c r="R1340" s="59"/>
      <c r="S1340" s="59"/>
      <c r="T1340" s="59" t="s">
        <v>2714</v>
      </c>
      <c r="U1340" s="122" t="s">
        <v>3073</v>
      </c>
      <c r="V1340" s="59" t="s">
        <v>109</v>
      </c>
      <c r="W1340" s="59" t="s">
        <v>1</v>
      </c>
      <c r="X1340" s="59"/>
      <c r="Z1340" s="59"/>
      <c r="AA1340" s="59"/>
      <c r="AB1340" s="59"/>
      <c r="AC1340" s="59">
        <v>75</v>
      </c>
      <c r="AD1340" s="59"/>
      <c r="AE1340" s="60"/>
      <c r="AF1340" s="60" t="s">
        <v>2042</v>
      </c>
      <c r="AG1340" s="59"/>
      <c r="AH1340" s="61">
        <v>101754</v>
      </c>
      <c r="AI1340" s="61" t="s">
        <v>265</v>
      </c>
      <c r="AJ1340" s="61"/>
      <c r="AK1340" s="62" t="s">
        <v>638</v>
      </c>
      <c r="AL1340" s="62"/>
      <c r="AM1340" s="63"/>
      <c r="AN1340" s="63"/>
      <c r="AO1340" s="63"/>
      <c r="AP1340" s="63"/>
      <c r="AQ1340" s="63"/>
      <c r="AR1340" s="63"/>
      <c r="AS1340" s="63"/>
      <c r="AT1340" s="63"/>
      <c r="AU1340" s="61"/>
      <c r="AV1340" s="61"/>
      <c r="AW1340" s="61"/>
      <c r="AX1340" s="62"/>
      <c r="AY1340" s="62"/>
      <c r="AZ1340" s="63"/>
      <c r="BA1340" s="63"/>
      <c r="BB1340" s="63"/>
      <c r="BC1340" s="63"/>
      <c r="BD1340" s="63"/>
      <c r="BE1340" s="63"/>
      <c r="BF1340" s="63"/>
      <c r="BG1340" s="63"/>
      <c r="BH1340" s="61"/>
      <c r="BI1340" s="61"/>
      <c r="BJ1340" s="61"/>
      <c r="BK1340" s="62"/>
      <c r="BL1340" s="62"/>
      <c r="BM1340" s="63"/>
      <c r="BN1340" s="63"/>
      <c r="BO1340" s="63"/>
      <c r="BP1340" s="63"/>
      <c r="BQ1340" s="63"/>
      <c r="BR1340" s="63"/>
      <c r="BS1340" s="63"/>
      <c r="BT1340" s="63"/>
      <c r="BU1340" s="61"/>
      <c r="BV1340" s="61"/>
      <c r="BW1340" s="61"/>
      <c r="BX1340" s="62"/>
      <c r="BY1340" s="62"/>
      <c r="BZ1340" s="63"/>
      <c r="CA1340" s="63"/>
      <c r="CB1340" s="63"/>
      <c r="CC1340" s="63"/>
      <c r="CD1340" s="63"/>
      <c r="CE1340" s="63"/>
      <c r="CF1340" s="63"/>
      <c r="CG1340" s="63"/>
      <c r="CH1340" s="64"/>
      <c r="CJ1340" s="63"/>
      <c r="CT1340" s="65"/>
      <c r="CU1340" s="65"/>
      <c r="CV1340" s="65"/>
      <c r="CW1340" s="65"/>
      <c r="CX1340" s="65"/>
      <c r="CY1340" s="65"/>
      <c r="CZ1340" s="65"/>
      <c r="DA1340" s="65"/>
      <c r="DB1340" s="65"/>
      <c r="DC1340" s="63"/>
    </row>
    <row r="1341" spans="1:107" s="57" customFormat="1" x14ac:dyDescent="0.2">
      <c r="A1341" s="55">
        <v>10075</v>
      </c>
      <c r="B1341" s="56">
        <v>14</v>
      </c>
      <c r="C1341" s="56">
        <f t="shared" si="87"/>
        <v>100750014</v>
      </c>
      <c r="D1341" s="57" t="s">
        <v>2062</v>
      </c>
      <c r="E1341" s="58" t="s">
        <v>640</v>
      </c>
      <c r="F1341" s="58"/>
      <c r="G1341" s="58"/>
      <c r="H1341" s="58"/>
      <c r="I1341" s="59" t="s">
        <v>206</v>
      </c>
      <c r="J1341" s="59"/>
      <c r="K1341" s="59"/>
      <c r="L1341" s="59"/>
      <c r="M1341" s="59"/>
      <c r="N1341" s="59" t="s">
        <v>163</v>
      </c>
      <c r="O1341" s="59" t="s">
        <v>163</v>
      </c>
      <c r="P1341" s="59"/>
      <c r="Q1341" s="59" t="s">
        <v>2041</v>
      </c>
      <c r="R1341" s="59"/>
      <c r="S1341" s="59"/>
      <c r="T1341" s="59" t="s">
        <v>2714</v>
      </c>
      <c r="U1341" s="122" t="s">
        <v>3074</v>
      </c>
      <c r="V1341" s="59" t="s">
        <v>109</v>
      </c>
      <c r="W1341" s="59" t="s">
        <v>1</v>
      </c>
      <c r="X1341" s="59"/>
      <c r="Z1341" s="59"/>
      <c r="AA1341" s="59"/>
      <c r="AB1341" s="59"/>
      <c r="AC1341" s="59">
        <v>75</v>
      </c>
      <c r="AD1341" s="59"/>
      <c r="AE1341" s="60"/>
      <c r="AF1341" s="60" t="s">
        <v>2042</v>
      </c>
      <c r="AG1341" s="59"/>
      <c r="AH1341" s="61">
        <v>101755</v>
      </c>
      <c r="AI1341" s="61" t="s">
        <v>266</v>
      </c>
      <c r="AJ1341" s="61"/>
      <c r="AK1341" s="62" t="s">
        <v>639</v>
      </c>
      <c r="AL1341" s="62"/>
      <c r="AM1341" s="63"/>
      <c r="AN1341" s="63"/>
      <c r="AO1341" s="63"/>
      <c r="AP1341" s="63"/>
      <c r="AQ1341" s="63"/>
      <c r="AR1341" s="63"/>
      <c r="AS1341" s="63"/>
      <c r="AT1341" s="63"/>
      <c r="AU1341" s="61"/>
      <c r="AV1341" s="61"/>
      <c r="AW1341" s="61"/>
      <c r="AX1341" s="62"/>
      <c r="AY1341" s="62"/>
      <c r="AZ1341" s="63"/>
      <c r="BA1341" s="63"/>
      <c r="BB1341" s="63"/>
      <c r="BC1341" s="63"/>
      <c r="BD1341" s="63"/>
      <c r="BE1341" s="63"/>
      <c r="BF1341" s="63"/>
      <c r="BG1341" s="63"/>
      <c r="BH1341" s="61"/>
      <c r="BI1341" s="61"/>
      <c r="BJ1341" s="61"/>
      <c r="BK1341" s="62"/>
      <c r="BL1341" s="62"/>
      <c r="BM1341" s="63"/>
      <c r="BN1341" s="63"/>
      <c r="BO1341" s="63"/>
      <c r="BP1341" s="63"/>
      <c r="BQ1341" s="63"/>
      <c r="BR1341" s="63"/>
      <c r="BS1341" s="63"/>
      <c r="BT1341" s="63"/>
      <c r="BU1341" s="61"/>
      <c r="BV1341" s="61"/>
      <c r="BW1341" s="61"/>
      <c r="BX1341" s="62"/>
      <c r="BY1341" s="62"/>
      <c r="BZ1341" s="63"/>
      <c r="CA1341" s="63"/>
      <c r="CB1341" s="63"/>
      <c r="CC1341" s="63"/>
      <c r="CD1341" s="63"/>
      <c r="CE1341" s="63"/>
      <c r="CF1341" s="63"/>
      <c r="CG1341" s="63"/>
      <c r="CH1341" s="64"/>
      <c r="CJ1341" s="63"/>
      <c r="CT1341" s="65"/>
      <c r="CU1341" s="65"/>
      <c r="CV1341" s="65"/>
      <c r="CW1341" s="65"/>
      <c r="CX1341" s="65"/>
      <c r="CY1341" s="65"/>
      <c r="CZ1341" s="65"/>
      <c r="DA1341" s="65"/>
      <c r="DB1341" s="65"/>
      <c r="DC1341" s="63"/>
    </row>
    <row r="1342" spans="1:107" s="57" customFormat="1" x14ac:dyDescent="0.2">
      <c r="A1342" s="55">
        <v>10076</v>
      </c>
      <c r="B1342" s="56">
        <v>10</v>
      </c>
      <c r="C1342" s="56">
        <f t="shared" si="87"/>
        <v>100760010</v>
      </c>
      <c r="D1342" s="57" t="s">
        <v>3764</v>
      </c>
      <c r="E1342" s="58" t="s">
        <v>640</v>
      </c>
      <c r="F1342" s="58"/>
      <c r="G1342" s="58"/>
      <c r="H1342" s="58"/>
      <c r="I1342" s="59" t="s">
        <v>206</v>
      </c>
      <c r="J1342" s="59"/>
      <c r="K1342" s="59"/>
      <c r="L1342" s="59"/>
      <c r="M1342" s="59"/>
      <c r="N1342" s="59" t="s">
        <v>163</v>
      </c>
      <c r="O1342" s="59" t="s">
        <v>163</v>
      </c>
      <c r="P1342" s="59"/>
      <c r="Q1342" s="59" t="s">
        <v>2041</v>
      </c>
      <c r="R1342" s="59"/>
      <c r="S1342" s="59"/>
      <c r="T1342" s="59" t="s">
        <v>2714</v>
      </c>
      <c r="U1342" s="122" t="s">
        <v>3773</v>
      </c>
      <c r="V1342" s="59" t="s">
        <v>109</v>
      </c>
      <c r="W1342" s="59" t="s">
        <v>1</v>
      </c>
      <c r="X1342" s="59"/>
      <c r="Z1342" s="59"/>
      <c r="AA1342" s="59"/>
      <c r="AB1342" s="59"/>
      <c r="AC1342" s="59" t="s">
        <v>685</v>
      </c>
      <c r="AD1342" s="59"/>
      <c r="AE1342" s="60"/>
      <c r="AF1342" s="60" t="s">
        <v>2042</v>
      </c>
      <c r="AG1342" s="59"/>
      <c r="AH1342" s="61" t="s">
        <v>3774</v>
      </c>
      <c r="AI1342" s="61" t="s">
        <v>176</v>
      </c>
      <c r="AJ1342" s="61"/>
      <c r="AK1342" s="62" t="s">
        <v>635</v>
      </c>
      <c r="AL1342" s="62"/>
      <c r="AM1342" s="63"/>
      <c r="AN1342" s="63"/>
      <c r="AO1342" s="63"/>
      <c r="AP1342" s="63"/>
      <c r="AQ1342" s="63"/>
      <c r="AR1342" s="63"/>
      <c r="AS1342" s="63"/>
      <c r="AT1342" s="63"/>
      <c r="AU1342" s="61"/>
      <c r="AV1342" s="61"/>
      <c r="AW1342" s="61"/>
      <c r="AX1342" s="62"/>
      <c r="AY1342" s="62"/>
      <c r="AZ1342" s="63"/>
      <c r="BA1342" s="63"/>
      <c r="BB1342" s="63"/>
      <c r="BC1342" s="63"/>
      <c r="BD1342" s="63"/>
      <c r="BE1342" s="63"/>
      <c r="BF1342" s="63"/>
      <c r="BG1342" s="63"/>
      <c r="BH1342" s="61"/>
      <c r="BI1342" s="61"/>
      <c r="BJ1342" s="61"/>
      <c r="BK1342" s="62"/>
      <c r="BL1342" s="62"/>
      <c r="BM1342" s="63"/>
      <c r="BN1342" s="63"/>
      <c r="BO1342" s="63"/>
      <c r="BP1342" s="63"/>
      <c r="BQ1342" s="63"/>
      <c r="BR1342" s="63"/>
      <c r="BS1342" s="63"/>
      <c r="BT1342" s="63"/>
      <c r="BU1342" s="61"/>
      <c r="BV1342" s="61"/>
      <c r="BW1342" s="61"/>
      <c r="BX1342" s="62"/>
      <c r="BY1342" s="62"/>
      <c r="BZ1342" s="63"/>
      <c r="CA1342" s="63"/>
      <c r="CB1342" s="63"/>
      <c r="CC1342" s="63"/>
      <c r="CD1342" s="63"/>
      <c r="CE1342" s="63"/>
      <c r="CF1342" s="63"/>
      <c r="CG1342" s="63"/>
      <c r="CH1342" s="64"/>
      <c r="CJ1342" s="63"/>
      <c r="CT1342" s="65"/>
      <c r="CU1342" s="65"/>
      <c r="CV1342" s="65"/>
      <c r="CW1342" s="65"/>
      <c r="CX1342" s="65"/>
      <c r="CY1342" s="65"/>
      <c r="CZ1342" s="65"/>
      <c r="DA1342" s="65"/>
      <c r="DB1342" s="65"/>
      <c r="DC1342" s="63"/>
    </row>
    <row r="1343" spans="1:107" s="57" customFormat="1" x14ac:dyDescent="0.2">
      <c r="A1343" s="55">
        <v>10076</v>
      </c>
      <c r="B1343" s="56">
        <v>11</v>
      </c>
      <c r="C1343" s="56">
        <f t="shared" si="87"/>
        <v>100760011</v>
      </c>
      <c r="D1343" s="57" t="s">
        <v>3764</v>
      </c>
      <c r="E1343" s="58" t="s">
        <v>640</v>
      </c>
      <c r="F1343" s="58"/>
      <c r="G1343" s="58"/>
      <c r="H1343" s="58"/>
      <c r="I1343" s="59" t="s">
        <v>206</v>
      </c>
      <c r="J1343" s="59"/>
      <c r="K1343" s="59"/>
      <c r="L1343" s="59"/>
      <c r="M1343" s="59"/>
      <c r="N1343" s="59" t="s">
        <v>163</v>
      </c>
      <c r="O1343" s="59" t="s">
        <v>163</v>
      </c>
      <c r="P1343" s="59"/>
      <c r="Q1343" s="59" t="s">
        <v>2041</v>
      </c>
      <c r="R1343" s="59"/>
      <c r="S1343" s="59"/>
      <c r="T1343" s="59" t="s">
        <v>2714</v>
      </c>
      <c r="U1343" s="122" t="s">
        <v>3775</v>
      </c>
      <c r="V1343" s="59" t="s">
        <v>109</v>
      </c>
      <c r="W1343" s="59" t="s">
        <v>1</v>
      </c>
      <c r="X1343" s="59"/>
      <c r="Z1343" s="59"/>
      <c r="AA1343" s="59"/>
      <c r="AB1343" s="59"/>
      <c r="AC1343" s="59" t="s">
        <v>685</v>
      </c>
      <c r="AD1343" s="59"/>
      <c r="AE1343" s="60"/>
      <c r="AF1343" s="60" t="s">
        <v>2042</v>
      </c>
      <c r="AG1343" s="59"/>
      <c r="AH1343" s="61" t="s">
        <v>3776</v>
      </c>
      <c r="AI1343" s="61" t="s">
        <v>260</v>
      </c>
      <c r="AJ1343" s="61"/>
      <c r="AK1343" s="62" t="s">
        <v>636</v>
      </c>
      <c r="AL1343" s="62"/>
      <c r="AM1343" s="63"/>
      <c r="AN1343" s="63"/>
      <c r="AO1343" s="63"/>
      <c r="AP1343" s="63"/>
      <c r="AQ1343" s="63"/>
      <c r="AR1343" s="63"/>
      <c r="AS1343" s="63"/>
      <c r="AT1343" s="63"/>
      <c r="AU1343" s="61"/>
      <c r="AV1343" s="61"/>
      <c r="AW1343" s="61"/>
      <c r="AX1343" s="62"/>
      <c r="AY1343" s="62"/>
      <c r="AZ1343" s="63"/>
      <c r="BA1343" s="63"/>
      <c r="BB1343" s="63"/>
      <c r="BC1343" s="63"/>
      <c r="BD1343" s="63"/>
      <c r="BE1343" s="63"/>
      <c r="BF1343" s="63"/>
      <c r="BG1343" s="63"/>
      <c r="BH1343" s="61"/>
      <c r="BI1343" s="61"/>
      <c r="BJ1343" s="61"/>
      <c r="BK1343" s="62"/>
      <c r="BL1343" s="62"/>
      <c r="BM1343" s="63"/>
      <c r="BN1343" s="63"/>
      <c r="BO1343" s="63"/>
      <c r="BP1343" s="63"/>
      <c r="BQ1343" s="63"/>
      <c r="BR1343" s="63"/>
      <c r="BS1343" s="63"/>
      <c r="BT1343" s="63"/>
      <c r="BU1343" s="61"/>
      <c r="BV1343" s="61"/>
      <c r="BW1343" s="61"/>
      <c r="BX1343" s="62"/>
      <c r="BY1343" s="62"/>
      <c r="BZ1343" s="63"/>
      <c r="CA1343" s="63"/>
      <c r="CB1343" s="63"/>
      <c r="CC1343" s="63"/>
      <c r="CD1343" s="63"/>
      <c r="CE1343" s="63"/>
      <c r="CF1343" s="63"/>
      <c r="CG1343" s="63"/>
      <c r="CH1343" s="64"/>
      <c r="CJ1343" s="63"/>
      <c r="CT1343" s="65"/>
      <c r="CU1343" s="65"/>
      <c r="CV1343" s="65"/>
      <c r="CW1343" s="65"/>
      <c r="CX1343" s="65"/>
      <c r="CY1343" s="65"/>
      <c r="CZ1343" s="65"/>
      <c r="DA1343" s="65"/>
      <c r="DB1343" s="65"/>
      <c r="DC1343" s="63"/>
    </row>
    <row r="1344" spans="1:107" s="57" customFormat="1" x14ac:dyDescent="0.2">
      <c r="A1344" s="55">
        <v>10076</v>
      </c>
      <c r="B1344" s="56">
        <v>12</v>
      </c>
      <c r="C1344" s="56">
        <f t="shared" si="87"/>
        <v>100760012</v>
      </c>
      <c r="D1344" s="57" t="s">
        <v>3764</v>
      </c>
      <c r="E1344" s="58" t="s">
        <v>640</v>
      </c>
      <c r="F1344" s="58"/>
      <c r="G1344" s="58"/>
      <c r="H1344" s="58"/>
      <c r="I1344" s="59" t="s">
        <v>206</v>
      </c>
      <c r="J1344" s="59"/>
      <c r="K1344" s="59"/>
      <c r="L1344" s="59"/>
      <c r="M1344" s="59"/>
      <c r="N1344" s="59" t="s">
        <v>163</v>
      </c>
      <c r="O1344" s="59" t="s">
        <v>163</v>
      </c>
      <c r="P1344" s="59"/>
      <c r="Q1344" s="59" t="s">
        <v>2041</v>
      </c>
      <c r="R1344" s="59"/>
      <c r="S1344" s="59"/>
      <c r="T1344" s="59" t="s">
        <v>2714</v>
      </c>
      <c r="U1344" s="122" t="s">
        <v>3777</v>
      </c>
      <c r="V1344" s="59" t="s">
        <v>109</v>
      </c>
      <c r="W1344" s="59" t="s">
        <v>1</v>
      </c>
      <c r="X1344" s="59"/>
      <c r="Z1344" s="59"/>
      <c r="AA1344" s="59"/>
      <c r="AB1344" s="59"/>
      <c r="AC1344" s="59" t="s">
        <v>685</v>
      </c>
      <c r="AD1344" s="59"/>
      <c r="AE1344" s="60"/>
      <c r="AF1344" s="60" t="s">
        <v>2042</v>
      </c>
      <c r="AG1344" s="59"/>
      <c r="AH1344" s="61" t="s">
        <v>3778</v>
      </c>
      <c r="AI1344" s="61" t="s">
        <v>264</v>
      </c>
      <c r="AJ1344" s="61"/>
      <c r="AK1344" s="62" t="s">
        <v>637</v>
      </c>
      <c r="AL1344" s="62"/>
      <c r="AM1344" s="63"/>
      <c r="AN1344" s="63"/>
      <c r="AO1344" s="63"/>
      <c r="AP1344" s="63"/>
      <c r="AQ1344" s="63"/>
      <c r="AR1344" s="63"/>
      <c r="AS1344" s="63"/>
      <c r="AT1344" s="63"/>
      <c r="AU1344" s="61"/>
      <c r="AV1344" s="61"/>
      <c r="AW1344" s="61"/>
      <c r="AX1344" s="62"/>
      <c r="AY1344" s="62"/>
      <c r="AZ1344" s="63"/>
      <c r="BA1344" s="63"/>
      <c r="BB1344" s="63"/>
      <c r="BC1344" s="63"/>
      <c r="BD1344" s="63"/>
      <c r="BE1344" s="63"/>
      <c r="BF1344" s="63"/>
      <c r="BG1344" s="63"/>
      <c r="BH1344" s="61"/>
      <c r="BI1344" s="61"/>
      <c r="BJ1344" s="61"/>
      <c r="BK1344" s="62"/>
      <c r="BL1344" s="62"/>
      <c r="BM1344" s="63"/>
      <c r="BN1344" s="63"/>
      <c r="BO1344" s="63"/>
      <c r="BP1344" s="63"/>
      <c r="BQ1344" s="63"/>
      <c r="BR1344" s="63"/>
      <c r="BS1344" s="63"/>
      <c r="BT1344" s="63"/>
      <c r="BU1344" s="61"/>
      <c r="BV1344" s="61"/>
      <c r="BW1344" s="61"/>
      <c r="BX1344" s="62"/>
      <c r="BY1344" s="62"/>
      <c r="BZ1344" s="63"/>
      <c r="CA1344" s="63"/>
      <c r="CB1344" s="63"/>
      <c r="CC1344" s="63"/>
      <c r="CD1344" s="63"/>
      <c r="CE1344" s="63"/>
      <c r="CF1344" s="63"/>
      <c r="CG1344" s="63"/>
      <c r="CH1344" s="64"/>
      <c r="CJ1344" s="63"/>
      <c r="CT1344" s="65"/>
      <c r="CU1344" s="65"/>
      <c r="CV1344" s="65"/>
      <c r="CW1344" s="65"/>
      <c r="CX1344" s="65"/>
      <c r="CY1344" s="65"/>
      <c r="CZ1344" s="65"/>
      <c r="DA1344" s="65"/>
      <c r="DB1344" s="65"/>
      <c r="DC1344" s="63"/>
    </row>
    <row r="1345" spans="1:107" s="57" customFormat="1" x14ac:dyDescent="0.2">
      <c r="A1345" s="55">
        <v>10076</v>
      </c>
      <c r="B1345" s="56">
        <v>13</v>
      </c>
      <c r="C1345" s="56">
        <f t="shared" si="87"/>
        <v>100760013</v>
      </c>
      <c r="D1345" s="57" t="s">
        <v>3764</v>
      </c>
      <c r="E1345" s="58" t="s">
        <v>640</v>
      </c>
      <c r="F1345" s="58"/>
      <c r="G1345" s="58"/>
      <c r="H1345" s="58"/>
      <c r="I1345" s="59" t="s">
        <v>206</v>
      </c>
      <c r="J1345" s="59"/>
      <c r="K1345" s="59"/>
      <c r="L1345" s="59"/>
      <c r="M1345" s="59"/>
      <c r="N1345" s="59" t="s">
        <v>163</v>
      </c>
      <c r="O1345" s="59" t="s">
        <v>163</v>
      </c>
      <c r="P1345" s="59"/>
      <c r="Q1345" s="59" t="s">
        <v>2041</v>
      </c>
      <c r="R1345" s="59"/>
      <c r="S1345" s="59"/>
      <c r="T1345" s="59" t="s">
        <v>2714</v>
      </c>
      <c r="U1345" s="122" t="s">
        <v>3779</v>
      </c>
      <c r="V1345" s="59" t="s">
        <v>109</v>
      </c>
      <c r="W1345" s="59" t="s">
        <v>1</v>
      </c>
      <c r="X1345" s="59"/>
      <c r="Z1345" s="59"/>
      <c r="AA1345" s="59"/>
      <c r="AB1345" s="59"/>
      <c r="AC1345" s="59" t="s">
        <v>685</v>
      </c>
      <c r="AD1345" s="59"/>
      <c r="AE1345" s="60"/>
      <c r="AF1345" s="60" t="s">
        <v>2042</v>
      </c>
      <c r="AG1345" s="59"/>
      <c r="AH1345" s="61" t="s">
        <v>3780</v>
      </c>
      <c r="AI1345" s="61" t="s">
        <v>265</v>
      </c>
      <c r="AJ1345" s="61"/>
      <c r="AK1345" s="62" t="s">
        <v>638</v>
      </c>
      <c r="AL1345" s="62"/>
      <c r="AM1345" s="63"/>
      <c r="AN1345" s="63"/>
      <c r="AO1345" s="63"/>
      <c r="AP1345" s="63"/>
      <c r="AQ1345" s="63"/>
      <c r="AR1345" s="63"/>
      <c r="AS1345" s="63"/>
      <c r="AT1345" s="63"/>
      <c r="AU1345" s="61"/>
      <c r="AV1345" s="61"/>
      <c r="AW1345" s="61"/>
      <c r="AX1345" s="62"/>
      <c r="AY1345" s="62"/>
      <c r="AZ1345" s="63"/>
      <c r="BA1345" s="63"/>
      <c r="BB1345" s="63"/>
      <c r="BC1345" s="63"/>
      <c r="BD1345" s="63"/>
      <c r="BE1345" s="63"/>
      <c r="BF1345" s="63"/>
      <c r="BG1345" s="63"/>
      <c r="BH1345" s="61"/>
      <c r="BI1345" s="61"/>
      <c r="BJ1345" s="61"/>
      <c r="BK1345" s="62"/>
      <c r="BL1345" s="62"/>
      <c r="BM1345" s="63"/>
      <c r="BN1345" s="63"/>
      <c r="BO1345" s="63"/>
      <c r="BP1345" s="63"/>
      <c r="BQ1345" s="63"/>
      <c r="BR1345" s="63"/>
      <c r="BS1345" s="63"/>
      <c r="BT1345" s="63"/>
      <c r="BU1345" s="61"/>
      <c r="BV1345" s="61"/>
      <c r="BW1345" s="61"/>
      <c r="BX1345" s="62"/>
      <c r="BY1345" s="62"/>
      <c r="BZ1345" s="63"/>
      <c r="CA1345" s="63"/>
      <c r="CB1345" s="63"/>
      <c r="CC1345" s="63"/>
      <c r="CD1345" s="63"/>
      <c r="CE1345" s="63"/>
      <c r="CF1345" s="63"/>
      <c r="CG1345" s="63"/>
      <c r="CH1345" s="64"/>
      <c r="CJ1345" s="63"/>
      <c r="CT1345" s="65"/>
      <c r="CU1345" s="65"/>
      <c r="CV1345" s="65"/>
      <c r="CW1345" s="65"/>
      <c r="CX1345" s="65"/>
      <c r="CY1345" s="65"/>
      <c r="CZ1345" s="65"/>
      <c r="DA1345" s="65"/>
      <c r="DB1345" s="65"/>
      <c r="DC1345" s="63"/>
    </row>
    <row r="1346" spans="1:107" s="57" customFormat="1" x14ac:dyDescent="0.2">
      <c r="A1346" s="55">
        <v>10076</v>
      </c>
      <c r="B1346" s="56">
        <v>14</v>
      </c>
      <c r="C1346" s="56">
        <f t="shared" si="87"/>
        <v>100760014</v>
      </c>
      <c r="D1346" s="57" t="s">
        <v>3764</v>
      </c>
      <c r="E1346" s="58" t="s">
        <v>640</v>
      </c>
      <c r="F1346" s="58"/>
      <c r="G1346" s="58"/>
      <c r="H1346" s="58"/>
      <c r="I1346" s="59" t="s">
        <v>206</v>
      </c>
      <c r="J1346" s="59"/>
      <c r="K1346" s="59"/>
      <c r="L1346" s="59"/>
      <c r="M1346" s="59"/>
      <c r="N1346" s="59" t="s">
        <v>163</v>
      </c>
      <c r="O1346" s="59" t="s">
        <v>163</v>
      </c>
      <c r="P1346" s="59"/>
      <c r="Q1346" s="59" t="s">
        <v>2041</v>
      </c>
      <c r="R1346" s="59"/>
      <c r="S1346" s="59"/>
      <c r="T1346" s="59" t="s">
        <v>2714</v>
      </c>
      <c r="U1346" s="122" t="s">
        <v>3781</v>
      </c>
      <c r="V1346" s="59" t="s">
        <v>109</v>
      </c>
      <c r="W1346" s="59" t="s">
        <v>1</v>
      </c>
      <c r="X1346" s="59"/>
      <c r="Z1346" s="59"/>
      <c r="AA1346" s="59"/>
      <c r="AB1346" s="59"/>
      <c r="AC1346" s="59" t="s">
        <v>685</v>
      </c>
      <c r="AD1346" s="59"/>
      <c r="AE1346" s="60"/>
      <c r="AF1346" s="60" t="s">
        <v>2042</v>
      </c>
      <c r="AG1346" s="59"/>
      <c r="AH1346" s="61" t="s">
        <v>3782</v>
      </c>
      <c r="AI1346" s="61" t="s">
        <v>266</v>
      </c>
      <c r="AJ1346" s="61"/>
      <c r="AK1346" s="62" t="s">
        <v>639</v>
      </c>
      <c r="AL1346" s="62"/>
      <c r="AM1346" s="63"/>
      <c r="AN1346" s="63"/>
      <c r="AO1346" s="63"/>
      <c r="AP1346" s="63"/>
      <c r="AQ1346" s="63"/>
      <c r="AR1346" s="63"/>
      <c r="AS1346" s="63"/>
      <c r="AT1346" s="63"/>
      <c r="AU1346" s="61"/>
      <c r="AV1346" s="61"/>
      <c r="AW1346" s="61"/>
      <c r="AX1346" s="62"/>
      <c r="AY1346" s="62"/>
      <c r="AZ1346" s="63"/>
      <c r="BA1346" s="63"/>
      <c r="BB1346" s="63"/>
      <c r="BC1346" s="63"/>
      <c r="BD1346" s="63"/>
      <c r="BE1346" s="63"/>
      <c r="BF1346" s="63"/>
      <c r="BG1346" s="63"/>
      <c r="BH1346" s="61"/>
      <c r="BI1346" s="61"/>
      <c r="BJ1346" s="61"/>
      <c r="BK1346" s="62"/>
      <c r="BL1346" s="62"/>
      <c r="BM1346" s="63"/>
      <c r="BN1346" s="63"/>
      <c r="BO1346" s="63"/>
      <c r="BP1346" s="63"/>
      <c r="BQ1346" s="63"/>
      <c r="BR1346" s="63"/>
      <c r="BS1346" s="63"/>
      <c r="BT1346" s="63"/>
      <c r="BU1346" s="61"/>
      <c r="BV1346" s="61"/>
      <c r="BW1346" s="61"/>
      <c r="BX1346" s="62"/>
      <c r="BY1346" s="62"/>
      <c r="BZ1346" s="63"/>
      <c r="CA1346" s="63"/>
      <c r="CB1346" s="63"/>
      <c r="CC1346" s="63"/>
      <c r="CD1346" s="63"/>
      <c r="CE1346" s="63"/>
      <c r="CF1346" s="63"/>
      <c r="CG1346" s="63"/>
      <c r="CH1346" s="64"/>
      <c r="CJ1346" s="63"/>
      <c r="CT1346" s="65"/>
      <c r="CU1346" s="65"/>
      <c r="CV1346" s="65"/>
      <c r="CW1346" s="65"/>
      <c r="CX1346" s="65"/>
      <c r="CY1346" s="65"/>
      <c r="CZ1346" s="65"/>
      <c r="DA1346" s="65"/>
      <c r="DB1346" s="65"/>
      <c r="DC1346" s="63"/>
    </row>
    <row r="1347" spans="1:107" s="57" customFormat="1" x14ac:dyDescent="0.2">
      <c r="A1347" s="55">
        <v>10077</v>
      </c>
      <c r="B1347" s="56">
        <v>10</v>
      </c>
      <c r="C1347" s="56">
        <f t="shared" ref="C1347:C1351" si="89">A1347*10000+B1347</f>
        <v>100770010</v>
      </c>
      <c r="D1347" s="57" t="s">
        <v>3883</v>
      </c>
      <c r="E1347" s="58" t="s">
        <v>640</v>
      </c>
      <c r="F1347" s="58"/>
      <c r="G1347" s="58"/>
      <c r="H1347" s="58"/>
      <c r="I1347" s="59" t="s">
        <v>206</v>
      </c>
      <c r="J1347" s="59"/>
      <c r="K1347" s="59"/>
      <c r="L1347" s="59"/>
      <c r="M1347" s="59"/>
      <c r="N1347" s="59" t="s">
        <v>163</v>
      </c>
      <c r="O1347" s="59" t="s">
        <v>163</v>
      </c>
      <c r="P1347" s="59"/>
      <c r="Q1347" s="59" t="s">
        <v>2041</v>
      </c>
      <c r="R1347" s="59"/>
      <c r="S1347" s="59"/>
      <c r="T1347" s="59" t="s">
        <v>2714</v>
      </c>
      <c r="U1347" s="122" t="s">
        <v>3890</v>
      </c>
      <c r="V1347" s="59" t="s">
        <v>109</v>
      </c>
      <c r="W1347" s="59" t="s">
        <v>1</v>
      </c>
      <c r="X1347" s="59"/>
      <c r="Z1347" s="59"/>
      <c r="AA1347" s="59"/>
      <c r="AB1347" s="59"/>
      <c r="AC1347" s="59">
        <v>77</v>
      </c>
      <c r="AD1347" s="59"/>
      <c r="AE1347" s="60"/>
      <c r="AF1347" s="60" t="s">
        <v>2042</v>
      </c>
      <c r="AG1347" s="59"/>
      <c r="AH1347" s="61">
        <v>101771</v>
      </c>
      <c r="AI1347" s="61" t="s">
        <v>176</v>
      </c>
      <c r="AJ1347" s="61"/>
      <c r="AK1347" s="62" t="s">
        <v>635</v>
      </c>
      <c r="AL1347" s="62"/>
      <c r="AM1347" s="63"/>
      <c r="AN1347" s="63"/>
      <c r="AO1347" s="63"/>
      <c r="AP1347" s="63"/>
      <c r="AQ1347" s="63"/>
      <c r="AR1347" s="63"/>
      <c r="AS1347" s="63"/>
      <c r="AT1347" s="63"/>
      <c r="AU1347" s="61"/>
      <c r="AV1347" s="61"/>
      <c r="AW1347" s="61"/>
      <c r="AX1347" s="62"/>
      <c r="AY1347" s="62"/>
      <c r="AZ1347" s="63"/>
      <c r="BA1347" s="63"/>
      <c r="BB1347" s="63"/>
      <c r="BC1347" s="63"/>
      <c r="BD1347" s="63"/>
      <c r="BE1347" s="63"/>
      <c r="BF1347" s="63"/>
      <c r="BG1347" s="63"/>
      <c r="BH1347" s="61"/>
      <c r="BI1347" s="61"/>
      <c r="BJ1347" s="61"/>
      <c r="BK1347" s="62"/>
      <c r="BL1347" s="62"/>
      <c r="BM1347" s="63"/>
      <c r="BN1347" s="63"/>
      <c r="BO1347" s="63"/>
      <c r="BP1347" s="63"/>
      <c r="BQ1347" s="63"/>
      <c r="BR1347" s="63"/>
      <c r="BS1347" s="63"/>
      <c r="BT1347" s="63"/>
      <c r="BU1347" s="61"/>
      <c r="BV1347" s="61"/>
      <c r="BW1347" s="61"/>
      <c r="BX1347" s="62"/>
      <c r="BY1347" s="62"/>
      <c r="BZ1347" s="63"/>
      <c r="CA1347" s="63"/>
      <c r="CB1347" s="63"/>
      <c r="CC1347" s="63"/>
      <c r="CD1347" s="63"/>
      <c r="CE1347" s="63"/>
      <c r="CF1347" s="63"/>
      <c r="CG1347" s="63"/>
      <c r="CH1347" s="64"/>
      <c r="CJ1347" s="63"/>
      <c r="CT1347" s="65"/>
      <c r="CU1347" s="65"/>
      <c r="CV1347" s="65"/>
      <c r="CW1347" s="65"/>
      <c r="CX1347" s="65"/>
      <c r="CY1347" s="65"/>
      <c r="CZ1347" s="65"/>
      <c r="DA1347" s="65"/>
      <c r="DB1347" s="65"/>
      <c r="DC1347" s="63"/>
    </row>
    <row r="1348" spans="1:107" s="57" customFormat="1" x14ac:dyDescent="0.2">
      <c r="A1348" s="55">
        <v>10077</v>
      </c>
      <c r="B1348" s="56">
        <v>11</v>
      </c>
      <c r="C1348" s="56">
        <f t="shared" si="89"/>
        <v>100770011</v>
      </c>
      <c r="D1348" s="57" t="s">
        <v>3883</v>
      </c>
      <c r="E1348" s="58" t="s">
        <v>640</v>
      </c>
      <c r="F1348" s="58"/>
      <c r="G1348" s="58"/>
      <c r="H1348" s="58"/>
      <c r="I1348" s="59" t="s">
        <v>206</v>
      </c>
      <c r="J1348" s="59"/>
      <c r="K1348" s="59"/>
      <c r="L1348" s="59"/>
      <c r="M1348" s="59"/>
      <c r="N1348" s="59" t="s">
        <v>163</v>
      </c>
      <c r="O1348" s="59" t="s">
        <v>163</v>
      </c>
      <c r="P1348" s="59"/>
      <c r="Q1348" s="59" t="s">
        <v>2041</v>
      </c>
      <c r="R1348" s="59"/>
      <c r="S1348" s="59"/>
      <c r="T1348" s="59" t="s">
        <v>2714</v>
      </c>
      <c r="U1348" s="122" t="s">
        <v>3891</v>
      </c>
      <c r="V1348" s="59" t="s">
        <v>109</v>
      </c>
      <c r="W1348" s="59" t="s">
        <v>1</v>
      </c>
      <c r="X1348" s="59"/>
      <c r="Z1348" s="59"/>
      <c r="AA1348" s="59"/>
      <c r="AB1348" s="59"/>
      <c r="AC1348" s="59">
        <v>77</v>
      </c>
      <c r="AD1348" s="59"/>
      <c r="AE1348" s="60"/>
      <c r="AF1348" s="60" t="s">
        <v>2042</v>
      </c>
      <c r="AG1348" s="59"/>
      <c r="AH1348" s="61">
        <v>101772</v>
      </c>
      <c r="AI1348" s="61" t="s">
        <v>260</v>
      </c>
      <c r="AJ1348" s="61"/>
      <c r="AK1348" s="62" t="s">
        <v>636</v>
      </c>
      <c r="AL1348" s="62"/>
      <c r="AM1348" s="63"/>
      <c r="AN1348" s="63"/>
      <c r="AO1348" s="63"/>
      <c r="AP1348" s="63"/>
      <c r="AQ1348" s="63"/>
      <c r="AR1348" s="63"/>
      <c r="AS1348" s="63"/>
      <c r="AT1348" s="63"/>
      <c r="AU1348" s="61"/>
      <c r="AV1348" s="61"/>
      <c r="AW1348" s="61"/>
      <c r="AX1348" s="62"/>
      <c r="AY1348" s="62"/>
      <c r="AZ1348" s="63"/>
      <c r="BA1348" s="63"/>
      <c r="BB1348" s="63"/>
      <c r="BC1348" s="63"/>
      <c r="BD1348" s="63"/>
      <c r="BE1348" s="63"/>
      <c r="BF1348" s="63"/>
      <c r="BG1348" s="63"/>
      <c r="BH1348" s="61"/>
      <c r="BI1348" s="61"/>
      <c r="BJ1348" s="61"/>
      <c r="BK1348" s="62"/>
      <c r="BL1348" s="62"/>
      <c r="BM1348" s="63"/>
      <c r="BN1348" s="63"/>
      <c r="BO1348" s="63"/>
      <c r="BP1348" s="63"/>
      <c r="BQ1348" s="63"/>
      <c r="BR1348" s="63"/>
      <c r="BS1348" s="63"/>
      <c r="BT1348" s="63"/>
      <c r="BU1348" s="61"/>
      <c r="BV1348" s="61"/>
      <c r="BW1348" s="61"/>
      <c r="BX1348" s="62"/>
      <c r="BY1348" s="62"/>
      <c r="BZ1348" s="63"/>
      <c r="CA1348" s="63"/>
      <c r="CB1348" s="63"/>
      <c r="CC1348" s="63"/>
      <c r="CD1348" s="63"/>
      <c r="CE1348" s="63"/>
      <c r="CF1348" s="63"/>
      <c r="CG1348" s="63"/>
      <c r="CH1348" s="64"/>
      <c r="CJ1348" s="63"/>
      <c r="CT1348" s="65"/>
      <c r="CU1348" s="65"/>
      <c r="CV1348" s="65"/>
      <c r="CW1348" s="65"/>
      <c r="CX1348" s="65"/>
      <c r="CY1348" s="65"/>
      <c r="CZ1348" s="65"/>
      <c r="DA1348" s="65"/>
      <c r="DB1348" s="65"/>
      <c r="DC1348" s="63"/>
    </row>
    <row r="1349" spans="1:107" s="57" customFormat="1" x14ac:dyDescent="0.2">
      <c r="A1349" s="55">
        <v>10077</v>
      </c>
      <c r="B1349" s="56">
        <v>12</v>
      </c>
      <c r="C1349" s="56">
        <f t="shared" si="89"/>
        <v>100770012</v>
      </c>
      <c r="D1349" s="57" t="s">
        <v>3883</v>
      </c>
      <c r="E1349" s="58" t="s">
        <v>640</v>
      </c>
      <c r="F1349" s="58"/>
      <c r="G1349" s="58"/>
      <c r="H1349" s="58"/>
      <c r="I1349" s="59" t="s">
        <v>206</v>
      </c>
      <c r="J1349" s="59"/>
      <c r="K1349" s="59"/>
      <c r="L1349" s="59"/>
      <c r="M1349" s="59"/>
      <c r="N1349" s="59" t="s">
        <v>163</v>
      </c>
      <c r="O1349" s="59" t="s">
        <v>163</v>
      </c>
      <c r="P1349" s="59"/>
      <c r="Q1349" s="59" t="s">
        <v>2041</v>
      </c>
      <c r="R1349" s="59"/>
      <c r="S1349" s="59"/>
      <c r="T1349" s="59" t="s">
        <v>2714</v>
      </c>
      <c r="U1349" s="122" t="s">
        <v>3892</v>
      </c>
      <c r="V1349" s="59" t="s">
        <v>109</v>
      </c>
      <c r="W1349" s="59" t="s">
        <v>1</v>
      </c>
      <c r="X1349" s="59"/>
      <c r="Z1349" s="59"/>
      <c r="AA1349" s="59"/>
      <c r="AB1349" s="59"/>
      <c r="AC1349" s="59">
        <v>77</v>
      </c>
      <c r="AD1349" s="59"/>
      <c r="AE1349" s="60"/>
      <c r="AF1349" s="60" t="s">
        <v>2042</v>
      </c>
      <c r="AG1349" s="59"/>
      <c r="AH1349" s="61">
        <v>101773</v>
      </c>
      <c r="AI1349" s="61" t="s">
        <v>264</v>
      </c>
      <c r="AJ1349" s="61"/>
      <c r="AK1349" s="62" t="s">
        <v>637</v>
      </c>
      <c r="AL1349" s="62"/>
      <c r="AM1349" s="63"/>
      <c r="AN1349" s="63"/>
      <c r="AO1349" s="63"/>
      <c r="AP1349" s="63"/>
      <c r="AQ1349" s="63"/>
      <c r="AR1349" s="63"/>
      <c r="AS1349" s="63"/>
      <c r="AT1349" s="63"/>
      <c r="AU1349" s="61"/>
      <c r="AV1349" s="61"/>
      <c r="AW1349" s="61"/>
      <c r="AX1349" s="62"/>
      <c r="AY1349" s="62"/>
      <c r="AZ1349" s="63"/>
      <c r="BA1349" s="63"/>
      <c r="BB1349" s="63"/>
      <c r="BC1349" s="63"/>
      <c r="BD1349" s="63"/>
      <c r="BE1349" s="63"/>
      <c r="BF1349" s="63"/>
      <c r="BG1349" s="63"/>
      <c r="BH1349" s="61"/>
      <c r="BI1349" s="61"/>
      <c r="BJ1349" s="61"/>
      <c r="BK1349" s="62"/>
      <c r="BL1349" s="62"/>
      <c r="BM1349" s="63"/>
      <c r="BN1349" s="63"/>
      <c r="BO1349" s="63"/>
      <c r="BP1349" s="63"/>
      <c r="BQ1349" s="63"/>
      <c r="BR1349" s="63"/>
      <c r="BS1349" s="63"/>
      <c r="BT1349" s="63"/>
      <c r="BU1349" s="61"/>
      <c r="BV1349" s="61"/>
      <c r="BW1349" s="61"/>
      <c r="BX1349" s="62"/>
      <c r="BY1349" s="62"/>
      <c r="BZ1349" s="63"/>
      <c r="CA1349" s="63"/>
      <c r="CB1349" s="63"/>
      <c r="CC1349" s="63"/>
      <c r="CD1349" s="63"/>
      <c r="CE1349" s="63"/>
      <c r="CF1349" s="63"/>
      <c r="CG1349" s="63"/>
      <c r="CH1349" s="64"/>
      <c r="CJ1349" s="63"/>
      <c r="CT1349" s="65"/>
      <c r="CU1349" s="65"/>
      <c r="CV1349" s="65"/>
      <c r="CW1349" s="65"/>
      <c r="CX1349" s="65"/>
      <c r="CY1349" s="65"/>
      <c r="CZ1349" s="65"/>
      <c r="DA1349" s="65"/>
      <c r="DB1349" s="65"/>
      <c r="DC1349" s="63"/>
    </row>
    <row r="1350" spans="1:107" s="57" customFormat="1" x14ac:dyDescent="0.2">
      <c r="A1350" s="55">
        <v>10077</v>
      </c>
      <c r="B1350" s="56">
        <v>13</v>
      </c>
      <c r="C1350" s="56">
        <f t="shared" si="89"/>
        <v>100770013</v>
      </c>
      <c r="D1350" s="57" t="s">
        <v>3883</v>
      </c>
      <c r="E1350" s="58" t="s">
        <v>640</v>
      </c>
      <c r="F1350" s="58"/>
      <c r="G1350" s="58"/>
      <c r="H1350" s="58"/>
      <c r="I1350" s="59" t="s">
        <v>206</v>
      </c>
      <c r="J1350" s="59"/>
      <c r="K1350" s="59"/>
      <c r="L1350" s="59"/>
      <c r="M1350" s="59"/>
      <c r="N1350" s="59" t="s">
        <v>163</v>
      </c>
      <c r="O1350" s="59" t="s">
        <v>163</v>
      </c>
      <c r="P1350" s="59"/>
      <c r="Q1350" s="59" t="s">
        <v>2041</v>
      </c>
      <c r="R1350" s="59"/>
      <c r="S1350" s="59"/>
      <c r="T1350" s="59" t="s">
        <v>2714</v>
      </c>
      <c r="U1350" s="122" t="s">
        <v>3893</v>
      </c>
      <c r="V1350" s="59" t="s">
        <v>109</v>
      </c>
      <c r="W1350" s="59" t="s">
        <v>1</v>
      </c>
      <c r="X1350" s="59"/>
      <c r="Z1350" s="59"/>
      <c r="AA1350" s="59"/>
      <c r="AB1350" s="59"/>
      <c r="AC1350" s="59">
        <v>77</v>
      </c>
      <c r="AD1350" s="59"/>
      <c r="AE1350" s="60"/>
      <c r="AF1350" s="60" t="s">
        <v>2042</v>
      </c>
      <c r="AG1350" s="59"/>
      <c r="AH1350" s="61">
        <v>101774</v>
      </c>
      <c r="AI1350" s="61" t="s">
        <v>265</v>
      </c>
      <c r="AJ1350" s="61"/>
      <c r="AK1350" s="62" t="s">
        <v>638</v>
      </c>
      <c r="AL1350" s="62"/>
      <c r="AM1350" s="63"/>
      <c r="AN1350" s="63"/>
      <c r="AO1350" s="63"/>
      <c r="AP1350" s="63"/>
      <c r="AQ1350" s="63"/>
      <c r="AR1350" s="63"/>
      <c r="AS1350" s="63"/>
      <c r="AT1350" s="63"/>
      <c r="AU1350" s="61"/>
      <c r="AV1350" s="61"/>
      <c r="AW1350" s="61"/>
      <c r="AX1350" s="62"/>
      <c r="AY1350" s="62"/>
      <c r="AZ1350" s="63"/>
      <c r="BA1350" s="63"/>
      <c r="BB1350" s="63"/>
      <c r="BC1350" s="63"/>
      <c r="BD1350" s="63"/>
      <c r="BE1350" s="63"/>
      <c r="BF1350" s="63"/>
      <c r="BG1350" s="63"/>
      <c r="BH1350" s="61"/>
      <c r="BI1350" s="61"/>
      <c r="BJ1350" s="61"/>
      <c r="BK1350" s="62"/>
      <c r="BL1350" s="62"/>
      <c r="BM1350" s="63"/>
      <c r="BN1350" s="63"/>
      <c r="BO1350" s="63"/>
      <c r="BP1350" s="63"/>
      <c r="BQ1350" s="63"/>
      <c r="BR1350" s="63"/>
      <c r="BS1350" s="63"/>
      <c r="BT1350" s="63"/>
      <c r="BU1350" s="61"/>
      <c r="BV1350" s="61"/>
      <c r="BW1350" s="61"/>
      <c r="BX1350" s="62"/>
      <c r="BY1350" s="62"/>
      <c r="BZ1350" s="63"/>
      <c r="CA1350" s="63"/>
      <c r="CB1350" s="63"/>
      <c r="CC1350" s="63"/>
      <c r="CD1350" s="63"/>
      <c r="CE1350" s="63"/>
      <c r="CF1350" s="63"/>
      <c r="CG1350" s="63"/>
      <c r="CH1350" s="64"/>
      <c r="CJ1350" s="63"/>
      <c r="CT1350" s="65"/>
      <c r="CU1350" s="65"/>
      <c r="CV1350" s="65"/>
      <c r="CW1350" s="65"/>
      <c r="CX1350" s="65"/>
      <c r="CY1350" s="65"/>
      <c r="CZ1350" s="65"/>
      <c r="DA1350" s="65"/>
      <c r="DB1350" s="65"/>
      <c r="DC1350" s="63"/>
    </row>
    <row r="1351" spans="1:107" s="57" customFormat="1" x14ac:dyDescent="0.2">
      <c r="A1351" s="55">
        <v>10077</v>
      </c>
      <c r="B1351" s="56">
        <v>14</v>
      </c>
      <c r="C1351" s="56">
        <f t="shared" si="89"/>
        <v>100770014</v>
      </c>
      <c r="D1351" s="57" t="s">
        <v>3883</v>
      </c>
      <c r="E1351" s="58" t="s">
        <v>640</v>
      </c>
      <c r="F1351" s="58"/>
      <c r="G1351" s="58"/>
      <c r="H1351" s="58"/>
      <c r="I1351" s="59" t="s">
        <v>206</v>
      </c>
      <c r="J1351" s="59"/>
      <c r="K1351" s="59"/>
      <c r="L1351" s="59"/>
      <c r="M1351" s="59"/>
      <c r="N1351" s="59" t="s">
        <v>163</v>
      </c>
      <c r="O1351" s="59" t="s">
        <v>163</v>
      </c>
      <c r="P1351" s="59"/>
      <c r="Q1351" s="59" t="s">
        <v>2041</v>
      </c>
      <c r="R1351" s="59"/>
      <c r="S1351" s="59"/>
      <c r="T1351" s="59" t="s">
        <v>2714</v>
      </c>
      <c r="U1351" s="122" t="s">
        <v>3894</v>
      </c>
      <c r="V1351" s="59" t="s">
        <v>109</v>
      </c>
      <c r="W1351" s="59" t="s">
        <v>1</v>
      </c>
      <c r="X1351" s="59"/>
      <c r="Z1351" s="59"/>
      <c r="AA1351" s="59"/>
      <c r="AB1351" s="59"/>
      <c r="AC1351" s="59">
        <v>77</v>
      </c>
      <c r="AD1351" s="59"/>
      <c r="AE1351" s="60"/>
      <c r="AF1351" s="60" t="s">
        <v>2042</v>
      </c>
      <c r="AG1351" s="59"/>
      <c r="AH1351" s="61">
        <v>101775</v>
      </c>
      <c r="AI1351" s="61" t="s">
        <v>266</v>
      </c>
      <c r="AJ1351" s="61"/>
      <c r="AK1351" s="62" t="s">
        <v>639</v>
      </c>
      <c r="AL1351" s="62"/>
      <c r="AM1351" s="63"/>
      <c r="AN1351" s="63"/>
      <c r="AO1351" s="63"/>
      <c r="AP1351" s="63"/>
      <c r="AQ1351" s="63"/>
      <c r="AR1351" s="63"/>
      <c r="AS1351" s="63"/>
      <c r="AT1351" s="63"/>
      <c r="AU1351" s="61"/>
      <c r="AV1351" s="61"/>
      <c r="AW1351" s="61"/>
      <c r="AX1351" s="62"/>
      <c r="AY1351" s="62"/>
      <c r="AZ1351" s="63"/>
      <c r="BA1351" s="63"/>
      <c r="BB1351" s="63"/>
      <c r="BC1351" s="63"/>
      <c r="BD1351" s="63"/>
      <c r="BE1351" s="63"/>
      <c r="BF1351" s="63"/>
      <c r="BG1351" s="63"/>
      <c r="BH1351" s="61"/>
      <c r="BI1351" s="61"/>
      <c r="BJ1351" s="61"/>
      <c r="BK1351" s="62"/>
      <c r="BL1351" s="62"/>
      <c r="BM1351" s="63"/>
      <c r="BN1351" s="63"/>
      <c r="BO1351" s="63"/>
      <c r="BP1351" s="63"/>
      <c r="BQ1351" s="63"/>
      <c r="BR1351" s="63"/>
      <c r="BS1351" s="63"/>
      <c r="BT1351" s="63"/>
      <c r="BU1351" s="61"/>
      <c r="BV1351" s="61"/>
      <c r="BW1351" s="61"/>
      <c r="BX1351" s="62"/>
      <c r="BY1351" s="62"/>
      <c r="BZ1351" s="63"/>
      <c r="CA1351" s="63"/>
      <c r="CB1351" s="63"/>
      <c r="CC1351" s="63"/>
      <c r="CD1351" s="63"/>
      <c r="CE1351" s="63"/>
      <c r="CF1351" s="63"/>
      <c r="CG1351" s="63"/>
      <c r="CH1351" s="64"/>
      <c r="CJ1351" s="63"/>
      <c r="CT1351" s="65"/>
      <c r="CU1351" s="65"/>
      <c r="CV1351" s="65"/>
      <c r="CW1351" s="65"/>
      <c r="CX1351" s="65"/>
      <c r="CY1351" s="65"/>
      <c r="CZ1351" s="65"/>
      <c r="DA1351" s="65"/>
      <c r="DB1351" s="65"/>
      <c r="DC1351" s="63"/>
    </row>
    <row r="1352" spans="1:107" s="57" customFormat="1" x14ac:dyDescent="0.2">
      <c r="A1352" s="55">
        <v>10078</v>
      </c>
      <c r="B1352" s="56">
        <v>10</v>
      </c>
      <c r="C1352" s="56">
        <f t="shared" si="87"/>
        <v>100780010</v>
      </c>
      <c r="D1352" s="57" t="s">
        <v>1912</v>
      </c>
      <c r="E1352" s="58" t="s">
        <v>640</v>
      </c>
      <c r="F1352" s="58"/>
      <c r="G1352" s="58"/>
      <c r="H1352" s="58"/>
      <c r="I1352" s="59" t="s">
        <v>206</v>
      </c>
      <c r="J1352" s="59"/>
      <c r="K1352" s="59"/>
      <c r="L1352" s="59"/>
      <c r="M1352" s="59"/>
      <c r="N1352" s="59" t="s">
        <v>163</v>
      </c>
      <c r="O1352" s="59" t="s">
        <v>163</v>
      </c>
      <c r="P1352" s="59"/>
      <c r="Q1352" s="59" t="s">
        <v>2041</v>
      </c>
      <c r="R1352" s="59"/>
      <c r="S1352" s="59"/>
      <c r="T1352" s="59" t="s">
        <v>2714</v>
      </c>
      <c r="U1352" s="122" t="s">
        <v>3075</v>
      </c>
      <c r="V1352" s="59" t="s">
        <v>109</v>
      </c>
      <c r="W1352" s="59" t="s">
        <v>1</v>
      </c>
      <c r="X1352" s="59"/>
      <c r="Z1352" s="59"/>
      <c r="AA1352" s="59"/>
      <c r="AB1352" s="59"/>
      <c r="AC1352" s="59">
        <v>78</v>
      </c>
      <c r="AD1352" s="59"/>
      <c r="AE1352" s="60"/>
      <c r="AF1352" s="60" t="s">
        <v>2042</v>
      </c>
      <c r="AG1352" s="59"/>
      <c r="AH1352" s="61">
        <v>101781</v>
      </c>
      <c r="AI1352" s="61" t="s">
        <v>176</v>
      </c>
      <c r="AJ1352" s="61"/>
      <c r="AK1352" s="62" t="s">
        <v>635</v>
      </c>
      <c r="AL1352" s="62"/>
      <c r="AM1352" s="63"/>
      <c r="AN1352" s="63"/>
      <c r="AO1352" s="63"/>
      <c r="AP1352" s="63"/>
      <c r="AQ1352" s="63"/>
      <c r="AR1352" s="63"/>
      <c r="AS1352" s="63"/>
      <c r="AT1352" s="63"/>
      <c r="AU1352" s="61"/>
      <c r="AV1352" s="61"/>
      <c r="AW1352" s="61"/>
      <c r="AX1352" s="62"/>
      <c r="AY1352" s="62"/>
      <c r="AZ1352" s="63"/>
      <c r="BA1352" s="63"/>
      <c r="BB1352" s="63"/>
      <c r="BC1352" s="63"/>
      <c r="BD1352" s="63"/>
      <c r="BE1352" s="63"/>
      <c r="BF1352" s="63"/>
      <c r="BG1352" s="63"/>
      <c r="BH1352" s="61"/>
      <c r="BI1352" s="61"/>
      <c r="BJ1352" s="61"/>
      <c r="BK1352" s="62"/>
      <c r="BL1352" s="62"/>
      <c r="BM1352" s="63"/>
      <c r="BN1352" s="63"/>
      <c r="BO1352" s="63"/>
      <c r="BP1352" s="63"/>
      <c r="BQ1352" s="63"/>
      <c r="BR1352" s="63"/>
      <c r="BS1352" s="63"/>
      <c r="BT1352" s="63"/>
      <c r="BU1352" s="61"/>
      <c r="BV1352" s="61"/>
      <c r="BW1352" s="61"/>
      <c r="BX1352" s="62"/>
      <c r="BY1352" s="62"/>
      <c r="BZ1352" s="63"/>
      <c r="CA1352" s="63"/>
      <c r="CB1352" s="63"/>
      <c r="CC1352" s="63"/>
      <c r="CD1352" s="63"/>
      <c r="CE1352" s="63"/>
      <c r="CF1352" s="63"/>
      <c r="CG1352" s="63"/>
      <c r="CH1352" s="64"/>
      <c r="CJ1352" s="63"/>
      <c r="CT1352" s="65"/>
      <c r="CU1352" s="65"/>
      <c r="CV1352" s="65"/>
      <c r="CW1352" s="65"/>
      <c r="CX1352" s="65"/>
      <c r="CY1352" s="65"/>
      <c r="CZ1352" s="65"/>
      <c r="DA1352" s="65"/>
      <c r="DB1352" s="65"/>
      <c r="DC1352" s="63"/>
    </row>
    <row r="1353" spans="1:107" s="57" customFormat="1" x14ac:dyDescent="0.2">
      <c r="A1353" s="55">
        <v>10078</v>
      </c>
      <c r="B1353" s="56">
        <v>11</v>
      </c>
      <c r="C1353" s="56">
        <f t="shared" si="87"/>
        <v>100780011</v>
      </c>
      <c r="D1353" s="57" t="s">
        <v>1912</v>
      </c>
      <c r="E1353" s="58" t="s">
        <v>640</v>
      </c>
      <c r="F1353" s="58"/>
      <c r="G1353" s="58"/>
      <c r="H1353" s="58"/>
      <c r="I1353" s="59" t="s">
        <v>206</v>
      </c>
      <c r="J1353" s="59"/>
      <c r="K1353" s="59"/>
      <c r="L1353" s="59"/>
      <c r="M1353" s="59"/>
      <c r="N1353" s="59" t="s">
        <v>163</v>
      </c>
      <c r="O1353" s="59" t="s">
        <v>163</v>
      </c>
      <c r="P1353" s="59"/>
      <c r="Q1353" s="59" t="s">
        <v>2041</v>
      </c>
      <c r="R1353" s="59"/>
      <c r="S1353" s="59"/>
      <c r="T1353" s="59" t="s">
        <v>2714</v>
      </c>
      <c r="U1353" s="122" t="s">
        <v>3076</v>
      </c>
      <c r="V1353" s="59" t="s">
        <v>109</v>
      </c>
      <c r="W1353" s="59" t="s">
        <v>1</v>
      </c>
      <c r="X1353" s="59"/>
      <c r="Z1353" s="59"/>
      <c r="AA1353" s="59"/>
      <c r="AB1353" s="59"/>
      <c r="AC1353" s="59">
        <v>78</v>
      </c>
      <c r="AD1353" s="59"/>
      <c r="AE1353" s="60"/>
      <c r="AF1353" s="60" t="s">
        <v>2042</v>
      </c>
      <c r="AG1353" s="59"/>
      <c r="AH1353" s="61">
        <v>101782</v>
      </c>
      <c r="AI1353" s="61" t="s">
        <v>260</v>
      </c>
      <c r="AJ1353" s="61"/>
      <c r="AK1353" s="62" t="s">
        <v>636</v>
      </c>
      <c r="AL1353" s="62"/>
      <c r="AM1353" s="63"/>
      <c r="AN1353" s="63"/>
      <c r="AO1353" s="63"/>
      <c r="AP1353" s="63"/>
      <c r="AQ1353" s="63"/>
      <c r="AR1353" s="63"/>
      <c r="AS1353" s="63"/>
      <c r="AT1353" s="63"/>
      <c r="AU1353" s="61"/>
      <c r="AV1353" s="61"/>
      <c r="AW1353" s="61"/>
      <c r="AX1353" s="62"/>
      <c r="AY1353" s="62"/>
      <c r="AZ1353" s="63"/>
      <c r="BA1353" s="63"/>
      <c r="BB1353" s="63"/>
      <c r="BC1353" s="63"/>
      <c r="BD1353" s="63"/>
      <c r="BE1353" s="63"/>
      <c r="BF1353" s="63"/>
      <c r="BG1353" s="63"/>
      <c r="BH1353" s="61"/>
      <c r="BI1353" s="61"/>
      <c r="BJ1353" s="61"/>
      <c r="BK1353" s="62"/>
      <c r="BL1353" s="62"/>
      <c r="BM1353" s="63"/>
      <c r="BN1353" s="63"/>
      <c r="BO1353" s="63"/>
      <c r="BP1353" s="63"/>
      <c r="BQ1353" s="63"/>
      <c r="BR1353" s="63"/>
      <c r="BS1353" s="63"/>
      <c r="BT1353" s="63"/>
      <c r="BU1353" s="61"/>
      <c r="BV1353" s="61"/>
      <c r="BW1353" s="61"/>
      <c r="BX1353" s="62"/>
      <c r="BY1353" s="62"/>
      <c r="BZ1353" s="63"/>
      <c r="CA1353" s="63"/>
      <c r="CB1353" s="63"/>
      <c r="CC1353" s="63"/>
      <c r="CD1353" s="63"/>
      <c r="CE1353" s="63"/>
      <c r="CF1353" s="63"/>
      <c r="CG1353" s="63"/>
      <c r="CH1353" s="64"/>
      <c r="CJ1353" s="63"/>
      <c r="CT1353" s="65"/>
      <c r="CU1353" s="65"/>
      <c r="CV1353" s="65"/>
      <c r="CW1353" s="65"/>
      <c r="CX1353" s="65"/>
      <c r="CY1353" s="65"/>
      <c r="CZ1353" s="65"/>
      <c r="DA1353" s="65"/>
      <c r="DB1353" s="65"/>
      <c r="DC1353" s="63"/>
    </row>
    <row r="1354" spans="1:107" s="57" customFormat="1" x14ac:dyDescent="0.2">
      <c r="A1354" s="55">
        <v>10078</v>
      </c>
      <c r="B1354" s="56">
        <v>12</v>
      </c>
      <c r="C1354" s="56">
        <f t="shared" si="87"/>
        <v>100780012</v>
      </c>
      <c r="D1354" s="57" t="s">
        <v>1912</v>
      </c>
      <c r="E1354" s="58" t="s">
        <v>640</v>
      </c>
      <c r="F1354" s="58"/>
      <c r="G1354" s="58"/>
      <c r="H1354" s="58"/>
      <c r="I1354" s="59" t="s">
        <v>206</v>
      </c>
      <c r="J1354" s="59"/>
      <c r="K1354" s="59"/>
      <c r="L1354" s="59"/>
      <c r="M1354" s="59"/>
      <c r="N1354" s="59" t="s">
        <v>163</v>
      </c>
      <c r="O1354" s="59" t="s">
        <v>163</v>
      </c>
      <c r="P1354" s="59"/>
      <c r="Q1354" s="59" t="s">
        <v>2041</v>
      </c>
      <c r="R1354" s="59"/>
      <c r="S1354" s="59"/>
      <c r="T1354" s="59" t="s">
        <v>2714</v>
      </c>
      <c r="U1354" s="122" t="s">
        <v>3077</v>
      </c>
      <c r="V1354" s="59" t="s">
        <v>109</v>
      </c>
      <c r="W1354" s="59" t="s">
        <v>1</v>
      </c>
      <c r="X1354" s="59"/>
      <c r="Z1354" s="59"/>
      <c r="AA1354" s="59"/>
      <c r="AB1354" s="59"/>
      <c r="AC1354" s="59">
        <v>78</v>
      </c>
      <c r="AD1354" s="59"/>
      <c r="AE1354" s="60"/>
      <c r="AF1354" s="60" t="s">
        <v>2042</v>
      </c>
      <c r="AG1354" s="59"/>
      <c r="AH1354" s="61">
        <v>101783</v>
      </c>
      <c r="AI1354" s="61" t="s">
        <v>264</v>
      </c>
      <c r="AJ1354" s="61"/>
      <c r="AK1354" s="62" t="s">
        <v>637</v>
      </c>
      <c r="AL1354" s="62"/>
      <c r="AM1354" s="63"/>
      <c r="AN1354" s="63"/>
      <c r="AO1354" s="63"/>
      <c r="AP1354" s="63"/>
      <c r="AQ1354" s="63"/>
      <c r="AR1354" s="63"/>
      <c r="AS1354" s="63"/>
      <c r="AT1354" s="63"/>
      <c r="AU1354" s="61"/>
      <c r="AV1354" s="61"/>
      <c r="AW1354" s="61"/>
      <c r="AX1354" s="62"/>
      <c r="AY1354" s="62"/>
      <c r="AZ1354" s="63"/>
      <c r="BA1354" s="63"/>
      <c r="BB1354" s="63"/>
      <c r="BC1354" s="63"/>
      <c r="BD1354" s="63"/>
      <c r="BE1354" s="63"/>
      <c r="BF1354" s="63"/>
      <c r="BG1354" s="63"/>
      <c r="BH1354" s="61"/>
      <c r="BI1354" s="61"/>
      <c r="BJ1354" s="61"/>
      <c r="BK1354" s="62"/>
      <c r="BL1354" s="62"/>
      <c r="BM1354" s="63"/>
      <c r="BN1354" s="63"/>
      <c r="BO1354" s="63"/>
      <c r="BP1354" s="63"/>
      <c r="BQ1354" s="63"/>
      <c r="BR1354" s="63"/>
      <c r="BS1354" s="63"/>
      <c r="BT1354" s="63"/>
      <c r="BU1354" s="61"/>
      <c r="BV1354" s="61"/>
      <c r="BW1354" s="61"/>
      <c r="BX1354" s="62"/>
      <c r="BY1354" s="62"/>
      <c r="BZ1354" s="63"/>
      <c r="CA1354" s="63"/>
      <c r="CB1354" s="63"/>
      <c r="CC1354" s="63"/>
      <c r="CD1354" s="63"/>
      <c r="CE1354" s="63"/>
      <c r="CF1354" s="63"/>
      <c r="CG1354" s="63"/>
      <c r="CH1354" s="64"/>
      <c r="CJ1354" s="63"/>
      <c r="CT1354" s="65"/>
      <c r="CU1354" s="65"/>
      <c r="CV1354" s="65"/>
      <c r="CW1354" s="65"/>
      <c r="CX1354" s="65"/>
      <c r="CY1354" s="65"/>
      <c r="CZ1354" s="65"/>
      <c r="DA1354" s="65"/>
      <c r="DB1354" s="65"/>
      <c r="DC1354" s="63"/>
    </row>
    <row r="1355" spans="1:107" s="57" customFormat="1" x14ac:dyDescent="0.2">
      <c r="A1355" s="55">
        <v>10078</v>
      </c>
      <c r="B1355" s="56">
        <v>13</v>
      </c>
      <c r="C1355" s="56">
        <f t="shared" si="87"/>
        <v>100780013</v>
      </c>
      <c r="D1355" s="57" t="s">
        <v>1912</v>
      </c>
      <c r="E1355" s="58" t="s">
        <v>640</v>
      </c>
      <c r="F1355" s="58"/>
      <c r="G1355" s="58"/>
      <c r="H1355" s="58"/>
      <c r="I1355" s="59" t="s">
        <v>206</v>
      </c>
      <c r="J1355" s="59"/>
      <c r="K1355" s="59"/>
      <c r="L1355" s="59"/>
      <c r="M1355" s="59"/>
      <c r="N1355" s="59" t="s">
        <v>163</v>
      </c>
      <c r="O1355" s="59" t="s">
        <v>163</v>
      </c>
      <c r="P1355" s="59"/>
      <c r="Q1355" s="59" t="s">
        <v>2041</v>
      </c>
      <c r="R1355" s="59"/>
      <c r="S1355" s="59"/>
      <c r="T1355" s="59" t="s">
        <v>2714</v>
      </c>
      <c r="U1355" s="122" t="s">
        <v>3078</v>
      </c>
      <c r="V1355" s="59" t="s">
        <v>109</v>
      </c>
      <c r="W1355" s="59" t="s">
        <v>1</v>
      </c>
      <c r="X1355" s="59"/>
      <c r="Z1355" s="59"/>
      <c r="AA1355" s="59"/>
      <c r="AB1355" s="59"/>
      <c r="AC1355" s="59">
        <v>78</v>
      </c>
      <c r="AD1355" s="59"/>
      <c r="AE1355" s="60"/>
      <c r="AF1355" s="60" t="s">
        <v>2042</v>
      </c>
      <c r="AG1355" s="59"/>
      <c r="AH1355" s="61">
        <v>101784</v>
      </c>
      <c r="AI1355" s="61" t="s">
        <v>265</v>
      </c>
      <c r="AJ1355" s="61"/>
      <c r="AK1355" s="62" t="s">
        <v>638</v>
      </c>
      <c r="AL1355" s="62"/>
      <c r="AM1355" s="63"/>
      <c r="AN1355" s="63"/>
      <c r="AO1355" s="63"/>
      <c r="AP1355" s="63"/>
      <c r="AQ1355" s="63"/>
      <c r="AR1355" s="63"/>
      <c r="AS1355" s="63"/>
      <c r="AT1355" s="63"/>
      <c r="AU1355" s="61"/>
      <c r="AV1355" s="61"/>
      <c r="AW1355" s="61"/>
      <c r="AX1355" s="62"/>
      <c r="AY1355" s="62"/>
      <c r="AZ1355" s="63"/>
      <c r="BA1355" s="63"/>
      <c r="BB1355" s="63"/>
      <c r="BC1355" s="63"/>
      <c r="BD1355" s="63"/>
      <c r="BE1355" s="63"/>
      <c r="BF1355" s="63"/>
      <c r="BG1355" s="63"/>
      <c r="BH1355" s="61"/>
      <c r="BI1355" s="61"/>
      <c r="BJ1355" s="61"/>
      <c r="BK1355" s="62"/>
      <c r="BL1355" s="62"/>
      <c r="BM1355" s="63"/>
      <c r="BN1355" s="63"/>
      <c r="BO1355" s="63"/>
      <c r="BP1355" s="63"/>
      <c r="BQ1355" s="63"/>
      <c r="BR1355" s="63"/>
      <c r="BS1355" s="63"/>
      <c r="BT1355" s="63"/>
      <c r="BU1355" s="61"/>
      <c r="BV1355" s="61"/>
      <c r="BW1355" s="61"/>
      <c r="BX1355" s="62"/>
      <c r="BY1355" s="62"/>
      <c r="BZ1355" s="63"/>
      <c r="CA1355" s="63"/>
      <c r="CB1355" s="63"/>
      <c r="CC1355" s="63"/>
      <c r="CD1355" s="63"/>
      <c r="CE1355" s="63"/>
      <c r="CF1355" s="63"/>
      <c r="CG1355" s="63"/>
      <c r="CH1355" s="64"/>
      <c r="CJ1355" s="63"/>
      <c r="CT1355" s="65"/>
      <c r="CU1355" s="65"/>
      <c r="CV1355" s="65"/>
      <c r="CW1355" s="65"/>
      <c r="CX1355" s="65"/>
      <c r="CY1355" s="65"/>
      <c r="CZ1355" s="65"/>
      <c r="DA1355" s="65"/>
      <c r="DB1355" s="65"/>
      <c r="DC1355" s="63"/>
    </row>
    <row r="1356" spans="1:107" s="57" customFormat="1" x14ac:dyDescent="0.2">
      <c r="A1356" s="55">
        <v>10078</v>
      </c>
      <c r="B1356" s="56">
        <v>14</v>
      </c>
      <c r="C1356" s="56">
        <f t="shared" si="87"/>
        <v>100780014</v>
      </c>
      <c r="D1356" s="57" t="s">
        <v>1912</v>
      </c>
      <c r="E1356" s="58" t="s">
        <v>640</v>
      </c>
      <c r="F1356" s="58"/>
      <c r="G1356" s="58"/>
      <c r="H1356" s="58"/>
      <c r="I1356" s="59" t="s">
        <v>206</v>
      </c>
      <c r="J1356" s="59"/>
      <c r="K1356" s="59"/>
      <c r="L1356" s="59"/>
      <c r="M1356" s="59"/>
      <c r="N1356" s="59" t="s">
        <v>163</v>
      </c>
      <c r="O1356" s="59" t="s">
        <v>163</v>
      </c>
      <c r="P1356" s="59"/>
      <c r="Q1356" s="59" t="s">
        <v>2041</v>
      </c>
      <c r="R1356" s="59"/>
      <c r="S1356" s="59"/>
      <c r="T1356" s="59" t="s">
        <v>2714</v>
      </c>
      <c r="U1356" s="122" t="s">
        <v>3079</v>
      </c>
      <c r="V1356" s="59" t="s">
        <v>109</v>
      </c>
      <c r="W1356" s="59" t="s">
        <v>1</v>
      </c>
      <c r="X1356" s="59"/>
      <c r="Z1356" s="59"/>
      <c r="AA1356" s="59"/>
      <c r="AB1356" s="59"/>
      <c r="AC1356" s="59">
        <v>78</v>
      </c>
      <c r="AD1356" s="59"/>
      <c r="AE1356" s="60"/>
      <c r="AF1356" s="60" t="s">
        <v>2042</v>
      </c>
      <c r="AG1356" s="59"/>
      <c r="AH1356" s="61">
        <v>101785</v>
      </c>
      <c r="AI1356" s="61" t="s">
        <v>266</v>
      </c>
      <c r="AJ1356" s="61"/>
      <c r="AK1356" s="62" t="s">
        <v>639</v>
      </c>
      <c r="AL1356" s="62"/>
      <c r="AM1356" s="63"/>
      <c r="AN1356" s="63"/>
      <c r="AO1356" s="63"/>
      <c r="AP1356" s="63"/>
      <c r="AQ1356" s="63"/>
      <c r="AR1356" s="63"/>
      <c r="AS1356" s="63"/>
      <c r="AT1356" s="63"/>
      <c r="AU1356" s="61"/>
      <c r="AV1356" s="61"/>
      <c r="AW1356" s="61"/>
      <c r="AX1356" s="62"/>
      <c r="AY1356" s="62"/>
      <c r="AZ1356" s="63"/>
      <c r="BA1356" s="63"/>
      <c r="BB1356" s="63"/>
      <c r="BC1356" s="63"/>
      <c r="BD1356" s="63"/>
      <c r="BE1356" s="63"/>
      <c r="BF1356" s="63"/>
      <c r="BG1356" s="63"/>
      <c r="BH1356" s="61"/>
      <c r="BI1356" s="61"/>
      <c r="BJ1356" s="61"/>
      <c r="BK1356" s="62"/>
      <c r="BL1356" s="62"/>
      <c r="BM1356" s="63"/>
      <c r="BN1356" s="63"/>
      <c r="BO1356" s="63"/>
      <c r="BP1356" s="63"/>
      <c r="BQ1356" s="63"/>
      <c r="BR1356" s="63"/>
      <c r="BS1356" s="63"/>
      <c r="BT1356" s="63"/>
      <c r="BU1356" s="61"/>
      <c r="BV1356" s="61"/>
      <c r="BW1356" s="61"/>
      <c r="BX1356" s="62"/>
      <c r="BY1356" s="62"/>
      <c r="BZ1356" s="63"/>
      <c r="CA1356" s="63"/>
      <c r="CB1356" s="63"/>
      <c r="CC1356" s="63"/>
      <c r="CD1356" s="63"/>
      <c r="CE1356" s="63"/>
      <c r="CF1356" s="63"/>
      <c r="CG1356" s="63"/>
      <c r="CH1356" s="64"/>
      <c r="CJ1356" s="63"/>
      <c r="CT1356" s="65"/>
      <c r="CU1356" s="65"/>
      <c r="CV1356" s="65"/>
      <c r="CW1356" s="65"/>
      <c r="CX1356" s="65"/>
      <c r="CY1356" s="65"/>
      <c r="CZ1356" s="65"/>
      <c r="DA1356" s="65"/>
      <c r="DB1356" s="65"/>
      <c r="DC1356" s="63"/>
    </row>
    <row r="1357" spans="1:107" s="57" customFormat="1" x14ac:dyDescent="0.2">
      <c r="A1357" s="55">
        <v>10079</v>
      </c>
      <c r="B1357" s="56">
        <v>10</v>
      </c>
      <c r="C1357" s="56">
        <f t="shared" ref="C1357:C1371" si="90">A1357*10000+B1357</f>
        <v>100790010</v>
      </c>
      <c r="D1357" s="57" t="s">
        <v>3944</v>
      </c>
      <c r="E1357" s="58" t="s">
        <v>640</v>
      </c>
      <c r="F1357" s="58"/>
      <c r="G1357" s="58"/>
      <c r="H1357" s="58"/>
      <c r="I1357" s="59" t="s">
        <v>206</v>
      </c>
      <c r="J1357" s="59"/>
      <c r="K1357" s="59"/>
      <c r="L1357" s="59"/>
      <c r="M1357" s="59"/>
      <c r="N1357" s="59" t="s">
        <v>163</v>
      </c>
      <c r="O1357" s="59" t="s">
        <v>163</v>
      </c>
      <c r="P1357" s="59"/>
      <c r="Q1357" s="59" t="s">
        <v>2041</v>
      </c>
      <c r="R1357" s="59"/>
      <c r="S1357" s="59"/>
      <c r="T1357" s="59" t="s">
        <v>2714</v>
      </c>
      <c r="U1357" s="122" t="s">
        <v>3950</v>
      </c>
      <c r="V1357" s="59" t="s">
        <v>109</v>
      </c>
      <c r="W1357" s="59" t="s">
        <v>1</v>
      </c>
      <c r="X1357" s="59"/>
      <c r="Z1357" s="59"/>
      <c r="AA1357" s="59"/>
      <c r="AB1357" s="59"/>
      <c r="AC1357" s="59">
        <v>79</v>
      </c>
      <c r="AD1357" s="59"/>
      <c r="AE1357" s="60"/>
      <c r="AF1357" s="60" t="s">
        <v>2042</v>
      </c>
      <c r="AG1357" s="59"/>
      <c r="AH1357" s="61">
        <v>101791</v>
      </c>
      <c r="AI1357" s="61" t="s">
        <v>176</v>
      </c>
      <c r="AJ1357" s="61"/>
      <c r="AK1357" s="62" t="s">
        <v>635</v>
      </c>
      <c r="AL1357" s="62"/>
      <c r="AM1357" s="63"/>
      <c r="AN1357" s="63"/>
      <c r="AO1357" s="63"/>
      <c r="AP1357" s="63"/>
      <c r="AQ1357" s="63"/>
      <c r="AR1357" s="63"/>
      <c r="AS1357" s="63"/>
      <c r="AT1357" s="63"/>
      <c r="AU1357" s="61"/>
      <c r="AV1357" s="61"/>
      <c r="AW1357" s="61"/>
      <c r="AX1357" s="62"/>
      <c r="AY1357" s="62"/>
      <c r="AZ1357" s="63"/>
      <c r="BA1357" s="63"/>
      <c r="BB1357" s="63"/>
      <c r="BC1357" s="63"/>
      <c r="BD1357" s="63"/>
      <c r="BE1357" s="63"/>
      <c r="BF1357" s="63"/>
      <c r="BG1357" s="63"/>
      <c r="BH1357" s="61"/>
      <c r="BI1357" s="61"/>
      <c r="BJ1357" s="61"/>
      <c r="BK1357" s="62"/>
      <c r="BL1357" s="62"/>
      <c r="BM1357" s="63"/>
      <c r="BN1357" s="63"/>
      <c r="BO1357" s="63"/>
      <c r="BP1357" s="63"/>
      <c r="BQ1357" s="63"/>
      <c r="BR1357" s="63"/>
      <c r="BS1357" s="63"/>
      <c r="BT1357" s="63"/>
      <c r="BU1357" s="61"/>
      <c r="BV1357" s="61"/>
      <c r="BW1357" s="61"/>
      <c r="BX1357" s="62"/>
      <c r="BY1357" s="62"/>
      <c r="BZ1357" s="63"/>
      <c r="CA1357" s="63"/>
      <c r="CB1357" s="63"/>
      <c r="CC1357" s="63"/>
      <c r="CD1357" s="63"/>
      <c r="CE1357" s="63"/>
      <c r="CF1357" s="63"/>
      <c r="CG1357" s="63"/>
      <c r="CH1357" s="64"/>
      <c r="CJ1357" s="63"/>
      <c r="CT1357" s="65"/>
      <c r="CU1357" s="65"/>
      <c r="CV1357" s="65"/>
      <c r="CW1357" s="65"/>
      <c r="CX1357" s="65"/>
      <c r="CY1357" s="65"/>
      <c r="CZ1357" s="65"/>
      <c r="DA1357" s="65"/>
      <c r="DB1357" s="65"/>
      <c r="DC1357" s="63"/>
    </row>
    <row r="1358" spans="1:107" s="57" customFormat="1" x14ac:dyDescent="0.2">
      <c r="A1358" s="55">
        <v>10079</v>
      </c>
      <c r="B1358" s="56">
        <v>11</v>
      </c>
      <c r="C1358" s="56">
        <f t="shared" si="90"/>
        <v>100790011</v>
      </c>
      <c r="D1358" s="57" t="s">
        <v>3944</v>
      </c>
      <c r="E1358" s="58" t="s">
        <v>640</v>
      </c>
      <c r="F1358" s="58"/>
      <c r="G1358" s="58"/>
      <c r="H1358" s="58"/>
      <c r="I1358" s="59" t="s">
        <v>206</v>
      </c>
      <c r="J1358" s="59"/>
      <c r="K1358" s="59"/>
      <c r="L1358" s="59"/>
      <c r="M1358" s="59"/>
      <c r="N1358" s="59" t="s">
        <v>163</v>
      </c>
      <c r="O1358" s="59" t="s">
        <v>163</v>
      </c>
      <c r="P1358" s="59"/>
      <c r="Q1358" s="59" t="s">
        <v>2041</v>
      </c>
      <c r="R1358" s="59"/>
      <c r="S1358" s="59"/>
      <c r="T1358" s="59" t="s">
        <v>2714</v>
      </c>
      <c r="U1358" s="122" t="s">
        <v>3951</v>
      </c>
      <c r="V1358" s="59" t="s">
        <v>109</v>
      </c>
      <c r="W1358" s="59" t="s">
        <v>1</v>
      </c>
      <c r="X1358" s="59"/>
      <c r="Z1358" s="59"/>
      <c r="AA1358" s="59"/>
      <c r="AB1358" s="59"/>
      <c r="AC1358" s="59">
        <v>79</v>
      </c>
      <c r="AD1358" s="59"/>
      <c r="AE1358" s="60"/>
      <c r="AF1358" s="60" t="s">
        <v>2042</v>
      </c>
      <c r="AG1358" s="59"/>
      <c r="AH1358" s="61">
        <v>101792</v>
      </c>
      <c r="AI1358" s="61" t="s">
        <v>260</v>
      </c>
      <c r="AJ1358" s="61"/>
      <c r="AK1358" s="62" t="s">
        <v>636</v>
      </c>
      <c r="AL1358" s="62"/>
      <c r="AM1358" s="63"/>
      <c r="AN1358" s="63"/>
      <c r="AO1358" s="63"/>
      <c r="AP1358" s="63"/>
      <c r="AQ1358" s="63"/>
      <c r="AR1358" s="63"/>
      <c r="AS1358" s="63"/>
      <c r="AT1358" s="63"/>
      <c r="AU1358" s="61"/>
      <c r="AV1358" s="61"/>
      <c r="AW1358" s="61"/>
      <c r="AX1358" s="62"/>
      <c r="AY1358" s="62"/>
      <c r="AZ1358" s="63"/>
      <c r="BA1358" s="63"/>
      <c r="BB1358" s="63"/>
      <c r="BC1358" s="63"/>
      <c r="BD1358" s="63"/>
      <c r="BE1358" s="63"/>
      <c r="BF1358" s="63"/>
      <c r="BG1358" s="63"/>
      <c r="BH1358" s="61"/>
      <c r="BI1358" s="61"/>
      <c r="BJ1358" s="61"/>
      <c r="BK1358" s="62"/>
      <c r="BL1358" s="62"/>
      <c r="BM1358" s="63"/>
      <c r="BN1358" s="63"/>
      <c r="BO1358" s="63"/>
      <c r="BP1358" s="63"/>
      <c r="BQ1358" s="63"/>
      <c r="BR1358" s="63"/>
      <c r="BS1358" s="63"/>
      <c r="BT1358" s="63"/>
      <c r="BU1358" s="61"/>
      <c r="BV1358" s="61"/>
      <c r="BW1358" s="61"/>
      <c r="BX1358" s="62"/>
      <c r="BY1358" s="62"/>
      <c r="BZ1358" s="63"/>
      <c r="CA1358" s="63"/>
      <c r="CB1358" s="63"/>
      <c r="CC1358" s="63"/>
      <c r="CD1358" s="63"/>
      <c r="CE1358" s="63"/>
      <c r="CF1358" s="63"/>
      <c r="CG1358" s="63"/>
      <c r="CH1358" s="64"/>
      <c r="CJ1358" s="63"/>
      <c r="CT1358" s="65"/>
      <c r="CU1358" s="65"/>
      <c r="CV1358" s="65"/>
      <c r="CW1358" s="65"/>
      <c r="CX1358" s="65"/>
      <c r="CY1358" s="65"/>
      <c r="CZ1358" s="65"/>
      <c r="DA1358" s="65"/>
      <c r="DB1358" s="65"/>
      <c r="DC1358" s="63"/>
    </row>
    <row r="1359" spans="1:107" s="57" customFormat="1" x14ac:dyDescent="0.2">
      <c r="A1359" s="55">
        <v>10079</v>
      </c>
      <c r="B1359" s="56">
        <v>12</v>
      </c>
      <c r="C1359" s="56">
        <f t="shared" si="90"/>
        <v>100790012</v>
      </c>
      <c r="D1359" s="57" t="s">
        <v>3944</v>
      </c>
      <c r="E1359" s="58" t="s">
        <v>640</v>
      </c>
      <c r="F1359" s="58"/>
      <c r="G1359" s="58"/>
      <c r="H1359" s="58"/>
      <c r="I1359" s="59" t="s">
        <v>206</v>
      </c>
      <c r="J1359" s="59"/>
      <c r="K1359" s="59"/>
      <c r="L1359" s="59"/>
      <c r="M1359" s="59"/>
      <c r="N1359" s="59" t="s">
        <v>163</v>
      </c>
      <c r="O1359" s="59" t="s">
        <v>163</v>
      </c>
      <c r="P1359" s="59"/>
      <c r="Q1359" s="59" t="s">
        <v>2041</v>
      </c>
      <c r="R1359" s="59"/>
      <c r="S1359" s="59"/>
      <c r="T1359" s="59" t="s">
        <v>2714</v>
      </c>
      <c r="U1359" s="122" t="s">
        <v>3952</v>
      </c>
      <c r="V1359" s="59" t="s">
        <v>109</v>
      </c>
      <c r="W1359" s="59" t="s">
        <v>1</v>
      </c>
      <c r="X1359" s="59"/>
      <c r="Z1359" s="59"/>
      <c r="AA1359" s="59"/>
      <c r="AB1359" s="59"/>
      <c r="AC1359" s="59">
        <v>79</v>
      </c>
      <c r="AD1359" s="59"/>
      <c r="AE1359" s="60"/>
      <c r="AF1359" s="60" t="s">
        <v>2042</v>
      </c>
      <c r="AG1359" s="59"/>
      <c r="AH1359" s="61">
        <v>101793</v>
      </c>
      <c r="AI1359" s="61" t="s">
        <v>264</v>
      </c>
      <c r="AJ1359" s="61"/>
      <c r="AK1359" s="62" t="s">
        <v>637</v>
      </c>
      <c r="AL1359" s="62"/>
      <c r="AM1359" s="63"/>
      <c r="AN1359" s="63"/>
      <c r="AO1359" s="63"/>
      <c r="AP1359" s="63"/>
      <c r="AQ1359" s="63"/>
      <c r="AR1359" s="63"/>
      <c r="AS1359" s="63"/>
      <c r="AT1359" s="63"/>
      <c r="AU1359" s="61"/>
      <c r="AV1359" s="61"/>
      <c r="AW1359" s="61"/>
      <c r="AX1359" s="62"/>
      <c r="AY1359" s="62"/>
      <c r="AZ1359" s="63"/>
      <c r="BA1359" s="63"/>
      <c r="BB1359" s="63"/>
      <c r="BC1359" s="63"/>
      <c r="BD1359" s="63"/>
      <c r="BE1359" s="63"/>
      <c r="BF1359" s="63"/>
      <c r="BG1359" s="63"/>
      <c r="BH1359" s="61"/>
      <c r="BI1359" s="61"/>
      <c r="BJ1359" s="61"/>
      <c r="BK1359" s="62"/>
      <c r="BL1359" s="62"/>
      <c r="BM1359" s="63"/>
      <c r="BN1359" s="63"/>
      <c r="BO1359" s="63"/>
      <c r="BP1359" s="63"/>
      <c r="BQ1359" s="63"/>
      <c r="BR1359" s="63"/>
      <c r="BS1359" s="63"/>
      <c r="BT1359" s="63"/>
      <c r="BU1359" s="61"/>
      <c r="BV1359" s="61"/>
      <c r="BW1359" s="61"/>
      <c r="BX1359" s="62"/>
      <c r="BY1359" s="62"/>
      <c r="BZ1359" s="63"/>
      <c r="CA1359" s="63"/>
      <c r="CB1359" s="63"/>
      <c r="CC1359" s="63"/>
      <c r="CD1359" s="63"/>
      <c r="CE1359" s="63"/>
      <c r="CF1359" s="63"/>
      <c r="CG1359" s="63"/>
      <c r="CH1359" s="64"/>
      <c r="CJ1359" s="63"/>
      <c r="CT1359" s="65"/>
      <c r="CU1359" s="65"/>
      <c r="CV1359" s="65"/>
      <c r="CW1359" s="65"/>
      <c r="CX1359" s="65"/>
      <c r="CY1359" s="65"/>
      <c r="CZ1359" s="65"/>
      <c r="DA1359" s="65"/>
      <c r="DB1359" s="65"/>
      <c r="DC1359" s="63"/>
    </row>
    <row r="1360" spans="1:107" s="57" customFormat="1" x14ac:dyDescent="0.2">
      <c r="A1360" s="55">
        <v>10079</v>
      </c>
      <c r="B1360" s="56">
        <v>13</v>
      </c>
      <c r="C1360" s="56">
        <f t="shared" si="90"/>
        <v>100790013</v>
      </c>
      <c r="D1360" s="57" t="s">
        <v>3944</v>
      </c>
      <c r="E1360" s="58" t="s">
        <v>640</v>
      </c>
      <c r="F1360" s="58"/>
      <c r="G1360" s="58"/>
      <c r="H1360" s="58"/>
      <c r="I1360" s="59" t="s">
        <v>206</v>
      </c>
      <c r="J1360" s="59"/>
      <c r="K1360" s="59"/>
      <c r="L1360" s="59"/>
      <c r="M1360" s="59"/>
      <c r="N1360" s="59" t="s">
        <v>163</v>
      </c>
      <c r="O1360" s="59" t="s">
        <v>163</v>
      </c>
      <c r="P1360" s="59"/>
      <c r="Q1360" s="59" t="s">
        <v>2041</v>
      </c>
      <c r="R1360" s="59"/>
      <c r="S1360" s="59"/>
      <c r="T1360" s="59" t="s">
        <v>2714</v>
      </c>
      <c r="U1360" s="122" t="s">
        <v>3953</v>
      </c>
      <c r="V1360" s="59" t="s">
        <v>109</v>
      </c>
      <c r="W1360" s="59" t="s">
        <v>1</v>
      </c>
      <c r="X1360" s="59"/>
      <c r="Z1360" s="59"/>
      <c r="AA1360" s="59"/>
      <c r="AB1360" s="59"/>
      <c r="AC1360" s="59">
        <v>79</v>
      </c>
      <c r="AD1360" s="59"/>
      <c r="AE1360" s="60"/>
      <c r="AF1360" s="60" t="s">
        <v>2042</v>
      </c>
      <c r="AG1360" s="59"/>
      <c r="AH1360" s="61">
        <v>101794</v>
      </c>
      <c r="AI1360" s="61" t="s">
        <v>265</v>
      </c>
      <c r="AJ1360" s="61"/>
      <c r="AK1360" s="62" t="s">
        <v>638</v>
      </c>
      <c r="AL1360" s="62"/>
      <c r="AM1360" s="63"/>
      <c r="AN1360" s="63"/>
      <c r="AO1360" s="63"/>
      <c r="AP1360" s="63"/>
      <c r="AQ1360" s="63"/>
      <c r="AR1360" s="63"/>
      <c r="AS1360" s="63"/>
      <c r="AT1360" s="63"/>
      <c r="AU1360" s="61"/>
      <c r="AV1360" s="61"/>
      <c r="AW1360" s="61"/>
      <c r="AX1360" s="62"/>
      <c r="AY1360" s="62"/>
      <c r="AZ1360" s="63"/>
      <c r="BA1360" s="63"/>
      <c r="BB1360" s="63"/>
      <c r="BC1360" s="63"/>
      <c r="BD1360" s="63"/>
      <c r="BE1360" s="63"/>
      <c r="BF1360" s="63"/>
      <c r="BG1360" s="63"/>
      <c r="BH1360" s="61"/>
      <c r="BI1360" s="61"/>
      <c r="BJ1360" s="61"/>
      <c r="BK1360" s="62"/>
      <c r="BL1360" s="62"/>
      <c r="BM1360" s="63"/>
      <c r="BN1360" s="63"/>
      <c r="BO1360" s="63"/>
      <c r="BP1360" s="63"/>
      <c r="BQ1360" s="63"/>
      <c r="BR1360" s="63"/>
      <c r="BS1360" s="63"/>
      <c r="BT1360" s="63"/>
      <c r="BU1360" s="61"/>
      <c r="BV1360" s="61"/>
      <c r="BW1360" s="61"/>
      <c r="BX1360" s="62"/>
      <c r="BY1360" s="62"/>
      <c r="BZ1360" s="63"/>
      <c r="CA1360" s="63"/>
      <c r="CB1360" s="63"/>
      <c r="CC1360" s="63"/>
      <c r="CD1360" s="63"/>
      <c r="CE1360" s="63"/>
      <c r="CF1360" s="63"/>
      <c r="CG1360" s="63"/>
      <c r="CH1360" s="64"/>
      <c r="CJ1360" s="63"/>
      <c r="CT1360" s="65"/>
      <c r="CU1360" s="65"/>
      <c r="CV1360" s="65"/>
      <c r="CW1360" s="65"/>
      <c r="CX1360" s="65"/>
      <c r="CY1360" s="65"/>
      <c r="CZ1360" s="65"/>
      <c r="DA1360" s="65"/>
      <c r="DB1360" s="65"/>
      <c r="DC1360" s="63"/>
    </row>
    <row r="1361" spans="1:107" s="57" customFormat="1" x14ac:dyDescent="0.2">
      <c r="A1361" s="55">
        <v>10079</v>
      </c>
      <c r="B1361" s="56">
        <v>14</v>
      </c>
      <c r="C1361" s="56">
        <f t="shared" si="90"/>
        <v>100790014</v>
      </c>
      <c r="D1361" s="57" t="s">
        <v>3944</v>
      </c>
      <c r="E1361" s="58" t="s">
        <v>640</v>
      </c>
      <c r="F1361" s="58"/>
      <c r="G1361" s="58"/>
      <c r="H1361" s="58"/>
      <c r="I1361" s="59" t="s">
        <v>206</v>
      </c>
      <c r="J1361" s="59"/>
      <c r="K1361" s="59"/>
      <c r="L1361" s="59"/>
      <c r="M1361" s="59"/>
      <c r="N1361" s="59" t="s">
        <v>163</v>
      </c>
      <c r="O1361" s="59" t="s">
        <v>163</v>
      </c>
      <c r="P1361" s="59"/>
      <c r="Q1361" s="59" t="s">
        <v>2041</v>
      </c>
      <c r="R1361" s="59"/>
      <c r="S1361" s="59"/>
      <c r="T1361" s="59" t="s">
        <v>2714</v>
      </c>
      <c r="U1361" s="122" t="s">
        <v>3954</v>
      </c>
      <c r="V1361" s="59" t="s">
        <v>109</v>
      </c>
      <c r="W1361" s="59" t="s">
        <v>1</v>
      </c>
      <c r="X1361" s="59"/>
      <c r="Z1361" s="59"/>
      <c r="AA1361" s="59"/>
      <c r="AB1361" s="59"/>
      <c r="AC1361" s="59">
        <v>79</v>
      </c>
      <c r="AD1361" s="59"/>
      <c r="AE1361" s="60"/>
      <c r="AF1361" s="60" t="s">
        <v>2042</v>
      </c>
      <c r="AG1361" s="59"/>
      <c r="AH1361" s="61">
        <v>101795</v>
      </c>
      <c r="AI1361" s="61" t="s">
        <v>266</v>
      </c>
      <c r="AJ1361" s="61"/>
      <c r="AK1361" s="62" t="s">
        <v>639</v>
      </c>
      <c r="AL1361" s="62"/>
      <c r="AM1361" s="63"/>
      <c r="AN1361" s="63"/>
      <c r="AO1361" s="63"/>
      <c r="AP1361" s="63"/>
      <c r="AQ1361" s="63"/>
      <c r="AR1361" s="63"/>
      <c r="AS1361" s="63"/>
      <c r="AT1361" s="63"/>
      <c r="AU1361" s="61"/>
      <c r="AV1361" s="61"/>
      <c r="AW1361" s="61"/>
      <c r="AX1361" s="62"/>
      <c r="AY1361" s="62"/>
      <c r="AZ1361" s="63"/>
      <c r="BA1361" s="63"/>
      <c r="BB1361" s="63"/>
      <c r="BC1361" s="63"/>
      <c r="BD1361" s="63"/>
      <c r="BE1361" s="63"/>
      <c r="BF1361" s="63"/>
      <c r="BG1361" s="63"/>
      <c r="BH1361" s="61"/>
      <c r="BI1361" s="61"/>
      <c r="BJ1361" s="61"/>
      <c r="BK1361" s="62"/>
      <c r="BL1361" s="62"/>
      <c r="BM1361" s="63"/>
      <c r="BN1361" s="63"/>
      <c r="BO1361" s="63"/>
      <c r="BP1361" s="63"/>
      <c r="BQ1361" s="63"/>
      <c r="BR1361" s="63"/>
      <c r="BS1361" s="63"/>
      <c r="BT1361" s="63"/>
      <c r="BU1361" s="61"/>
      <c r="BV1361" s="61"/>
      <c r="BW1361" s="61"/>
      <c r="BX1361" s="62"/>
      <c r="BY1361" s="62"/>
      <c r="BZ1361" s="63"/>
      <c r="CA1361" s="63"/>
      <c r="CB1361" s="63"/>
      <c r="CC1361" s="63"/>
      <c r="CD1361" s="63"/>
      <c r="CE1361" s="63"/>
      <c r="CF1361" s="63"/>
      <c r="CG1361" s="63"/>
      <c r="CH1361" s="64"/>
      <c r="CJ1361" s="63"/>
      <c r="CT1361" s="65"/>
      <c r="CU1361" s="65"/>
      <c r="CV1361" s="65"/>
      <c r="CW1361" s="65"/>
      <c r="CX1361" s="65"/>
      <c r="CY1361" s="65"/>
      <c r="CZ1361" s="65"/>
      <c r="DA1361" s="65"/>
      <c r="DB1361" s="65"/>
      <c r="DC1361" s="63"/>
    </row>
    <row r="1362" spans="1:107" s="57" customFormat="1" x14ac:dyDescent="0.2">
      <c r="A1362" s="55">
        <v>10080</v>
      </c>
      <c r="B1362" s="56">
        <v>10</v>
      </c>
      <c r="C1362" s="56">
        <f t="shared" ref="C1362:C1366" si="91">A1362*10000+B1362</f>
        <v>100800010</v>
      </c>
      <c r="D1362" s="57" t="s">
        <v>4360</v>
      </c>
      <c r="E1362" s="58" t="s">
        <v>640</v>
      </c>
      <c r="F1362" s="58"/>
      <c r="G1362" s="58"/>
      <c r="H1362" s="58"/>
      <c r="I1362" s="59" t="s">
        <v>206</v>
      </c>
      <c r="J1362" s="59"/>
      <c r="K1362" s="59"/>
      <c r="L1362" s="59"/>
      <c r="M1362" s="59"/>
      <c r="N1362" s="59" t="s">
        <v>163</v>
      </c>
      <c r="O1362" s="59" t="s">
        <v>163</v>
      </c>
      <c r="P1362" s="59"/>
      <c r="Q1362" s="59" t="s">
        <v>2041</v>
      </c>
      <c r="R1362" s="59"/>
      <c r="S1362" s="59"/>
      <c r="T1362" s="59" t="s">
        <v>2714</v>
      </c>
      <c r="U1362" s="122" t="s">
        <v>4370</v>
      </c>
      <c r="V1362" s="59" t="s">
        <v>109</v>
      </c>
      <c r="W1362" s="59" t="s">
        <v>1</v>
      </c>
      <c r="X1362" s="59"/>
      <c r="Z1362" s="59"/>
      <c r="AA1362" s="59"/>
      <c r="AB1362" s="59"/>
      <c r="AC1362" s="59" t="s">
        <v>4366</v>
      </c>
      <c r="AD1362" s="59"/>
      <c r="AE1362" s="60"/>
      <c r="AF1362" s="60" t="s">
        <v>2042</v>
      </c>
      <c r="AG1362" s="59"/>
      <c r="AH1362" s="61" t="s">
        <v>4375</v>
      </c>
      <c r="AI1362" s="61" t="s">
        <v>176</v>
      </c>
      <c r="AJ1362" s="61"/>
      <c r="AK1362" s="62" t="s">
        <v>635</v>
      </c>
      <c r="AL1362" s="62"/>
      <c r="AM1362" s="63"/>
      <c r="AN1362" s="63"/>
      <c r="AO1362" s="63"/>
      <c r="AP1362" s="63"/>
      <c r="AQ1362" s="63"/>
      <c r="AR1362" s="63"/>
      <c r="AS1362" s="63"/>
      <c r="AT1362" s="63"/>
      <c r="AU1362" s="61"/>
      <c r="AV1362" s="61"/>
      <c r="AW1362" s="61"/>
      <c r="AX1362" s="62"/>
      <c r="AY1362" s="62"/>
      <c r="AZ1362" s="63"/>
      <c r="BA1362" s="63"/>
      <c r="BB1362" s="63"/>
      <c r="BC1362" s="63"/>
      <c r="BD1362" s="63"/>
      <c r="BE1362" s="63"/>
      <c r="BF1362" s="63"/>
      <c r="BG1362" s="63"/>
      <c r="BH1362" s="61"/>
      <c r="BI1362" s="61"/>
      <c r="BJ1362" s="61"/>
      <c r="BK1362" s="62"/>
      <c r="BL1362" s="62"/>
      <c r="BM1362" s="63"/>
      <c r="BN1362" s="63"/>
      <c r="BO1362" s="63"/>
      <c r="BP1362" s="63"/>
      <c r="BQ1362" s="63"/>
      <c r="BR1362" s="63"/>
      <c r="BS1362" s="63"/>
      <c r="BT1362" s="63"/>
      <c r="BU1362" s="61"/>
      <c r="BV1362" s="61"/>
      <c r="BW1362" s="61"/>
      <c r="BX1362" s="62"/>
      <c r="BY1362" s="62"/>
      <c r="BZ1362" s="63"/>
      <c r="CA1362" s="63"/>
      <c r="CB1362" s="63"/>
      <c r="CC1362" s="63"/>
      <c r="CD1362" s="63"/>
      <c r="CE1362" s="63"/>
      <c r="CF1362" s="63"/>
      <c r="CG1362" s="63"/>
      <c r="CH1362" s="64"/>
      <c r="CJ1362" s="63"/>
      <c r="CT1362" s="65"/>
      <c r="CU1362" s="65"/>
      <c r="CV1362" s="65"/>
      <c r="CW1362" s="65"/>
      <c r="CX1362" s="65"/>
      <c r="CY1362" s="65"/>
      <c r="CZ1362" s="65"/>
      <c r="DA1362" s="65"/>
      <c r="DB1362" s="65"/>
      <c r="DC1362" s="63"/>
    </row>
    <row r="1363" spans="1:107" s="57" customFormat="1" x14ac:dyDescent="0.2">
      <c r="A1363" s="55">
        <v>10080</v>
      </c>
      <c r="B1363" s="56">
        <v>11</v>
      </c>
      <c r="C1363" s="56">
        <f t="shared" si="91"/>
        <v>100800011</v>
      </c>
      <c r="D1363" s="57" t="s">
        <v>4360</v>
      </c>
      <c r="E1363" s="58" t="s">
        <v>640</v>
      </c>
      <c r="F1363" s="58"/>
      <c r="G1363" s="58"/>
      <c r="H1363" s="58"/>
      <c r="I1363" s="59" t="s">
        <v>206</v>
      </c>
      <c r="J1363" s="59"/>
      <c r="K1363" s="59"/>
      <c r="L1363" s="59"/>
      <c r="M1363" s="59"/>
      <c r="N1363" s="59" t="s">
        <v>163</v>
      </c>
      <c r="O1363" s="59" t="s">
        <v>163</v>
      </c>
      <c r="P1363" s="59"/>
      <c r="Q1363" s="59" t="s">
        <v>2041</v>
      </c>
      <c r="R1363" s="59"/>
      <c r="S1363" s="59"/>
      <c r="T1363" s="59" t="s">
        <v>2714</v>
      </c>
      <c r="U1363" s="122" t="s">
        <v>4371</v>
      </c>
      <c r="V1363" s="59" t="s">
        <v>109</v>
      </c>
      <c r="W1363" s="59" t="s">
        <v>1</v>
      </c>
      <c r="X1363" s="59"/>
      <c r="Z1363" s="59"/>
      <c r="AA1363" s="59"/>
      <c r="AB1363" s="59"/>
      <c r="AC1363" s="59" t="s">
        <v>4366</v>
      </c>
      <c r="AD1363" s="59"/>
      <c r="AE1363" s="60"/>
      <c r="AF1363" s="60" t="s">
        <v>2042</v>
      </c>
      <c r="AG1363" s="59"/>
      <c r="AH1363" s="61" t="s">
        <v>4376</v>
      </c>
      <c r="AI1363" s="61" t="s">
        <v>260</v>
      </c>
      <c r="AJ1363" s="61"/>
      <c r="AK1363" s="62" t="s">
        <v>636</v>
      </c>
      <c r="AL1363" s="62"/>
      <c r="AM1363" s="63"/>
      <c r="AN1363" s="63"/>
      <c r="AO1363" s="63"/>
      <c r="AP1363" s="63"/>
      <c r="AQ1363" s="63"/>
      <c r="AR1363" s="63"/>
      <c r="AS1363" s="63"/>
      <c r="AT1363" s="63"/>
      <c r="AU1363" s="61"/>
      <c r="AV1363" s="61"/>
      <c r="AW1363" s="61"/>
      <c r="AX1363" s="62"/>
      <c r="AY1363" s="62"/>
      <c r="AZ1363" s="63"/>
      <c r="BA1363" s="63"/>
      <c r="BB1363" s="63"/>
      <c r="BC1363" s="63"/>
      <c r="BD1363" s="63"/>
      <c r="BE1363" s="63"/>
      <c r="BF1363" s="63"/>
      <c r="BG1363" s="63"/>
      <c r="BH1363" s="61"/>
      <c r="BI1363" s="61"/>
      <c r="BJ1363" s="61"/>
      <c r="BK1363" s="62"/>
      <c r="BL1363" s="62"/>
      <c r="BM1363" s="63"/>
      <c r="BN1363" s="63"/>
      <c r="BO1363" s="63"/>
      <c r="BP1363" s="63"/>
      <c r="BQ1363" s="63"/>
      <c r="BR1363" s="63"/>
      <c r="BS1363" s="63"/>
      <c r="BT1363" s="63"/>
      <c r="BU1363" s="61"/>
      <c r="BV1363" s="61"/>
      <c r="BW1363" s="61"/>
      <c r="BX1363" s="62"/>
      <c r="BY1363" s="62"/>
      <c r="BZ1363" s="63"/>
      <c r="CA1363" s="63"/>
      <c r="CB1363" s="63"/>
      <c r="CC1363" s="63"/>
      <c r="CD1363" s="63"/>
      <c r="CE1363" s="63"/>
      <c r="CF1363" s="63"/>
      <c r="CG1363" s="63"/>
      <c r="CH1363" s="64"/>
      <c r="CJ1363" s="63"/>
      <c r="CT1363" s="65"/>
      <c r="CU1363" s="65"/>
      <c r="CV1363" s="65"/>
      <c r="CW1363" s="65"/>
      <c r="CX1363" s="65"/>
      <c r="CY1363" s="65"/>
      <c r="CZ1363" s="65"/>
      <c r="DA1363" s="65"/>
      <c r="DB1363" s="65"/>
      <c r="DC1363" s="63"/>
    </row>
    <row r="1364" spans="1:107" s="57" customFormat="1" x14ac:dyDescent="0.2">
      <c r="A1364" s="55">
        <v>10080</v>
      </c>
      <c r="B1364" s="56">
        <v>12</v>
      </c>
      <c r="C1364" s="56">
        <f t="shared" si="91"/>
        <v>100800012</v>
      </c>
      <c r="D1364" s="57" t="s">
        <v>4360</v>
      </c>
      <c r="E1364" s="58" t="s">
        <v>640</v>
      </c>
      <c r="F1364" s="58"/>
      <c r="G1364" s="58"/>
      <c r="H1364" s="58"/>
      <c r="I1364" s="59" t="s">
        <v>206</v>
      </c>
      <c r="J1364" s="59"/>
      <c r="K1364" s="59"/>
      <c r="L1364" s="59"/>
      <c r="M1364" s="59"/>
      <c r="N1364" s="59" t="s">
        <v>163</v>
      </c>
      <c r="O1364" s="59" t="s">
        <v>163</v>
      </c>
      <c r="P1364" s="59"/>
      <c r="Q1364" s="59" t="s">
        <v>2041</v>
      </c>
      <c r="R1364" s="59"/>
      <c r="S1364" s="59"/>
      <c r="T1364" s="59" t="s">
        <v>2714</v>
      </c>
      <c r="U1364" s="122" t="s">
        <v>4372</v>
      </c>
      <c r="V1364" s="59" t="s">
        <v>109</v>
      </c>
      <c r="W1364" s="59" t="s">
        <v>1</v>
      </c>
      <c r="X1364" s="59"/>
      <c r="Z1364" s="59"/>
      <c r="AA1364" s="59"/>
      <c r="AB1364" s="59"/>
      <c r="AC1364" s="59" t="s">
        <v>4366</v>
      </c>
      <c r="AD1364" s="59"/>
      <c r="AE1364" s="60"/>
      <c r="AF1364" s="60" t="s">
        <v>2042</v>
      </c>
      <c r="AG1364" s="59"/>
      <c r="AH1364" s="61" t="s">
        <v>4377</v>
      </c>
      <c r="AI1364" s="61" t="s">
        <v>264</v>
      </c>
      <c r="AJ1364" s="61"/>
      <c r="AK1364" s="62" t="s">
        <v>637</v>
      </c>
      <c r="AL1364" s="62"/>
      <c r="AM1364" s="63"/>
      <c r="AN1364" s="63"/>
      <c r="AO1364" s="63"/>
      <c r="AP1364" s="63"/>
      <c r="AQ1364" s="63"/>
      <c r="AR1364" s="63"/>
      <c r="AS1364" s="63"/>
      <c r="AT1364" s="63"/>
      <c r="AU1364" s="61"/>
      <c r="AV1364" s="61"/>
      <c r="AW1364" s="61"/>
      <c r="AX1364" s="62"/>
      <c r="AY1364" s="62"/>
      <c r="AZ1364" s="63"/>
      <c r="BA1364" s="63"/>
      <c r="BB1364" s="63"/>
      <c r="BC1364" s="63"/>
      <c r="BD1364" s="63"/>
      <c r="BE1364" s="63"/>
      <c r="BF1364" s="63"/>
      <c r="BG1364" s="63"/>
      <c r="BH1364" s="61"/>
      <c r="BI1364" s="61"/>
      <c r="BJ1364" s="61"/>
      <c r="BK1364" s="62"/>
      <c r="BL1364" s="62"/>
      <c r="BM1364" s="63"/>
      <c r="BN1364" s="63"/>
      <c r="BO1364" s="63"/>
      <c r="BP1364" s="63"/>
      <c r="BQ1364" s="63"/>
      <c r="BR1364" s="63"/>
      <c r="BS1364" s="63"/>
      <c r="BT1364" s="63"/>
      <c r="BU1364" s="61"/>
      <c r="BV1364" s="61"/>
      <c r="BW1364" s="61"/>
      <c r="BX1364" s="62"/>
      <c r="BY1364" s="62"/>
      <c r="BZ1364" s="63"/>
      <c r="CA1364" s="63"/>
      <c r="CB1364" s="63"/>
      <c r="CC1364" s="63"/>
      <c r="CD1364" s="63"/>
      <c r="CE1364" s="63"/>
      <c r="CF1364" s="63"/>
      <c r="CG1364" s="63"/>
      <c r="CH1364" s="64"/>
      <c r="CJ1364" s="63"/>
      <c r="CT1364" s="65"/>
      <c r="CU1364" s="65"/>
      <c r="CV1364" s="65"/>
      <c r="CW1364" s="65"/>
      <c r="CX1364" s="65"/>
      <c r="CY1364" s="65"/>
      <c r="CZ1364" s="65"/>
      <c r="DA1364" s="65"/>
      <c r="DB1364" s="65"/>
      <c r="DC1364" s="63"/>
    </row>
    <row r="1365" spans="1:107" s="57" customFormat="1" x14ac:dyDescent="0.2">
      <c r="A1365" s="55">
        <v>10080</v>
      </c>
      <c r="B1365" s="56">
        <v>13</v>
      </c>
      <c r="C1365" s="56">
        <f t="shared" si="91"/>
        <v>100800013</v>
      </c>
      <c r="D1365" s="57" t="s">
        <v>4360</v>
      </c>
      <c r="E1365" s="58" t="s">
        <v>640</v>
      </c>
      <c r="F1365" s="58"/>
      <c r="G1365" s="58"/>
      <c r="H1365" s="58"/>
      <c r="I1365" s="59" t="s">
        <v>206</v>
      </c>
      <c r="J1365" s="59"/>
      <c r="K1365" s="59"/>
      <c r="L1365" s="59"/>
      <c r="M1365" s="59"/>
      <c r="N1365" s="59" t="s">
        <v>163</v>
      </c>
      <c r="O1365" s="59" t="s">
        <v>163</v>
      </c>
      <c r="P1365" s="59"/>
      <c r="Q1365" s="59" t="s">
        <v>2041</v>
      </c>
      <c r="R1365" s="59"/>
      <c r="S1365" s="59"/>
      <c r="T1365" s="59" t="s">
        <v>2714</v>
      </c>
      <c r="U1365" s="122" t="s">
        <v>4373</v>
      </c>
      <c r="V1365" s="59" t="s">
        <v>109</v>
      </c>
      <c r="W1365" s="59" t="s">
        <v>1</v>
      </c>
      <c r="X1365" s="59"/>
      <c r="Z1365" s="59"/>
      <c r="AA1365" s="59"/>
      <c r="AB1365" s="59"/>
      <c r="AC1365" s="59" t="s">
        <v>4366</v>
      </c>
      <c r="AD1365" s="59"/>
      <c r="AE1365" s="60"/>
      <c r="AF1365" s="60" t="s">
        <v>2042</v>
      </c>
      <c r="AG1365" s="59"/>
      <c r="AH1365" s="61" t="s">
        <v>4378</v>
      </c>
      <c r="AI1365" s="61" t="s">
        <v>265</v>
      </c>
      <c r="AJ1365" s="61"/>
      <c r="AK1365" s="62" t="s">
        <v>638</v>
      </c>
      <c r="AL1365" s="62"/>
      <c r="AM1365" s="63"/>
      <c r="AN1365" s="63"/>
      <c r="AO1365" s="63"/>
      <c r="AP1365" s="63"/>
      <c r="AQ1365" s="63"/>
      <c r="AR1365" s="63"/>
      <c r="AS1365" s="63"/>
      <c r="AT1365" s="63"/>
      <c r="AU1365" s="61"/>
      <c r="AV1365" s="61"/>
      <c r="AW1365" s="61"/>
      <c r="AX1365" s="62"/>
      <c r="AY1365" s="62"/>
      <c r="AZ1365" s="63"/>
      <c r="BA1365" s="63"/>
      <c r="BB1365" s="63"/>
      <c r="BC1365" s="63"/>
      <c r="BD1365" s="63"/>
      <c r="BE1365" s="63"/>
      <c r="BF1365" s="63"/>
      <c r="BG1365" s="63"/>
      <c r="BH1365" s="61"/>
      <c r="BI1365" s="61"/>
      <c r="BJ1365" s="61"/>
      <c r="BK1365" s="62"/>
      <c r="BL1365" s="62"/>
      <c r="BM1365" s="63"/>
      <c r="BN1365" s="63"/>
      <c r="BO1365" s="63"/>
      <c r="BP1365" s="63"/>
      <c r="BQ1365" s="63"/>
      <c r="BR1365" s="63"/>
      <c r="BS1365" s="63"/>
      <c r="BT1365" s="63"/>
      <c r="BU1365" s="61"/>
      <c r="BV1365" s="61"/>
      <c r="BW1365" s="61"/>
      <c r="BX1365" s="62"/>
      <c r="BY1365" s="62"/>
      <c r="BZ1365" s="63"/>
      <c r="CA1365" s="63"/>
      <c r="CB1365" s="63"/>
      <c r="CC1365" s="63"/>
      <c r="CD1365" s="63"/>
      <c r="CE1365" s="63"/>
      <c r="CF1365" s="63"/>
      <c r="CG1365" s="63"/>
      <c r="CH1365" s="64"/>
      <c r="CJ1365" s="63"/>
      <c r="CT1365" s="65"/>
      <c r="CU1365" s="65"/>
      <c r="CV1365" s="65"/>
      <c r="CW1365" s="65"/>
      <c r="CX1365" s="65"/>
      <c r="CY1365" s="65"/>
      <c r="CZ1365" s="65"/>
      <c r="DA1365" s="65"/>
      <c r="DB1365" s="65"/>
      <c r="DC1365" s="63"/>
    </row>
    <row r="1366" spans="1:107" s="57" customFormat="1" x14ac:dyDescent="0.2">
      <c r="A1366" s="55">
        <v>10080</v>
      </c>
      <c r="B1366" s="56">
        <v>14</v>
      </c>
      <c r="C1366" s="56">
        <f t="shared" si="91"/>
        <v>100800014</v>
      </c>
      <c r="D1366" s="57" t="s">
        <v>4360</v>
      </c>
      <c r="E1366" s="58" t="s">
        <v>640</v>
      </c>
      <c r="F1366" s="58"/>
      <c r="G1366" s="58"/>
      <c r="H1366" s="58"/>
      <c r="I1366" s="59" t="s">
        <v>206</v>
      </c>
      <c r="J1366" s="59"/>
      <c r="K1366" s="59"/>
      <c r="L1366" s="59"/>
      <c r="M1366" s="59"/>
      <c r="N1366" s="59" t="s">
        <v>163</v>
      </c>
      <c r="O1366" s="59" t="s">
        <v>163</v>
      </c>
      <c r="P1366" s="59"/>
      <c r="Q1366" s="59" t="s">
        <v>2041</v>
      </c>
      <c r="R1366" s="59"/>
      <c r="S1366" s="59"/>
      <c r="T1366" s="59" t="s">
        <v>2714</v>
      </c>
      <c r="U1366" s="122" t="s">
        <v>4374</v>
      </c>
      <c r="V1366" s="59" t="s">
        <v>109</v>
      </c>
      <c r="W1366" s="59" t="s">
        <v>1</v>
      </c>
      <c r="X1366" s="59"/>
      <c r="Z1366" s="59"/>
      <c r="AA1366" s="59"/>
      <c r="AB1366" s="59"/>
      <c r="AC1366" s="59" t="s">
        <v>4366</v>
      </c>
      <c r="AD1366" s="59"/>
      <c r="AE1366" s="60"/>
      <c r="AF1366" s="60" t="s">
        <v>2042</v>
      </c>
      <c r="AG1366" s="59"/>
      <c r="AH1366" s="61" t="s">
        <v>4379</v>
      </c>
      <c r="AI1366" s="61" t="s">
        <v>266</v>
      </c>
      <c r="AJ1366" s="61"/>
      <c r="AK1366" s="62">
        <v>6350</v>
      </c>
      <c r="AL1366" s="62"/>
      <c r="AM1366" s="63"/>
      <c r="AN1366" s="63"/>
      <c r="AO1366" s="63"/>
      <c r="AP1366" s="63"/>
      <c r="AQ1366" s="63"/>
      <c r="AR1366" s="63"/>
      <c r="AS1366" s="63"/>
      <c r="AT1366" s="63"/>
      <c r="AU1366" s="61"/>
      <c r="AV1366" s="61"/>
      <c r="AW1366" s="61"/>
      <c r="AX1366" s="62"/>
      <c r="AY1366" s="62"/>
      <c r="AZ1366" s="63"/>
      <c r="BA1366" s="63"/>
      <c r="BB1366" s="63"/>
      <c r="BC1366" s="63"/>
      <c r="BD1366" s="63"/>
      <c r="BE1366" s="63"/>
      <c r="BF1366" s="63"/>
      <c r="BG1366" s="63"/>
      <c r="BH1366" s="61"/>
      <c r="BI1366" s="61"/>
      <c r="BJ1366" s="61"/>
      <c r="BK1366" s="62"/>
      <c r="BL1366" s="62"/>
      <c r="BM1366" s="63"/>
      <c r="BN1366" s="63"/>
      <c r="BO1366" s="63"/>
      <c r="BP1366" s="63"/>
      <c r="BQ1366" s="63"/>
      <c r="BR1366" s="63"/>
      <c r="BS1366" s="63"/>
      <c r="BT1366" s="63"/>
      <c r="BU1366" s="61"/>
      <c r="BV1366" s="61"/>
      <c r="BW1366" s="61"/>
      <c r="BX1366" s="62"/>
      <c r="BY1366" s="62"/>
      <c r="BZ1366" s="63"/>
      <c r="CA1366" s="63"/>
      <c r="CB1366" s="63"/>
      <c r="CC1366" s="63"/>
      <c r="CD1366" s="63"/>
      <c r="CE1366" s="63"/>
      <c r="CF1366" s="63"/>
      <c r="CG1366" s="63"/>
      <c r="CH1366" s="64"/>
      <c r="CJ1366" s="63"/>
      <c r="CT1366" s="65"/>
      <c r="CU1366" s="65"/>
      <c r="CV1366" s="65"/>
      <c r="CW1366" s="65"/>
      <c r="CX1366" s="65"/>
      <c r="CY1366" s="65"/>
      <c r="CZ1366" s="65"/>
      <c r="DA1366" s="65"/>
      <c r="DB1366" s="65"/>
      <c r="DC1366" s="63"/>
    </row>
    <row r="1367" spans="1:107" s="57" customFormat="1" x14ac:dyDescent="0.2">
      <c r="A1367" s="55">
        <v>10081</v>
      </c>
      <c r="B1367" s="56">
        <v>10</v>
      </c>
      <c r="C1367" s="56">
        <f t="shared" si="90"/>
        <v>100810010</v>
      </c>
      <c r="D1367" s="57" t="s">
        <v>4014</v>
      </c>
      <c r="E1367" s="58" t="s">
        <v>640</v>
      </c>
      <c r="F1367" s="58"/>
      <c r="G1367" s="58"/>
      <c r="H1367" s="58"/>
      <c r="I1367" s="59" t="s">
        <v>206</v>
      </c>
      <c r="J1367" s="59"/>
      <c r="K1367" s="59"/>
      <c r="L1367" s="59"/>
      <c r="M1367" s="59"/>
      <c r="N1367" s="59" t="s">
        <v>163</v>
      </c>
      <c r="O1367" s="59" t="s">
        <v>163</v>
      </c>
      <c r="P1367" s="59"/>
      <c r="Q1367" s="59" t="s">
        <v>2041</v>
      </c>
      <c r="R1367" s="59"/>
      <c r="S1367" s="59"/>
      <c r="T1367" s="59" t="s">
        <v>2714</v>
      </c>
      <c r="U1367" s="122" t="s">
        <v>4020</v>
      </c>
      <c r="V1367" s="59" t="s">
        <v>109</v>
      </c>
      <c r="W1367" s="59" t="s">
        <v>1</v>
      </c>
      <c r="X1367" s="59"/>
      <c r="Z1367" s="59"/>
      <c r="AA1367" s="59"/>
      <c r="AB1367" s="59"/>
      <c r="AC1367" s="59">
        <v>81</v>
      </c>
      <c r="AD1367" s="59"/>
      <c r="AE1367" s="60"/>
      <c r="AF1367" s="60" t="s">
        <v>2042</v>
      </c>
      <c r="AG1367" s="59"/>
      <c r="AH1367" s="61">
        <v>101811</v>
      </c>
      <c r="AI1367" s="61" t="s">
        <v>176</v>
      </c>
      <c r="AJ1367" s="61"/>
      <c r="AK1367" s="62" t="s">
        <v>635</v>
      </c>
      <c r="AL1367" s="62"/>
      <c r="AM1367" s="63"/>
      <c r="AN1367" s="63"/>
      <c r="AO1367" s="63"/>
      <c r="AP1367" s="63"/>
      <c r="AQ1367" s="63"/>
      <c r="AR1367" s="63"/>
      <c r="AS1367" s="63"/>
      <c r="AT1367" s="63"/>
      <c r="AU1367" s="61"/>
      <c r="AV1367" s="61"/>
      <c r="AW1367" s="61"/>
      <c r="AX1367" s="62"/>
      <c r="AY1367" s="62"/>
      <c r="AZ1367" s="63"/>
      <c r="BA1367" s="63"/>
      <c r="BB1367" s="63"/>
      <c r="BC1367" s="63"/>
      <c r="BD1367" s="63"/>
      <c r="BE1367" s="63"/>
      <c r="BF1367" s="63"/>
      <c r="BG1367" s="63"/>
      <c r="BH1367" s="61"/>
      <c r="BI1367" s="61"/>
      <c r="BJ1367" s="61"/>
      <c r="BK1367" s="62"/>
      <c r="BL1367" s="62"/>
      <c r="BM1367" s="63"/>
      <c r="BN1367" s="63"/>
      <c r="BO1367" s="63"/>
      <c r="BP1367" s="63"/>
      <c r="BQ1367" s="63"/>
      <c r="BR1367" s="63"/>
      <c r="BS1367" s="63"/>
      <c r="BT1367" s="63"/>
      <c r="BU1367" s="61"/>
      <c r="BV1367" s="61"/>
      <c r="BW1367" s="61"/>
      <c r="BX1367" s="62"/>
      <c r="BY1367" s="62"/>
      <c r="BZ1367" s="63"/>
      <c r="CA1367" s="63"/>
      <c r="CB1367" s="63"/>
      <c r="CC1367" s="63"/>
      <c r="CD1367" s="63"/>
      <c r="CE1367" s="63"/>
      <c r="CF1367" s="63"/>
      <c r="CG1367" s="63"/>
      <c r="CH1367" s="64"/>
      <c r="CJ1367" s="63"/>
      <c r="CT1367" s="65"/>
      <c r="CU1367" s="65"/>
      <c r="CV1367" s="65"/>
      <c r="CW1367" s="65"/>
      <c r="CX1367" s="65"/>
      <c r="CY1367" s="65"/>
      <c r="CZ1367" s="65"/>
      <c r="DA1367" s="65"/>
      <c r="DB1367" s="65"/>
      <c r="DC1367" s="63"/>
    </row>
    <row r="1368" spans="1:107" s="57" customFormat="1" x14ac:dyDescent="0.2">
      <c r="A1368" s="55">
        <v>10081</v>
      </c>
      <c r="B1368" s="56">
        <v>11</v>
      </c>
      <c r="C1368" s="56">
        <f t="shared" si="90"/>
        <v>100810011</v>
      </c>
      <c r="D1368" s="57" t="s">
        <v>4014</v>
      </c>
      <c r="E1368" s="58" t="s">
        <v>640</v>
      </c>
      <c r="F1368" s="58"/>
      <c r="G1368" s="58"/>
      <c r="H1368" s="58"/>
      <c r="I1368" s="59" t="s">
        <v>206</v>
      </c>
      <c r="J1368" s="59"/>
      <c r="K1368" s="59"/>
      <c r="L1368" s="59"/>
      <c r="M1368" s="59"/>
      <c r="N1368" s="59" t="s">
        <v>163</v>
      </c>
      <c r="O1368" s="59" t="s">
        <v>163</v>
      </c>
      <c r="P1368" s="59"/>
      <c r="Q1368" s="59" t="s">
        <v>2041</v>
      </c>
      <c r="R1368" s="59"/>
      <c r="S1368" s="59"/>
      <c r="T1368" s="59" t="s">
        <v>2714</v>
      </c>
      <c r="U1368" s="122" t="s">
        <v>4021</v>
      </c>
      <c r="V1368" s="59" t="s">
        <v>109</v>
      </c>
      <c r="W1368" s="59" t="s">
        <v>1</v>
      </c>
      <c r="X1368" s="59"/>
      <c r="Z1368" s="59"/>
      <c r="AA1368" s="59"/>
      <c r="AB1368" s="59"/>
      <c r="AC1368" s="59">
        <v>81</v>
      </c>
      <c r="AD1368" s="59"/>
      <c r="AE1368" s="60"/>
      <c r="AF1368" s="60" t="s">
        <v>2042</v>
      </c>
      <c r="AG1368" s="59"/>
      <c r="AH1368" s="61">
        <v>101812</v>
      </c>
      <c r="AI1368" s="61" t="s">
        <v>260</v>
      </c>
      <c r="AJ1368" s="61"/>
      <c r="AK1368" s="62" t="s">
        <v>636</v>
      </c>
      <c r="AL1368" s="62"/>
      <c r="AM1368" s="63"/>
      <c r="AN1368" s="63"/>
      <c r="AO1368" s="63"/>
      <c r="AP1368" s="63"/>
      <c r="AQ1368" s="63"/>
      <c r="AR1368" s="63"/>
      <c r="AS1368" s="63"/>
      <c r="AT1368" s="63"/>
      <c r="AU1368" s="61"/>
      <c r="AV1368" s="61"/>
      <c r="AW1368" s="61"/>
      <c r="AX1368" s="62"/>
      <c r="AY1368" s="62"/>
      <c r="AZ1368" s="63"/>
      <c r="BA1368" s="63"/>
      <c r="BB1368" s="63"/>
      <c r="BC1368" s="63"/>
      <c r="BD1368" s="63"/>
      <c r="BE1368" s="63"/>
      <c r="BF1368" s="63"/>
      <c r="BG1368" s="63"/>
      <c r="BH1368" s="61"/>
      <c r="BI1368" s="61"/>
      <c r="BJ1368" s="61"/>
      <c r="BK1368" s="62"/>
      <c r="BL1368" s="62"/>
      <c r="BM1368" s="63"/>
      <c r="BN1368" s="63"/>
      <c r="BO1368" s="63"/>
      <c r="BP1368" s="63"/>
      <c r="BQ1368" s="63"/>
      <c r="BR1368" s="63"/>
      <c r="BS1368" s="63"/>
      <c r="BT1368" s="63"/>
      <c r="BU1368" s="61"/>
      <c r="BV1368" s="61"/>
      <c r="BW1368" s="61"/>
      <c r="BX1368" s="62"/>
      <c r="BY1368" s="62"/>
      <c r="BZ1368" s="63"/>
      <c r="CA1368" s="63"/>
      <c r="CB1368" s="63"/>
      <c r="CC1368" s="63"/>
      <c r="CD1368" s="63"/>
      <c r="CE1368" s="63"/>
      <c r="CF1368" s="63"/>
      <c r="CG1368" s="63"/>
      <c r="CH1368" s="64"/>
      <c r="CJ1368" s="63"/>
      <c r="CT1368" s="65"/>
      <c r="CU1368" s="65"/>
      <c r="CV1368" s="65"/>
      <c r="CW1368" s="65"/>
      <c r="CX1368" s="65"/>
      <c r="CY1368" s="65"/>
      <c r="CZ1368" s="65"/>
      <c r="DA1368" s="65"/>
      <c r="DB1368" s="65"/>
      <c r="DC1368" s="63"/>
    </row>
    <row r="1369" spans="1:107" s="57" customFormat="1" x14ac:dyDescent="0.2">
      <c r="A1369" s="55">
        <v>10081</v>
      </c>
      <c r="B1369" s="56">
        <v>12</v>
      </c>
      <c r="C1369" s="56">
        <f t="shared" si="90"/>
        <v>100810012</v>
      </c>
      <c r="D1369" s="57" t="s">
        <v>4014</v>
      </c>
      <c r="E1369" s="58" t="s">
        <v>640</v>
      </c>
      <c r="F1369" s="58"/>
      <c r="G1369" s="58"/>
      <c r="H1369" s="58"/>
      <c r="I1369" s="59" t="s">
        <v>206</v>
      </c>
      <c r="J1369" s="59"/>
      <c r="K1369" s="59"/>
      <c r="L1369" s="59"/>
      <c r="M1369" s="59"/>
      <c r="N1369" s="59" t="s">
        <v>163</v>
      </c>
      <c r="O1369" s="59" t="s">
        <v>163</v>
      </c>
      <c r="P1369" s="59"/>
      <c r="Q1369" s="59" t="s">
        <v>2041</v>
      </c>
      <c r="R1369" s="59"/>
      <c r="S1369" s="59"/>
      <c r="T1369" s="59" t="s">
        <v>2714</v>
      </c>
      <c r="U1369" s="122" t="s">
        <v>4022</v>
      </c>
      <c r="V1369" s="59" t="s">
        <v>109</v>
      </c>
      <c r="W1369" s="59" t="s">
        <v>1</v>
      </c>
      <c r="X1369" s="59"/>
      <c r="Z1369" s="59"/>
      <c r="AA1369" s="59"/>
      <c r="AB1369" s="59"/>
      <c r="AC1369" s="59">
        <v>81</v>
      </c>
      <c r="AD1369" s="59"/>
      <c r="AE1369" s="60"/>
      <c r="AF1369" s="60" t="s">
        <v>2042</v>
      </c>
      <c r="AG1369" s="59"/>
      <c r="AH1369" s="61">
        <v>101813</v>
      </c>
      <c r="AI1369" s="61" t="s">
        <v>264</v>
      </c>
      <c r="AJ1369" s="61"/>
      <c r="AK1369" s="62" t="s">
        <v>637</v>
      </c>
      <c r="AL1369" s="62"/>
      <c r="AM1369" s="63"/>
      <c r="AN1369" s="63"/>
      <c r="AO1369" s="63"/>
      <c r="AP1369" s="63"/>
      <c r="AQ1369" s="63"/>
      <c r="AR1369" s="63"/>
      <c r="AS1369" s="63"/>
      <c r="AT1369" s="63"/>
      <c r="AU1369" s="61"/>
      <c r="AV1369" s="61"/>
      <c r="AW1369" s="61"/>
      <c r="AX1369" s="62"/>
      <c r="AY1369" s="62"/>
      <c r="AZ1369" s="63"/>
      <c r="BA1369" s="63"/>
      <c r="BB1369" s="63"/>
      <c r="BC1369" s="63"/>
      <c r="BD1369" s="63"/>
      <c r="BE1369" s="63"/>
      <c r="BF1369" s="63"/>
      <c r="BG1369" s="63"/>
      <c r="BH1369" s="61"/>
      <c r="BI1369" s="61"/>
      <c r="BJ1369" s="61"/>
      <c r="BK1369" s="62"/>
      <c r="BL1369" s="62"/>
      <c r="BM1369" s="63"/>
      <c r="BN1369" s="63"/>
      <c r="BO1369" s="63"/>
      <c r="BP1369" s="63"/>
      <c r="BQ1369" s="63"/>
      <c r="BR1369" s="63"/>
      <c r="BS1369" s="63"/>
      <c r="BT1369" s="63"/>
      <c r="BU1369" s="61"/>
      <c r="BV1369" s="61"/>
      <c r="BW1369" s="61"/>
      <c r="BX1369" s="62"/>
      <c r="BY1369" s="62"/>
      <c r="BZ1369" s="63"/>
      <c r="CA1369" s="63"/>
      <c r="CB1369" s="63"/>
      <c r="CC1369" s="63"/>
      <c r="CD1369" s="63"/>
      <c r="CE1369" s="63"/>
      <c r="CF1369" s="63"/>
      <c r="CG1369" s="63"/>
      <c r="CH1369" s="64"/>
      <c r="CJ1369" s="63"/>
      <c r="CT1369" s="65"/>
      <c r="CU1369" s="65"/>
      <c r="CV1369" s="65"/>
      <c r="CW1369" s="65"/>
      <c r="CX1369" s="65"/>
      <c r="CY1369" s="65"/>
      <c r="CZ1369" s="65"/>
      <c r="DA1369" s="65"/>
      <c r="DB1369" s="65"/>
      <c r="DC1369" s="63"/>
    </row>
    <row r="1370" spans="1:107" s="57" customFormat="1" x14ac:dyDescent="0.2">
      <c r="A1370" s="55">
        <v>10081</v>
      </c>
      <c r="B1370" s="56">
        <v>13</v>
      </c>
      <c r="C1370" s="56">
        <f t="shared" si="90"/>
        <v>100810013</v>
      </c>
      <c r="D1370" s="57" t="s">
        <v>4014</v>
      </c>
      <c r="E1370" s="58" t="s">
        <v>640</v>
      </c>
      <c r="F1370" s="58"/>
      <c r="G1370" s="58"/>
      <c r="H1370" s="58"/>
      <c r="I1370" s="59" t="s">
        <v>206</v>
      </c>
      <c r="J1370" s="59"/>
      <c r="K1370" s="59"/>
      <c r="L1370" s="59"/>
      <c r="M1370" s="59"/>
      <c r="N1370" s="59" t="s">
        <v>163</v>
      </c>
      <c r="O1370" s="59" t="s">
        <v>163</v>
      </c>
      <c r="P1370" s="59"/>
      <c r="Q1370" s="59" t="s">
        <v>2041</v>
      </c>
      <c r="R1370" s="59"/>
      <c r="S1370" s="59"/>
      <c r="T1370" s="59" t="s">
        <v>2714</v>
      </c>
      <c r="U1370" s="122" t="s">
        <v>4023</v>
      </c>
      <c r="V1370" s="59" t="s">
        <v>109</v>
      </c>
      <c r="W1370" s="59" t="s">
        <v>1</v>
      </c>
      <c r="X1370" s="59"/>
      <c r="Z1370" s="59"/>
      <c r="AA1370" s="59"/>
      <c r="AB1370" s="59"/>
      <c r="AC1370" s="59">
        <v>81</v>
      </c>
      <c r="AD1370" s="59"/>
      <c r="AE1370" s="60"/>
      <c r="AF1370" s="60" t="s">
        <v>2042</v>
      </c>
      <c r="AG1370" s="59"/>
      <c r="AH1370" s="61">
        <v>101814</v>
      </c>
      <c r="AI1370" s="61" t="s">
        <v>265</v>
      </c>
      <c r="AJ1370" s="61"/>
      <c r="AK1370" s="62" t="s">
        <v>638</v>
      </c>
      <c r="AL1370" s="62"/>
      <c r="AM1370" s="63"/>
      <c r="AN1370" s="63"/>
      <c r="AO1370" s="63"/>
      <c r="AP1370" s="63"/>
      <c r="AQ1370" s="63"/>
      <c r="AR1370" s="63"/>
      <c r="AS1370" s="63"/>
      <c r="AT1370" s="63"/>
      <c r="AU1370" s="61"/>
      <c r="AV1370" s="61"/>
      <c r="AW1370" s="61"/>
      <c r="AX1370" s="62"/>
      <c r="AY1370" s="62"/>
      <c r="AZ1370" s="63"/>
      <c r="BA1370" s="63"/>
      <c r="BB1370" s="63"/>
      <c r="BC1370" s="63"/>
      <c r="BD1370" s="63"/>
      <c r="BE1370" s="63"/>
      <c r="BF1370" s="63"/>
      <c r="BG1370" s="63"/>
      <c r="BH1370" s="61"/>
      <c r="BI1370" s="61"/>
      <c r="BJ1370" s="61"/>
      <c r="BK1370" s="62"/>
      <c r="BL1370" s="62"/>
      <c r="BM1370" s="63"/>
      <c r="BN1370" s="63"/>
      <c r="BO1370" s="63"/>
      <c r="BP1370" s="63"/>
      <c r="BQ1370" s="63"/>
      <c r="BR1370" s="63"/>
      <c r="BS1370" s="63"/>
      <c r="BT1370" s="63"/>
      <c r="BU1370" s="61"/>
      <c r="BV1370" s="61"/>
      <c r="BW1370" s="61"/>
      <c r="BX1370" s="62"/>
      <c r="BY1370" s="62"/>
      <c r="BZ1370" s="63"/>
      <c r="CA1370" s="63"/>
      <c r="CB1370" s="63"/>
      <c r="CC1370" s="63"/>
      <c r="CD1370" s="63"/>
      <c r="CE1370" s="63"/>
      <c r="CF1370" s="63"/>
      <c r="CG1370" s="63"/>
      <c r="CH1370" s="64"/>
      <c r="CJ1370" s="63"/>
      <c r="CT1370" s="65"/>
      <c r="CU1370" s="65"/>
      <c r="CV1370" s="65"/>
      <c r="CW1370" s="65"/>
      <c r="CX1370" s="65"/>
      <c r="CY1370" s="65"/>
      <c r="CZ1370" s="65"/>
      <c r="DA1370" s="65"/>
      <c r="DB1370" s="65"/>
      <c r="DC1370" s="63"/>
    </row>
    <row r="1371" spans="1:107" s="57" customFormat="1" x14ac:dyDescent="0.2">
      <c r="A1371" s="55">
        <v>10081</v>
      </c>
      <c r="B1371" s="56">
        <v>14</v>
      </c>
      <c r="C1371" s="56">
        <f t="shared" si="90"/>
        <v>100810014</v>
      </c>
      <c r="D1371" s="57" t="s">
        <v>4014</v>
      </c>
      <c r="E1371" s="58" t="s">
        <v>640</v>
      </c>
      <c r="F1371" s="58"/>
      <c r="G1371" s="58"/>
      <c r="H1371" s="58"/>
      <c r="I1371" s="59" t="s">
        <v>206</v>
      </c>
      <c r="J1371" s="59"/>
      <c r="K1371" s="59"/>
      <c r="L1371" s="59"/>
      <c r="M1371" s="59"/>
      <c r="N1371" s="59" t="s">
        <v>163</v>
      </c>
      <c r="O1371" s="59" t="s">
        <v>163</v>
      </c>
      <c r="P1371" s="59"/>
      <c r="Q1371" s="59" t="s">
        <v>2041</v>
      </c>
      <c r="R1371" s="59"/>
      <c r="S1371" s="59"/>
      <c r="T1371" s="59" t="s">
        <v>2714</v>
      </c>
      <c r="U1371" s="122" t="s">
        <v>4024</v>
      </c>
      <c r="V1371" s="59" t="s">
        <v>109</v>
      </c>
      <c r="W1371" s="59" t="s">
        <v>1</v>
      </c>
      <c r="X1371" s="59"/>
      <c r="Z1371" s="59"/>
      <c r="AA1371" s="59"/>
      <c r="AB1371" s="59"/>
      <c r="AC1371" s="59">
        <v>81</v>
      </c>
      <c r="AD1371" s="59"/>
      <c r="AE1371" s="60"/>
      <c r="AF1371" s="60" t="s">
        <v>2042</v>
      </c>
      <c r="AG1371" s="59"/>
      <c r="AH1371" s="61">
        <v>101815</v>
      </c>
      <c r="AI1371" s="61" t="s">
        <v>266</v>
      </c>
      <c r="AJ1371" s="61"/>
      <c r="AK1371" s="62">
        <v>6350</v>
      </c>
      <c r="AL1371" s="62"/>
      <c r="AM1371" s="63"/>
      <c r="AN1371" s="63"/>
      <c r="AO1371" s="63"/>
      <c r="AP1371" s="63"/>
      <c r="AQ1371" s="63"/>
      <c r="AR1371" s="63"/>
      <c r="AS1371" s="63"/>
      <c r="AT1371" s="63"/>
      <c r="AU1371" s="61"/>
      <c r="AV1371" s="61"/>
      <c r="AW1371" s="61"/>
      <c r="AX1371" s="62"/>
      <c r="AY1371" s="62"/>
      <c r="AZ1371" s="63"/>
      <c r="BA1371" s="63"/>
      <c r="BB1371" s="63"/>
      <c r="BC1371" s="63"/>
      <c r="BD1371" s="63"/>
      <c r="BE1371" s="63"/>
      <c r="BF1371" s="63"/>
      <c r="BG1371" s="63"/>
      <c r="BH1371" s="61"/>
      <c r="BI1371" s="61"/>
      <c r="BJ1371" s="61"/>
      <c r="BK1371" s="62"/>
      <c r="BL1371" s="62"/>
      <c r="BM1371" s="63"/>
      <c r="BN1371" s="63"/>
      <c r="BO1371" s="63"/>
      <c r="BP1371" s="63"/>
      <c r="BQ1371" s="63"/>
      <c r="BR1371" s="63"/>
      <c r="BS1371" s="63"/>
      <c r="BT1371" s="63"/>
      <c r="BU1371" s="61"/>
      <c r="BV1371" s="61"/>
      <c r="BW1371" s="61"/>
      <c r="BX1371" s="62"/>
      <c r="BY1371" s="62"/>
      <c r="BZ1371" s="63"/>
      <c r="CA1371" s="63"/>
      <c r="CB1371" s="63"/>
      <c r="CC1371" s="63"/>
      <c r="CD1371" s="63"/>
      <c r="CE1371" s="63"/>
      <c r="CF1371" s="63"/>
      <c r="CG1371" s="63"/>
      <c r="CH1371" s="64"/>
      <c r="CJ1371" s="63"/>
      <c r="CT1371" s="65"/>
      <c r="CU1371" s="65"/>
      <c r="CV1371" s="65"/>
      <c r="CW1371" s="65"/>
      <c r="CX1371" s="65"/>
      <c r="CY1371" s="65"/>
      <c r="CZ1371" s="65"/>
      <c r="DA1371" s="65"/>
      <c r="DB1371" s="65"/>
      <c r="DC1371" s="63"/>
    </row>
    <row r="1372" spans="1:107" s="57" customFormat="1" x14ac:dyDescent="0.2">
      <c r="A1372" s="55">
        <v>10082</v>
      </c>
      <c r="B1372" s="56">
        <v>10</v>
      </c>
      <c r="C1372" s="56">
        <f t="shared" ref="C1372:C1381" si="92">A1372*10000+B1372</f>
        <v>100820010</v>
      </c>
      <c r="D1372" s="57" t="s">
        <v>4100</v>
      </c>
      <c r="E1372" s="58" t="s">
        <v>640</v>
      </c>
      <c r="F1372" s="58"/>
      <c r="G1372" s="58"/>
      <c r="H1372" s="58"/>
      <c r="I1372" s="59" t="s">
        <v>206</v>
      </c>
      <c r="J1372" s="59"/>
      <c r="K1372" s="59"/>
      <c r="L1372" s="59"/>
      <c r="M1372" s="59"/>
      <c r="N1372" s="59" t="s">
        <v>163</v>
      </c>
      <c r="O1372" s="59" t="s">
        <v>163</v>
      </c>
      <c r="P1372" s="59"/>
      <c r="Q1372" s="59" t="s">
        <v>2041</v>
      </c>
      <c r="R1372" s="59"/>
      <c r="S1372" s="59"/>
      <c r="T1372" s="59" t="s">
        <v>2714</v>
      </c>
      <c r="U1372" s="122" t="s">
        <v>4106</v>
      </c>
      <c r="V1372" s="59" t="s">
        <v>109</v>
      </c>
      <c r="W1372" s="59" t="s">
        <v>1</v>
      </c>
      <c r="X1372" s="59"/>
      <c r="Z1372" s="59"/>
      <c r="AA1372" s="59"/>
      <c r="AB1372" s="59"/>
      <c r="AC1372" s="59">
        <v>82</v>
      </c>
      <c r="AD1372" s="59"/>
      <c r="AE1372" s="60"/>
      <c r="AF1372" s="60" t="s">
        <v>2042</v>
      </c>
      <c r="AG1372" s="59"/>
      <c r="AH1372" s="61">
        <v>101821</v>
      </c>
      <c r="AI1372" s="61" t="s">
        <v>176</v>
      </c>
      <c r="AJ1372" s="61"/>
      <c r="AK1372" s="62" t="s">
        <v>635</v>
      </c>
      <c r="AL1372" s="62"/>
      <c r="AM1372" s="63"/>
      <c r="AN1372" s="63"/>
      <c r="AO1372" s="63"/>
      <c r="AP1372" s="63"/>
      <c r="AQ1372" s="63"/>
      <c r="AR1372" s="63"/>
      <c r="AS1372" s="63"/>
      <c r="AT1372" s="63"/>
      <c r="AU1372" s="61"/>
      <c r="AV1372" s="61"/>
      <c r="AW1372" s="61"/>
      <c r="AX1372" s="62"/>
      <c r="AY1372" s="62"/>
      <c r="AZ1372" s="63"/>
      <c r="BA1372" s="63"/>
      <c r="BB1372" s="63"/>
      <c r="BC1372" s="63"/>
      <c r="BD1372" s="63"/>
      <c r="BE1372" s="63"/>
      <c r="BF1372" s="63"/>
      <c r="BG1372" s="63"/>
      <c r="BH1372" s="61"/>
      <c r="BI1372" s="61"/>
      <c r="BJ1372" s="61"/>
      <c r="BK1372" s="62"/>
      <c r="BL1372" s="62"/>
      <c r="BM1372" s="63"/>
      <c r="BN1372" s="63"/>
      <c r="BO1372" s="63"/>
      <c r="BP1372" s="63"/>
      <c r="BQ1372" s="63"/>
      <c r="BR1372" s="63"/>
      <c r="BS1372" s="63"/>
      <c r="BT1372" s="63"/>
      <c r="BU1372" s="61"/>
      <c r="BV1372" s="61"/>
      <c r="BW1372" s="61"/>
      <c r="BX1372" s="62"/>
      <c r="BY1372" s="62"/>
      <c r="BZ1372" s="63"/>
      <c r="CA1372" s="63"/>
      <c r="CB1372" s="63"/>
      <c r="CC1372" s="63"/>
      <c r="CD1372" s="63"/>
      <c r="CE1372" s="63"/>
      <c r="CF1372" s="63"/>
      <c r="CG1372" s="63"/>
      <c r="CH1372" s="64"/>
      <c r="CJ1372" s="63"/>
      <c r="CT1372" s="65"/>
      <c r="CU1372" s="65"/>
      <c r="CV1372" s="65"/>
      <c r="CW1372" s="65"/>
      <c r="CX1372" s="65"/>
      <c r="CY1372" s="65"/>
      <c r="CZ1372" s="65"/>
      <c r="DA1372" s="65"/>
      <c r="DB1372" s="65"/>
      <c r="DC1372" s="63"/>
    </row>
    <row r="1373" spans="1:107" s="57" customFormat="1" x14ac:dyDescent="0.2">
      <c r="A1373" s="55">
        <v>10082</v>
      </c>
      <c r="B1373" s="56">
        <v>11</v>
      </c>
      <c r="C1373" s="56">
        <f t="shared" si="92"/>
        <v>100820011</v>
      </c>
      <c r="D1373" s="57" t="s">
        <v>4100</v>
      </c>
      <c r="E1373" s="58" t="s">
        <v>640</v>
      </c>
      <c r="F1373" s="58"/>
      <c r="G1373" s="58"/>
      <c r="H1373" s="58"/>
      <c r="I1373" s="59" t="s">
        <v>206</v>
      </c>
      <c r="J1373" s="59"/>
      <c r="K1373" s="59"/>
      <c r="L1373" s="59"/>
      <c r="M1373" s="59"/>
      <c r="N1373" s="59" t="s">
        <v>163</v>
      </c>
      <c r="O1373" s="59" t="s">
        <v>163</v>
      </c>
      <c r="P1373" s="59"/>
      <c r="Q1373" s="59" t="s">
        <v>2041</v>
      </c>
      <c r="R1373" s="59"/>
      <c r="S1373" s="59"/>
      <c r="T1373" s="59" t="s">
        <v>2714</v>
      </c>
      <c r="U1373" s="122" t="s">
        <v>4107</v>
      </c>
      <c r="V1373" s="59" t="s">
        <v>109</v>
      </c>
      <c r="W1373" s="59" t="s">
        <v>1</v>
      </c>
      <c r="X1373" s="59"/>
      <c r="Z1373" s="59"/>
      <c r="AA1373" s="59"/>
      <c r="AB1373" s="59"/>
      <c r="AC1373" s="59">
        <v>82</v>
      </c>
      <c r="AD1373" s="59"/>
      <c r="AE1373" s="60"/>
      <c r="AF1373" s="60" t="s">
        <v>2042</v>
      </c>
      <c r="AG1373" s="59"/>
      <c r="AH1373" s="61">
        <v>101822</v>
      </c>
      <c r="AI1373" s="61" t="s">
        <v>260</v>
      </c>
      <c r="AJ1373" s="61"/>
      <c r="AK1373" s="62" t="s">
        <v>636</v>
      </c>
      <c r="AL1373" s="62"/>
      <c r="AM1373" s="63"/>
      <c r="AN1373" s="63"/>
      <c r="AO1373" s="63"/>
      <c r="AP1373" s="63"/>
      <c r="AQ1373" s="63"/>
      <c r="AR1373" s="63"/>
      <c r="AS1373" s="63"/>
      <c r="AT1373" s="63"/>
      <c r="AU1373" s="61"/>
      <c r="AV1373" s="61"/>
      <c r="AW1373" s="61"/>
      <c r="AX1373" s="62"/>
      <c r="AY1373" s="62"/>
      <c r="AZ1373" s="63"/>
      <c r="BA1373" s="63"/>
      <c r="BB1373" s="63"/>
      <c r="BC1373" s="63"/>
      <c r="BD1373" s="63"/>
      <c r="BE1373" s="63"/>
      <c r="BF1373" s="63"/>
      <c r="BG1373" s="63"/>
      <c r="BH1373" s="61"/>
      <c r="BI1373" s="61"/>
      <c r="BJ1373" s="61"/>
      <c r="BK1373" s="62"/>
      <c r="BL1373" s="62"/>
      <c r="BM1373" s="63"/>
      <c r="BN1373" s="63"/>
      <c r="BO1373" s="63"/>
      <c r="BP1373" s="63"/>
      <c r="BQ1373" s="63"/>
      <c r="BR1373" s="63"/>
      <c r="BS1373" s="63"/>
      <c r="BT1373" s="63"/>
      <c r="BU1373" s="61"/>
      <c r="BV1373" s="61"/>
      <c r="BW1373" s="61"/>
      <c r="BX1373" s="62"/>
      <c r="BY1373" s="62"/>
      <c r="BZ1373" s="63"/>
      <c r="CA1373" s="63"/>
      <c r="CB1373" s="63"/>
      <c r="CC1373" s="63"/>
      <c r="CD1373" s="63"/>
      <c r="CE1373" s="63"/>
      <c r="CF1373" s="63"/>
      <c r="CG1373" s="63"/>
      <c r="CH1373" s="64"/>
      <c r="CJ1373" s="63"/>
      <c r="CT1373" s="65"/>
      <c r="CU1373" s="65"/>
      <c r="CV1373" s="65"/>
      <c r="CW1373" s="65"/>
      <c r="CX1373" s="65"/>
      <c r="CY1373" s="65"/>
      <c r="CZ1373" s="65"/>
      <c r="DA1373" s="65"/>
      <c r="DB1373" s="65"/>
      <c r="DC1373" s="63"/>
    </row>
    <row r="1374" spans="1:107" s="57" customFormat="1" x14ac:dyDescent="0.2">
      <c r="A1374" s="55">
        <v>10082</v>
      </c>
      <c r="B1374" s="56">
        <v>12</v>
      </c>
      <c r="C1374" s="56">
        <f t="shared" si="92"/>
        <v>100820012</v>
      </c>
      <c r="D1374" s="57" t="s">
        <v>4100</v>
      </c>
      <c r="E1374" s="58" t="s">
        <v>640</v>
      </c>
      <c r="F1374" s="58"/>
      <c r="G1374" s="58"/>
      <c r="H1374" s="58"/>
      <c r="I1374" s="59" t="s">
        <v>206</v>
      </c>
      <c r="J1374" s="59"/>
      <c r="K1374" s="59"/>
      <c r="L1374" s="59"/>
      <c r="M1374" s="59"/>
      <c r="N1374" s="59" t="s">
        <v>163</v>
      </c>
      <c r="O1374" s="59" t="s">
        <v>163</v>
      </c>
      <c r="P1374" s="59"/>
      <c r="Q1374" s="59" t="s">
        <v>2041</v>
      </c>
      <c r="R1374" s="59"/>
      <c r="S1374" s="59"/>
      <c r="T1374" s="59" t="s">
        <v>2714</v>
      </c>
      <c r="U1374" s="122" t="s">
        <v>4108</v>
      </c>
      <c r="V1374" s="59" t="s">
        <v>109</v>
      </c>
      <c r="W1374" s="59" t="s">
        <v>1</v>
      </c>
      <c r="X1374" s="59"/>
      <c r="Z1374" s="59"/>
      <c r="AA1374" s="59"/>
      <c r="AB1374" s="59"/>
      <c r="AC1374" s="59">
        <v>82</v>
      </c>
      <c r="AD1374" s="59"/>
      <c r="AE1374" s="60"/>
      <c r="AF1374" s="60" t="s">
        <v>2042</v>
      </c>
      <c r="AG1374" s="59"/>
      <c r="AH1374" s="61">
        <v>101823</v>
      </c>
      <c r="AI1374" s="61" t="s">
        <v>264</v>
      </c>
      <c r="AJ1374" s="61"/>
      <c r="AK1374" s="62" t="s">
        <v>637</v>
      </c>
      <c r="AL1374" s="62"/>
      <c r="AM1374" s="63"/>
      <c r="AN1374" s="63"/>
      <c r="AO1374" s="63"/>
      <c r="AP1374" s="63"/>
      <c r="AQ1374" s="63"/>
      <c r="AR1374" s="63"/>
      <c r="AS1374" s="63"/>
      <c r="AT1374" s="63"/>
      <c r="AU1374" s="61"/>
      <c r="AV1374" s="61"/>
      <c r="AW1374" s="61"/>
      <c r="AX1374" s="62"/>
      <c r="AY1374" s="62"/>
      <c r="AZ1374" s="63"/>
      <c r="BA1374" s="63"/>
      <c r="BB1374" s="63"/>
      <c r="BC1374" s="63"/>
      <c r="BD1374" s="63"/>
      <c r="BE1374" s="63"/>
      <c r="BF1374" s="63"/>
      <c r="BG1374" s="63"/>
      <c r="BH1374" s="61"/>
      <c r="BI1374" s="61"/>
      <c r="BJ1374" s="61"/>
      <c r="BK1374" s="62"/>
      <c r="BL1374" s="62"/>
      <c r="BM1374" s="63"/>
      <c r="BN1374" s="63"/>
      <c r="BO1374" s="63"/>
      <c r="BP1374" s="63"/>
      <c r="BQ1374" s="63"/>
      <c r="BR1374" s="63"/>
      <c r="BS1374" s="63"/>
      <c r="BT1374" s="63"/>
      <c r="BU1374" s="61"/>
      <c r="BV1374" s="61"/>
      <c r="BW1374" s="61"/>
      <c r="BX1374" s="62"/>
      <c r="BY1374" s="62"/>
      <c r="BZ1374" s="63"/>
      <c r="CA1374" s="63"/>
      <c r="CB1374" s="63"/>
      <c r="CC1374" s="63"/>
      <c r="CD1374" s="63"/>
      <c r="CE1374" s="63"/>
      <c r="CF1374" s="63"/>
      <c r="CG1374" s="63"/>
      <c r="CH1374" s="64"/>
      <c r="CJ1374" s="63"/>
      <c r="CT1374" s="65"/>
      <c r="CU1374" s="65"/>
      <c r="CV1374" s="65"/>
      <c r="CW1374" s="65"/>
      <c r="CX1374" s="65"/>
      <c r="CY1374" s="65"/>
      <c r="CZ1374" s="65"/>
      <c r="DA1374" s="65"/>
      <c r="DB1374" s="65"/>
      <c r="DC1374" s="63"/>
    </row>
    <row r="1375" spans="1:107" s="57" customFormat="1" x14ac:dyDescent="0.2">
      <c r="A1375" s="55">
        <v>10082</v>
      </c>
      <c r="B1375" s="56">
        <v>13</v>
      </c>
      <c r="C1375" s="56">
        <f t="shared" si="92"/>
        <v>100820013</v>
      </c>
      <c r="D1375" s="57" t="s">
        <v>4100</v>
      </c>
      <c r="E1375" s="58" t="s">
        <v>640</v>
      </c>
      <c r="F1375" s="58"/>
      <c r="G1375" s="58"/>
      <c r="H1375" s="58"/>
      <c r="I1375" s="59" t="s">
        <v>206</v>
      </c>
      <c r="J1375" s="59"/>
      <c r="K1375" s="59"/>
      <c r="L1375" s="59"/>
      <c r="M1375" s="59"/>
      <c r="N1375" s="59" t="s">
        <v>163</v>
      </c>
      <c r="O1375" s="59" t="s">
        <v>163</v>
      </c>
      <c r="P1375" s="59"/>
      <c r="Q1375" s="59" t="s">
        <v>2041</v>
      </c>
      <c r="R1375" s="59"/>
      <c r="S1375" s="59"/>
      <c r="T1375" s="59" t="s">
        <v>2714</v>
      </c>
      <c r="U1375" s="122" t="s">
        <v>4109</v>
      </c>
      <c r="V1375" s="59" t="s">
        <v>109</v>
      </c>
      <c r="W1375" s="59" t="s">
        <v>1</v>
      </c>
      <c r="X1375" s="59"/>
      <c r="Z1375" s="59"/>
      <c r="AA1375" s="59"/>
      <c r="AB1375" s="59"/>
      <c r="AC1375" s="59">
        <v>82</v>
      </c>
      <c r="AD1375" s="59"/>
      <c r="AE1375" s="60"/>
      <c r="AF1375" s="60" t="s">
        <v>2042</v>
      </c>
      <c r="AG1375" s="59"/>
      <c r="AH1375" s="61">
        <v>101824</v>
      </c>
      <c r="AI1375" s="61" t="s">
        <v>265</v>
      </c>
      <c r="AJ1375" s="61"/>
      <c r="AK1375" s="62" t="s">
        <v>638</v>
      </c>
      <c r="AL1375" s="62"/>
      <c r="AM1375" s="63"/>
      <c r="AN1375" s="63"/>
      <c r="AO1375" s="63"/>
      <c r="AP1375" s="63"/>
      <c r="AQ1375" s="63"/>
      <c r="AR1375" s="63"/>
      <c r="AS1375" s="63"/>
      <c r="AT1375" s="63"/>
      <c r="AU1375" s="61"/>
      <c r="AV1375" s="61"/>
      <c r="AW1375" s="61"/>
      <c r="AX1375" s="62"/>
      <c r="AY1375" s="62"/>
      <c r="AZ1375" s="63"/>
      <c r="BA1375" s="63"/>
      <c r="BB1375" s="63"/>
      <c r="BC1375" s="63"/>
      <c r="BD1375" s="63"/>
      <c r="BE1375" s="63"/>
      <c r="BF1375" s="63"/>
      <c r="BG1375" s="63"/>
      <c r="BH1375" s="61"/>
      <c r="BI1375" s="61"/>
      <c r="BJ1375" s="61"/>
      <c r="BK1375" s="62"/>
      <c r="BL1375" s="62"/>
      <c r="BM1375" s="63"/>
      <c r="BN1375" s="63"/>
      <c r="BO1375" s="63"/>
      <c r="BP1375" s="63"/>
      <c r="BQ1375" s="63"/>
      <c r="BR1375" s="63"/>
      <c r="BS1375" s="63"/>
      <c r="BT1375" s="63"/>
      <c r="BU1375" s="61"/>
      <c r="BV1375" s="61"/>
      <c r="BW1375" s="61"/>
      <c r="BX1375" s="62"/>
      <c r="BY1375" s="62"/>
      <c r="BZ1375" s="63"/>
      <c r="CA1375" s="63"/>
      <c r="CB1375" s="63"/>
      <c r="CC1375" s="63"/>
      <c r="CD1375" s="63"/>
      <c r="CE1375" s="63"/>
      <c r="CF1375" s="63"/>
      <c r="CG1375" s="63"/>
      <c r="CH1375" s="64"/>
      <c r="CJ1375" s="63"/>
      <c r="CT1375" s="65"/>
      <c r="CU1375" s="65"/>
      <c r="CV1375" s="65"/>
      <c r="CW1375" s="65"/>
      <c r="CX1375" s="65"/>
      <c r="CY1375" s="65"/>
      <c r="CZ1375" s="65"/>
      <c r="DA1375" s="65"/>
      <c r="DB1375" s="65"/>
      <c r="DC1375" s="63"/>
    </row>
    <row r="1376" spans="1:107" s="57" customFormat="1" x14ac:dyDescent="0.2">
      <c r="A1376" s="55">
        <v>10082</v>
      </c>
      <c r="B1376" s="56">
        <v>14</v>
      </c>
      <c r="C1376" s="56">
        <f t="shared" si="92"/>
        <v>100820014</v>
      </c>
      <c r="D1376" s="57" t="s">
        <v>4100</v>
      </c>
      <c r="E1376" s="58" t="s">
        <v>640</v>
      </c>
      <c r="F1376" s="58"/>
      <c r="G1376" s="58"/>
      <c r="H1376" s="58"/>
      <c r="I1376" s="59" t="s">
        <v>206</v>
      </c>
      <c r="J1376" s="59"/>
      <c r="K1376" s="59"/>
      <c r="L1376" s="59"/>
      <c r="M1376" s="59"/>
      <c r="N1376" s="59" t="s">
        <v>163</v>
      </c>
      <c r="O1376" s="59" t="s">
        <v>163</v>
      </c>
      <c r="P1376" s="59"/>
      <c r="Q1376" s="59" t="s">
        <v>2041</v>
      </c>
      <c r="R1376" s="59"/>
      <c r="S1376" s="59"/>
      <c r="T1376" s="59" t="s">
        <v>2714</v>
      </c>
      <c r="U1376" s="122" t="s">
        <v>4110</v>
      </c>
      <c r="V1376" s="59" t="s">
        <v>109</v>
      </c>
      <c r="W1376" s="59" t="s">
        <v>1</v>
      </c>
      <c r="X1376" s="59"/>
      <c r="Z1376" s="59"/>
      <c r="AA1376" s="59"/>
      <c r="AB1376" s="59"/>
      <c r="AC1376" s="59">
        <v>82</v>
      </c>
      <c r="AD1376" s="59"/>
      <c r="AE1376" s="60"/>
      <c r="AF1376" s="60" t="s">
        <v>2042</v>
      </c>
      <c r="AG1376" s="59"/>
      <c r="AH1376" s="61">
        <v>101825</v>
      </c>
      <c r="AI1376" s="61" t="s">
        <v>266</v>
      </c>
      <c r="AJ1376" s="61"/>
      <c r="AK1376" s="62">
        <v>6350</v>
      </c>
      <c r="AL1376" s="62"/>
      <c r="AM1376" s="63"/>
      <c r="AN1376" s="63"/>
      <c r="AO1376" s="63"/>
      <c r="AP1376" s="63"/>
      <c r="AQ1376" s="63"/>
      <c r="AR1376" s="63"/>
      <c r="AS1376" s="63"/>
      <c r="AT1376" s="63"/>
      <c r="AU1376" s="61"/>
      <c r="AV1376" s="61"/>
      <c r="AW1376" s="61"/>
      <c r="AX1376" s="62"/>
      <c r="AY1376" s="62"/>
      <c r="AZ1376" s="63"/>
      <c r="BA1376" s="63"/>
      <c r="BB1376" s="63"/>
      <c r="BC1376" s="63"/>
      <c r="BD1376" s="63"/>
      <c r="BE1376" s="63"/>
      <c r="BF1376" s="63"/>
      <c r="BG1376" s="63"/>
      <c r="BH1376" s="61"/>
      <c r="BI1376" s="61"/>
      <c r="BJ1376" s="61"/>
      <c r="BK1376" s="62"/>
      <c r="BL1376" s="62"/>
      <c r="BM1376" s="63"/>
      <c r="BN1376" s="63"/>
      <c r="BO1376" s="63"/>
      <c r="BP1376" s="63"/>
      <c r="BQ1376" s="63"/>
      <c r="BR1376" s="63"/>
      <c r="BS1376" s="63"/>
      <c r="BT1376" s="63"/>
      <c r="BU1376" s="61"/>
      <c r="BV1376" s="61"/>
      <c r="BW1376" s="61"/>
      <c r="BX1376" s="62"/>
      <c r="BY1376" s="62"/>
      <c r="BZ1376" s="63"/>
      <c r="CA1376" s="63"/>
      <c r="CB1376" s="63"/>
      <c r="CC1376" s="63"/>
      <c r="CD1376" s="63"/>
      <c r="CE1376" s="63"/>
      <c r="CF1376" s="63"/>
      <c r="CG1376" s="63"/>
      <c r="CH1376" s="64"/>
      <c r="CJ1376" s="63"/>
      <c r="CT1376" s="65"/>
      <c r="CU1376" s="65"/>
      <c r="CV1376" s="65"/>
      <c r="CW1376" s="65"/>
      <c r="CX1376" s="65"/>
      <c r="CY1376" s="65"/>
      <c r="CZ1376" s="65"/>
      <c r="DA1376" s="65"/>
      <c r="DB1376" s="65"/>
      <c r="DC1376" s="63"/>
    </row>
    <row r="1377" spans="1:107" s="128" customFormat="1" x14ac:dyDescent="0.2">
      <c r="A1377" s="184">
        <v>10086</v>
      </c>
      <c r="B1377" s="185">
        <v>10</v>
      </c>
      <c r="C1377" s="185">
        <f t="shared" si="92"/>
        <v>100860010</v>
      </c>
      <c r="D1377" s="128" t="s">
        <v>4247</v>
      </c>
      <c r="E1377" s="129" t="s">
        <v>640</v>
      </c>
      <c r="F1377" s="129"/>
      <c r="G1377" s="129"/>
      <c r="H1377" s="129"/>
      <c r="I1377" s="114" t="s">
        <v>206</v>
      </c>
      <c r="J1377" s="114"/>
      <c r="K1377" s="114"/>
      <c r="L1377" s="114"/>
      <c r="M1377" s="114"/>
      <c r="N1377" s="114" t="s">
        <v>163</v>
      </c>
      <c r="O1377" s="114" t="s">
        <v>163</v>
      </c>
      <c r="P1377" s="114"/>
      <c r="Q1377" s="114" t="s">
        <v>2041</v>
      </c>
      <c r="R1377" s="114"/>
      <c r="S1377" s="114"/>
      <c r="T1377" s="114" t="s">
        <v>2307</v>
      </c>
      <c r="U1377" s="117" t="s">
        <v>4248</v>
      </c>
      <c r="V1377" s="114" t="s">
        <v>109</v>
      </c>
      <c r="W1377" s="114" t="s">
        <v>1</v>
      </c>
      <c r="X1377" s="114"/>
      <c r="Z1377" s="114"/>
      <c r="AA1377" s="114"/>
      <c r="AB1377" s="114"/>
      <c r="AC1377" s="114">
        <v>86</v>
      </c>
      <c r="AD1377" s="114"/>
      <c r="AE1377" s="130"/>
      <c r="AF1377" s="130" t="s">
        <v>2043</v>
      </c>
      <c r="AG1377" s="114"/>
      <c r="AH1377" s="131" t="s">
        <v>4253</v>
      </c>
      <c r="AI1377" s="131" t="s">
        <v>176</v>
      </c>
      <c r="AJ1377" s="131"/>
      <c r="AK1377" s="132" t="s">
        <v>4258</v>
      </c>
      <c r="AL1377" s="132"/>
      <c r="AM1377" s="134"/>
      <c r="AN1377" s="134"/>
      <c r="AO1377" s="134"/>
      <c r="AP1377" s="134"/>
      <c r="AQ1377" s="134"/>
      <c r="AR1377" s="134"/>
      <c r="AS1377" s="134"/>
      <c r="AT1377" s="134"/>
      <c r="AU1377" s="131"/>
      <c r="AV1377" s="131"/>
      <c r="AW1377" s="131"/>
      <c r="AX1377" s="132"/>
      <c r="AY1377" s="132"/>
      <c r="AZ1377" s="134"/>
      <c r="BA1377" s="134"/>
      <c r="BB1377" s="134"/>
      <c r="BC1377" s="134"/>
      <c r="BD1377" s="134"/>
      <c r="BE1377" s="134"/>
      <c r="BF1377" s="134"/>
      <c r="BG1377" s="134"/>
      <c r="BH1377" s="131"/>
      <c r="BI1377" s="131"/>
      <c r="BJ1377" s="131"/>
      <c r="BK1377" s="132"/>
      <c r="BL1377" s="132"/>
      <c r="BM1377" s="134"/>
      <c r="BN1377" s="134"/>
      <c r="BO1377" s="134"/>
      <c r="BP1377" s="134"/>
      <c r="BQ1377" s="134"/>
      <c r="BR1377" s="134"/>
      <c r="BS1377" s="134"/>
      <c r="BT1377" s="134"/>
      <c r="BU1377" s="131"/>
      <c r="BV1377" s="131"/>
      <c r="BW1377" s="131"/>
      <c r="BX1377" s="132"/>
      <c r="BY1377" s="132"/>
      <c r="BZ1377" s="134"/>
      <c r="CA1377" s="134"/>
      <c r="CB1377" s="134"/>
      <c r="CC1377" s="134"/>
      <c r="CD1377" s="134"/>
      <c r="CE1377" s="134"/>
      <c r="CF1377" s="134"/>
      <c r="CG1377" s="134"/>
      <c r="CH1377" s="127"/>
      <c r="CJ1377" s="134"/>
      <c r="CT1377" s="135"/>
      <c r="CU1377" s="135"/>
      <c r="CV1377" s="135"/>
      <c r="CW1377" s="135"/>
      <c r="CX1377" s="135"/>
      <c r="CY1377" s="135"/>
      <c r="CZ1377" s="135"/>
      <c r="DA1377" s="135"/>
      <c r="DB1377" s="135"/>
      <c r="DC1377" s="134"/>
    </row>
    <row r="1378" spans="1:107" s="128" customFormat="1" x14ac:dyDescent="0.2">
      <c r="A1378" s="184">
        <v>10086</v>
      </c>
      <c r="B1378" s="185">
        <v>11</v>
      </c>
      <c r="C1378" s="185">
        <f t="shared" si="92"/>
        <v>100860011</v>
      </c>
      <c r="D1378" s="128" t="s">
        <v>4247</v>
      </c>
      <c r="E1378" s="129" t="s">
        <v>640</v>
      </c>
      <c r="F1378" s="129"/>
      <c r="G1378" s="129"/>
      <c r="H1378" s="129"/>
      <c r="I1378" s="114" t="s">
        <v>206</v>
      </c>
      <c r="J1378" s="114"/>
      <c r="K1378" s="114"/>
      <c r="L1378" s="114"/>
      <c r="M1378" s="114"/>
      <c r="N1378" s="114" t="s">
        <v>163</v>
      </c>
      <c r="O1378" s="114" t="s">
        <v>163</v>
      </c>
      <c r="P1378" s="114"/>
      <c r="Q1378" s="114" t="s">
        <v>2041</v>
      </c>
      <c r="R1378" s="114"/>
      <c r="S1378" s="114"/>
      <c r="T1378" s="114" t="s">
        <v>2307</v>
      </c>
      <c r="U1378" s="117" t="s">
        <v>4249</v>
      </c>
      <c r="V1378" s="114" t="s">
        <v>109</v>
      </c>
      <c r="W1378" s="114" t="s">
        <v>1</v>
      </c>
      <c r="X1378" s="114"/>
      <c r="Z1378" s="114"/>
      <c r="AA1378" s="114"/>
      <c r="AB1378" s="114"/>
      <c r="AC1378" s="114">
        <v>86</v>
      </c>
      <c r="AD1378" s="114"/>
      <c r="AE1378" s="130"/>
      <c r="AF1378" s="130" t="s">
        <v>2043</v>
      </c>
      <c r="AG1378" s="114"/>
      <c r="AH1378" s="131" t="s">
        <v>4254</v>
      </c>
      <c r="AI1378" s="131" t="s">
        <v>260</v>
      </c>
      <c r="AJ1378" s="131"/>
      <c r="AK1378" s="132" t="s">
        <v>4259</v>
      </c>
      <c r="AL1378" s="132"/>
      <c r="AM1378" s="134"/>
      <c r="AN1378" s="134"/>
      <c r="AO1378" s="134"/>
      <c r="AP1378" s="134"/>
      <c r="AQ1378" s="134"/>
      <c r="AR1378" s="134"/>
      <c r="AS1378" s="134"/>
      <c r="AT1378" s="134"/>
      <c r="AU1378" s="131"/>
      <c r="AV1378" s="131"/>
      <c r="AW1378" s="131"/>
      <c r="AX1378" s="132"/>
      <c r="AY1378" s="132"/>
      <c r="AZ1378" s="134"/>
      <c r="BA1378" s="134"/>
      <c r="BB1378" s="134"/>
      <c r="BC1378" s="134"/>
      <c r="BD1378" s="134"/>
      <c r="BE1378" s="134"/>
      <c r="BF1378" s="134"/>
      <c r="BG1378" s="134"/>
      <c r="BH1378" s="131"/>
      <c r="BI1378" s="131"/>
      <c r="BJ1378" s="131"/>
      <c r="BK1378" s="132"/>
      <c r="BL1378" s="132"/>
      <c r="BM1378" s="134"/>
      <c r="BN1378" s="134"/>
      <c r="BO1378" s="134"/>
      <c r="BP1378" s="134"/>
      <c r="BQ1378" s="134"/>
      <c r="BR1378" s="134"/>
      <c r="BS1378" s="134"/>
      <c r="BT1378" s="134"/>
      <c r="BU1378" s="131"/>
      <c r="BV1378" s="131"/>
      <c r="BW1378" s="131"/>
      <c r="BX1378" s="132"/>
      <c r="BY1378" s="132"/>
      <c r="BZ1378" s="134"/>
      <c r="CA1378" s="134"/>
      <c r="CB1378" s="134"/>
      <c r="CC1378" s="134"/>
      <c r="CD1378" s="134"/>
      <c r="CE1378" s="134"/>
      <c r="CF1378" s="134"/>
      <c r="CG1378" s="134"/>
      <c r="CH1378" s="127"/>
      <c r="CJ1378" s="134"/>
      <c r="CT1378" s="135"/>
      <c r="CU1378" s="135"/>
      <c r="CV1378" s="135"/>
      <c r="CW1378" s="135"/>
      <c r="CX1378" s="135"/>
      <c r="CY1378" s="135"/>
      <c r="CZ1378" s="135"/>
      <c r="DA1378" s="135"/>
      <c r="DB1378" s="135"/>
      <c r="DC1378" s="134"/>
    </row>
    <row r="1379" spans="1:107" s="128" customFormat="1" x14ac:dyDescent="0.2">
      <c r="A1379" s="184">
        <v>10086</v>
      </c>
      <c r="B1379" s="185">
        <v>12</v>
      </c>
      <c r="C1379" s="185">
        <f t="shared" si="92"/>
        <v>100860012</v>
      </c>
      <c r="D1379" s="128" t="s">
        <v>4247</v>
      </c>
      <c r="E1379" s="129" t="s">
        <v>640</v>
      </c>
      <c r="F1379" s="129"/>
      <c r="G1379" s="129"/>
      <c r="H1379" s="129"/>
      <c r="I1379" s="114" t="s">
        <v>206</v>
      </c>
      <c r="J1379" s="114"/>
      <c r="K1379" s="114"/>
      <c r="L1379" s="114"/>
      <c r="M1379" s="114"/>
      <c r="N1379" s="114" t="s">
        <v>163</v>
      </c>
      <c r="O1379" s="114" t="s">
        <v>163</v>
      </c>
      <c r="P1379" s="114"/>
      <c r="Q1379" s="114" t="s">
        <v>2041</v>
      </c>
      <c r="R1379" s="114"/>
      <c r="S1379" s="114"/>
      <c r="T1379" s="114" t="s">
        <v>2307</v>
      </c>
      <c r="U1379" s="117" t="s">
        <v>4250</v>
      </c>
      <c r="V1379" s="114" t="s">
        <v>109</v>
      </c>
      <c r="W1379" s="114" t="s">
        <v>1</v>
      </c>
      <c r="X1379" s="114"/>
      <c r="Z1379" s="114"/>
      <c r="AA1379" s="114"/>
      <c r="AB1379" s="114"/>
      <c r="AC1379" s="114">
        <v>86</v>
      </c>
      <c r="AD1379" s="114"/>
      <c r="AE1379" s="130"/>
      <c r="AF1379" s="130" t="s">
        <v>2043</v>
      </c>
      <c r="AG1379" s="114"/>
      <c r="AH1379" s="131" t="s">
        <v>4255</v>
      </c>
      <c r="AI1379" s="131" t="s">
        <v>264</v>
      </c>
      <c r="AJ1379" s="131"/>
      <c r="AK1379" s="132" t="s">
        <v>4260</v>
      </c>
      <c r="AL1379" s="132"/>
      <c r="AM1379" s="134"/>
      <c r="AN1379" s="134"/>
      <c r="AO1379" s="134"/>
      <c r="AP1379" s="134"/>
      <c r="AQ1379" s="134"/>
      <c r="AR1379" s="134"/>
      <c r="AS1379" s="134"/>
      <c r="AT1379" s="134"/>
      <c r="AU1379" s="131"/>
      <c r="AV1379" s="131"/>
      <c r="AW1379" s="131"/>
      <c r="AX1379" s="132"/>
      <c r="AY1379" s="132"/>
      <c r="AZ1379" s="134"/>
      <c r="BA1379" s="134"/>
      <c r="BB1379" s="134"/>
      <c r="BC1379" s="134"/>
      <c r="BD1379" s="134"/>
      <c r="BE1379" s="134"/>
      <c r="BF1379" s="134"/>
      <c r="BG1379" s="134"/>
      <c r="BH1379" s="131"/>
      <c r="BI1379" s="131"/>
      <c r="BJ1379" s="131"/>
      <c r="BK1379" s="132"/>
      <c r="BL1379" s="132"/>
      <c r="BM1379" s="134"/>
      <c r="BN1379" s="134"/>
      <c r="BO1379" s="134"/>
      <c r="BP1379" s="134"/>
      <c r="BQ1379" s="134"/>
      <c r="BR1379" s="134"/>
      <c r="BS1379" s="134"/>
      <c r="BT1379" s="134"/>
      <c r="BU1379" s="131"/>
      <c r="BV1379" s="131"/>
      <c r="BW1379" s="131"/>
      <c r="BX1379" s="132"/>
      <c r="BY1379" s="132"/>
      <c r="BZ1379" s="134"/>
      <c r="CA1379" s="134"/>
      <c r="CB1379" s="134"/>
      <c r="CC1379" s="134"/>
      <c r="CD1379" s="134"/>
      <c r="CE1379" s="134"/>
      <c r="CF1379" s="134"/>
      <c r="CG1379" s="134"/>
      <c r="CH1379" s="127"/>
      <c r="CJ1379" s="134"/>
      <c r="CT1379" s="135"/>
      <c r="CU1379" s="135"/>
      <c r="CV1379" s="135"/>
      <c r="CW1379" s="135"/>
      <c r="CX1379" s="135"/>
      <c r="CY1379" s="135"/>
      <c r="CZ1379" s="135"/>
      <c r="DA1379" s="135"/>
      <c r="DB1379" s="135"/>
      <c r="DC1379" s="134"/>
    </row>
    <row r="1380" spans="1:107" s="128" customFormat="1" ht="12.75" customHeight="1" x14ac:dyDescent="0.2">
      <c r="A1380" s="184">
        <v>10086</v>
      </c>
      <c r="B1380" s="185">
        <v>13</v>
      </c>
      <c r="C1380" s="185">
        <f t="shared" si="92"/>
        <v>100860013</v>
      </c>
      <c r="D1380" s="128" t="s">
        <v>4247</v>
      </c>
      <c r="E1380" s="129" t="s">
        <v>640</v>
      </c>
      <c r="F1380" s="129"/>
      <c r="G1380" s="129"/>
      <c r="H1380" s="129"/>
      <c r="I1380" s="114" t="s">
        <v>206</v>
      </c>
      <c r="J1380" s="114"/>
      <c r="K1380" s="114"/>
      <c r="L1380" s="114"/>
      <c r="M1380" s="114"/>
      <c r="N1380" s="114" t="s">
        <v>163</v>
      </c>
      <c r="O1380" s="114" t="s">
        <v>163</v>
      </c>
      <c r="P1380" s="114"/>
      <c r="Q1380" s="114" t="s">
        <v>2041</v>
      </c>
      <c r="R1380" s="114"/>
      <c r="S1380" s="114"/>
      <c r="T1380" s="114" t="s">
        <v>2307</v>
      </c>
      <c r="U1380" s="117" t="s">
        <v>4251</v>
      </c>
      <c r="V1380" s="114" t="s">
        <v>109</v>
      </c>
      <c r="W1380" s="114" t="s">
        <v>1</v>
      </c>
      <c r="X1380" s="114"/>
      <c r="Z1380" s="114"/>
      <c r="AA1380" s="114"/>
      <c r="AB1380" s="114"/>
      <c r="AC1380" s="114">
        <v>86</v>
      </c>
      <c r="AD1380" s="114"/>
      <c r="AE1380" s="130"/>
      <c r="AF1380" s="130" t="s">
        <v>2043</v>
      </c>
      <c r="AG1380" s="114"/>
      <c r="AH1380" s="131" t="s">
        <v>4256</v>
      </c>
      <c r="AI1380" s="131" t="s">
        <v>265</v>
      </c>
      <c r="AJ1380" s="131"/>
      <c r="AK1380" s="132" t="s">
        <v>4261</v>
      </c>
      <c r="AL1380" s="132"/>
      <c r="AM1380" s="134"/>
      <c r="AN1380" s="134"/>
      <c r="AO1380" s="134"/>
      <c r="AP1380" s="134"/>
      <c r="AQ1380" s="134"/>
      <c r="AR1380" s="134"/>
      <c r="AS1380" s="134"/>
      <c r="AT1380" s="134"/>
      <c r="AU1380" s="131"/>
      <c r="AV1380" s="131"/>
      <c r="AW1380" s="131"/>
      <c r="AX1380" s="132"/>
      <c r="AY1380" s="132"/>
      <c r="AZ1380" s="134"/>
      <c r="BA1380" s="134"/>
      <c r="BB1380" s="134"/>
      <c r="BC1380" s="134"/>
      <c r="BD1380" s="134"/>
      <c r="BE1380" s="134"/>
      <c r="BF1380" s="134"/>
      <c r="BG1380" s="134"/>
      <c r="BH1380" s="131"/>
      <c r="BI1380" s="131"/>
      <c r="BJ1380" s="131"/>
      <c r="BK1380" s="132"/>
      <c r="BL1380" s="132"/>
      <c r="BM1380" s="134"/>
      <c r="BN1380" s="134"/>
      <c r="BO1380" s="134"/>
      <c r="BP1380" s="134"/>
      <c r="BQ1380" s="134"/>
      <c r="BR1380" s="134"/>
      <c r="BS1380" s="134"/>
      <c r="BT1380" s="134"/>
      <c r="BU1380" s="131"/>
      <c r="BV1380" s="131"/>
      <c r="BW1380" s="131"/>
      <c r="BX1380" s="132"/>
      <c r="BY1380" s="132"/>
      <c r="BZ1380" s="134"/>
      <c r="CA1380" s="134"/>
      <c r="CB1380" s="134"/>
      <c r="CC1380" s="134"/>
      <c r="CD1380" s="134"/>
      <c r="CE1380" s="134"/>
      <c r="CF1380" s="134"/>
      <c r="CG1380" s="134"/>
      <c r="CH1380" s="127"/>
      <c r="CJ1380" s="134"/>
      <c r="CT1380" s="135"/>
      <c r="CU1380" s="135"/>
      <c r="CV1380" s="135"/>
      <c r="CW1380" s="135"/>
      <c r="CX1380" s="135"/>
      <c r="CY1380" s="135"/>
      <c r="CZ1380" s="135"/>
      <c r="DA1380" s="135"/>
      <c r="DB1380" s="135"/>
      <c r="DC1380" s="134"/>
    </row>
    <row r="1381" spans="1:107" s="128" customFormat="1" x14ac:dyDescent="0.2">
      <c r="A1381" s="184">
        <v>10086</v>
      </c>
      <c r="B1381" s="185">
        <v>14</v>
      </c>
      <c r="C1381" s="185">
        <f t="shared" si="92"/>
        <v>100860014</v>
      </c>
      <c r="D1381" s="128" t="s">
        <v>4247</v>
      </c>
      <c r="E1381" s="129" t="s">
        <v>640</v>
      </c>
      <c r="F1381" s="129"/>
      <c r="G1381" s="129"/>
      <c r="H1381" s="129"/>
      <c r="I1381" s="114" t="s">
        <v>206</v>
      </c>
      <c r="J1381" s="114"/>
      <c r="K1381" s="114"/>
      <c r="L1381" s="114"/>
      <c r="M1381" s="114"/>
      <c r="N1381" s="114" t="s">
        <v>163</v>
      </c>
      <c r="O1381" s="114" t="s">
        <v>163</v>
      </c>
      <c r="P1381" s="114"/>
      <c r="Q1381" s="114" t="s">
        <v>2041</v>
      </c>
      <c r="R1381" s="114"/>
      <c r="S1381" s="114"/>
      <c r="T1381" s="114" t="s">
        <v>2307</v>
      </c>
      <c r="U1381" s="117" t="s">
        <v>4252</v>
      </c>
      <c r="V1381" s="114" t="s">
        <v>109</v>
      </c>
      <c r="W1381" s="114" t="s">
        <v>1</v>
      </c>
      <c r="X1381" s="114"/>
      <c r="Z1381" s="114"/>
      <c r="AA1381" s="114"/>
      <c r="AB1381" s="114"/>
      <c r="AC1381" s="114">
        <v>86</v>
      </c>
      <c r="AD1381" s="114"/>
      <c r="AE1381" s="130"/>
      <c r="AF1381" s="130" t="s">
        <v>2043</v>
      </c>
      <c r="AG1381" s="114"/>
      <c r="AH1381" s="131" t="s">
        <v>4257</v>
      </c>
      <c r="AI1381" s="131" t="s">
        <v>266</v>
      </c>
      <c r="AJ1381" s="131"/>
      <c r="AK1381" s="132">
        <v>6350</v>
      </c>
      <c r="AL1381" s="132"/>
      <c r="AM1381" s="134"/>
      <c r="AN1381" s="134"/>
      <c r="AO1381" s="134"/>
      <c r="AP1381" s="134"/>
      <c r="AQ1381" s="134"/>
      <c r="AR1381" s="134"/>
      <c r="AS1381" s="134"/>
      <c r="AT1381" s="134"/>
      <c r="AU1381" s="131"/>
      <c r="AV1381" s="131"/>
      <c r="AW1381" s="131"/>
      <c r="AX1381" s="132"/>
      <c r="AY1381" s="132"/>
      <c r="AZ1381" s="134"/>
      <c r="BA1381" s="134"/>
      <c r="BB1381" s="134"/>
      <c r="BC1381" s="134"/>
      <c r="BD1381" s="134"/>
      <c r="BE1381" s="134"/>
      <c r="BF1381" s="134"/>
      <c r="BG1381" s="134"/>
      <c r="BH1381" s="131"/>
      <c r="BI1381" s="131"/>
      <c r="BJ1381" s="131"/>
      <c r="BK1381" s="132"/>
      <c r="BL1381" s="132"/>
      <c r="BM1381" s="134"/>
      <c r="BN1381" s="134"/>
      <c r="BO1381" s="134"/>
      <c r="BP1381" s="134"/>
      <c r="BQ1381" s="134"/>
      <c r="BR1381" s="134"/>
      <c r="BS1381" s="134"/>
      <c r="BT1381" s="134"/>
      <c r="BU1381" s="131"/>
      <c r="BV1381" s="131"/>
      <c r="BW1381" s="131"/>
      <c r="BX1381" s="132"/>
      <c r="BY1381" s="132"/>
      <c r="BZ1381" s="134"/>
      <c r="CA1381" s="134"/>
      <c r="CB1381" s="134"/>
      <c r="CC1381" s="134"/>
      <c r="CD1381" s="134"/>
      <c r="CE1381" s="134"/>
      <c r="CF1381" s="134"/>
      <c r="CG1381" s="134"/>
      <c r="CH1381" s="127"/>
      <c r="CJ1381" s="134"/>
      <c r="CT1381" s="135"/>
      <c r="CU1381" s="135"/>
      <c r="CV1381" s="135"/>
      <c r="CW1381" s="135"/>
      <c r="CX1381" s="135"/>
      <c r="CY1381" s="135"/>
      <c r="CZ1381" s="135"/>
      <c r="DA1381" s="135"/>
      <c r="DB1381" s="135"/>
      <c r="DC1381" s="134"/>
    </row>
    <row r="1382" spans="1:107" s="57" customFormat="1" x14ac:dyDescent="0.2">
      <c r="A1382" s="55">
        <v>10087</v>
      </c>
      <c r="B1382" s="56">
        <v>10</v>
      </c>
      <c r="C1382" s="56">
        <f t="shared" si="87"/>
        <v>100870010</v>
      </c>
      <c r="D1382" s="57" t="s">
        <v>1810</v>
      </c>
      <c r="E1382" s="58" t="s">
        <v>640</v>
      </c>
      <c r="F1382" s="58"/>
      <c r="G1382" s="58"/>
      <c r="H1382" s="58"/>
      <c r="I1382" s="59" t="s">
        <v>206</v>
      </c>
      <c r="J1382" s="59"/>
      <c r="K1382" s="59"/>
      <c r="L1382" s="59"/>
      <c r="M1382" s="59"/>
      <c r="N1382" s="59" t="s">
        <v>163</v>
      </c>
      <c r="O1382" s="59" t="s">
        <v>163</v>
      </c>
      <c r="P1382" s="59"/>
      <c r="Q1382" s="59" t="s">
        <v>2041</v>
      </c>
      <c r="R1382" s="59"/>
      <c r="S1382" s="59"/>
      <c r="T1382" s="59" t="s">
        <v>2714</v>
      </c>
      <c r="U1382" s="122" t="s">
        <v>3080</v>
      </c>
      <c r="V1382" s="59" t="s">
        <v>109</v>
      </c>
      <c r="W1382" s="59" t="s">
        <v>1</v>
      </c>
      <c r="X1382" s="59"/>
      <c r="Z1382" s="59"/>
      <c r="AA1382" s="59"/>
      <c r="AB1382" s="59"/>
      <c r="AC1382" s="59">
        <v>87</v>
      </c>
      <c r="AD1382" s="59"/>
      <c r="AE1382" s="60"/>
      <c r="AF1382" s="60" t="s">
        <v>2042</v>
      </c>
      <c r="AG1382" s="59"/>
      <c r="AH1382" s="61">
        <v>101871</v>
      </c>
      <c r="AI1382" s="61" t="s">
        <v>176</v>
      </c>
      <c r="AJ1382" s="61"/>
      <c r="AK1382" s="62" t="s">
        <v>635</v>
      </c>
      <c r="AL1382" s="62"/>
      <c r="AM1382" s="63"/>
      <c r="AN1382" s="63"/>
      <c r="AO1382" s="63"/>
      <c r="AP1382" s="63"/>
      <c r="AQ1382" s="63"/>
      <c r="AR1382" s="63"/>
      <c r="AS1382" s="63"/>
      <c r="AT1382" s="63"/>
      <c r="AU1382" s="61"/>
      <c r="AV1382" s="61"/>
      <c r="AW1382" s="61"/>
      <c r="AX1382" s="62"/>
      <c r="AY1382" s="62"/>
      <c r="AZ1382" s="63"/>
      <c r="BA1382" s="63"/>
      <c r="BB1382" s="63"/>
      <c r="BC1382" s="63"/>
      <c r="BD1382" s="63"/>
      <c r="BE1382" s="63"/>
      <c r="BF1382" s="63"/>
      <c r="BG1382" s="63"/>
      <c r="BH1382" s="61"/>
      <c r="BI1382" s="61"/>
      <c r="BJ1382" s="61"/>
      <c r="BK1382" s="62"/>
      <c r="BL1382" s="62"/>
      <c r="BM1382" s="63"/>
      <c r="BN1382" s="63"/>
      <c r="BO1382" s="63"/>
      <c r="BP1382" s="63"/>
      <c r="BQ1382" s="63"/>
      <c r="BR1382" s="63"/>
      <c r="BS1382" s="63"/>
      <c r="BT1382" s="63"/>
      <c r="BU1382" s="61"/>
      <c r="BV1382" s="61"/>
      <c r="BW1382" s="61"/>
      <c r="BX1382" s="62"/>
      <c r="BY1382" s="62"/>
      <c r="BZ1382" s="63"/>
      <c r="CA1382" s="63"/>
      <c r="CB1382" s="63"/>
      <c r="CC1382" s="63"/>
      <c r="CD1382" s="63"/>
      <c r="CE1382" s="63"/>
      <c r="CF1382" s="63"/>
      <c r="CG1382" s="63"/>
      <c r="CH1382" s="64"/>
      <c r="CJ1382" s="63"/>
      <c r="CT1382" s="65"/>
      <c r="CU1382" s="65"/>
      <c r="CV1382" s="65"/>
      <c r="CW1382" s="65"/>
      <c r="CX1382" s="65"/>
      <c r="CY1382" s="65"/>
      <c r="CZ1382" s="65"/>
      <c r="DA1382" s="65"/>
      <c r="DB1382" s="65"/>
      <c r="DC1382" s="63"/>
    </row>
    <row r="1383" spans="1:107" s="57" customFormat="1" x14ac:dyDescent="0.2">
      <c r="A1383" s="55">
        <v>10087</v>
      </c>
      <c r="B1383" s="56">
        <v>11</v>
      </c>
      <c r="C1383" s="56">
        <f t="shared" si="87"/>
        <v>100870011</v>
      </c>
      <c r="D1383" s="57" t="s">
        <v>1810</v>
      </c>
      <c r="E1383" s="58" t="s">
        <v>640</v>
      </c>
      <c r="F1383" s="58"/>
      <c r="G1383" s="58"/>
      <c r="H1383" s="58"/>
      <c r="I1383" s="59" t="s">
        <v>206</v>
      </c>
      <c r="J1383" s="59"/>
      <c r="K1383" s="59"/>
      <c r="L1383" s="59"/>
      <c r="M1383" s="59"/>
      <c r="N1383" s="59" t="s">
        <v>163</v>
      </c>
      <c r="O1383" s="59" t="s">
        <v>163</v>
      </c>
      <c r="P1383" s="59"/>
      <c r="Q1383" s="59" t="s">
        <v>2041</v>
      </c>
      <c r="R1383" s="59"/>
      <c r="S1383" s="59"/>
      <c r="T1383" s="59" t="s">
        <v>2714</v>
      </c>
      <c r="U1383" s="122" t="s">
        <v>3081</v>
      </c>
      <c r="V1383" s="59" t="s">
        <v>109</v>
      </c>
      <c r="W1383" s="59" t="s">
        <v>1</v>
      </c>
      <c r="X1383" s="59"/>
      <c r="Z1383" s="59"/>
      <c r="AA1383" s="59"/>
      <c r="AB1383" s="59"/>
      <c r="AC1383" s="59">
        <v>87</v>
      </c>
      <c r="AD1383" s="59"/>
      <c r="AE1383" s="60"/>
      <c r="AF1383" s="60" t="s">
        <v>2042</v>
      </c>
      <c r="AG1383" s="59"/>
      <c r="AH1383" s="61">
        <v>101872</v>
      </c>
      <c r="AI1383" s="61" t="s">
        <v>260</v>
      </c>
      <c r="AJ1383" s="61"/>
      <c r="AK1383" s="62" t="s">
        <v>636</v>
      </c>
      <c r="AL1383" s="62"/>
      <c r="AM1383" s="63"/>
      <c r="AN1383" s="63"/>
      <c r="AO1383" s="63"/>
      <c r="AP1383" s="63"/>
      <c r="AQ1383" s="63"/>
      <c r="AR1383" s="63"/>
      <c r="AS1383" s="63"/>
      <c r="AT1383" s="63"/>
      <c r="AU1383" s="61"/>
      <c r="AV1383" s="61"/>
      <c r="AW1383" s="61"/>
      <c r="AX1383" s="62"/>
      <c r="AY1383" s="62"/>
      <c r="AZ1383" s="63"/>
      <c r="BA1383" s="63"/>
      <c r="BB1383" s="63"/>
      <c r="BC1383" s="63"/>
      <c r="BD1383" s="63"/>
      <c r="BE1383" s="63"/>
      <c r="BF1383" s="63"/>
      <c r="BG1383" s="63"/>
      <c r="BH1383" s="61"/>
      <c r="BI1383" s="61"/>
      <c r="BJ1383" s="61"/>
      <c r="BK1383" s="62"/>
      <c r="BL1383" s="62"/>
      <c r="BM1383" s="63"/>
      <c r="BN1383" s="63"/>
      <c r="BO1383" s="63"/>
      <c r="BP1383" s="63"/>
      <c r="BQ1383" s="63"/>
      <c r="BR1383" s="63"/>
      <c r="BS1383" s="63"/>
      <c r="BT1383" s="63"/>
      <c r="BU1383" s="61"/>
      <c r="BV1383" s="61"/>
      <c r="BW1383" s="61"/>
      <c r="BX1383" s="62"/>
      <c r="BY1383" s="62"/>
      <c r="BZ1383" s="63"/>
      <c r="CA1383" s="63"/>
      <c r="CB1383" s="63"/>
      <c r="CC1383" s="63"/>
      <c r="CD1383" s="63"/>
      <c r="CE1383" s="63"/>
      <c r="CF1383" s="63"/>
      <c r="CG1383" s="63"/>
      <c r="CH1383" s="64"/>
      <c r="CJ1383" s="63"/>
      <c r="CT1383" s="65"/>
      <c r="CU1383" s="65"/>
      <c r="CV1383" s="65"/>
      <c r="CW1383" s="65"/>
      <c r="CX1383" s="65"/>
      <c r="CY1383" s="65"/>
      <c r="CZ1383" s="65"/>
      <c r="DA1383" s="65"/>
      <c r="DB1383" s="65"/>
      <c r="DC1383" s="63"/>
    </row>
    <row r="1384" spans="1:107" s="57" customFormat="1" x14ac:dyDescent="0.2">
      <c r="A1384" s="55">
        <v>10087</v>
      </c>
      <c r="B1384" s="56">
        <v>12</v>
      </c>
      <c r="C1384" s="56">
        <f t="shared" si="87"/>
        <v>100870012</v>
      </c>
      <c r="D1384" s="57" t="s">
        <v>1810</v>
      </c>
      <c r="E1384" s="58" t="s">
        <v>640</v>
      </c>
      <c r="F1384" s="58"/>
      <c r="G1384" s="58"/>
      <c r="H1384" s="58"/>
      <c r="I1384" s="59" t="s">
        <v>206</v>
      </c>
      <c r="J1384" s="59"/>
      <c r="K1384" s="59"/>
      <c r="L1384" s="59"/>
      <c r="M1384" s="59"/>
      <c r="N1384" s="59" t="s">
        <v>163</v>
      </c>
      <c r="O1384" s="59" t="s">
        <v>163</v>
      </c>
      <c r="P1384" s="59"/>
      <c r="Q1384" s="59" t="s">
        <v>2041</v>
      </c>
      <c r="R1384" s="59"/>
      <c r="S1384" s="59"/>
      <c r="T1384" s="59" t="s">
        <v>2714</v>
      </c>
      <c r="U1384" s="122" t="s">
        <v>3082</v>
      </c>
      <c r="V1384" s="59" t="s">
        <v>109</v>
      </c>
      <c r="W1384" s="59" t="s">
        <v>1</v>
      </c>
      <c r="X1384" s="59"/>
      <c r="Z1384" s="59"/>
      <c r="AA1384" s="59"/>
      <c r="AB1384" s="59"/>
      <c r="AC1384" s="59">
        <v>87</v>
      </c>
      <c r="AD1384" s="59"/>
      <c r="AE1384" s="60"/>
      <c r="AF1384" s="60" t="s">
        <v>2042</v>
      </c>
      <c r="AG1384" s="59"/>
      <c r="AH1384" s="61">
        <v>101873</v>
      </c>
      <c r="AI1384" s="61" t="s">
        <v>264</v>
      </c>
      <c r="AJ1384" s="61"/>
      <c r="AK1384" s="62" t="s">
        <v>637</v>
      </c>
      <c r="AL1384" s="62"/>
      <c r="AM1384" s="63"/>
      <c r="AN1384" s="63"/>
      <c r="AO1384" s="63"/>
      <c r="AP1384" s="63"/>
      <c r="AQ1384" s="63"/>
      <c r="AR1384" s="63"/>
      <c r="AS1384" s="63"/>
      <c r="AT1384" s="63"/>
      <c r="AU1384" s="61"/>
      <c r="AV1384" s="61"/>
      <c r="AW1384" s="61"/>
      <c r="AX1384" s="62"/>
      <c r="AY1384" s="62"/>
      <c r="AZ1384" s="63"/>
      <c r="BA1384" s="63"/>
      <c r="BB1384" s="63"/>
      <c r="BC1384" s="63"/>
      <c r="BD1384" s="63"/>
      <c r="BE1384" s="63"/>
      <c r="BF1384" s="63"/>
      <c r="BG1384" s="63"/>
      <c r="BH1384" s="61"/>
      <c r="BI1384" s="61"/>
      <c r="BJ1384" s="61"/>
      <c r="BK1384" s="62"/>
      <c r="BL1384" s="62"/>
      <c r="BM1384" s="63"/>
      <c r="BN1384" s="63"/>
      <c r="BO1384" s="63"/>
      <c r="BP1384" s="63"/>
      <c r="BQ1384" s="63"/>
      <c r="BR1384" s="63"/>
      <c r="BS1384" s="63"/>
      <c r="BT1384" s="63"/>
      <c r="BU1384" s="61"/>
      <c r="BV1384" s="61"/>
      <c r="BW1384" s="61"/>
      <c r="BX1384" s="62"/>
      <c r="BY1384" s="62"/>
      <c r="BZ1384" s="63"/>
      <c r="CA1384" s="63"/>
      <c r="CB1384" s="63"/>
      <c r="CC1384" s="63"/>
      <c r="CD1384" s="63"/>
      <c r="CE1384" s="63"/>
      <c r="CF1384" s="63"/>
      <c r="CG1384" s="63"/>
      <c r="CH1384" s="64"/>
      <c r="CJ1384" s="63"/>
      <c r="CT1384" s="65"/>
      <c r="CU1384" s="65"/>
      <c r="CV1384" s="65"/>
      <c r="CW1384" s="65"/>
      <c r="CX1384" s="65"/>
      <c r="CY1384" s="65"/>
      <c r="CZ1384" s="65"/>
      <c r="DA1384" s="65"/>
      <c r="DB1384" s="65"/>
      <c r="DC1384" s="63"/>
    </row>
    <row r="1385" spans="1:107" s="57" customFormat="1" x14ac:dyDescent="0.2">
      <c r="A1385" s="55">
        <v>10087</v>
      </c>
      <c r="B1385" s="56">
        <v>13</v>
      </c>
      <c r="C1385" s="56">
        <f t="shared" si="87"/>
        <v>100870013</v>
      </c>
      <c r="D1385" s="57" t="s">
        <v>1810</v>
      </c>
      <c r="E1385" s="58" t="s">
        <v>640</v>
      </c>
      <c r="F1385" s="58"/>
      <c r="G1385" s="58"/>
      <c r="H1385" s="58"/>
      <c r="I1385" s="59" t="s">
        <v>206</v>
      </c>
      <c r="J1385" s="59"/>
      <c r="K1385" s="59"/>
      <c r="L1385" s="59"/>
      <c r="M1385" s="59"/>
      <c r="N1385" s="59" t="s">
        <v>163</v>
      </c>
      <c r="O1385" s="59" t="s">
        <v>163</v>
      </c>
      <c r="P1385" s="59"/>
      <c r="Q1385" s="59" t="s">
        <v>2041</v>
      </c>
      <c r="R1385" s="59"/>
      <c r="S1385" s="59"/>
      <c r="T1385" s="59" t="s">
        <v>2714</v>
      </c>
      <c r="U1385" s="122" t="s">
        <v>3083</v>
      </c>
      <c r="V1385" s="59" t="s">
        <v>109</v>
      </c>
      <c r="W1385" s="59" t="s">
        <v>1</v>
      </c>
      <c r="X1385" s="59"/>
      <c r="Z1385" s="59"/>
      <c r="AA1385" s="59"/>
      <c r="AB1385" s="59"/>
      <c r="AC1385" s="59">
        <v>87</v>
      </c>
      <c r="AD1385" s="59"/>
      <c r="AE1385" s="60"/>
      <c r="AF1385" s="60" t="s">
        <v>2042</v>
      </c>
      <c r="AG1385" s="59"/>
      <c r="AH1385" s="61">
        <v>101874</v>
      </c>
      <c r="AI1385" s="61" t="s">
        <v>265</v>
      </c>
      <c r="AJ1385" s="61"/>
      <c r="AK1385" s="62" t="s">
        <v>638</v>
      </c>
      <c r="AL1385" s="62"/>
      <c r="AM1385" s="63"/>
      <c r="AN1385" s="63"/>
      <c r="AO1385" s="63"/>
      <c r="AP1385" s="63"/>
      <c r="AQ1385" s="63"/>
      <c r="AR1385" s="63"/>
      <c r="AS1385" s="63"/>
      <c r="AT1385" s="63"/>
      <c r="AU1385" s="61"/>
      <c r="AV1385" s="61"/>
      <c r="AW1385" s="61"/>
      <c r="AX1385" s="62"/>
      <c r="AY1385" s="62"/>
      <c r="AZ1385" s="63"/>
      <c r="BA1385" s="63"/>
      <c r="BB1385" s="63"/>
      <c r="BC1385" s="63"/>
      <c r="BD1385" s="63"/>
      <c r="BE1385" s="63"/>
      <c r="BF1385" s="63"/>
      <c r="BG1385" s="63"/>
      <c r="BH1385" s="61"/>
      <c r="BI1385" s="61"/>
      <c r="BJ1385" s="61"/>
      <c r="BK1385" s="62"/>
      <c r="BL1385" s="62"/>
      <c r="BM1385" s="63"/>
      <c r="BN1385" s="63"/>
      <c r="BO1385" s="63"/>
      <c r="BP1385" s="63"/>
      <c r="BQ1385" s="63"/>
      <c r="BR1385" s="63"/>
      <c r="BS1385" s="63"/>
      <c r="BT1385" s="63"/>
      <c r="BU1385" s="61"/>
      <c r="BV1385" s="61"/>
      <c r="BW1385" s="61"/>
      <c r="BX1385" s="62"/>
      <c r="BY1385" s="62"/>
      <c r="BZ1385" s="63"/>
      <c r="CA1385" s="63"/>
      <c r="CB1385" s="63"/>
      <c r="CC1385" s="63"/>
      <c r="CD1385" s="63"/>
      <c r="CE1385" s="63"/>
      <c r="CF1385" s="63"/>
      <c r="CG1385" s="63"/>
      <c r="CH1385" s="64"/>
      <c r="CJ1385" s="63"/>
      <c r="CT1385" s="65"/>
      <c r="CU1385" s="65"/>
      <c r="CV1385" s="65"/>
      <c r="CW1385" s="65"/>
      <c r="CX1385" s="65"/>
      <c r="CY1385" s="65"/>
      <c r="CZ1385" s="65"/>
      <c r="DA1385" s="65"/>
      <c r="DB1385" s="65"/>
      <c r="DC1385" s="63"/>
    </row>
    <row r="1386" spans="1:107" s="57" customFormat="1" x14ac:dyDescent="0.2">
      <c r="A1386" s="55">
        <v>10087</v>
      </c>
      <c r="B1386" s="56">
        <v>14</v>
      </c>
      <c r="C1386" s="56">
        <f t="shared" si="87"/>
        <v>100870014</v>
      </c>
      <c r="D1386" s="57" t="s">
        <v>1810</v>
      </c>
      <c r="E1386" s="58" t="s">
        <v>640</v>
      </c>
      <c r="F1386" s="58"/>
      <c r="G1386" s="58"/>
      <c r="H1386" s="58"/>
      <c r="I1386" s="59" t="s">
        <v>206</v>
      </c>
      <c r="J1386" s="59"/>
      <c r="K1386" s="59"/>
      <c r="L1386" s="59"/>
      <c r="M1386" s="59"/>
      <c r="N1386" s="59" t="s">
        <v>163</v>
      </c>
      <c r="O1386" s="59" t="s">
        <v>163</v>
      </c>
      <c r="P1386" s="59"/>
      <c r="Q1386" s="59" t="s">
        <v>2041</v>
      </c>
      <c r="R1386" s="59"/>
      <c r="S1386" s="59"/>
      <c r="T1386" s="59" t="s">
        <v>2714</v>
      </c>
      <c r="U1386" s="122" t="s">
        <v>3084</v>
      </c>
      <c r="V1386" s="59" t="s">
        <v>109</v>
      </c>
      <c r="W1386" s="59" t="s">
        <v>1</v>
      </c>
      <c r="X1386" s="59"/>
      <c r="Z1386" s="59"/>
      <c r="AA1386" s="59"/>
      <c r="AB1386" s="59"/>
      <c r="AC1386" s="59">
        <v>87</v>
      </c>
      <c r="AD1386" s="59"/>
      <c r="AE1386" s="60"/>
      <c r="AF1386" s="60" t="s">
        <v>2042</v>
      </c>
      <c r="AG1386" s="59"/>
      <c r="AH1386" s="61">
        <v>101875</v>
      </c>
      <c r="AI1386" s="61" t="s">
        <v>266</v>
      </c>
      <c r="AJ1386" s="61"/>
      <c r="AK1386" s="62">
        <v>6350</v>
      </c>
      <c r="AL1386" s="62"/>
      <c r="AM1386" s="63"/>
      <c r="AN1386" s="63"/>
      <c r="AO1386" s="63"/>
      <c r="AP1386" s="63"/>
      <c r="AQ1386" s="63"/>
      <c r="AR1386" s="63"/>
      <c r="AS1386" s="63"/>
      <c r="AT1386" s="63"/>
      <c r="AU1386" s="61"/>
      <c r="AV1386" s="61"/>
      <c r="AW1386" s="61"/>
      <c r="AX1386" s="62"/>
      <c r="AY1386" s="62"/>
      <c r="AZ1386" s="63"/>
      <c r="BA1386" s="63"/>
      <c r="BB1386" s="63"/>
      <c r="BC1386" s="63"/>
      <c r="BD1386" s="63"/>
      <c r="BE1386" s="63"/>
      <c r="BF1386" s="63"/>
      <c r="BG1386" s="63"/>
      <c r="BH1386" s="61"/>
      <c r="BI1386" s="61"/>
      <c r="BJ1386" s="61"/>
      <c r="BK1386" s="62"/>
      <c r="BL1386" s="62"/>
      <c r="BM1386" s="63"/>
      <c r="BN1386" s="63"/>
      <c r="BO1386" s="63"/>
      <c r="BP1386" s="63"/>
      <c r="BQ1386" s="63"/>
      <c r="BR1386" s="63"/>
      <c r="BS1386" s="63"/>
      <c r="BT1386" s="63"/>
      <c r="BU1386" s="61"/>
      <c r="BV1386" s="61"/>
      <c r="BW1386" s="61"/>
      <c r="BX1386" s="62"/>
      <c r="BY1386" s="62"/>
      <c r="BZ1386" s="63"/>
      <c r="CA1386" s="63"/>
      <c r="CB1386" s="63"/>
      <c r="CC1386" s="63"/>
      <c r="CD1386" s="63"/>
      <c r="CE1386" s="63"/>
      <c r="CF1386" s="63"/>
      <c r="CG1386" s="63"/>
      <c r="CH1386" s="64"/>
      <c r="CJ1386" s="63"/>
      <c r="CT1386" s="65"/>
      <c r="CU1386" s="65"/>
      <c r="CV1386" s="65"/>
      <c r="CW1386" s="65"/>
      <c r="CX1386" s="65"/>
      <c r="CY1386" s="65"/>
      <c r="CZ1386" s="65"/>
      <c r="DA1386" s="65"/>
      <c r="DB1386" s="65"/>
      <c r="DC1386" s="63"/>
    </row>
    <row r="1387" spans="1:107" s="57" customFormat="1" x14ac:dyDescent="0.2">
      <c r="A1387" s="55">
        <v>10088</v>
      </c>
      <c r="B1387" s="56">
        <v>10</v>
      </c>
      <c r="C1387" s="56">
        <f t="shared" ref="C1387:C1391" si="93">A1387*10000+B1387</f>
        <v>100880010</v>
      </c>
      <c r="D1387" s="57" t="s">
        <v>4268</v>
      </c>
      <c r="E1387" s="58" t="s">
        <v>640</v>
      </c>
      <c r="F1387" s="58"/>
      <c r="G1387" s="58"/>
      <c r="H1387" s="58"/>
      <c r="I1387" s="59" t="s">
        <v>206</v>
      </c>
      <c r="J1387" s="59"/>
      <c r="K1387" s="59"/>
      <c r="L1387" s="59"/>
      <c r="M1387" s="59"/>
      <c r="N1387" s="59" t="s">
        <v>163</v>
      </c>
      <c r="O1387" s="59" t="s">
        <v>163</v>
      </c>
      <c r="P1387" s="59"/>
      <c r="Q1387" s="59" t="s">
        <v>2041</v>
      </c>
      <c r="R1387" s="59"/>
      <c r="S1387" s="59"/>
      <c r="T1387" s="59" t="s">
        <v>2714</v>
      </c>
      <c r="U1387" s="122" t="s">
        <v>4269</v>
      </c>
      <c r="V1387" s="59" t="s">
        <v>109</v>
      </c>
      <c r="W1387" s="59" t="s">
        <v>1</v>
      </c>
      <c r="X1387" s="59"/>
      <c r="Z1387" s="59"/>
      <c r="AA1387" s="59"/>
      <c r="AB1387" s="59"/>
      <c r="AC1387" s="59">
        <v>88</v>
      </c>
      <c r="AD1387" s="59"/>
      <c r="AE1387" s="60"/>
      <c r="AF1387" s="60" t="s">
        <v>2042</v>
      </c>
      <c r="AG1387" s="59"/>
      <c r="AH1387" s="61">
        <v>101881</v>
      </c>
      <c r="AI1387" s="61" t="s">
        <v>176</v>
      </c>
      <c r="AJ1387" s="61"/>
      <c r="AK1387" s="62" t="s">
        <v>635</v>
      </c>
      <c r="AL1387" s="62"/>
      <c r="AM1387" s="63"/>
      <c r="AN1387" s="63"/>
      <c r="AO1387" s="63"/>
      <c r="AP1387" s="63"/>
      <c r="AQ1387" s="63"/>
      <c r="AR1387" s="63"/>
      <c r="AS1387" s="63"/>
      <c r="AT1387" s="63"/>
      <c r="AU1387" s="61"/>
      <c r="AV1387" s="61"/>
      <c r="AW1387" s="61"/>
      <c r="AX1387" s="62"/>
      <c r="AY1387" s="62"/>
      <c r="AZ1387" s="63"/>
      <c r="BA1387" s="63"/>
      <c r="BB1387" s="63"/>
      <c r="BC1387" s="63"/>
      <c r="BD1387" s="63"/>
      <c r="BE1387" s="63"/>
      <c r="BF1387" s="63"/>
      <c r="BG1387" s="63"/>
      <c r="BH1387" s="61"/>
      <c r="BI1387" s="61"/>
      <c r="BJ1387" s="61"/>
      <c r="BK1387" s="62"/>
      <c r="BL1387" s="62"/>
      <c r="BM1387" s="63"/>
      <c r="BN1387" s="63"/>
      <c r="BO1387" s="63"/>
      <c r="BP1387" s="63"/>
      <c r="BQ1387" s="63"/>
      <c r="BR1387" s="63"/>
      <c r="BS1387" s="63"/>
      <c r="BT1387" s="63"/>
      <c r="BU1387" s="61"/>
      <c r="BV1387" s="61"/>
      <c r="BW1387" s="61"/>
      <c r="BX1387" s="62"/>
      <c r="BY1387" s="62"/>
      <c r="BZ1387" s="63"/>
      <c r="CA1387" s="63"/>
      <c r="CB1387" s="63"/>
      <c r="CC1387" s="63"/>
      <c r="CD1387" s="63"/>
      <c r="CE1387" s="63"/>
      <c r="CF1387" s="63"/>
      <c r="CG1387" s="63"/>
      <c r="CH1387" s="64"/>
      <c r="CJ1387" s="63"/>
      <c r="CT1387" s="65"/>
      <c r="CU1387" s="65"/>
      <c r="CV1387" s="65"/>
      <c r="CW1387" s="65"/>
      <c r="CX1387" s="65"/>
      <c r="CY1387" s="65"/>
      <c r="CZ1387" s="65"/>
      <c r="DA1387" s="65"/>
      <c r="DB1387" s="65"/>
      <c r="DC1387" s="63"/>
    </row>
    <row r="1388" spans="1:107" s="57" customFormat="1" x14ac:dyDescent="0.2">
      <c r="A1388" s="55">
        <v>10088</v>
      </c>
      <c r="B1388" s="56">
        <v>11</v>
      </c>
      <c r="C1388" s="56">
        <f t="shared" si="93"/>
        <v>100880011</v>
      </c>
      <c r="D1388" s="57" t="s">
        <v>4268</v>
      </c>
      <c r="E1388" s="58" t="s">
        <v>640</v>
      </c>
      <c r="F1388" s="58"/>
      <c r="G1388" s="58"/>
      <c r="H1388" s="58"/>
      <c r="I1388" s="59" t="s">
        <v>206</v>
      </c>
      <c r="J1388" s="59"/>
      <c r="K1388" s="59"/>
      <c r="L1388" s="59"/>
      <c r="M1388" s="59"/>
      <c r="N1388" s="59" t="s">
        <v>163</v>
      </c>
      <c r="O1388" s="59" t="s">
        <v>163</v>
      </c>
      <c r="P1388" s="59"/>
      <c r="Q1388" s="59" t="s">
        <v>2041</v>
      </c>
      <c r="R1388" s="59"/>
      <c r="S1388" s="59"/>
      <c r="T1388" s="59" t="s">
        <v>2714</v>
      </c>
      <c r="U1388" s="122" t="s">
        <v>4270</v>
      </c>
      <c r="V1388" s="59" t="s">
        <v>109</v>
      </c>
      <c r="W1388" s="59" t="s">
        <v>1</v>
      </c>
      <c r="X1388" s="59"/>
      <c r="Z1388" s="59"/>
      <c r="AA1388" s="59"/>
      <c r="AB1388" s="59"/>
      <c r="AC1388" s="59">
        <v>88</v>
      </c>
      <c r="AD1388" s="59"/>
      <c r="AE1388" s="60"/>
      <c r="AF1388" s="60" t="s">
        <v>2042</v>
      </c>
      <c r="AG1388" s="59"/>
      <c r="AH1388" s="61">
        <v>101882</v>
      </c>
      <c r="AI1388" s="61" t="s">
        <v>260</v>
      </c>
      <c r="AJ1388" s="61"/>
      <c r="AK1388" s="62" t="s">
        <v>636</v>
      </c>
      <c r="AL1388" s="62"/>
      <c r="AM1388" s="63"/>
      <c r="AN1388" s="63"/>
      <c r="AO1388" s="63"/>
      <c r="AP1388" s="63"/>
      <c r="AQ1388" s="63"/>
      <c r="AR1388" s="63"/>
      <c r="AS1388" s="63"/>
      <c r="AT1388" s="63"/>
      <c r="AU1388" s="61"/>
      <c r="AV1388" s="61"/>
      <c r="AW1388" s="61"/>
      <c r="AX1388" s="62"/>
      <c r="AY1388" s="62"/>
      <c r="AZ1388" s="63"/>
      <c r="BA1388" s="63"/>
      <c r="BB1388" s="63"/>
      <c r="BC1388" s="63"/>
      <c r="BD1388" s="63"/>
      <c r="BE1388" s="63"/>
      <c r="BF1388" s="63"/>
      <c r="BG1388" s="63"/>
      <c r="BH1388" s="61"/>
      <c r="BI1388" s="61"/>
      <c r="BJ1388" s="61"/>
      <c r="BK1388" s="62"/>
      <c r="BL1388" s="62"/>
      <c r="BM1388" s="63"/>
      <c r="BN1388" s="63"/>
      <c r="BO1388" s="63"/>
      <c r="BP1388" s="63"/>
      <c r="BQ1388" s="63"/>
      <c r="BR1388" s="63"/>
      <c r="BS1388" s="63"/>
      <c r="BT1388" s="63"/>
      <c r="BU1388" s="61"/>
      <c r="BV1388" s="61"/>
      <c r="BW1388" s="61"/>
      <c r="BX1388" s="62"/>
      <c r="BY1388" s="62"/>
      <c r="BZ1388" s="63"/>
      <c r="CA1388" s="63"/>
      <c r="CB1388" s="63"/>
      <c r="CC1388" s="63"/>
      <c r="CD1388" s="63"/>
      <c r="CE1388" s="63"/>
      <c r="CF1388" s="63"/>
      <c r="CG1388" s="63"/>
      <c r="CH1388" s="64"/>
      <c r="CJ1388" s="63"/>
      <c r="CT1388" s="65"/>
      <c r="CU1388" s="65"/>
      <c r="CV1388" s="65"/>
      <c r="CW1388" s="65"/>
      <c r="CX1388" s="65"/>
      <c r="CY1388" s="65"/>
      <c r="CZ1388" s="65"/>
      <c r="DA1388" s="65"/>
      <c r="DB1388" s="65"/>
      <c r="DC1388" s="63"/>
    </row>
    <row r="1389" spans="1:107" s="57" customFormat="1" x14ac:dyDescent="0.2">
      <c r="A1389" s="55">
        <v>10088</v>
      </c>
      <c r="B1389" s="56">
        <v>12</v>
      </c>
      <c r="C1389" s="56">
        <f t="shared" si="93"/>
        <v>100880012</v>
      </c>
      <c r="D1389" s="57" t="s">
        <v>4268</v>
      </c>
      <c r="E1389" s="58" t="s">
        <v>640</v>
      </c>
      <c r="F1389" s="58"/>
      <c r="G1389" s="58"/>
      <c r="H1389" s="58"/>
      <c r="I1389" s="59" t="s">
        <v>206</v>
      </c>
      <c r="J1389" s="59"/>
      <c r="K1389" s="59"/>
      <c r="L1389" s="59"/>
      <c r="M1389" s="59"/>
      <c r="N1389" s="59" t="s">
        <v>163</v>
      </c>
      <c r="O1389" s="59" t="s">
        <v>163</v>
      </c>
      <c r="P1389" s="59"/>
      <c r="Q1389" s="59" t="s">
        <v>2041</v>
      </c>
      <c r="R1389" s="59"/>
      <c r="S1389" s="59"/>
      <c r="T1389" s="59" t="s">
        <v>2714</v>
      </c>
      <c r="U1389" s="122" t="s">
        <v>4271</v>
      </c>
      <c r="V1389" s="59" t="s">
        <v>109</v>
      </c>
      <c r="W1389" s="59" t="s">
        <v>1</v>
      </c>
      <c r="X1389" s="59"/>
      <c r="Z1389" s="59"/>
      <c r="AA1389" s="59"/>
      <c r="AB1389" s="59"/>
      <c r="AC1389" s="59">
        <v>88</v>
      </c>
      <c r="AD1389" s="59"/>
      <c r="AE1389" s="60"/>
      <c r="AF1389" s="60" t="s">
        <v>2042</v>
      </c>
      <c r="AG1389" s="59"/>
      <c r="AH1389" s="61">
        <v>101883</v>
      </c>
      <c r="AI1389" s="61" t="s">
        <v>264</v>
      </c>
      <c r="AJ1389" s="61"/>
      <c r="AK1389" s="62" t="s">
        <v>637</v>
      </c>
      <c r="AL1389" s="62"/>
      <c r="AM1389" s="63"/>
      <c r="AN1389" s="63"/>
      <c r="AO1389" s="63"/>
      <c r="AP1389" s="63"/>
      <c r="AQ1389" s="63"/>
      <c r="AR1389" s="63"/>
      <c r="AS1389" s="63"/>
      <c r="AT1389" s="63"/>
      <c r="AU1389" s="61"/>
      <c r="AV1389" s="61"/>
      <c r="AW1389" s="61"/>
      <c r="AX1389" s="62"/>
      <c r="AY1389" s="62"/>
      <c r="AZ1389" s="63"/>
      <c r="BA1389" s="63"/>
      <c r="BB1389" s="63"/>
      <c r="BC1389" s="63"/>
      <c r="BD1389" s="63"/>
      <c r="BE1389" s="63"/>
      <c r="BF1389" s="63"/>
      <c r="BG1389" s="63"/>
      <c r="BH1389" s="61"/>
      <c r="BI1389" s="61"/>
      <c r="BJ1389" s="61"/>
      <c r="BK1389" s="62"/>
      <c r="BL1389" s="62"/>
      <c r="BM1389" s="63"/>
      <c r="BN1389" s="63"/>
      <c r="BO1389" s="63"/>
      <c r="BP1389" s="63"/>
      <c r="BQ1389" s="63"/>
      <c r="BR1389" s="63"/>
      <c r="BS1389" s="63"/>
      <c r="BT1389" s="63"/>
      <c r="BU1389" s="61"/>
      <c r="BV1389" s="61"/>
      <c r="BW1389" s="61"/>
      <c r="BX1389" s="62"/>
      <c r="BY1389" s="62"/>
      <c r="BZ1389" s="63"/>
      <c r="CA1389" s="63"/>
      <c r="CB1389" s="63"/>
      <c r="CC1389" s="63"/>
      <c r="CD1389" s="63"/>
      <c r="CE1389" s="63"/>
      <c r="CF1389" s="63"/>
      <c r="CG1389" s="63"/>
      <c r="CH1389" s="64"/>
      <c r="CJ1389" s="63"/>
      <c r="CT1389" s="65"/>
      <c r="CU1389" s="65"/>
      <c r="CV1389" s="65"/>
      <c r="CW1389" s="65"/>
      <c r="CX1389" s="65"/>
      <c r="CY1389" s="65"/>
      <c r="CZ1389" s="65"/>
      <c r="DA1389" s="65"/>
      <c r="DB1389" s="65"/>
      <c r="DC1389" s="63"/>
    </row>
    <row r="1390" spans="1:107" s="57" customFormat="1" x14ac:dyDescent="0.2">
      <c r="A1390" s="55">
        <v>10088</v>
      </c>
      <c r="B1390" s="56">
        <v>13</v>
      </c>
      <c r="C1390" s="56">
        <f t="shared" si="93"/>
        <v>100880013</v>
      </c>
      <c r="D1390" s="57" t="s">
        <v>4268</v>
      </c>
      <c r="E1390" s="58" t="s">
        <v>640</v>
      </c>
      <c r="F1390" s="58"/>
      <c r="G1390" s="58"/>
      <c r="H1390" s="58"/>
      <c r="I1390" s="59" t="s">
        <v>206</v>
      </c>
      <c r="J1390" s="59"/>
      <c r="K1390" s="59"/>
      <c r="L1390" s="59"/>
      <c r="M1390" s="59"/>
      <c r="N1390" s="59" t="s">
        <v>163</v>
      </c>
      <c r="O1390" s="59" t="s">
        <v>163</v>
      </c>
      <c r="P1390" s="59"/>
      <c r="Q1390" s="59" t="s">
        <v>2041</v>
      </c>
      <c r="R1390" s="59"/>
      <c r="S1390" s="59"/>
      <c r="T1390" s="59" t="s">
        <v>2714</v>
      </c>
      <c r="U1390" s="122" t="s">
        <v>4272</v>
      </c>
      <c r="V1390" s="59" t="s">
        <v>109</v>
      </c>
      <c r="W1390" s="59" t="s">
        <v>1</v>
      </c>
      <c r="X1390" s="59"/>
      <c r="Z1390" s="59"/>
      <c r="AA1390" s="59"/>
      <c r="AB1390" s="59"/>
      <c r="AC1390" s="59">
        <v>88</v>
      </c>
      <c r="AD1390" s="59"/>
      <c r="AE1390" s="60"/>
      <c r="AF1390" s="60" t="s">
        <v>2042</v>
      </c>
      <c r="AG1390" s="59"/>
      <c r="AH1390" s="61">
        <v>101884</v>
      </c>
      <c r="AI1390" s="61" t="s">
        <v>265</v>
      </c>
      <c r="AJ1390" s="61"/>
      <c r="AK1390" s="62" t="s">
        <v>638</v>
      </c>
      <c r="AL1390" s="62"/>
      <c r="AM1390" s="63"/>
      <c r="AN1390" s="63"/>
      <c r="AO1390" s="63"/>
      <c r="AP1390" s="63"/>
      <c r="AQ1390" s="63"/>
      <c r="AR1390" s="63"/>
      <c r="AS1390" s="63"/>
      <c r="AT1390" s="63"/>
      <c r="AU1390" s="61"/>
      <c r="AV1390" s="61"/>
      <c r="AW1390" s="61"/>
      <c r="AX1390" s="62"/>
      <c r="AY1390" s="62"/>
      <c r="AZ1390" s="63"/>
      <c r="BA1390" s="63"/>
      <c r="BB1390" s="63"/>
      <c r="BC1390" s="63"/>
      <c r="BD1390" s="63"/>
      <c r="BE1390" s="63"/>
      <c r="BF1390" s="63"/>
      <c r="BG1390" s="63"/>
      <c r="BH1390" s="61"/>
      <c r="BI1390" s="61"/>
      <c r="BJ1390" s="61"/>
      <c r="BK1390" s="62"/>
      <c r="BL1390" s="62"/>
      <c r="BM1390" s="63"/>
      <c r="BN1390" s="63"/>
      <c r="BO1390" s="63"/>
      <c r="BP1390" s="63"/>
      <c r="BQ1390" s="63"/>
      <c r="BR1390" s="63"/>
      <c r="BS1390" s="63"/>
      <c r="BT1390" s="63"/>
      <c r="BU1390" s="61"/>
      <c r="BV1390" s="61"/>
      <c r="BW1390" s="61"/>
      <c r="BX1390" s="62"/>
      <c r="BY1390" s="62"/>
      <c r="BZ1390" s="63"/>
      <c r="CA1390" s="63"/>
      <c r="CB1390" s="63"/>
      <c r="CC1390" s="63"/>
      <c r="CD1390" s="63"/>
      <c r="CE1390" s="63"/>
      <c r="CF1390" s="63"/>
      <c r="CG1390" s="63"/>
      <c r="CH1390" s="64"/>
      <c r="CJ1390" s="63"/>
      <c r="CT1390" s="65"/>
      <c r="CU1390" s="65"/>
      <c r="CV1390" s="65"/>
      <c r="CW1390" s="65"/>
      <c r="CX1390" s="65"/>
      <c r="CY1390" s="65"/>
      <c r="CZ1390" s="65"/>
      <c r="DA1390" s="65"/>
      <c r="DB1390" s="65"/>
      <c r="DC1390" s="63"/>
    </row>
    <row r="1391" spans="1:107" s="57" customFormat="1" x14ac:dyDescent="0.2">
      <c r="A1391" s="55">
        <v>10088</v>
      </c>
      <c r="B1391" s="56">
        <v>14</v>
      </c>
      <c r="C1391" s="56">
        <f t="shared" si="93"/>
        <v>100880014</v>
      </c>
      <c r="D1391" s="57" t="s">
        <v>4268</v>
      </c>
      <c r="E1391" s="58" t="s">
        <v>640</v>
      </c>
      <c r="F1391" s="58"/>
      <c r="G1391" s="58"/>
      <c r="H1391" s="58"/>
      <c r="I1391" s="59" t="s">
        <v>206</v>
      </c>
      <c r="J1391" s="59"/>
      <c r="K1391" s="59"/>
      <c r="L1391" s="59"/>
      <c r="M1391" s="59"/>
      <c r="N1391" s="59" t="s">
        <v>163</v>
      </c>
      <c r="O1391" s="59" t="s">
        <v>163</v>
      </c>
      <c r="P1391" s="59"/>
      <c r="Q1391" s="59" t="s">
        <v>2041</v>
      </c>
      <c r="R1391" s="59"/>
      <c r="S1391" s="59"/>
      <c r="T1391" s="59" t="s">
        <v>2714</v>
      </c>
      <c r="U1391" s="122" t="s">
        <v>4273</v>
      </c>
      <c r="V1391" s="59" t="s">
        <v>109</v>
      </c>
      <c r="W1391" s="59" t="s">
        <v>1</v>
      </c>
      <c r="X1391" s="59"/>
      <c r="Z1391" s="59"/>
      <c r="AA1391" s="59"/>
      <c r="AB1391" s="59"/>
      <c r="AC1391" s="59">
        <v>88</v>
      </c>
      <c r="AD1391" s="59"/>
      <c r="AE1391" s="60"/>
      <c r="AF1391" s="60" t="s">
        <v>2042</v>
      </c>
      <c r="AG1391" s="59"/>
      <c r="AH1391" s="61">
        <v>101885</v>
      </c>
      <c r="AI1391" s="61" t="s">
        <v>266</v>
      </c>
      <c r="AJ1391" s="61"/>
      <c r="AK1391" s="62">
        <v>6350</v>
      </c>
      <c r="AL1391" s="62"/>
      <c r="AM1391" s="63"/>
      <c r="AN1391" s="63"/>
      <c r="AO1391" s="63"/>
      <c r="AP1391" s="63"/>
      <c r="AQ1391" s="63"/>
      <c r="AR1391" s="63"/>
      <c r="AS1391" s="63"/>
      <c r="AT1391" s="63"/>
      <c r="AU1391" s="61"/>
      <c r="AV1391" s="61"/>
      <c r="AW1391" s="61"/>
      <c r="AX1391" s="62"/>
      <c r="AY1391" s="62"/>
      <c r="AZ1391" s="63"/>
      <c r="BA1391" s="63"/>
      <c r="BB1391" s="63"/>
      <c r="BC1391" s="63"/>
      <c r="BD1391" s="63"/>
      <c r="BE1391" s="63"/>
      <c r="BF1391" s="63"/>
      <c r="BG1391" s="63"/>
      <c r="BH1391" s="61"/>
      <c r="BI1391" s="61"/>
      <c r="BJ1391" s="61"/>
      <c r="BK1391" s="62"/>
      <c r="BL1391" s="62"/>
      <c r="BM1391" s="63"/>
      <c r="BN1391" s="63"/>
      <c r="BO1391" s="63"/>
      <c r="BP1391" s="63"/>
      <c r="BQ1391" s="63"/>
      <c r="BR1391" s="63"/>
      <c r="BS1391" s="63"/>
      <c r="BT1391" s="63"/>
      <c r="BU1391" s="61"/>
      <c r="BV1391" s="61"/>
      <c r="BW1391" s="61"/>
      <c r="BX1391" s="62"/>
      <c r="BY1391" s="62"/>
      <c r="BZ1391" s="63"/>
      <c r="CA1391" s="63"/>
      <c r="CB1391" s="63"/>
      <c r="CC1391" s="63"/>
      <c r="CD1391" s="63"/>
      <c r="CE1391" s="63"/>
      <c r="CF1391" s="63"/>
      <c r="CG1391" s="63"/>
      <c r="CH1391" s="64"/>
      <c r="CJ1391" s="63"/>
      <c r="CT1391" s="65"/>
      <c r="CU1391" s="65"/>
      <c r="CV1391" s="65"/>
      <c r="CW1391" s="65"/>
      <c r="CX1391" s="65"/>
      <c r="CY1391" s="65"/>
      <c r="CZ1391" s="65"/>
      <c r="DA1391" s="65"/>
      <c r="DB1391" s="65"/>
      <c r="DC1391" s="63"/>
    </row>
    <row r="1392" spans="1:107" s="57" customFormat="1" x14ac:dyDescent="0.2">
      <c r="A1392" s="55">
        <v>10089</v>
      </c>
      <c r="B1392" s="56">
        <v>10</v>
      </c>
      <c r="C1392" s="56">
        <f t="shared" ref="C1392:C1396" si="94">A1392*10000+B1392</f>
        <v>100890010</v>
      </c>
      <c r="D1392" s="57" t="s">
        <v>4274</v>
      </c>
      <c r="E1392" s="58" t="s">
        <v>640</v>
      </c>
      <c r="F1392" s="58"/>
      <c r="G1392" s="58"/>
      <c r="H1392" s="58"/>
      <c r="I1392" s="59" t="s">
        <v>206</v>
      </c>
      <c r="J1392" s="59"/>
      <c r="K1392" s="59"/>
      <c r="L1392" s="59"/>
      <c r="M1392" s="59"/>
      <c r="N1392" s="59" t="s">
        <v>163</v>
      </c>
      <c r="O1392" s="59" t="s">
        <v>163</v>
      </c>
      <c r="P1392" s="59"/>
      <c r="Q1392" s="59" t="s">
        <v>2041</v>
      </c>
      <c r="R1392" s="59"/>
      <c r="S1392" s="59"/>
      <c r="T1392" s="59" t="s">
        <v>2714</v>
      </c>
      <c r="U1392" s="122" t="s">
        <v>4275</v>
      </c>
      <c r="V1392" s="59" t="s">
        <v>109</v>
      </c>
      <c r="W1392" s="59" t="s">
        <v>1</v>
      </c>
      <c r="X1392" s="59"/>
      <c r="Z1392" s="59"/>
      <c r="AA1392" s="59"/>
      <c r="AB1392" s="59"/>
      <c r="AC1392" s="59">
        <v>89</v>
      </c>
      <c r="AD1392" s="59"/>
      <c r="AE1392" s="60"/>
      <c r="AF1392" s="60" t="s">
        <v>2042</v>
      </c>
      <c r="AG1392" s="59"/>
      <c r="AH1392" s="61">
        <v>101891</v>
      </c>
      <c r="AI1392" s="61" t="s">
        <v>176</v>
      </c>
      <c r="AJ1392" s="61"/>
      <c r="AK1392" s="62" t="s">
        <v>635</v>
      </c>
      <c r="AL1392" s="62"/>
      <c r="AM1392" s="63"/>
      <c r="AN1392" s="63"/>
      <c r="AO1392" s="63"/>
      <c r="AP1392" s="63"/>
      <c r="AQ1392" s="63"/>
      <c r="AR1392" s="63"/>
      <c r="AS1392" s="63"/>
      <c r="AT1392" s="63"/>
      <c r="AU1392" s="61"/>
      <c r="AV1392" s="61"/>
      <c r="AW1392" s="61"/>
      <c r="AX1392" s="62"/>
      <c r="AY1392" s="62"/>
      <c r="AZ1392" s="63"/>
      <c r="BA1392" s="63"/>
      <c r="BB1392" s="63"/>
      <c r="BC1392" s="63"/>
      <c r="BD1392" s="63"/>
      <c r="BE1392" s="63"/>
      <c r="BF1392" s="63"/>
      <c r="BG1392" s="63"/>
      <c r="BH1392" s="61"/>
      <c r="BI1392" s="61"/>
      <c r="BJ1392" s="61"/>
      <c r="BK1392" s="62"/>
      <c r="BL1392" s="62"/>
      <c r="BM1392" s="63"/>
      <c r="BN1392" s="63"/>
      <c r="BO1392" s="63"/>
      <c r="BP1392" s="63"/>
      <c r="BQ1392" s="63"/>
      <c r="BR1392" s="63"/>
      <c r="BS1392" s="63"/>
      <c r="BT1392" s="63"/>
      <c r="BU1392" s="61"/>
      <c r="BV1392" s="61"/>
      <c r="BW1392" s="61"/>
      <c r="BX1392" s="62"/>
      <c r="BY1392" s="62"/>
      <c r="BZ1392" s="63"/>
      <c r="CA1392" s="63"/>
      <c r="CB1392" s="63"/>
      <c r="CC1392" s="63"/>
      <c r="CD1392" s="63"/>
      <c r="CE1392" s="63"/>
      <c r="CF1392" s="63"/>
      <c r="CG1392" s="63"/>
      <c r="CH1392" s="64"/>
      <c r="CJ1392" s="63"/>
      <c r="CT1392" s="65"/>
      <c r="CU1392" s="65"/>
      <c r="CV1392" s="65"/>
      <c r="CW1392" s="65"/>
      <c r="CX1392" s="65"/>
      <c r="CY1392" s="65"/>
      <c r="CZ1392" s="65"/>
      <c r="DA1392" s="65"/>
      <c r="DB1392" s="65"/>
      <c r="DC1392" s="63"/>
    </row>
    <row r="1393" spans="1:107" s="57" customFormat="1" x14ac:dyDescent="0.2">
      <c r="A1393" s="55">
        <v>10089</v>
      </c>
      <c r="B1393" s="56">
        <v>11</v>
      </c>
      <c r="C1393" s="56">
        <f t="shared" si="94"/>
        <v>100890011</v>
      </c>
      <c r="D1393" s="57" t="s">
        <v>4274</v>
      </c>
      <c r="E1393" s="58" t="s">
        <v>640</v>
      </c>
      <c r="F1393" s="58"/>
      <c r="G1393" s="58"/>
      <c r="H1393" s="58"/>
      <c r="I1393" s="59" t="s">
        <v>206</v>
      </c>
      <c r="J1393" s="59"/>
      <c r="K1393" s="59"/>
      <c r="L1393" s="59"/>
      <c r="M1393" s="59"/>
      <c r="N1393" s="59" t="s">
        <v>163</v>
      </c>
      <c r="O1393" s="59" t="s">
        <v>163</v>
      </c>
      <c r="P1393" s="59"/>
      <c r="Q1393" s="59" t="s">
        <v>2041</v>
      </c>
      <c r="R1393" s="59"/>
      <c r="S1393" s="59"/>
      <c r="T1393" s="59" t="s">
        <v>2714</v>
      </c>
      <c r="U1393" s="122" t="s">
        <v>4276</v>
      </c>
      <c r="V1393" s="59" t="s">
        <v>109</v>
      </c>
      <c r="W1393" s="59" t="s">
        <v>1</v>
      </c>
      <c r="X1393" s="59"/>
      <c r="Z1393" s="59"/>
      <c r="AA1393" s="59"/>
      <c r="AB1393" s="59"/>
      <c r="AC1393" s="59">
        <v>89</v>
      </c>
      <c r="AD1393" s="59"/>
      <c r="AE1393" s="60"/>
      <c r="AF1393" s="60" t="s">
        <v>2042</v>
      </c>
      <c r="AG1393" s="59"/>
      <c r="AH1393" s="61">
        <v>101892</v>
      </c>
      <c r="AI1393" s="61" t="s">
        <v>260</v>
      </c>
      <c r="AJ1393" s="61"/>
      <c r="AK1393" s="62" t="s">
        <v>636</v>
      </c>
      <c r="AL1393" s="62"/>
      <c r="AM1393" s="63"/>
      <c r="AN1393" s="63"/>
      <c r="AO1393" s="63"/>
      <c r="AP1393" s="63"/>
      <c r="AQ1393" s="63"/>
      <c r="AR1393" s="63"/>
      <c r="AS1393" s="63"/>
      <c r="AT1393" s="63"/>
      <c r="AU1393" s="61"/>
      <c r="AV1393" s="61"/>
      <c r="AW1393" s="61"/>
      <c r="AX1393" s="62"/>
      <c r="AY1393" s="62"/>
      <c r="AZ1393" s="63"/>
      <c r="BA1393" s="63"/>
      <c r="BB1393" s="63"/>
      <c r="BC1393" s="63"/>
      <c r="BD1393" s="63"/>
      <c r="BE1393" s="63"/>
      <c r="BF1393" s="63"/>
      <c r="BG1393" s="63"/>
      <c r="BH1393" s="61"/>
      <c r="BI1393" s="61"/>
      <c r="BJ1393" s="61"/>
      <c r="BK1393" s="62"/>
      <c r="BL1393" s="62"/>
      <c r="BM1393" s="63"/>
      <c r="BN1393" s="63"/>
      <c r="BO1393" s="63"/>
      <c r="BP1393" s="63"/>
      <c r="BQ1393" s="63"/>
      <c r="BR1393" s="63"/>
      <c r="BS1393" s="63"/>
      <c r="BT1393" s="63"/>
      <c r="BU1393" s="61"/>
      <c r="BV1393" s="61"/>
      <c r="BW1393" s="61"/>
      <c r="BX1393" s="62"/>
      <c r="BY1393" s="62"/>
      <c r="BZ1393" s="63"/>
      <c r="CA1393" s="63"/>
      <c r="CB1393" s="63"/>
      <c r="CC1393" s="63"/>
      <c r="CD1393" s="63"/>
      <c r="CE1393" s="63"/>
      <c r="CF1393" s="63"/>
      <c r="CG1393" s="63"/>
      <c r="CH1393" s="64"/>
      <c r="CJ1393" s="63"/>
      <c r="CT1393" s="65"/>
      <c r="CU1393" s="65"/>
      <c r="CV1393" s="65"/>
      <c r="CW1393" s="65"/>
      <c r="CX1393" s="65"/>
      <c r="CY1393" s="65"/>
      <c r="CZ1393" s="65"/>
      <c r="DA1393" s="65"/>
      <c r="DB1393" s="65"/>
      <c r="DC1393" s="63"/>
    </row>
    <row r="1394" spans="1:107" s="57" customFormat="1" x14ac:dyDescent="0.2">
      <c r="A1394" s="55">
        <v>10089</v>
      </c>
      <c r="B1394" s="56">
        <v>12</v>
      </c>
      <c r="C1394" s="56">
        <f t="shared" si="94"/>
        <v>100890012</v>
      </c>
      <c r="D1394" s="57" t="s">
        <v>4274</v>
      </c>
      <c r="E1394" s="58" t="s">
        <v>640</v>
      </c>
      <c r="F1394" s="58"/>
      <c r="G1394" s="58"/>
      <c r="H1394" s="58"/>
      <c r="I1394" s="59" t="s">
        <v>206</v>
      </c>
      <c r="J1394" s="59"/>
      <c r="K1394" s="59"/>
      <c r="L1394" s="59"/>
      <c r="M1394" s="59"/>
      <c r="N1394" s="59" t="s">
        <v>163</v>
      </c>
      <c r="O1394" s="59" t="s">
        <v>163</v>
      </c>
      <c r="P1394" s="59"/>
      <c r="Q1394" s="59" t="s">
        <v>2041</v>
      </c>
      <c r="R1394" s="59"/>
      <c r="S1394" s="59"/>
      <c r="T1394" s="59" t="s">
        <v>2714</v>
      </c>
      <c r="U1394" s="122" t="s">
        <v>4277</v>
      </c>
      <c r="V1394" s="59" t="s">
        <v>109</v>
      </c>
      <c r="W1394" s="59" t="s">
        <v>1</v>
      </c>
      <c r="X1394" s="59"/>
      <c r="Z1394" s="59"/>
      <c r="AA1394" s="59"/>
      <c r="AB1394" s="59"/>
      <c r="AC1394" s="59">
        <v>89</v>
      </c>
      <c r="AD1394" s="59"/>
      <c r="AE1394" s="60"/>
      <c r="AF1394" s="60" t="s">
        <v>2042</v>
      </c>
      <c r="AG1394" s="59"/>
      <c r="AH1394" s="61">
        <v>101893</v>
      </c>
      <c r="AI1394" s="61" t="s">
        <v>264</v>
      </c>
      <c r="AJ1394" s="61"/>
      <c r="AK1394" s="62" t="s">
        <v>637</v>
      </c>
      <c r="AL1394" s="62"/>
      <c r="AM1394" s="63"/>
      <c r="AN1394" s="63"/>
      <c r="AO1394" s="63"/>
      <c r="AP1394" s="63"/>
      <c r="AQ1394" s="63"/>
      <c r="AR1394" s="63"/>
      <c r="AS1394" s="63"/>
      <c r="AT1394" s="63"/>
      <c r="AU1394" s="61"/>
      <c r="AV1394" s="61"/>
      <c r="AW1394" s="61"/>
      <c r="AX1394" s="62"/>
      <c r="AY1394" s="62"/>
      <c r="AZ1394" s="63"/>
      <c r="BA1394" s="63"/>
      <c r="BB1394" s="63"/>
      <c r="BC1394" s="63"/>
      <c r="BD1394" s="63"/>
      <c r="BE1394" s="63"/>
      <c r="BF1394" s="63"/>
      <c r="BG1394" s="63"/>
      <c r="BH1394" s="61"/>
      <c r="BI1394" s="61"/>
      <c r="BJ1394" s="61"/>
      <c r="BK1394" s="62"/>
      <c r="BL1394" s="62"/>
      <c r="BM1394" s="63"/>
      <c r="BN1394" s="63"/>
      <c r="BO1394" s="63"/>
      <c r="BP1394" s="63"/>
      <c r="BQ1394" s="63"/>
      <c r="BR1394" s="63"/>
      <c r="BS1394" s="63"/>
      <c r="BT1394" s="63"/>
      <c r="BU1394" s="61"/>
      <c r="BV1394" s="61"/>
      <c r="BW1394" s="61"/>
      <c r="BX1394" s="62"/>
      <c r="BY1394" s="62"/>
      <c r="BZ1394" s="63"/>
      <c r="CA1394" s="63"/>
      <c r="CB1394" s="63"/>
      <c r="CC1394" s="63"/>
      <c r="CD1394" s="63"/>
      <c r="CE1394" s="63"/>
      <c r="CF1394" s="63"/>
      <c r="CG1394" s="63"/>
      <c r="CH1394" s="64"/>
      <c r="CJ1394" s="63"/>
      <c r="CT1394" s="65"/>
      <c r="CU1394" s="65"/>
      <c r="CV1394" s="65"/>
      <c r="CW1394" s="65"/>
      <c r="CX1394" s="65"/>
      <c r="CY1394" s="65"/>
      <c r="CZ1394" s="65"/>
      <c r="DA1394" s="65"/>
      <c r="DB1394" s="65"/>
      <c r="DC1394" s="63"/>
    </row>
    <row r="1395" spans="1:107" s="57" customFormat="1" x14ac:dyDescent="0.2">
      <c r="A1395" s="55">
        <v>10089</v>
      </c>
      <c r="B1395" s="56">
        <v>13</v>
      </c>
      <c r="C1395" s="56">
        <f t="shared" si="94"/>
        <v>100890013</v>
      </c>
      <c r="D1395" s="57" t="s">
        <v>4274</v>
      </c>
      <c r="E1395" s="58" t="s">
        <v>640</v>
      </c>
      <c r="F1395" s="58"/>
      <c r="G1395" s="58"/>
      <c r="H1395" s="58"/>
      <c r="I1395" s="59" t="s">
        <v>206</v>
      </c>
      <c r="J1395" s="59"/>
      <c r="K1395" s="59"/>
      <c r="L1395" s="59"/>
      <c r="M1395" s="59"/>
      <c r="N1395" s="59" t="s">
        <v>163</v>
      </c>
      <c r="O1395" s="59" t="s">
        <v>163</v>
      </c>
      <c r="P1395" s="59"/>
      <c r="Q1395" s="59" t="s">
        <v>2041</v>
      </c>
      <c r="R1395" s="59"/>
      <c r="S1395" s="59"/>
      <c r="T1395" s="59" t="s">
        <v>2714</v>
      </c>
      <c r="U1395" s="122" t="s">
        <v>4278</v>
      </c>
      <c r="V1395" s="59" t="s">
        <v>109</v>
      </c>
      <c r="W1395" s="59" t="s">
        <v>1</v>
      </c>
      <c r="X1395" s="59"/>
      <c r="Z1395" s="59"/>
      <c r="AA1395" s="59"/>
      <c r="AB1395" s="59"/>
      <c r="AC1395" s="59">
        <v>89</v>
      </c>
      <c r="AD1395" s="59"/>
      <c r="AE1395" s="60"/>
      <c r="AF1395" s="60" t="s">
        <v>2042</v>
      </c>
      <c r="AG1395" s="59"/>
      <c r="AH1395" s="61">
        <v>101894</v>
      </c>
      <c r="AI1395" s="61" t="s">
        <v>265</v>
      </c>
      <c r="AJ1395" s="61"/>
      <c r="AK1395" s="62" t="s">
        <v>638</v>
      </c>
      <c r="AL1395" s="62"/>
      <c r="AM1395" s="63"/>
      <c r="AN1395" s="63"/>
      <c r="AO1395" s="63"/>
      <c r="AP1395" s="63"/>
      <c r="AQ1395" s="63"/>
      <c r="AR1395" s="63"/>
      <c r="AS1395" s="63"/>
      <c r="AT1395" s="63"/>
      <c r="AU1395" s="61"/>
      <c r="AV1395" s="61"/>
      <c r="AW1395" s="61"/>
      <c r="AX1395" s="62"/>
      <c r="AY1395" s="62"/>
      <c r="AZ1395" s="63"/>
      <c r="BA1395" s="63"/>
      <c r="BB1395" s="63"/>
      <c r="BC1395" s="63"/>
      <c r="BD1395" s="63"/>
      <c r="BE1395" s="63"/>
      <c r="BF1395" s="63"/>
      <c r="BG1395" s="63"/>
      <c r="BH1395" s="61"/>
      <c r="BI1395" s="61"/>
      <c r="BJ1395" s="61"/>
      <c r="BK1395" s="62"/>
      <c r="BL1395" s="62"/>
      <c r="BM1395" s="63"/>
      <c r="BN1395" s="63"/>
      <c r="BO1395" s="63"/>
      <c r="BP1395" s="63"/>
      <c r="BQ1395" s="63"/>
      <c r="BR1395" s="63"/>
      <c r="BS1395" s="63"/>
      <c r="BT1395" s="63"/>
      <c r="BU1395" s="61"/>
      <c r="BV1395" s="61"/>
      <c r="BW1395" s="61"/>
      <c r="BX1395" s="62"/>
      <c r="BY1395" s="62"/>
      <c r="BZ1395" s="63"/>
      <c r="CA1395" s="63"/>
      <c r="CB1395" s="63"/>
      <c r="CC1395" s="63"/>
      <c r="CD1395" s="63"/>
      <c r="CE1395" s="63"/>
      <c r="CF1395" s="63"/>
      <c r="CG1395" s="63"/>
      <c r="CH1395" s="64"/>
      <c r="CJ1395" s="63"/>
      <c r="CT1395" s="65"/>
      <c r="CU1395" s="65"/>
      <c r="CV1395" s="65"/>
      <c r="CW1395" s="65"/>
      <c r="CX1395" s="65"/>
      <c r="CY1395" s="65"/>
      <c r="CZ1395" s="65"/>
      <c r="DA1395" s="65"/>
      <c r="DB1395" s="65"/>
      <c r="DC1395" s="63"/>
    </row>
    <row r="1396" spans="1:107" s="57" customFormat="1" x14ac:dyDescent="0.2">
      <c r="A1396" s="55">
        <v>10089</v>
      </c>
      <c r="B1396" s="56">
        <v>14</v>
      </c>
      <c r="C1396" s="56">
        <f t="shared" si="94"/>
        <v>100890014</v>
      </c>
      <c r="D1396" s="57" t="s">
        <v>4274</v>
      </c>
      <c r="E1396" s="58" t="s">
        <v>640</v>
      </c>
      <c r="F1396" s="58"/>
      <c r="G1396" s="58"/>
      <c r="H1396" s="58"/>
      <c r="I1396" s="59" t="s">
        <v>206</v>
      </c>
      <c r="J1396" s="59"/>
      <c r="K1396" s="59"/>
      <c r="L1396" s="59"/>
      <c r="M1396" s="59"/>
      <c r="N1396" s="59" t="s">
        <v>163</v>
      </c>
      <c r="O1396" s="59" t="s">
        <v>163</v>
      </c>
      <c r="P1396" s="59"/>
      <c r="Q1396" s="59" t="s">
        <v>2041</v>
      </c>
      <c r="R1396" s="59"/>
      <c r="S1396" s="59"/>
      <c r="T1396" s="59" t="s">
        <v>2714</v>
      </c>
      <c r="U1396" s="122" t="s">
        <v>4279</v>
      </c>
      <c r="V1396" s="59" t="s">
        <v>109</v>
      </c>
      <c r="W1396" s="59" t="s">
        <v>1</v>
      </c>
      <c r="X1396" s="59"/>
      <c r="Z1396" s="59"/>
      <c r="AA1396" s="59"/>
      <c r="AB1396" s="59"/>
      <c r="AC1396" s="59">
        <v>89</v>
      </c>
      <c r="AD1396" s="59"/>
      <c r="AE1396" s="60"/>
      <c r="AF1396" s="60" t="s">
        <v>2042</v>
      </c>
      <c r="AG1396" s="59"/>
      <c r="AH1396" s="61">
        <v>101895</v>
      </c>
      <c r="AI1396" s="61" t="s">
        <v>266</v>
      </c>
      <c r="AJ1396" s="61"/>
      <c r="AK1396" s="62">
        <v>6350</v>
      </c>
      <c r="AL1396" s="62"/>
      <c r="AM1396" s="63"/>
      <c r="AN1396" s="63"/>
      <c r="AO1396" s="63"/>
      <c r="AP1396" s="63"/>
      <c r="AQ1396" s="63"/>
      <c r="AR1396" s="63"/>
      <c r="AS1396" s="63"/>
      <c r="AT1396" s="63"/>
      <c r="AU1396" s="61"/>
      <c r="AV1396" s="61"/>
      <c r="AW1396" s="61"/>
      <c r="AX1396" s="62"/>
      <c r="AY1396" s="62"/>
      <c r="AZ1396" s="63"/>
      <c r="BA1396" s="63"/>
      <c r="BB1396" s="63"/>
      <c r="BC1396" s="63"/>
      <c r="BD1396" s="63"/>
      <c r="BE1396" s="63"/>
      <c r="BF1396" s="63"/>
      <c r="BG1396" s="63"/>
      <c r="BH1396" s="61"/>
      <c r="BI1396" s="61"/>
      <c r="BJ1396" s="61"/>
      <c r="BK1396" s="62"/>
      <c r="BL1396" s="62"/>
      <c r="BM1396" s="63"/>
      <c r="BN1396" s="63"/>
      <c r="BO1396" s="63"/>
      <c r="BP1396" s="63"/>
      <c r="BQ1396" s="63"/>
      <c r="BR1396" s="63"/>
      <c r="BS1396" s="63"/>
      <c r="BT1396" s="63"/>
      <c r="BU1396" s="61"/>
      <c r="BV1396" s="61"/>
      <c r="BW1396" s="61"/>
      <c r="BX1396" s="62"/>
      <c r="BY1396" s="62"/>
      <c r="BZ1396" s="63"/>
      <c r="CA1396" s="63"/>
      <c r="CB1396" s="63"/>
      <c r="CC1396" s="63"/>
      <c r="CD1396" s="63"/>
      <c r="CE1396" s="63"/>
      <c r="CF1396" s="63"/>
      <c r="CG1396" s="63"/>
      <c r="CH1396" s="64"/>
      <c r="CJ1396" s="63"/>
      <c r="CT1396" s="65"/>
      <c r="CU1396" s="65"/>
      <c r="CV1396" s="65"/>
      <c r="CW1396" s="65"/>
      <c r="CX1396" s="65"/>
      <c r="CY1396" s="65"/>
      <c r="CZ1396" s="65"/>
      <c r="DA1396" s="65"/>
      <c r="DB1396" s="65"/>
      <c r="DC1396" s="63"/>
    </row>
    <row r="1397" spans="1:107" x14ac:dyDescent="0.2">
      <c r="A1397" s="18">
        <v>10090</v>
      </c>
      <c r="B1397" s="19">
        <v>10</v>
      </c>
      <c r="C1397" s="19">
        <f t="shared" si="87"/>
        <v>100900010</v>
      </c>
      <c r="D1397" s="23" t="s">
        <v>1257</v>
      </c>
      <c r="E1397" s="20" t="s">
        <v>1234</v>
      </c>
      <c r="I1397" s="22" t="s">
        <v>206</v>
      </c>
      <c r="J1397" s="22"/>
      <c r="K1397" s="22"/>
      <c r="L1397" s="22"/>
      <c r="M1397" s="22"/>
      <c r="N1397" s="22" t="s">
        <v>1235</v>
      </c>
      <c r="O1397" s="22" t="s">
        <v>1235</v>
      </c>
      <c r="P1397" s="22"/>
      <c r="Q1397" s="22" t="s">
        <v>2041</v>
      </c>
      <c r="R1397" s="22"/>
      <c r="S1397" s="22"/>
      <c r="T1397" s="22" t="s">
        <v>2714</v>
      </c>
      <c r="U1397" s="116" t="s">
        <v>3085</v>
      </c>
      <c r="V1397" s="22" t="s">
        <v>109</v>
      </c>
      <c r="W1397" s="22" t="s">
        <v>1</v>
      </c>
      <c r="X1397" s="22"/>
      <c r="Z1397" s="22"/>
      <c r="AA1397" s="22"/>
      <c r="AB1397" s="22"/>
      <c r="AC1397" s="22">
        <v>90</v>
      </c>
      <c r="AD1397" s="22"/>
      <c r="AE1397" s="24"/>
      <c r="AF1397" s="24" t="s">
        <v>2042</v>
      </c>
      <c r="AG1397" s="22"/>
      <c r="AH1397" s="25">
        <v>101901</v>
      </c>
      <c r="AI1397" s="25" t="s">
        <v>1238</v>
      </c>
      <c r="AK1397" s="40" t="s">
        <v>1239</v>
      </c>
      <c r="AL1397" s="40"/>
      <c r="AX1397" s="27"/>
      <c r="AY1397" s="27"/>
      <c r="BK1397" s="27"/>
      <c r="BL1397" s="27"/>
      <c r="BX1397" s="27"/>
      <c r="BY1397" s="27"/>
      <c r="CH1397" s="29"/>
    </row>
    <row r="1398" spans="1:107" x14ac:dyDescent="0.2">
      <c r="A1398" s="18">
        <v>10090</v>
      </c>
      <c r="B1398" s="19">
        <v>11</v>
      </c>
      <c r="C1398" s="19">
        <f t="shared" si="87"/>
        <v>100900011</v>
      </c>
      <c r="D1398" s="23" t="s">
        <v>1219</v>
      </c>
      <c r="E1398" s="20" t="s">
        <v>1234</v>
      </c>
      <c r="I1398" s="22" t="s">
        <v>206</v>
      </c>
      <c r="J1398" s="22"/>
      <c r="K1398" s="22"/>
      <c r="L1398" s="22"/>
      <c r="M1398" s="22"/>
      <c r="N1398" s="22" t="s">
        <v>1235</v>
      </c>
      <c r="O1398" s="22" t="s">
        <v>1235</v>
      </c>
      <c r="P1398" s="22"/>
      <c r="Q1398" s="22" t="s">
        <v>2041</v>
      </c>
      <c r="R1398" s="22"/>
      <c r="S1398" s="22"/>
      <c r="T1398" s="22" t="s">
        <v>2714</v>
      </c>
      <c r="U1398" s="116" t="s">
        <v>3086</v>
      </c>
      <c r="V1398" s="22" t="s">
        <v>109</v>
      </c>
      <c r="W1398" s="22" t="s">
        <v>1</v>
      </c>
      <c r="X1398" s="22"/>
      <c r="Z1398" s="22"/>
      <c r="AA1398" s="22"/>
      <c r="AB1398" s="22"/>
      <c r="AC1398" s="22">
        <v>90</v>
      </c>
      <c r="AD1398" s="22"/>
      <c r="AE1398" s="24"/>
      <c r="AF1398" s="24" t="s">
        <v>2042</v>
      </c>
      <c r="AG1398" s="22"/>
      <c r="AH1398" s="25">
        <v>101902</v>
      </c>
      <c r="AI1398" s="25" t="s">
        <v>1241</v>
      </c>
      <c r="AK1398" s="40" t="s">
        <v>1242</v>
      </c>
      <c r="AL1398" s="40"/>
      <c r="AX1398" s="27"/>
      <c r="AY1398" s="27"/>
      <c r="BK1398" s="27"/>
      <c r="BL1398" s="27"/>
      <c r="BX1398" s="27"/>
      <c r="BY1398" s="27"/>
      <c r="CH1398" s="29"/>
    </row>
    <row r="1399" spans="1:107" x14ac:dyDescent="0.2">
      <c r="A1399" s="18">
        <v>10090</v>
      </c>
      <c r="B1399" s="19">
        <v>12</v>
      </c>
      <c r="C1399" s="19">
        <f t="shared" si="87"/>
        <v>100900012</v>
      </c>
      <c r="D1399" s="23" t="s">
        <v>1219</v>
      </c>
      <c r="E1399" s="20" t="s">
        <v>1234</v>
      </c>
      <c r="I1399" s="22" t="s">
        <v>206</v>
      </c>
      <c r="J1399" s="22"/>
      <c r="K1399" s="22"/>
      <c r="L1399" s="22"/>
      <c r="M1399" s="22"/>
      <c r="N1399" s="22" t="s">
        <v>1235</v>
      </c>
      <c r="O1399" s="22" t="s">
        <v>1235</v>
      </c>
      <c r="P1399" s="22"/>
      <c r="Q1399" s="22" t="s">
        <v>2041</v>
      </c>
      <c r="R1399" s="22"/>
      <c r="S1399" s="22"/>
      <c r="T1399" s="22" t="s">
        <v>2714</v>
      </c>
      <c r="U1399" s="116" t="s">
        <v>3087</v>
      </c>
      <c r="V1399" s="22" t="s">
        <v>109</v>
      </c>
      <c r="W1399" s="22" t="s">
        <v>1</v>
      </c>
      <c r="X1399" s="22"/>
      <c r="Z1399" s="22"/>
      <c r="AA1399" s="22"/>
      <c r="AB1399" s="22"/>
      <c r="AC1399" s="22">
        <v>90</v>
      </c>
      <c r="AD1399" s="22"/>
      <c r="AE1399" s="24"/>
      <c r="AF1399" s="24" t="s">
        <v>2042</v>
      </c>
      <c r="AG1399" s="22"/>
      <c r="AH1399" s="25">
        <v>101903</v>
      </c>
      <c r="AI1399" s="25" t="s">
        <v>1244</v>
      </c>
      <c r="AK1399" s="40" t="s">
        <v>1245</v>
      </c>
      <c r="AL1399" s="40"/>
      <c r="AX1399" s="27"/>
      <c r="AY1399" s="27"/>
      <c r="BK1399" s="27"/>
      <c r="BL1399" s="27"/>
      <c r="BX1399" s="27"/>
      <c r="BY1399" s="27"/>
      <c r="CH1399" s="29"/>
    </row>
    <row r="1400" spans="1:107" ht="12.75" customHeight="1" x14ac:dyDescent="0.2">
      <c r="A1400" s="18">
        <v>10090</v>
      </c>
      <c r="B1400" s="19">
        <v>13</v>
      </c>
      <c r="C1400" s="19">
        <f t="shared" si="87"/>
        <v>100900013</v>
      </c>
      <c r="D1400" s="23" t="s">
        <v>712</v>
      </c>
      <c r="E1400" s="20" t="s">
        <v>640</v>
      </c>
      <c r="I1400" s="22" t="s">
        <v>206</v>
      </c>
      <c r="J1400" s="22"/>
      <c r="K1400" s="22"/>
      <c r="L1400" s="22"/>
      <c r="M1400" s="22"/>
      <c r="N1400" s="22" t="s">
        <v>163</v>
      </c>
      <c r="O1400" s="22" t="s">
        <v>163</v>
      </c>
      <c r="P1400" s="22"/>
      <c r="Q1400" s="22" t="s">
        <v>2041</v>
      </c>
      <c r="R1400" s="22"/>
      <c r="S1400" s="22"/>
      <c r="T1400" s="22" t="s">
        <v>2714</v>
      </c>
      <c r="U1400" s="116" t="s">
        <v>3088</v>
      </c>
      <c r="V1400" s="22" t="s">
        <v>109</v>
      </c>
      <c r="W1400" s="22" t="s">
        <v>1</v>
      </c>
      <c r="X1400" s="22"/>
      <c r="Z1400" s="22"/>
      <c r="AA1400" s="22"/>
      <c r="AB1400" s="22"/>
      <c r="AC1400" s="22">
        <v>90</v>
      </c>
      <c r="AD1400" s="22"/>
      <c r="AE1400" s="24"/>
      <c r="AF1400" s="24" t="s">
        <v>2042</v>
      </c>
      <c r="AG1400" s="22"/>
      <c r="AH1400" s="25">
        <v>101904</v>
      </c>
      <c r="AI1400" s="25" t="s">
        <v>265</v>
      </c>
      <c r="AK1400" s="40" t="s">
        <v>638</v>
      </c>
      <c r="AL1400" s="40"/>
      <c r="AX1400" s="27"/>
      <c r="AY1400" s="27"/>
      <c r="BK1400" s="27"/>
      <c r="BL1400" s="27"/>
      <c r="BX1400" s="27"/>
      <c r="BY1400" s="27"/>
      <c r="CH1400" s="29"/>
    </row>
    <row r="1401" spans="1:107" x14ac:dyDescent="0.2">
      <c r="A1401" s="18">
        <v>10090</v>
      </c>
      <c r="B1401" s="19">
        <v>14</v>
      </c>
      <c r="C1401" s="19">
        <f t="shared" si="87"/>
        <v>100900014</v>
      </c>
      <c r="D1401" s="23" t="s">
        <v>712</v>
      </c>
      <c r="E1401" s="20" t="s">
        <v>640</v>
      </c>
      <c r="I1401" s="22" t="s">
        <v>206</v>
      </c>
      <c r="J1401" s="22"/>
      <c r="K1401" s="22"/>
      <c r="L1401" s="22"/>
      <c r="M1401" s="22"/>
      <c r="N1401" s="22" t="s">
        <v>163</v>
      </c>
      <c r="O1401" s="22" t="s">
        <v>163</v>
      </c>
      <c r="P1401" s="22"/>
      <c r="Q1401" s="22" t="s">
        <v>2041</v>
      </c>
      <c r="R1401" s="22"/>
      <c r="S1401" s="22"/>
      <c r="T1401" s="22" t="s">
        <v>2714</v>
      </c>
      <c r="U1401" s="116" t="s">
        <v>3089</v>
      </c>
      <c r="V1401" s="22" t="s">
        <v>109</v>
      </c>
      <c r="W1401" s="22" t="s">
        <v>1</v>
      </c>
      <c r="X1401" s="22"/>
      <c r="Z1401" s="22"/>
      <c r="AA1401" s="22"/>
      <c r="AB1401" s="22"/>
      <c r="AC1401" s="22">
        <v>90</v>
      </c>
      <c r="AD1401" s="22"/>
      <c r="AE1401" s="24"/>
      <c r="AF1401" s="24" t="s">
        <v>2042</v>
      </c>
      <c r="AG1401" s="22"/>
      <c r="AH1401" s="25">
        <v>101905</v>
      </c>
      <c r="AI1401" s="25" t="s">
        <v>266</v>
      </c>
      <c r="AK1401" s="40" t="s">
        <v>639</v>
      </c>
      <c r="AL1401" s="40"/>
      <c r="AX1401" s="27"/>
      <c r="AY1401" s="27"/>
      <c r="BK1401" s="27"/>
      <c r="BL1401" s="27"/>
      <c r="BX1401" s="27"/>
      <c r="BY1401" s="27"/>
      <c r="CH1401" s="29"/>
    </row>
    <row r="1402" spans="1:107" x14ac:dyDescent="0.2">
      <c r="A1402" s="18">
        <v>10091</v>
      </c>
      <c r="B1402" s="19">
        <v>10</v>
      </c>
      <c r="C1402" s="19">
        <f t="shared" si="87"/>
        <v>100910010</v>
      </c>
      <c r="D1402" s="23" t="s">
        <v>851</v>
      </c>
      <c r="E1402" s="20" t="s">
        <v>640</v>
      </c>
      <c r="I1402" s="22" t="s">
        <v>206</v>
      </c>
      <c r="J1402" s="22"/>
      <c r="K1402" s="22"/>
      <c r="L1402" s="22"/>
      <c r="M1402" s="22"/>
      <c r="N1402" s="22" t="s">
        <v>163</v>
      </c>
      <c r="O1402" s="22" t="s">
        <v>163</v>
      </c>
      <c r="P1402" s="22"/>
      <c r="Q1402" s="22" t="s">
        <v>2041</v>
      </c>
      <c r="R1402" s="22"/>
      <c r="S1402" s="22"/>
      <c r="T1402" s="22" t="s">
        <v>2714</v>
      </c>
      <c r="U1402" s="116" t="s">
        <v>3090</v>
      </c>
      <c r="V1402" s="22" t="s">
        <v>109</v>
      </c>
      <c r="W1402" s="22" t="s">
        <v>1</v>
      </c>
      <c r="X1402" s="22"/>
      <c r="Z1402" s="22"/>
      <c r="AA1402" s="22"/>
      <c r="AB1402" s="22"/>
      <c r="AC1402" s="22" t="s">
        <v>845</v>
      </c>
      <c r="AD1402" s="22"/>
      <c r="AE1402" s="24"/>
      <c r="AF1402" s="24" t="s">
        <v>2042</v>
      </c>
      <c r="AG1402" s="22"/>
      <c r="AH1402" s="25" t="s">
        <v>846</v>
      </c>
      <c r="AI1402" s="25" t="s">
        <v>176</v>
      </c>
      <c r="AK1402" s="40" t="s">
        <v>635</v>
      </c>
      <c r="AL1402" s="40"/>
      <c r="AX1402" s="27"/>
      <c r="AY1402" s="27"/>
      <c r="BK1402" s="27"/>
      <c r="BL1402" s="27"/>
      <c r="BX1402" s="27"/>
      <c r="BY1402" s="27"/>
      <c r="CH1402" s="29"/>
    </row>
    <row r="1403" spans="1:107" x14ac:dyDescent="0.2">
      <c r="A1403" s="18">
        <v>10091</v>
      </c>
      <c r="B1403" s="19">
        <v>11</v>
      </c>
      <c r="C1403" s="19">
        <f t="shared" si="87"/>
        <v>100910011</v>
      </c>
      <c r="D1403" s="23" t="s">
        <v>851</v>
      </c>
      <c r="E1403" s="20" t="s">
        <v>640</v>
      </c>
      <c r="I1403" s="22" t="s">
        <v>206</v>
      </c>
      <c r="J1403" s="22"/>
      <c r="K1403" s="22"/>
      <c r="L1403" s="22"/>
      <c r="M1403" s="22"/>
      <c r="N1403" s="22" t="s">
        <v>163</v>
      </c>
      <c r="O1403" s="22" t="s">
        <v>163</v>
      </c>
      <c r="P1403" s="22"/>
      <c r="Q1403" s="22" t="s">
        <v>2041</v>
      </c>
      <c r="R1403" s="22"/>
      <c r="S1403" s="22"/>
      <c r="T1403" s="22" t="s">
        <v>2714</v>
      </c>
      <c r="U1403" s="116" t="s">
        <v>3091</v>
      </c>
      <c r="V1403" s="22" t="s">
        <v>109</v>
      </c>
      <c r="W1403" s="22" t="s">
        <v>1</v>
      </c>
      <c r="X1403" s="22"/>
      <c r="Z1403" s="22"/>
      <c r="AA1403" s="22"/>
      <c r="AB1403" s="22"/>
      <c r="AC1403" s="22" t="s">
        <v>845</v>
      </c>
      <c r="AD1403" s="22"/>
      <c r="AE1403" s="24"/>
      <c r="AF1403" s="24" t="s">
        <v>2042</v>
      </c>
      <c r="AG1403" s="22"/>
      <c r="AH1403" s="25" t="s">
        <v>847</v>
      </c>
      <c r="AI1403" s="25" t="s">
        <v>260</v>
      </c>
      <c r="AK1403" s="40" t="s">
        <v>636</v>
      </c>
      <c r="AL1403" s="40"/>
      <c r="AX1403" s="27"/>
      <c r="AY1403" s="27"/>
      <c r="BK1403" s="27"/>
      <c r="BL1403" s="27"/>
      <c r="BX1403" s="27"/>
      <c r="BY1403" s="27"/>
      <c r="CH1403" s="29"/>
    </row>
    <row r="1404" spans="1:107" x14ac:dyDescent="0.2">
      <c r="A1404" s="18">
        <v>10091</v>
      </c>
      <c r="B1404" s="19">
        <v>12</v>
      </c>
      <c r="C1404" s="19">
        <f t="shared" si="87"/>
        <v>100910012</v>
      </c>
      <c r="D1404" s="23" t="s">
        <v>851</v>
      </c>
      <c r="E1404" s="20" t="s">
        <v>640</v>
      </c>
      <c r="I1404" s="22" t="s">
        <v>206</v>
      </c>
      <c r="J1404" s="22"/>
      <c r="K1404" s="22"/>
      <c r="L1404" s="22"/>
      <c r="M1404" s="22"/>
      <c r="N1404" s="22" t="s">
        <v>163</v>
      </c>
      <c r="O1404" s="22" t="s">
        <v>163</v>
      </c>
      <c r="P1404" s="22"/>
      <c r="Q1404" s="22" t="s">
        <v>2041</v>
      </c>
      <c r="R1404" s="22"/>
      <c r="S1404" s="22"/>
      <c r="T1404" s="22" t="s">
        <v>2714</v>
      </c>
      <c r="U1404" s="116" t="s">
        <v>3092</v>
      </c>
      <c r="V1404" s="22" t="s">
        <v>109</v>
      </c>
      <c r="W1404" s="22" t="s">
        <v>1</v>
      </c>
      <c r="X1404" s="22"/>
      <c r="Z1404" s="22"/>
      <c r="AA1404" s="22"/>
      <c r="AB1404" s="22"/>
      <c r="AC1404" s="22" t="s">
        <v>845</v>
      </c>
      <c r="AD1404" s="22"/>
      <c r="AE1404" s="24"/>
      <c r="AF1404" s="24" t="s">
        <v>2042</v>
      </c>
      <c r="AG1404" s="22"/>
      <c r="AH1404" s="25" t="s">
        <v>848</v>
      </c>
      <c r="AI1404" s="25" t="s">
        <v>264</v>
      </c>
      <c r="AK1404" s="40" t="s">
        <v>637</v>
      </c>
      <c r="AL1404" s="40"/>
      <c r="AX1404" s="27"/>
      <c r="AY1404" s="27"/>
      <c r="BK1404" s="27"/>
      <c r="BL1404" s="27"/>
      <c r="BX1404" s="27"/>
      <c r="BY1404" s="27"/>
      <c r="CH1404" s="29"/>
    </row>
    <row r="1405" spans="1:107" ht="12.75" customHeight="1" x14ac:dyDescent="0.2">
      <c r="A1405" s="18">
        <v>10091</v>
      </c>
      <c r="B1405" s="19">
        <v>13</v>
      </c>
      <c r="C1405" s="19">
        <f t="shared" si="87"/>
        <v>100910013</v>
      </c>
      <c r="D1405" s="23" t="s">
        <v>851</v>
      </c>
      <c r="E1405" s="20" t="s">
        <v>640</v>
      </c>
      <c r="I1405" s="22" t="s">
        <v>206</v>
      </c>
      <c r="J1405" s="22"/>
      <c r="K1405" s="22"/>
      <c r="L1405" s="22"/>
      <c r="M1405" s="22"/>
      <c r="N1405" s="22" t="s">
        <v>163</v>
      </c>
      <c r="O1405" s="22" t="s">
        <v>163</v>
      </c>
      <c r="P1405" s="22"/>
      <c r="Q1405" s="22" t="s">
        <v>2041</v>
      </c>
      <c r="R1405" s="22"/>
      <c r="S1405" s="22"/>
      <c r="T1405" s="22" t="s">
        <v>2714</v>
      </c>
      <c r="U1405" s="116" t="s">
        <v>3093</v>
      </c>
      <c r="V1405" s="22" t="s">
        <v>109</v>
      </c>
      <c r="W1405" s="22" t="s">
        <v>1</v>
      </c>
      <c r="X1405" s="22"/>
      <c r="Z1405" s="22"/>
      <c r="AA1405" s="22"/>
      <c r="AB1405" s="22"/>
      <c r="AC1405" s="22" t="s">
        <v>845</v>
      </c>
      <c r="AD1405" s="22"/>
      <c r="AE1405" s="24"/>
      <c r="AF1405" s="24" t="s">
        <v>2042</v>
      </c>
      <c r="AG1405" s="22"/>
      <c r="AH1405" s="25" t="s">
        <v>849</v>
      </c>
      <c r="AI1405" s="25" t="s">
        <v>265</v>
      </c>
      <c r="AK1405" s="40" t="s">
        <v>638</v>
      </c>
      <c r="AL1405" s="40"/>
      <c r="AX1405" s="27"/>
      <c r="AY1405" s="27"/>
      <c r="BK1405" s="27"/>
      <c r="BL1405" s="27"/>
      <c r="BX1405" s="27"/>
      <c r="BY1405" s="27"/>
      <c r="CH1405" s="29"/>
    </row>
    <row r="1406" spans="1:107" x14ac:dyDescent="0.2">
      <c r="A1406" s="18">
        <v>10091</v>
      </c>
      <c r="B1406" s="19">
        <v>14</v>
      </c>
      <c r="C1406" s="19">
        <f t="shared" si="87"/>
        <v>100910014</v>
      </c>
      <c r="D1406" s="23" t="s">
        <v>851</v>
      </c>
      <c r="E1406" s="20" t="s">
        <v>640</v>
      </c>
      <c r="I1406" s="22" t="s">
        <v>206</v>
      </c>
      <c r="J1406" s="22"/>
      <c r="K1406" s="22"/>
      <c r="L1406" s="22"/>
      <c r="M1406" s="22"/>
      <c r="N1406" s="22" t="s">
        <v>163</v>
      </c>
      <c r="O1406" s="22" t="s">
        <v>163</v>
      </c>
      <c r="P1406" s="22"/>
      <c r="Q1406" s="22" t="s">
        <v>2041</v>
      </c>
      <c r="R1406" s="22"/>
      <c r="S1406" s="22"/>
      <c r="T1406" s="22" t="s">
        <v>2714</v>
      </c>
      <c r="U1406" s="116" t="s">
        <v>3094</v>
      </c>
      <c r="V1406" s="22" t="s">
        <v>109</v>
      </c>
      <c r="W1406" s="22" t="s">
        <v>1</v>
      </c>
      <c r="X1406" s="22"/>
      <c r="Z1406" s="22"/>
      <c r="AA1406" s="22"/>
      <c r="AB1406" s="22"/>
      <c r="AC1406" s="22" t="s">
        <v>845</v>
      </c>
      <c r="AD1406" s="22"/>
      <c r="AE1406" s="24"/>
      <c r="AF1406" s="24" t="s">
        <v>2042</v>
      </c>
      <c r="AG1406" s="22"/>
      <c r="AH1406" s="25" t="s">
        <v>850</v>
      </c>
      <c r="AI1406" s="25" t="s">
        <v>266</v>
      </c>
      <c r="AK1406" s="40" t="s">
        <v>639</v>
      </c>
      <c r="AL1406" s="40"/>
      <c r="AX1406" s="27"/>
      <c r="AY1406" s="27"/>
      <c r="BK1406" s="27"/>
      <c r="BL1406" s="27"/>
      <c r="BX1406" s="27"/>
      <c r="BY1406" s="27"/>
      <c r="CH1406" s="29"/>
    </row>
    <row r="1407" spans="1:107" x14ac:dyDescent="0.2">
      <c r="A1407" s="18">
        <v>10092</v>
      </c>
      <c r="B1407" s="19">
        <v>10</v>
      </c>
      <c r="C1407" s="19">
        <f t="shared" si="87"/>
        <v>100920010</v>
      </c>
      <c r="D1407" s="23" t="s">
        <v>1350</v>
      </c>
      <c r="E1407" s="20" t="s">
        <v>640</v>
      </c>
      <c r="I1407" s="21" t="s">
        <v>206</v>
      </c>
      <c r="J1407" s="21"/>
      <c r="K1407" s="21"/>
      <c r="L1407" s="21"/>
      <c r="M1407" s="21"/>
      <c r="N1407" s="21" t="s">
        <v>163</v>
      </c>
      <c r="O1407" s="21" t="s">
        <v>163</v>
      </c>
      <c r="P1407" s="114"/>
      <c r="Q1407" s="114" t="s">
        <v>2041</v>
      </c>
      <c r="R1407" s="114"/>
      <c r="S1407" s="114"/>
      <c r="T1407" s="114" t="s">
        <v>2714</v>
      </c>
      <c r="U1407" s="117" t="s">
        <v>3095</v>
      </c>
      <c r="V1407" s="21" t="s">
        <v>109</v>
      </c>
      <c r="W1407" s="21" t="s">
        <v>1</v>
      </c>
      <c r="X1407" s="21"/>
      <c r="Z1407" s="21"/>
      <c r="AA1407" s="21"/>
      <c r="AB1407" s="21"/>
      <c r="AC1407" s="21">
        <v>92</v>
      </c>
      <c r="AD1407" s="21"/>
      <c r="AE1407" s="39"/>
      <c r="AF1407" s="39" t="s">
        <v>2042</v>
      </c>
      <c r="AG1407" s="21"/>
      <c r="AH1407" s="25">
        <v>101921</v>
      </c>
      <c r="AI1407" s="25" t="s">
        <v>176</v>
      </c>
      <c r="AK1407" s="27" t="s">
        <v>635</v>
      </c>
      <c r="AL1407" s="27"/>
      <c r="AX1407" s="27"/>
      <c r="AY1407" s="27"/>
      <c r="BK1407" s="27"/>
      <c r="BL1407" s="27"/>
      <c r="BX1407" s="27"/>
      <c r="BY1407" s="27"/>
      <c r="CH1407" s="29"/>
    </row>
    <row r="1408" spans="1:107" x14ac:dyDescent="0.2">
      <c r="A1408" s="18">
        <v>10092</v>
      </c>
      <c r="B1408" s="19">
        <v>11</v>
      </c>
      <c r="C1408" s="19">
        <f t="shared" si="87"/>
        <v>100920011</v>
      </c>
      <c r="D1408" s="23" t="s">
        <v>1350</v>
      </c>
      <c r="E1408" s="20" t="s">
        <v>640</v>
      </c>
      <c r="I1408" s="21" t="s">
        <v>206</v>
      </c>
      <c r="J1408" s="21"/>
      <c r="K1408" s="21"/>
      <c r="L1408" s="21"/>
      <c r="M1408" s="21"/>
      <c r="N1408" s="21" t="s">
        <v>163</v>
      </c>
      <c r="O1408" s="21" t="s">
        <v>163</v>
      </c>
      <c r="P1408" s="114"/>
      <c r="Q1408" s="114" t="s">
        <v>2041</v>
      </c>
      <c r="R1408" s="114"/>
      <c r="S1408" s="114"/>
      <c r="T1408" s="114" t="s">
        <v>2714</v>
      </c>
      <c r="U1408" s="117" t="s">
        <v>3096</v>
      </c>
      <c r="V1408" s="21" t="s">
        <v>109</v>
      </c>
      <c r="W1408" s="21" t="s">
        <v>1</v>
      </c>
      <c r="X1408" s="21"/>
      <c r="Z1408" s="21"/>
      <c r="AA1408" s="21"/>
      <c r="AB1408" s="21"/>
      <c r="AC1408" s="21">
        <v>92</v>
      </c>
      <c r="AD1408" s="21"/>
      <c r="AE1408" s="39"/>
      <c r="AF1408" s="39" t="s">
        <v>2042</v>
      </c>
      <c r="AG1408" s="21"/>
      <c r="AH1408" s="25">
        <v>101922</v>
      </c>
      <c r="AI1408" s="25" t="s">
        <v>260</v>
      </c>
      <c r="AK1408" s="27" t="s">
        <v>636</v>
      </c>
      <c r="AL1408" s="27"/>
      <c r="AX1408" s="27"/>
      <c r="AY1408" s="27"/>
      <c r="BK1408" s="27"/>
      <c r="BL1408" s="27"/>
      <c r="BX1408" s="27"/>
      <c r="BY1408" s="27"/>
      <c r="CH1408" s="29"/>
    </row>
    <row r="1409" spans="1:86" x14ac:dyDescent="0.2">
      <c r="A1409" s="18">
        <v>10092</v>
      </c>
      <c r="B1409" s="19">
        <v>12</v>
      </c>
      <c r="C1409" s="19">
        <f t="shared" si="87"/>
        <v>100920012</v>
      </c>
      <c r="D1409" s="23" t="s">
        <v>1350</v>
      </c>
      <c r="E1409" s="20" t="s">
        <v>640</v>
      </c>
      <c r="I1409" s="21" t="s">
        <v>206</v>
      </c>
      <c r="J1409" s="21"/>
      <c r="K1409" s="21"/>
      <c r="L1409" s="21"/>
      <c r="M1409" s="21"/>
      <c r="N1409" s="21" t="s">
        <v>163</v>
      </c>
      <c r="O1409" s="21" t="s">
        <v>163</v>
      </c>
      <c r="P1409" s="114"/>
      <c r="Q1409" s="114" t="s">
        <v>2041</v>
      </c>
      <c r="R1409" s="114"/>
      <c r="S1409" s="114"/>
      <c r="T1409" s="114" t="s">
        <v>2714</v>
      </c>
      <c r="U1409" s="117" t="s">
        <v>3097</v>
      </c>
      <c r="V1409" s="21" t="s">
        <v>109</v>
      </c>
      <c r="W1409" s="21" t="s">
        <v>1</v>
      </c>
      <c r="X1409" s="21"/>
      <c r="Z1409" s="21"/>
      <c r="AA1409" s="21"/>
      <c r="AB1409" s="21"/>
      <c r="AC1409" s="21">
        <v>92</v>
      </c>
      <c r="AD1409" s="21"/>
      <c r="AE1409" s="39"/>
      <c r="AF1409" s="39" t="s">
        <v>2042</v>
      </c>
      <c r="AG1409" s="21"/>
      <c r="AH1409" s="25">
        <v>101923</v>
      </c>
      <c r="AI1409" s="25" t="s">
        <v>264</v>
      </c>
      <c r="AK1409" s="27" t="s">
        <v>637</v>
      </c>
      <c r="AL1409" s="27"/>
      <c r="AX1409" s="27"/>
      <c r="AY1409" s="27"/>
      <c r="BK1409" s="27"/>
      <c r="BL1409" s="27"/>
      <c r="BX1409" s="27"/>
      <c r="BY1409" s="27"/>
      <c r="CH1409" s="29"/>
    </row>
    <row r="1410" spans="1:86" ht="12.75" customHeight="1" x14ac:dyDescent="0.2">
      <c r="A1410" s="18">
        <v>10092</v>
      </c>
      <c r="B1410" s="19">
        <v>13</v>
      </c>
      <c r="C1410" s="19">
        <f t="shared" si="87"/>
        <v>100920013</v>
      </c>
      <c r="D1410" s="23" t="s">
        <v>1350</v>
      </c>
      <c r="E1410" s="20" t="s">
        <v>640</v>
      </c>
      <c r="I1410" s="21" t="s">
        <v>206</v>
      </c>
      <c r="J1410" s="21"/>
      <c r="K1410" s="21"/>
      <c r="L1410" s="21"/>
      <c r="M1410" s="21"/>
      <c r="N1410" s="21" t="s">
        <v>163</v>
      </c>
      <c r="O1410" s="21" t="s">
        <v>163</v>
      </c>
      <c r="P1410" s="114"/>
      <c r="Q1410" s="114" t="s">
        <v>2041</v>
      </c>
      <c r="R1410" s="114"/>
      <c r="S1410" s="114"/>
      <c r="T1410" s="114" t="s">
        <v>2714</v>
      </c>
      <c r="U1410" s="117" t="s">
        <v>3098</v>
      </c>
      <c r="V1410" s="21" t="s">
        <v>109</v>
      </c>
      <c r="W1410" s="21" t="s">
        <v>1</v>
      </c>
      <c r="X1410" s="21"/>
      <c r="Z1410" s="21"/>
      <c r="AA1410" s="21"/>
      <c r="AB1410" s="21"/>
      <c r="AC1410" s="21">
        <v>92</v>
      </c>
      <c r="AD1410" s="21"/>
      <c r="AE1410" s="39"/>
      <c r="AF1410" s="39" t="s">
        <v>2042</v>
      </c>
      <c r="AG1410" s="21"/>
      <c r="AH1410" s="25">
        <v>101924</v>
      </c>
      <c r="AI1410" s="25" t="s">
        <v>265</v>
      </c>
      <c r="AK1410" s="27" t="s">
        <v>638</v>
      </c>
      <c r="AL1410" s="27"/>
      <c r="AX1410" s="27"/>
      <c r="AY1410" s="27"/>
      <c r="BK1410" s="27"/>
      <c r="BL1410" s="27"/>
      <c r="BX1410" s="27"/>
      <c r="BY1410" s="27"/>
      <c r="CH1410" s="29"/>
    </row>
    <row r="1411" spans="1:86" x14ac:dyDescent="0.2">
      <c r="A1411" s="18">
        <v>10092</v>
      </c>
      <c r="B1411" s="19">
        <v>14</v>
      </c>
      <c r="C1411" s="19">
        <f t="shared" si="87"/>
        <v>100920014</v>
      </c>
      <c r="D1411" s="23" t="s">
        <v>1350</v>
      </c>
      <c r="E1411" s="20" t="s">
        <v>640</v>
      </c>
      <c r="I1411" s="21" t="s">
        <v>206</v>
      </c>
      <c r="J1411" s="21"/>
      <c r="K1411" s="21"/>
      <c r="L1411" s="21"/>
      <c r="M1411" s="21"/>
      <c r="N1411" s="21" t="s">
        <v>163</v>
      </c>
      <c r="O1411" s="21" t="s">
        <v>163</v>
      </c>
      <c r="P1411" s="114"/>
      <c r="Q1411" s="114" t="s">
        <v>2041</v>
      </c>
      <c r="R1411" s="114"/>
      <c r="S1411" s="114"/>
      <c r="T1411" s="114" t="s">
        <v>2714</v>
      </c>
      <c r="U1411" s="117" t="s">
        <v>3099</v>
      </c>
      <c r="V1411" s="21" t="s">
        <v>109</v>
      </c>
      <c r="W1411" s="21" t="s">
        <v>1</v>
      </c>
      <c r="X1411" s="21"/>
      <c r="Z1411" s="21"/>
      <c r="AA1411" s="21"/>
      <c r="AB1411" s="21"/>
      <c r="AC1411" s="21">
        <v>92</v>
      </c>
      <c r="AD1411" s="21"/>
      <c r="AE1411" s="39"/>
      <c r="AF1411" s="39" t="s">
        <v>2042</v>
      </c>
      <c r="AG1411" s="21"/>
      <c r="AH1411" s="25">
        <v>101925</v>
      </c>
      <c r="AI1411" s="25" t="s">
        <v>266</v>
      </c>
      <c r="AK1411" s="27" t="s">
        <v>639</v>
      </c>
      <c r="AL1411" s="27"/>
      <c r="AX1411" s="27"/>
      <c r="AY1411" s="27"/>
      <c r="BK1411" s="27"/>
      <c r="BL1411" s="27"/>
      <c r="BX1411" s="27"/>
      <c r="BY1411" s="27"/>
      <c r="CH1411" s="29"/>
    </row>
    <row r="1412" spans="1:86" x14ac:dyDescent="0.2">
      <c r="A1412" s="18">
        <v>10093</v>
      </c>
      <c r="B1412" s="19">
        <v>10</v>
      </c>
      <c r="C1412" s="19">
        <f t="shared" si="87"/>
        <v>100930010</v>
      </c>
      <c r="D1412" s="23" t="s">
        <v>1373</v>
      </c>
      <c r="E1412" s="20" t="s">
        <v>640</v>
      </c>
      <c r="I1412" s="21" t="s">
        <v>206</v>
      </c>
      <c r="J1412" s="21"/>
      <c r="K1412" s="21"/>
      <c r="L1412" s="21"/>
      <c r="M1412" s="21"/>
      <c r="N1412" s="21" t="s">
        <v>163</v>
      </c>
      <c r="O1412" s="21" t="s">
        <v>163</v>
      </c>
      <c r="P1412" s="114"/>
      <c r="Q1412" s="114" t="s">
        <v>2041</v>
      </c>
      <c r="R1412" s="114"/>
      <c r="S1412" s="114"/>
      <c r="T1412" s="114" t="s">
        <v>2714</v>
      </c>
      <c r="U1412" s="117" t="s">
        <v>3100</v>
      </c>
      <c r="V1412" s="21" t="s">
        <v>109</v>
      </c>
      <c r="W1412" s="21" t="s">
        <v>1</v>
      </c>
      <c r="X1412" s="21"/>
      <c r="Z1412" s="21"/>
      <c r="AA1412" s="21"/>
      <c r="AB1412" s="21"/>
      <c r="AC1412" s="21">
        <v>93</v>
      </c>
      <c r="AD1412" s="21"/>
      <c r="AE1412" s="39"/>
      <c r="AF1412" s="39" t="s">
        <v>2042</v>
      </c>
      <c r="AG1412" s="21"/>
      <c r="AH1412" s="25">
        <v>101931</v>
      </c>
      <c r="AI1412" s="25" t="s">
        <v>176</v>
      </c>
      <c r="AK1412" s="27" t="s">
        <v>635</v>
      </c>
      <c r="AL1412" s="27"/>
      <c r="AX1412" s="27"/>
      <c r="AY1412" s="27"/>
      <c r="BK1412" s="27"/>
      <c r="BL1412" s="27"/>
      <c r="BX1412" s="27"/>
      <c r="BY1412" s="27"/>
      <c r="CH1412" s="29"/>
    </row>
    <row r="1413" spans="1:86" x14ac:dyDescent="0.2">
      <c r="A1413" s="18">
        <v>10093</v>
      </c>
      <c r="B1413" s="19">
        <v>11</v>
      </c>
      <c r="C1413" s="19">
        <f t="shared" si="87"/>
        <v>100930011</v>
      </c>
      <c r="D1413" s="23" t="s">
        <v>1373</v>
      </c>
      <c r="E1413" s="20" t="s">
        <v>640</v>
      </c>
      <c r="I1413" s="21" t="s">
        <v>206</v>
      </c>
      <c r="J1413" s="21"/>
      <c r="K1413" s="21"/>
      <c r="L1413" s="21"/>
      <c r="M1413" s="21"/>
      <c r="N1413" s="21" t="s">
        <v>163</v>
      </c>
      <c r="O1413" s="21" t="s">
        <v>163</v>
      </c>
      <c r="P1413" s="114"/>
      <c r="Q1413" s="114" t="s">
        <v>2041</v>
      </c>
      <c r="R1413" s="114"/>
      <c r="S1413" s="114"/>
      <c r="T1413" s="114" t="s">
        <v>2714</v>
      </c>
      <c r="U1413" s="117" t="s">
        <v>3101</v>
      </c>
      <c r="V1413" s="21" t="s">
        <v>109</v>
      </c>
      <c r="W1413" s="21" t="s">
        <v>1</v>
      </c>
      <c r="X1413" s="21"/>
      <c r="Z1413" s="21"/>
      <c r="AA1413" s="21"/>
      <c r="AB1413" s="21"/>
      <c r="AC1413" s="21">
        <v>93</v>
      </c>
      <c r="AD1413" s="21"/>
      <c r="AE1413" s="39"/>
      <c r="AF1413" s="39" t="s">
        <v>2042</v>
      </c>
      <c r="AG1413" s="21"/>
      <c r="AH1413" s="25">
        <v>101932</v>
      </c>
      <c r="AI1413" s="25" t="s">
        <v>260</v>
      </c>
      <c r="AK1413" s="27" t="s">
        <v>636</v>
      </c>
      <c r="AL1413" s="27"/>
      <c r="AX1413" s="27"/>
      <c r="AY1413" s="27"/>
      <c r="BK1413" s="27"/>
      <c r="BL1413" s="27"/>
      <c r="BX1413" s="27"/>
      <c r="BY1413" s="27"/>
      <c r="CH1413" s="29"/>
    </row>
    <row r="1414" spans="1:86" x14ac:dyDescent="0.2">
      <c r="A1414" s="18">
        <v>10093</v>
      </c>
      <c r="B1414" s="19">
        <v>12</v>
      </c>
      <c r="C1414" s="19">
        <f t="shared" si="87"/>
        <v>100930012</v>
      </c>
      <c r="D1414" s="23" t="s">
        <v>1373</v>
      </c>
      <c r="E1414" s="20" t="s">
        <v>640</v>
      </c>
      <c r="I1414" s="21" t="s">
        <v>206</v>
      </c>
      <c r="J1414" s="21"/>
      <c r="K1414" s="21"/>
      <c r="L1414" s="21"/>
      <c r="M1414" s="21"/>
      <c r="N1414" s="21" t="s">
        <v>163</v>
      </c>
      <c r="O1414" s="21" t="s">
        <v>163</v>
      </c>
      <c r="P1414" s="114"/>
      <c r="Q1414" s="114" t="s">
        <v>2041</v>
      </c>
      <c r="R1414" s="114"/>
      <c r="S1414" s="114"/>
      <c r="T1414" s="114" t="s">
        <v>2714</v>
      </c>
      <c r="U1414" s="117" t="s">
        <v>3102</v>
      </c>
      <c r="V1414" s="21" t="s">
        <v>109</v>
      </c>
      <c r="W1414" s="21" t="s">
        <v>1</v>
      </c>
      <c r="X1414" s="21"/>
      <c r="Z1414" s="21"/>
      <c r="AA1414" s="21"/>
      <c r="AB1414" s="21"/>
      <c r="AC1414" s="21">
        <v>93</v>
      </c>
      <c r="AD1414" s="21"/>
      <c r="AE1414" s="39"/>
      <c r="AF1414" s="39" t="s">
        <v>2042</v>
      </c>
      <c r="AG1414" s="21"/>
      <c r="AH1414" s="25">
        <v>101933</v>
      </c>
      <c r="AI1414" s="25" t="s">
        <v>264</v>
      </c>
      <c r="AK1414" s="27" t="s">
        <v>637</v>
      </c>
      <c r="AL1414" s="27"/>
      <c r="AX1414" s="27"/>
      <c r="AY1414" s="27"/>
      <c r="BK1414" s="27"/>
      <c r="BL1414" s="27"/>
      <c r="BX1414" s="27"/>
      <c r="BY1414" s="27"/>
      <c r="CH1414" s="29"/>
    </row>
    <row r="1415" spans="1:86" x14ac:dyDescent="0.2">
      <c r="A1415" s="18">
        <v>10093</v>
      </c>
      <c r="B1415" s="19">
        <v>13</v>
      </c>
      <c r="C1415" s="19">
        <f t="shared" si="87"/>
        <v>100930013</v>
      </c>
      <c r="D1415" s="23" t="s">
        <v>1373</v>
      </c>
      <c r="E1415" s="20" t="s">
        <v>640</v>
      </c>
      <c r="I1415" s="21" t="s">
        <v>206</v>
      </c>
      <c r="J1415" s="21"/>
      <c r="K1415" s="21"/>
      <c r="L1415" s="21"/>
      <c r="M1415" s="21"/>
      <c r="N1415" s="21" t="s">
        <v>163</v>
      </c>
      <c r="O1415" s="21" t="s">
        <v>163</v>
      </c>
      <c r="P1415" s="114"/>
      <c r="Q1415" s="114" t="s">
        <v>2041</v>
      </c>
      <c r="R1415" s="114"/>
      <c r="S1415" s="114"/>
      <c r="T1415" s="114" t="s">
        <v>2714</v>
      </c>
      <c r="U1415" s="117" t="s">
        <v>3103</v>
      </c>
      <c r="V1415" s="21" t="s">
        <v>109</v>
      </c>
      <c r="W1415" s="21" t="s">
        <v>1</v>
      </c>
      <c r="X1415" s="21"/>
      <c r="Z1415" s="21"/>
      <c r="AA1415" s="21"/>
      <c r="AB1415" s="21"/>
      <c r="AC1415" s="21">
        <v>93</v>
      </c>
      <c r="AD1415" s="21"/>
      <c r="AE1415" s="39"/>
      <c r="AF1415" s="39" t="s">
        <v>2042</v>
      </c>
      <c r="AG1415" s="21"/>
      <c r="AH1415" s="25">
        <v>101934</v>
      </c>
      <c r="AI1415" s="25" t="s">
        <v>265</v>
      </c>
      <c r="AK1415" s="27" t="s">
        <v>638</v>
      </c>
      <c r="AL1415" s="27"/>
      <c r="AX1415" s="27"/>
      <c r="AY1415" s="27"/>
      <c r="BK1415" s="27"/>
      <c r="BL1415" s="27"/>
      <c r="BX1415" s="27"/>
      <c r="BY1415" s="27"/>
      <c r="CH1415" s="29"/>
    </row>
    <row r="1416" spans="1:86" x14ac:dyDescent="0.2">
      <c r="A1416" s="18">
        <v>10093</v>
      </c>
      <c r="B1416" s="19">
        <v>14</v>
      </c>
      <c r="C1416" s="19">
        <f t="shared" si="87"/>
        <v>100930014</v>
      </c>
      <c r="D1416" s="23" t="s">
        <v>1373</v>
      </c>
      <c r="E1416" s="20" t="s">
        <v>640</v>
      </c>
      <c r="I1416" s="21" t="s">
        <v>206</v>
      </c>
      <c r="J1416" s="21"/>
      <c r="K1416" s="21"/>
      <c r="L1416" s="21"/>
      <c r="M1416" s="21"/>
      <c r="N1416" s="21" t="s">
        <v>163</v>
      </c>
      <c r="O1416" s="21" t="s">
        <v>163</v>
      </c>
      <c r="P1416" s="114"/>
      <c r="Q1416" s="114" t="s">
        <v>2041</v>
      </c>
      <c r="R1416" s="114"/>
      <c r="S1416" s="114"/>
      <c r="T1416" s="114" t="s">
        <v>2714</v>
      </c>
      <c r="U1416" s="117" t="s">
        <v>3104</v>
      </c>
      <c r="V1416" s="21" t="s">
        <v>109</v>
      </c>
      <c r="W1416" s="21" t="s">
        <v>1</v>
      </c>
      <c r="X1416" s="21"/>
      <c r="Z1416" s="21"/>
      <c r="AA1416" s="21"/>
      <c r="AB1416" s="21"/>
      <c r="AC1416" s="21">
        <v>93</v>
      </c>
      <c r="AD1416" s="21"/>
      <c r="AE1416" s="39"/>
      <c r="AF1416" s="39" t="s">
        <v>2042</v>
      </c>
      <c r="AG1416" s="21"/>
      <c r="AH1416" s="25">
        <v>101935</v>
      </c>
      <c r="AI1416" s="25" t="s">
        <v>266</v>
      </c>
      <c r="AK1416" s="27">
        <v>6350</v>
      </c>
      <c r="AL1416" s="27"/>
      <c r="AX1416" s="27"/>
      <c r="AY1416" s="27"/>
      <c r="BK1416" s="27"/>
      <c r="BL1416" s="27"/>
      <c r="BX1416" s="27"/>
      <c r="BY1416" s="27"/>
      <c r="CH1416" s="29"/>
    </row>
    <row r="1417" spans="1:86" x14ac:dyDescent="0.2">
      <c r="A1417" s="18">
        <v>10094</v>
      </c>
      <c r="B1417" s="19">
        <v>10</v>
      </c>
      <c r="C1417" s="19">
        <f t="shared" si="87"/>
        <v>100940010</v>
      </c>
      <c r="D1417" s="23" t="s">
        <v>1545</v>
      </c>
      <c r="E1417" s="20" t="s">
        <v>640</v>
      </c>
      <c r="I1417" s="21" t="s">
        <v>206</v>
      </c>
      <c r="J1417" s="21"/>
      <c r="K1417" s="21"/>
      <c r="L1417" s="21"/>
      <c r="M1417" s="21"/>
      <c r="N1417" s="21" t="s">
        <v>163</v>
      </c>
      <c r="O1417" s="21" t="s">
        <v>163</v>
      </c>
      <c r="P1417" s="114"/>
      <c r="Q1417" s="114" t="s">
        <v>2041</v>
      </c>
      <c r="R1417" s="114"/>
      <c r="S1417" s="114"/>
      <c r="T1417" s="114" t="s">
        <v>2714</v>
      </c>
      <c r="U1417" s="117" t="s">
        <v>3105</v>
      </c>
      <c r="V1417" s="21" t="s">
        <v>109</v>
      </c>
      <c r="W1417" s="21" t="s">
        <v>1</v>
      </c>
      <c r="X1417" s="21"/>
      <c r="Z1417" s="21"/>
      <c r="AA1417" s="21"/>
      <c r="AB1417" s="21"/>
      <c r="AC1417" s="21">
        <v>94</v>
      </c>
      <c r="AD1417" s="21"/>
      <c r="AE1417" s="39"/>
      <c r="AF1417" s="39" t="s">
        <v>2042</v>
      </c>
      <c r="AG1417" s="21"/>
      <c r="AH1417" s="25">
        <v>101941</v>
      </c>
      <c r="AI1417" s="25" t="s">
        <v>176</v>
      </c>
      <c r="AK1417" s="27" t="s">
        <v>635</v>
      </c>
      <c r="AL1417" s="27"/>
      <c r="AX1417" s="27"/>
      <c r="AY1417" s="27"/>
      <c r="BK1417" s="27"/>
      <c r="BL1417" s="27"/>
      <c r="BX1417" s="27"/>
      <c r="BY1417" s="27"/>
      <c r="CH1417" s="29"/>
    </row>
    <row r="1418" spans="1:86" x14ac:dyDescent="0.2">
      <c r="A1418" s="18">
        <v>10094</v>
      </c>
      <c r="B1418" s="19">
        <v>11</v>
      </c>
      <c r="C1418" s="19">
        <f t="shared" si="87"/>
        <v>100940011</v>
      </c>
      <c r="D1418" s="23" t="s">
        <v>1545</v>
      </c>
      <c r="E1418" s="20" t="s">
        <v>640</v>
      </c>
      <c r="I1418" s="21" t="s">
        <v>206</v>
      </c>
      <c r="J1418" s="21"/>
      <c r="K1418" s="21"/>
      <c r="L1418" s="21"/>
      <c r="M1418" s="21"/>
      <c r="N1418" s="21" t="s">
        <v>163</v>
      </c>
      <c r="O1418" s="21" t="s">
        <v>163</v>
      </c>
      <c r="P1418" s="114"/>
      <c r="Q1418" s="114" t="s">
        <v>2041</v>
      </c>
      <c r="R1418" s="114"/>
      <c r="S1418" s="114"/>
      <c r="T1418" s="114" t="s">
        <v>2714</v>
      </c>
      <c r="U1418" s="117" t="s">
        <v>3106</v>
      </c>
      <c r="V1418" s="21" t="s">
        <v>109</v>
      </c>
      <c r="W1418" s="21" t="s">
        <v>1</v>
      </c>
      <c r="X1418" s="21"/>
      <c r="Z1418" s="21"/>
      <c r="AA1418" s="21"/>
      <c r="AB1418" s="21"/>
      <c r="AC1418" s="21">
        <v>94</v>
      </c>
      <c r="AD1418" s="21"/>
      <c r="AE1418" s="39"/>
      <c r="AF1418" s="39" t="s">
        <v>2042</v>
      </c>
      <c r="AG1418" s="21"/>
      <c r="AH1418" s="25">
        <v>101942</v>
      </c>
      <c r="AI1418" s="25" t="s">
        <v>260</v>
      </c>
      <c r="AK1418" s="27" t="s">
        <v>636</v>
      </c>
      <c r="AL1418" s="27"/>
      <c r="AX1418" s="27"/>
      <c r="AY1418" s="27"/>
      <c r="BK1418" s="27"/>
      <c r="BL1418" s="27"/>
      <c r="BX1418" s="27"/>
      <c r="BY1418" s="27"/>
      <c r="CH1418" s="29"/>
    </row>
    <row r="1419" spans="1:86" x14ac:dyDescent="0.2">
      <c r="A1419" s="18">
        <v>10094</v>
      </c>
      <c r="B1419" s="19">
        <v>12</v>
      </c>
      <c r="C1419" s="19">
        <f t="shared" si="87"/>
        <v>100940012</v>
      </c>
      <c r="D1419" s="23" t="s">
        <v>1545</v>
      </c>
      <c r="E1419" s="20" t="s">
        <v>640</v>
      </c>
      <c r="I1419" s="21" t="s">
        <v>206</v>
      </c>
      <c r="J1419" s="21"/>
      <c r="K1419" s="21"/>
      <c r="L1419" s="21"/>
      <c r="M1419" s="21"/>
      <c r="N1419" s="21" t="s">
        <v>163</v>
      </c>
      <c r="O1419" s="21" t="s">
        <v>163</v>
      </c>
      <c r="P1419" s="114"/>
      <c r="Q1419" s="114" t="s">
        <v>2041</v>
      </c>
      <c r="R1419" s="114"/>
      <c r="S1419" s="114"/>
      <c r="T1419" s="114" t="s">
        <v>2714</v>
      </c>
      <c r="U1419" s="117" t="s">
        <v>3107</v>
      </c>
      <c r="V1419" s="21" t="s">
        <v>109</v>
      </c>
      <c r="W1419" s="21" t="s">
        <v>1</v>
      </c>
      <c r="X1419" s="21"/>
      <c r="Z1419" s="21"/>
      <c r="AA1419" s="21"/>
      <c r="AB1419" s="21"/>
      <c r="AC1419" s="21">
        <v>94</v>
      </c>
      <c r="AD1419" s="21"/>
      <c r="AE1419" s="39"/>
      <c r="AF1419" s="39" t="s">
        <v>2042</v>
      </c>
      <c r="AG1419" s="21"/>
      <c r="AH1419" s="25">
        <v>101943</v>
      </c>
      <c r="AI1419" s="25" t="s">
        <v>264</v>
      </c>
      <c r="AK1419" s="27" t="s">
        <v>637</v>
      </c>
      <c r="AL1419" s="27"/>
      <c r="AX1419" s="27"/>
      <c r="AY1419" s="27"/>
      <c r="BK1419" s="27"/>
      <c r="BL1419" s="27"/>
      <c r="BX1419" s="27"/>
      <c r="BY1419" s="27"/>
      <c r="CH1419" s="29"/>
    </row>
    <row r="1420" spans="1:86" x14ac:dyDescent="0.2">
      <c r="A1420" s="18">
        <v>10094</v>
      </c>
      <c r="B1420" s="19">
        <v>13</v>
      </c>
      <c r="C1420" s="19">
        <f t="shared" si="87"/>
        <v>100940013</v>
      </c>
      <c r="D1420" s="23" t="s">
        <v>1545</v>
      </c>
      <c r="E1420" s="20" t="s">
        <v>640</v>
      </c>
      <c r="I1420" s="21" t="s">
        <v>206</v>
      </c>
      <c r="J1420" s="21"/>
      <c r="K1420" s="21"/>
      <c r="L1420" s="21"/>
      <c r="M1420" s="21"/>
      <c r="N1420" s="21" t="s">
        <v>163</v>
      </c>
      <c r="O1420" s="21" t="s">
        <v>163</v>
      </c>
      <c r="P1420" s="114"/>
      <c r="Q1420" s="114" t="s">
        <v>2041</v>
      </c>
      <c r="R1420" s="114"/>
      <c r="S1420" s="114"/>
      <c r="T1420" s="114" t="s">
        <v>2714</v>
      </c>
      <c r="U1420" s="117" t="s">
        <v>3108</v>
      </c>
      <c r="V1420" s="21" t="s">
        <v>109</v>
      </c>
      <c r="W1420" s="21" t="s">
        <v>1</v>
      </c>
      <c r="X1420" s="21"/>
      <c r="Z1420" s="21"/>
      <c r="AA1420" s="21"/>
      <c r="AB1420" s="21"/>
      <c r="AC1420" s="21">
        <v>94</v>
      </c>
      <c r="AD1420" s="21"/>
      <c r="AE1420" s="39"/>
      <c r="AF1420" s="39" t="s">
        <v>2042</v>
      </c>
      <c r="AG1420" s="21"/>
      <c r="AH1420" s="25">
        <v>101944</v>
      </c>
      <c r="AI1420" s="25" t="s">
        <v>265</v>
      </c>
      <c r="AK1420" s="27" t="s">
        <v>638</v>
      </c>
      <c r="AL1420" s="27"/>
      <c r="AX1420" s="27"/>
      <c r="AY1420" s="27"/>
      <c r="BK1420" s="27"/>
      <c r="BL1420" s="27"/>
      <c r="BX1420" s="27"/>
      <c r="BY1420" s="27"/>
      <c r="CH1420" s="29"/>
    </row>
    <row r="1421" spans="1:86" x14ac:dyDescent="0.2">
      <c r="A1421" s="18">
        <v>10094</v>
      </c>
      <c r="B1421" s="19">
        <v>14</v>
      </c>
      <c r="C1421" s="19">
        <f t="shared" si="87"/>
        <v>100940014</v>
      </c>
      <c r="D1421" s="23" t="s">
        <v>1545</v>
      </c>
      <c r="E1421" s="20" t="s">
        <v>640</v>
      </c>
      <c r="I1421" s="21" t="s">
        <v>206</v>
      </c>
      <c r="J1421" s="21"/>
      <c r="K1421" s="21"/>
      <c r="L1421" s="21"/>
      <c r="M1421" s="21"/>
      <c r="N1421" s="21" t="s">
        <v>163</v>
      </c>
      <c r="O1421" s="21" t="s">
        <v>163</v>
      </c>
      <c r="P1421" s="114"/>
      <c r="Q1421" s="114" t="s">
        <v>2041</v>
      </c>
      <c r="R1421" s="114"/>
      <c r="S1421" s="114"/>
      <c r="T1421" s="114" t="s">
        <v>2714</v>
      </c>
      <c r="U1421" s="117" t="s">
        <v>3109</v>
      </c>
      <c r="V1421" s="21" t="s">
        <v>109</v>
      </c>
      <c r="W1421" s="21" t="s">
        <v>1</v>
      </c>
      <c r="X1421" s="21"/>
      <c r="Z1421" s="21"/>
      <c r="AA1421" s="21"/>
      <c r="AB1421" s="21"/>
      <c r="AC1421" s="21">
        <v>94</v>
      </c>
      <c r="AD1421" s="21"/>
      <c r="AE1421" s="39"/>
      <c r="AF1421" s="39" t="s">
        <v>2042</v>
      </c>
      <c r="AG1421" s="21"/>
      <c r="AH1421" s="25">
        <v>101945</v>
      </c>
      <c r="AI1421" s="25" t="s">
        <v>266</v>
      </c>
      <c r="AK1421" s="27">
        <v>6350</v>
      </c>
      <c r="AL1421" s="27"/>
      <c r="AX1421" s="27"/>
      <c r="AY1421" s="27"/>
      <c r="BK1421" s="27"/>
      <c r="BL1421" s="27"/>
      <c r="BX1421" s="27"/>
      <c r="BY1421" s="27"/>
      <c r="CH1421" s="29"/>
    </row>
    <row r="1422" spans="1:86" x14ac:dyDescent="0.2">
      <c r="A1422" s="18">
        <v>10095</v>
      </c>
      <c r="B1422" s="19">
        <v>10</v>
      </c>
      <c r="C1422" s="19">
        <f t="shared" si="87"/>
        <v>100950010</v>
      </c>
      <c r="D1422" s="23" t="s">
        <v>1610</v>
      </c>
      <c r="E1422" s="20" t="s">
        <v>640</v>
      </c>
      <c r="I1422" s="21" t="s">
        <v>206</v>
      </c>
      <c r="J1422" s="21"/>
      <c r="K1422" s="21"/>
      <c r="L1422" s="21"/>
      <c r="M1422" s="21"/>
      <c r="N1422" s="21" t="s">
        <v>163</v>
      </c>
      <c r="O1422" s="21" t="s">
        <v>163</v>
      </c>
      <c r="P1422" s="114"/>
      <c r="Q1422" s="114" t="s">
        <v>2041</v>
      </c>
      <c r="R1422" s="114"/>
      <c r="S1422" s="114"/>
      <c r="T1422" s="114" t="s">
        <v>2714</v>
      </c>
      <c r="U1422" s="117" t="s">
        <v>3110</v>
      </c>
      <c r="V1422" s="21" t="s">
        <v>109</v>
      </c>
      <c r="W1422" s="21" t="s">
        <v>1</v>
      </c>
      <c r="X1422" s="21"/>
      <c r="Z1422" s="21"/>
      <c r="AA1422" s="21"/>
      <c r="AB1422" s="21"/>
      <c r="AC1422" s="21">
        <v>95</v>
      </c>
      <c r="AD1422" s="21"/>
      <c r="AE1422" s="39"/>
      <c r="AF1422" s="39" t="s">
        <v>2042</v>
      </c>
      <c r="AG1422" s="21"/>
      <c r="AH1422" s="25">
        <v>101951</v>
      </c>
      <c r="AI1422" s="25" t="s">
        <v>176</v>
      </c>
      <c r="AK1422" s="27" t="s">
        <v>635</v>
      </c>
      <c r="AL1422" s="27"/>
      <c r="AX1422" s="27"/>
      <c r="AY1422" s="27"/>
      <c r="BK1422" s="27"/>
      <c r="BL1422" s="27"/>
      <c r="BX1422" s="27"/>
      <c r="BY1422" s="27"/>
      <c r="CH1422" s="29"/>
    </row>
    <row r="1423" spans="1:86" x14ac:dyDescent="0.2">
      <c r="A1423" s="18">
        <v>10095</v>
      </c>
      <c r="B1423" s="19">
        <v>11</v>
      </c>
      <c r="C1423" s="19">
        <f t="shared" si="87"/>
        <v>100950011</v>
      </c>
      <c r="D1423" s="23" t="s">
        <v>1610</v>
      </c>
      <c r="E1423" s="20" t="s">
        <v>640</v>
      </c>
      <c r="I1423" s="21" t="s">
        <v>206</v>
      </c>
      <c r="J1423" s="21"/>
      <c r="K1423" s="21"/>
      <c r="L1423" s="21"/>
      <c r="M1423" s="21"/>
      <c r="N1423" s="21" t="s">
        <v>163</v>
      </c>
      <c r="O1423" s="21" t="s">
        <v>163</v>
      </c>
      <c r="P1423" s="114"/>
      <c r="Q1423" s="114" t="s">
        <v>2041</v>
      </c>
      <c r="R1423" s="114"/>
      <c r="S1423" s="114"/>
      <c r="T1423" s="114" t="s">
        <v>2714</v>
      </c>
      <c r="U1423" s="117" t="s">
        <v>3111</v>
      </c>
      <c r="V1423" s="21" t="s">
        <v>109</v>
      </c>
      <c r="W1423" s="21" t="s">
        <v>1</v>
      </c>
      <c r="X1423" s="21"/>
      <c r="Z1423" s="21"/>
      <c r="AA1423" s="21"/>
      <c r="AB1423" s="21"/>
      <c r="AC1423" s="21">
        <v>95</v>
      </c>
      <c r="AD1423" s="21"/>
      <c r="AE1423" s="39"/>
      <c r="AF1423" s="39" t="s">
        <v>2042</v>
      </c>
      <c r="AG1423" s="21"/>
      <c r="AH1423" s="25">
        <v>101952</v>
      </c>
      <c r="AI1423" s="25" t="s">
        <v>260</v>
      </c>
      <c r="AK1423" s="27" t="s">
        <v>636</v>
      </c>
      <c r="AL1423" s="27"/>
      <c r="AX1423" s="27"/>
      <c r="AY1423" s="27"/>
      <c r="BK1423" s="27"/>
      <c r="BL1423" s="27"/>
      <c r="BX1423" s="27"/>
      <c r="BY1423" s="27"/>
      <c r="CH1423" s="29"/>
    </row>
    <row r="1424" spans="1:86" x14ac:dyDescent="0.2">
      <c r="A1424" s="18">
        <v>10095</v>
      </c>
      <c r="B1424" s="19">
        <v>12</v>
      </c>
      <c r="C1424" s="19">
        <f t="shared" si="87"/>
        <v>100950012</v>
      </c>
      <c r="D1424" s="23" t="s">
        <v>1610</v>
      </c>
      <c r="E1424" s="20" t="s">
        <v>640</v>
      </c>
      <c r="I1424" s="21" t="s">
        <v>206</v>
      </c>
      <c r="J1424" s="21"/>
      <c r="K1424" s="21"/>
      <c r="L1424" s="21"/>
      <c r="M1424" s="21"/>
      <c r="N1424" s="21" t="s">
        <v>163</v>
      </c>
      <c r="O1424" s="21" t="s">
        <v>163</v>
      </c>
      <c r="P1424" s="114"/>
      <c r="Q1424" s="114" t="s">
        <v>2041</v>
      </c>
      <c r="R1424" s="114"/>
      <c r="S1424" s="114"/>
      <c r="T1424" s="114" t="s">
        <v>2714</v>
      </c>
      <c r="U1424" s="117" t="s">
        <v>3112</v>
      </c>
      <c r="V1424" s="21" t="s">
        <v>109</v>
      </c>
      <c r="W1424" s="21" t="s">
        <v>1</v>
      </c>
      <c r="X1424" s="21"/>
      <c r="Z1424" s="21"/>
      <c r="AA1424" s="21"/>
      <c r="AB1424" s="21"/>
      <c r="AC1424" s="21">
        <v>95</v>
      </c>
      <c r="AD1424" s="21"/>
      <c r="AE1424" s="39"/>
      <c r="AF1424" s="39" t="s">
        <v>2042</v>
      </c>
      <c r="AG1424" s="21"/>
      <c r="AH1424" s="25">
        <v>101953</v>
      </c>
      <c r="AI1424" s="25" t="s">
        <v>264</v>
      </c>
      <c r="AK1424" s="27" t="s">
        <v>637</v>
      </c>
      <c r="AL1424" s="27"/>
      <c r="AX1424" s="27"/>
      <c r="AY1424" s="27"/>
      <c r="BK1424" s="27"/>
      <c r="BL1424" s="27"/>
      <c r="BX1424" s="27"/>
      <c r="BY1424" s="27"/>
      <c r="CH1424" s="29"/>
    </row>
    <row r="1425" spans="1:107" x14ac:dyDescent="0.2">
      <c r="A1425" s="18">
        <v>10095</v>
      </c>
      <c r="B1425" s="19">
        <v>13</v>
      </c>
      <c r="C1425" s="19">
        <f t="shared" si="87"/>
        <v>100950013</v>
      </c>
      <c r="D1425" s="23" t="s">
        <v>1610</v>
      </c>
      <c r="E1425" s="20" t="s">
        <v>640</v>
      </c>
      <c r="I1425" s="21" t="s">
        <v>206</v>
      </c>
      <c r="J1425" s="21"/>
      <c r="K1425" s="21"/>
      <c r="L1425" s="21"/>
      <c r="M1425" s="21"/>
      <c r="N1425" s="21" t="s">
        <v>163</v>
      </c>
      <c r="O1425" s="21" t="s">
        <v>163</v>
      </c>
      <c r="P1425" s="114"/>
      <c r="Q1425" s="114" t="s">
        <v>2041</v>
      </c>
      <c r="R1425" s="114"/>
      <c r="S1425" s="114"/>
      <c r="T1425" s="114" t="s">
        <v>2714</v>
      </c>
      <c r="U1425" s="117" t="s">
        <v>3113</v>
      </c>
      <c r="V1425" s="21" t="s">
        <v>109</v>
      </c>
      <c r="W1425" s="21" t="s">
        <v>1</v>
      </c>
      <c r="X1425" s="21"/>
      <c r="Z1425" s="21"/>
      <c r="AA1425" s="21"/>
      <c r="AB1425" s="21"/>
      <c r="AC1425" s="21">
        <v>95</v>
      </c>
      <c r="AD1425" s="21"/>
      <c r="AE1425" s="39"/>
      <c r="AF1425" s="39" t="s">
        <v>2042</v>
      </c>
      <c r="AG1425" s="21"/>
      <c r="AH1425" s="25">
        <v>101954</v>
      </c>
      <c r="AI1425" s="25" t="s">
        <v>265</v>
      </c>
      <c r="AK1425" s="27" t="s">
        <v>638</v>
      </c>
      <c r="AL1425" s="27"/>
      <c r="AX1425" s="27"/>
      <c r="AY1425" s="27"/>
      <c r="BK1425" s="27"/>
      <c r="BL1425" s="27"/>
      <c r="BX1425" s="27"/>
      <c r="BY1425" s="27"/>
      <c r="CH1425" s="29"/>
    </row>
    <row r="1426" spans="1:107" x14ac:dyDescent="0.2">
      <c r="A1426" s="18">
        <v>10095</v>
      </c>
      <c r="B1426" s="19">
        <v>14</v>
      </c>
      <c r="C1426" s="19">
        <f t="shared" si="87"/>
        <v>100950014</v>
      </c>
      <c r="D1426" s="23" t="s">
        <v>1610</v>
      </c>
      <c r="E1426" s="20" t="s">
        <v>640</v>
      </c>
      <c r="I1426" s="21" t="s">
        <v>206</v>
      </c>
      <c r="J1426" s="21"/>
      <c r="K1426" s="21"/>
      <c r="L1426" s="21"/>
      <c r="M1426" s="21"/>
      <c r="N1426" s="21" t="s">
        <v>163</v>
      </c>
      <c r="O1426" s="21" t="s">
        <v>163</v>
      </c>
      <c r="P1426" s="114"/>
      <c r="Q1426" s="114" t="s">
        <v>2041</v>
      </c>
      <c r="R1426" s="114"/>
      <c r="S1426" s="114"/>
      <c r="T1426" s="114" t="s">
        <v>2714</v>
      </c>
      <c r="U1426" s="117" t="s">
        <v>3114</v>
      </c>
      <c r="V1426" s="21" t="s">
        <v>109</v>
      </c>
      <c r="W1426" s="21" t="s">
        <v>1</v>
      </c>
      <c r="X1426" s="21"/>
      <c r="Z1426" s="21"/>
      <c r="AA1426" s="21"/>
      <c r="AB1426" s="21"/>
      <c r="AC1426" s="21">
        <v>95</v>
      </c>
      <c r="AD1426" s="21"/>
      <c r="AE1426" s="39"/>
      <c r="AF1426" s="39" t="s">
        <v>2042</v>
      </c>
      <c r="AG1426" s="21"/>
      <c r="AH1426" s="25">
        <v>101955</v>
      </c>
      <c r="AI1426" s="25" t="s">
        <v>266</v>
      </c>
      <c r="AK1426" s="27">
        <v>6350</v>
      </c>
      <c r="AL1426" s="27"/>
      <c r="AX1426" s="27"/>
      <c r="AY1426" s="27"/>
      <c r="BK1426" s="27"/>
      <c r="BL1426" s="27"/>
      <c r="BX1426" s="27"/>
      <c r="BY1426" s="27"/>
      <c r="CH1426" s="29"/>
    </row>
    <row r="1427" spans="1:107" s="57" customFormat="1" x14ac:dyDescent="0.2">
      <c r="A1427" s="55">
        <v>10096</v>
      </c>
      <c r="B1427" s="56">
        <v>10</v>
      </c>
      <c r="C1427" s="56">
        <f t="shared" si="87"/>
        <v>100960010</v>
      </c>
      <c r="D1427" s="57" t="s">
        <v>1809</v>
      </c>
      <c r="E1427" s="58" t="s">
        <v>640</v>
      </c>
      <c r="F1427" s="58"/>
      <c r="G1427" s="58"/>
      <c r="H1427" s="58"/>
      <c r="I1427" s="59" t="s">
        <v>206</v>
      </c>
      <c r="J1427" s="59"/>
      <c r="K1427" s="59"/>
      <c r="L1427" s="59"/>
      <c r="M1427" s="59"/>
      <c r="N1427" s="59" t="s">
        <v>163</v>
      </c>
      <c r="O1427" s="59" t="s">
        <v>163</v>
      </c>
      <c r="P1427" s="59"/>
      <c r="Q1427" s="59" t="s">
        <v>2041</v>
      </c>
      <c r="R1427" s="59"/>
      <c r="S1427" s="59"/>
      <c r="T1427" s="59" t="s">
        <v>2714</v>
      </c>
      <c r="U1427" s="122" t="s">
        <v>3115</v>
      </c>
      <c r="V1427" s="59" t="s">
        <v>109</v>
      </c>
      <c r="W1427" s="59" t="s">
        <v>1</v>
      </c>
      <c r="X1427" s="59"/>
      <c r="Z1427" s="59"/>
      <c r="AA1427" s="59"/>
      <c r="AB1427" s="59"/>
      <c r="AC1427" s="59">
        <v>96</v>
      </c>
      <c r="AD1427" s="59"/>
      <c r="AE1427" s="60"/>
      <c r="AF1427" s="60" t="s">
        <v>2042</v>
      </c>
      <c r="AG1427" s="59"/>
      <c r="AH1427" s="61">
        <v>101961</v>
      </c>
      <c r="AI1427" s="61" t="s">
        <v>176</v>
      </c>
      <c r="AJ1427" s="61"/>
      <c r="AK1427" s="62" t="s">
        <v>635</v>
      </c>
      <c r="AL1427" s="62"/>
      <c r="AM1427" s="63"/>
      <c r="AN1427" s="63"/>
      <c r="AO1427" s="63"/>
      <c r="AP1427" s="63"/>
      <c r="AQ1427" s="63"/>
      <c r="AR1427" s="63"/>
      <c r="AS1427" s="63"/>
      <c r="AT1427" s="63"/>
      <c r="AU1427" s="61"/>
      <c r="AV1427" s="61"/>
      <c r="AW1427" s="61"/>
      <c r="AX1427" s="62"/>
      <c r="AY1427" s="62"/>
      <c r="AZ1427" s="63"/>
      <c r="BA1427" s="63"/>
      <c r="BB1427" s="63"/>
      <c r="BC1427" s="63"/>
      <c r="BD1427" s="63"/>
      <c r="BE1427" s="63"/>
      <c r="BF1427" s="63"/>
      <c r="BG1427" s="63"/>
      <c r="BH1427" s="61"/>
      <c r="BI1427" s="61"/>
      <c r="BJ1427" s="61"/>
      <c r="BK1427" s="62"/>
      <c r="BL1427" s="62"/>
      <c r="BM1427" s="63"/>
      <c r="BN1427" s="63"/>
      <c r="BO1427" s="63"/>
      <c r="BP1427" s="63"/>
      <c r="BQ1427" s="63"/>
      <c r="BR1427" s="63"/>
      <c r="BS1427" s="63"/>
      <c r="BT1427" s="63"/>
      <c r="BU1427" s="61"/>
      <c r="BV1427" s="61"/>
      <c r="BW1427" s="61"/>
      <c r="BX1427" s="62"/>
      <c r="BY1427" s="62"/>
      <c r="BZ1427" s="63"/>
      <c r="CA1427" s="63"/>
      <c r="CB1427" s="63"/>
      <c r="CC1427" s="63"/>
      <c r="CD1427" s="63"/>
      <c r="CE1427" s="63"/>
      <c r="CF1427" s="63"/>
      <c r="CG1427" s="63"/>
      <c r="CH1427" s="64"/>
      <c r="CJ1427" s="63"/>
      <c r="CT1427" s="65"/>
      <c r="CU1427" s="65"/>
      <c r="CV1427" s="65"/>
      <c r="CW1427" s="65"/>
      <c r="CX1427" s="65"/>
      <c r="CY1427" s="65"/>
      <c r="CZ1427" s="65"/>
      <c r="DA1427" s="65"/>
      <c r="DB1427" s="65"/>
      <c r="DC1427" s="63"/>
    </row>
    <row r="1428" spans="1:107" s="57" customFormat="1" x14ac:dyDescent="0.2">
      <c r="A1428" s="55">
        <v>10096</v>
      </c>
      <c r="B1428" s="56">
        <v>11</v>
      </c>
      <c r="C1428" s="56">
        <f t="shared" si="87"/>
        <v>100960011</v>
      </c>
      <c r="D1428" s="57" t="s">
        <v>1809</v>
      </c>
      <c r="E1428" s="58" t="s">
        <v>640</v>
      </c>
      <c r="F1428" s="58"/>
      <c r="G1428" s="58"/>
      <c r="H1428" s="58"/>
      <c r="I1428" s="59" t="s">
        <v>206</v>
      </c>
      <c r="J1428" s="59"/>
      <c r="K1428" s="59"/>
      <c r="L1428" s="59"/>
      <c r="M1428" s="59"/>
      <c r="N1428" s="59" t="s">
        <v>163</v>
      </c>
      <c r="O1428" s="59" t="s">
        <v>163</v>
      </c>
      <c r="P1428" s="59"/>
      <c r="Q1428" s="59" t="s">
        <v>2041</v>
      </c>
      <c r="R1428" s="59"/>
      <c r="S1428" s="59"/>
      <c r="T1428" s="59" t="s">
        <v>2714</v>
      </c>
      <c r="U1428" s="122" t="s">
        <v>3116</v>
      </c>
      <c r="V1428" s="59" t="s">
        <v>109</v>
      </c>
      <c r="W1428" s="59" t="s">
        <v>1</v>
      </c>
      <c r="X1428" s="59"/>
      <c r="Z1428" s="59"/>
      <c r="AA1428" s="59"/>
      <c r="AB1428" s="59"/>
      <c r="AC1428" s="59">
        <v>96</v>
      </c>
      <c r="AD1428" s="59"/>
      <c r="AE1428" s="60"/>
      <c r="AF1428" s="60" t="s">
        <v>2042</v>
      </c>
      <c r="AG1428" s="59"/>
      <c r="AH1428" s="61">
        <v>101962</v>
      </c>
      <c r="AI1428" s="61" t="s">
        <v>260</v>
      </c>
      <c r="AJ1428" s="61"/>
      <c r="AK1428" s="62" t="s">
        <v>636</v>
      </c>
      <c r="AL1428" s="62"/>
      <c r="AM1428" s="63"/>
      <c r="AN1428" s="63"/>
      <c r="AO1428" s="63"/>
      <c r="AP1428" s="63"/>
      <c r="AQ1428" s="63"/>
      <c r="AR1428" s="63"/>
      <c r="AS1428" s="63"/>
      <c r="AT1428" s="63"/>
      <c r="AU1428" s="61"/>
      <c r="AV1428" s="61"/>
      <c r="AW1428" s="61"/>
      <c r="AX1428" s="62"/>
      <c r="AY1428" s="62"/>
      <c r="AZ1428" s="63"/>
      <c r="BA1428" s="63"/>
      <c r="BB1428" s="63"/>
      <c r="BC1428" s="63"/>
      <c r="BD1428" s="63"/>
      <c r="BE1428" s="63"/>
      <c r="BF1428" s="63"/>
      <c r="BG1428" s="63"/>
      <c r="BH1428" s="61"/>
      <c r="BI1428" s="61"/>
      <c r="BJ1428" s="61"/>
      <c r="BK1428" s="62"/>
      <c r="BL1428" s="62"/>
      <c r="BM1428" s="63"/>
      <c r="BN1428" s="63"/>
      <c r="BO1428" s="63"/>
      <c r="BP1428" s="63"/>
      <c r="BQ1428" s="63"/>
      <c r="BR1428" s="63"/>
      <c r="BS1428" s="63"/>
      <c r="BT1428" s="63"/>
      <c r="BU1428" s="61"/>
      <c r="BV1428" s="61"/>
      <c r="BW1428" s="61"/>
      <c r="BX1428" s="62"/>
      <c r="BY1428" s="62"/>
      <c r="BZ1428" s="63"/>
      <c r="CA1428" s="63"/>
      <c r="CB1428" s="63"/>
      <c r="CC1428" s="63"/>
      <c r="CD1428" s="63"/>
      <c r="CE1428" s="63"/>
      <c r="CF1428" s="63"/>
      <c r="CG1428" s="63"/>
      <c r="CH1428" s="64"/>
      <c r="CJ1428" s="63"/>
      <c r="CT1428" s="65"/>
      <c r="CU1428" s="65"/>
      <c r="CV1428" s="65"/>
      <c r="CW1428" s="65"/>
      <c r="CX1428" s="65"/>
      <c r="CY1428" s="65"/>
      <c r="CZ1428" s="65"/>
      <c r="DA1428" s="65"/>
      <c r="DB1428" s="65"/>
      <c r="DC1428" s="63"/>
    </row>
    <row r="1429" spans="1:107" s="57" customFormat="1" x14ac:dyDescent="0.2">
      <c r="A1429" s="55">
        <v>10096</v>
      </c>
      <c r="B1429" s="56">
        <v>12</v>
      </c>
      <c r="C1429" s="56">
        <f t="shared" si="87"/>
        <v>100960012</v>
      </c>
      <c r="D1429" s="57" t="s">
        <v>1809</v>
      </c>
      <c r="E1429" s="58" t="s">
        <v>640</v>
      </c>
      <c r="F1429" s="58"/>
      <c r="G1429" s="58"/>
      <c r="H1429" s="58"/>
      <c r="I1429" s="59" t="s">
        <v>206</v>
      </c>
      <c r="J1429" s="59"/>
      <c r="K1429" s="59"/>
      <c r="L1429" s="59"/>
      <c r="M1429" s="59"/>
      <c r="N1429" s="59" t="s">
        <v>163</v>
      </c>
      <c r="O1429" s="59" t="s">
        <v>163</v>
      </c>
      <c r="P1429" s="59"/>
      <c r="Q1429" s="59" t="s">
        <v>2041</v>
      </c>
      <c r="R1429" s="59"/>
      <c r="S1429" s="59"/>
      <c r="T1429" s="59" t="s">
        <v>2714</v>
      </c>
      <c r="U1429" s="122" t="s">
        <v>3117</v>
      </c>
      <c r="V1429" s="59" t="s">
        <v>109</v>
      </c>
      <c r="W1429" s="59" t="s">
        <v>1</v>
      </c>
      <c r="X1429" s="59"/>
      <c r="Z1429" s="59"/>
      <c r="AA1429" s="59"/>
      <c r="AB1429" s="59"/>
      <c r="AC1429" s="59">
        <v>96</v>
      </c>
      <c r="AD1429" s="59"/>
      <c r="AE1429" s="60"/>
      <c r="AF1429" s="60" t="s">
        <v>2042</v>
      </c>
      <c r="AG1429" s="59"/>
      <c r="AH1429" s="61">
        <v>101963</v>
      </c>
      <c r="AI1429" s="61" t="s">
        <v>264</v>
      </c>
      <c r="AJ1429" s="61"/>
      <c r="AK1429" s="62" t="s">
        <v>637</v>
      </c>
      <c r="AL1429" s="62"/>
      <c r="AM1429" s="63"/>
      <c r="AN1429" s="63"/>
      <c r="AO1429" s="63"/>
      <c r="AP1429" s="63"/>
      <c r="AQ1429" s="63"/>
      <c r="AR1429" s="63"/>
      <c r="AS1429" s="63"/>
      <c r="AT1429" s="63"/>
      <c r="AU1429" s="61"/>
      <c r="AV1429" s="61"/>
      <c r="AW1429" s="61"/>
      <c r="AX1429" s="62"/>
      <c r="AY1429" s="62"/>
      <c r="AZ1429" s="63"/>
      <c r="BA1429" s="63"/>
      <c r="BB1429" s="63"/>
      <c r="BC1429" s="63"/>
      <c r="BD1429" s="63"/>
      <c r="BE1429" s="63"/>
      <c r="BF1429" s="63"/>
      <c r="BG1429" s="63"/>
      <c r="BH1429" s="61"/>
      <c r="BI1429" s="61"/>
      <c r="BJ1429" s="61"/>
      <c r="BK1429" s="62"/>
      <c r="BL1429" s="62"/>
      <c r="BM1429" s="63"/>
      <c r="BN1429" s="63"/>
      <c r="BO1429" s="63"/>
      <c r="BP1429" s="63"/>
      <c r="BQ1429" s="63"/>
      <c r="BR1429" s="63"/>
      <c r="BS1429" s="63"/>
      <c r="BT1429" s="63"/>
      <c r="BU1429" s="61"/>
      <c r="BV1429" s="61"/>
      <c r="BW1429" s="61"/>
      <c r="BX1429" s="62"/>
      <c r="BY1429" s="62"/>
      <c r="BZ1429" s="63"/>
      <c r="CA1429" s="63"/>
      <c r="CB1429" s="63"/>
      <c r="CC1429" s="63"/>
      <c r="CD1429" s="63"/>
      <c r="CE1429" s="63"/>
      <c r="CF1429" s="63"/>
      <c r="CG1429" s="63"/>
      <c r="CH1429" s="64"/>
      <c r="CJ1429" s="63"/>
      <c r="CT1429" s="65"/>
      <c r="CU1429" s="65"/>
      <c r="CV1429" s="65"/>
      <c r="CW1429" s="65"/>
      <c r="CX1429" s="65"/>
      <c r="CY1429" s="65"/>
      <c r="CZ1429" s="65"/>
      <c r="DA1429" s="65"/>
      <c r="DB1429" s="65"/>
      <c r="DC1429" s="63"/>
    </row>
    <row r="1430" spans="1:107" s="57" customFormat="1" x14ac:dyDescent="0.2">
      <c r="A1430" s="55">
        <v>10096</v>
      </c>
      <c r="B1430" s="56">
        <v>13</v>
      </c>
      <c r="C1430" s="56">
        <f t="shared" si="87"/>
        <v>100960013</v>
      </c>
      <c r="D1430" s="57" t="s">
        <v>1809</v>
      </c>
      <c r="E1430" s="58" t="s">
        <v>640</v>
      </c>
      <c r="F1430" s="58"/>
      <c r="G1430" s="58"/>
      <c r="H1430" s="58"/>
      <c r="I1430" s="59" t="s">
        <v>206</v>
      </c>
      <c r="J1430" s="59"/>
      <c r="K1430" s="59"/>
      <c r="L1430" s="59"/>
      <c r="M1430" s="59"/>
      <c r="N1430" s="59" t="s">
        <v>163</v>
      </c>
      <c r="O1430" s="59" t="s">
        <v>163</v>
      </c>
      <c r="P1430" s="59"/>
      <c r="Q1430" s="59" t="s">
        <v>2041</v>
      </c>
      <c r="R1430" s="59"/>
      <c r="S1430" s="59"/>
      <c r="T1430" s="59" t="s">
        <v>2714</v>
      </c>
      <c r="U1430" s="122" t="s">
        <v>3118</v>
      </c>
      <c r="V1430" s="59" t="s">
        <v>109</v>
      </c>
      <c r="W1430" s="59" t="s">
        <v>1</v>
      </c>
      <c r="X1430" s="59"/>
      <c r="Z1430" s="59"/>
      <c r="AA1430" s="59"/>
      <c r="AB1430" s="59"/>
      <c r="AC1430" s="59">
        <v>96</v>
      </c>
      <c r="AD1430" s="59"/>
      <c r="AE1430" s="60"/>
      <c r="AF1430" s="60" t="s">
        <v>2042</v>
      </c>
      <c r="AG1430" s="59"/>
      <c r="AH1430" s="61">
        <v>101964</v>
      </c>
      <c r="AI1430" s="61" t="s">
        <v>265</v>
      </c>
      <c r="AJ1430" s="61"/>
      <c r="AK1430" s="62" t="s">
        <v>638</v>
      </c>
      <c r="AL1430" s="62"/>
      <c r="AM1430" s="63"/>
      <c r="AN1430" s="63"/>
      <c r="AO1430" s="63"/>
      <c r="AP1430" s="63"/>
      <c r="AQ1430" s="63"/>
      <c r="AR1430" s="63"/>
      <c r="AS1430" s="63"/>
      <c r="AT1430" s="63"/>
      <c r="AU1430" s="61"/>
      <c r="AV1430" s="61"/>
      <c r="AW1430" s="61"/>
      <c r="AX1430" s="62"/>
      <c r="AY1430" s="62"/>
      <c r="AZ1430" s="63"/>
      <c r="BA1430" s="63"/>
      <c r="BB1430" s="63"/>
      <c r="BC1430" s="63"/>
      <c r="BD1430" s="63"/>
      <c r="BE1430" s="63"/>
      <c r="BF1430" s="63"/>
      <c r="BG1430" s="63"/>
      <c r="BH1430" s="61"/>
      <c r="BI1430" s="61"/>
      <c r="BJ1430" s="61"/>
      <c r="BK1430" s="62"/>
      <c r="BL1430" s="62"/>
      <c r="BM1430" s="63"/>
      <c r="BN1430" s="63"/>
      <c r="BO1430" s="63"/>
      <c r="BP1430" s="63"/>
      <c r="BQ1430" s="63"/>
      <c r="BR1430" s="63"/>
      <c r="BS1430" s="63"/>
      <c r="BT1430" s="63"/>
      <c r="BU1430" s="61"/>
      <c r="BV1430" s="61"/>
      <c r="BW1430" s="61"/>
      <c r="BX1430" s="62"/>
      <c r="BY1430" s="62"/>
      <c r="BZ1430" s="63"/>
      <c r="CA1430" s="63"/>
      <c r="CB1430" s="63"/>
      <c r="CC1430" s="63"/>
      <c r="CD1430" s="63"/>
      <c r="CE1430" s="63"/>
      <c r="CF1430" s="63"/>
      <c r="CG1430" s="63"/>
      <c r="CH1430" s="64"/>
      <c r="CJ1430" s="63"/>
      <c r="CT1430" s="65"/>
      <c r="CU1430" s="65"/>
      <c r="CV1430" s="65"/>
      <c r="CW1430" s="65"/>
      <c r="CX1430" s="65"/>
      <c r="CY1430" s="65"/>
      <c r="CZ1430" s="65"/>
      <c r="DA1430" s="65"/>
      <c r="DB1430" s="65"/>
      <c r="DC1430" s="63"/>
    </row>
    <row r="1431" spans="1:107" s="57" customFormat="1" x14ac:dyDescent="0.2">
      <c r="A1431" s="55">
        <v>10096</v>
      </c>
      <c r="B1431" s="56">
        <v>14</v>
      </c>
      <c r="C1431" s="56">
        <f t="shared" si="87"/>
        <v>100960014</v>
      </c>
      <c r="D1431" s="57" t="s">
        <v>1809</v>
      </c>
      <c r="E1431" s="58" t="s">
        <v>640</v>
      </c>
      <c r="F1431" s="58"/>
      <c r="G1431" s="58"/>
      <c r="H1431" s="58"/>
      <c r="I1431" s="59" t="s">
        <v>206</v>
      </c>
      <c r="J1431" s="59"/>
      <c r="K1431" s="59"/>
      <c r="L1431" s="59"/>
      <c r="M1431" s="59"/>
      <c r="N1431" s="59" t="s">
        <v>163</v>
      </c>
      <c r="O1431" s="59" t="s">
        <v>163</v>
      </c>
      <c r="P1431" s="59"/>
      <c r="Q1431" s="59" t="s">
        <v>2041</v>
      </c>
      <c r="R1431" s="59"/>
      <c r="S1431" s="59"/>
      <c r="T1431" s="59" t="s">
        <v>2714</v>
      </c>
      <c r="U1431" s="122" t="s">
        <v>3119</v>
      </c>
      <c r="V1431" s="59" t="s">
        <v>109</v>
      </c>
      <c r="W1431" s="59" t="s">
        <v>1</v>
      </c>
      <c r="X1431" s="59"/>
      <c r="Z1431" s="59"/>
      <c r="AA1431" s="59"/>
      <c r="AB1431" s="59"/>
      <c r="AC1431" s="59">
        <v>96</v>
      </c>
      <c r="AD1431" s="59"/>
      <c r="AE1431" s="60"/>
      <c r="AF1431" s="60" t="s">
        <v>2042</v>
      </c>
      <c r="AG1431" s="59"/>
      <c r="AH1431" s="61">
        <v>101965</v>
      </c>
      <c r="AI1431" s="61" t="s">
        <v>266</v>
      </c>
      <c r="AJ1431" s="61"/>
      <c r="AK1431" s="62">
        <v>6350</v>
      </c>
      <c r="AL1431" s="62"/>
      <c r="AM1431" s="63"/>
      <c r="AN1431" s="63"/>
      <c r="AO1431" s="63"/>
      <c r="AP1431" s="63"/>
      <c r="AQ1431" s="63"/>
      <c r="AR1431" s="63"/>
      <c r="AS1431" s="63"/>
      <c r="AT1431" s="63"/>
      <c r="AU1431" s="61"/>
      <c r="AV1431" s="61"/>
      <c r="AW1431" s="61"/>
      <c r="AX1431" s="62"/>
      <c r="AY1431" s="62"/>
      <c r="AZ1431" s="63"/>
      <c r="BA1431" s="63"/>
      <c r="BB1431" s="63"/>
      <c r="BC1431" s="63"/>
      <c r="BD1431" s="63"/>
      <c r="BE1431" s="63"/>
      <c r="BF1431" s="63"/>
      <c r="BG1431" s="63"/>
      <c r="BH1431" s="61"/>
      <c r="BI1431" s="61"/>
      <c r="BJ1431" s="61"/>
      <c r="BK1431" s="62"/>
      <c r="BL1431" s="62"/>
      <c r="BM1431" s="63"/>
      <c r="BN1431" s="63"/>
      <c r="BO1431" s="63"/>
      <c r="BP1431" s="63"/>
      <c r="BQ1431" s="63"/>
      <c r="BR1431" s="63"/>
      <c r="BS1431" s="63"/>
      <c r="BT1431" s="63"/>
      <c r="BU1431" s="61"/>
      <c r="BV1431" s="61"/>
      <c r="BW1431" s="61"/>
      <c r="BX1431" s="62"/>
      <c r="BY1431" s="62"/>
      <c r="BZ1431" s="63"/>
      <c r="CA1431" s="63"/>
      <c r="CB1431" s="63"/>
      <c r="CC1431" s="63"/>
      <c r="CD1431" s="63"/>
      <c r="CE1431" s="63"/>
      <c r="CF1431" s="63"/>
      <c r="CG1431" s="63"/>
      <c r="CH1431" s="64"/>
      <c r="CJ1431" s="63"/>
      <c r="CT1431" s="65"/>
      <c r="CU1431" s="65"/>
      <c r="CV1431" s="65"/>
      <c r="CW1431" s="65"/>
      <c r="CX1431" s="65"/>
      <c r="CY1431" s="65"/>
      <c r="CZ1431" s="65"/>
      <c r="DA1431" s="65"/>
      <c r="DB1431" s="65"/>
      <c r="DC1431" s="63"/>
    </row>
    <row r="1432" spans="1:107" s="57" customFormat="1" x14ac:dyDescent="0.2">
      <c r="A1432" s="55">
        <v>10097</v>
      </c>
      <c r="B1432" s="56">
        <v>10</v>
      </c>
      <c r="C1432" s="56">
        <f t="shared" ref="C1432:C1436" si="95">A1432*10000+B1432</f>
        <v>100970010</v>
      </c>
      <c r="D1432" s="57" t="s">
        <v>2121</v>
      </c>
      <c r="E1432" s="58" t="s">
        <v>640</v>
      </c>
      <c r="F1432" s="58"/>
      <c r="G1432" s="58"/>
      <c r="H1432" s="58"/>
      <c r="I1432" s="59" t="s">
        <v>206</v>
      </c>
      <c r="J1432" s="59"/>
      <c r="K1432" s="59"/>
      <c r="L1432" s="59"/>
      <c r="M1432" s="59"/>
      <c r="N1432" s="59" t="s">
        <v>163</v>
      </c>
      <c r="O1432" s="59" t="s">
        <v>163</v>
      </c>
      <c r="P1432" s="59"/>
      <c r="Q1432" s="59" t="s">
        <v>2041</v>
      </c>
      <c r="R1432" s="59"/>
      <c r="S1432" s="59"/>
      <c r="T1432" s="59" t="s">
        <v>2714</v>
      </c>
      <c r="U1432" s="122" t="s">
        <v>3120</v>
      </c>
      <c r="V1432" s="59" t="s">
        <v>109</v>
      </c>
      <c r="W1432" s="59" t="s">
        <v>1</v>
      </c>
      <c r="X1432" s="59"/>
      <c r="Z1432" s="59"/>
      <c r="AA1432" s="59"/>
      <c r="AB1432" s="59"/>
      <c r="AC1432" s="59">
        <v>97</v>
      </c>
      <c r="AD1432" s="59"/>
      <c r="AE1432" s="60"/>
      <c r="AF1432" s="60" t="s">
        <v>2042</v>
      </c>
      <c r="AG1432" s="59"/>
      <c r="AH1432" s="61">
        <v>101971</v>
      </c>
      <c r="AI1432" s="61" t="s">
        <v>176</v>
      </c>
      <c r="AJ1432" s="61"/>
      <c r="AK1432" s="62" t="s">
        <v>635</v>
      </c>
      <c r="AL1432" s="62"/>
      <c r="AM1432" s="63"/>
      <c r="AN1432" s="63"/>
      <c r="AO1432" s="63"/>
      <c r="AP1432" s="63"/>
      <c r="AQ1432" s="63"/>
      <c r="AR1432" s="63"/>
      <c r="AS1432" s="63"/>
      <c r="AT1432" s="63"/>
      <c r="AU1432" s="61"/>
      <c r="AV1432" s="61"/>
      <c r="AW1432" s="61"/>
      <c r="AX1432" s="62"/>
      <c r="AY1432" s="62"/>
      <c r="AZ1432" s="63"/>
      <c r="BA1432" s="63"/>
      <c r="BB1432" s="63"/>
      <c r="BC1432" s="63"/>
      <c r="BD1432" s="63"/>
      <c r="BE1432" s="63"/>
      <c r="BF1432" s="63"/>
      <c r="BG1432" s="63"/>
      <c r="BH1432" s="61"/>
      <c r="BI1432" s="61"/>
      <c r="BJ1432" s="61"/>
      <c r="BK1432" s="62"/>
      <c r="BL1432" s="62"/>
      <c r="BM1432" s="63"/>
      <c r="BN1432" s="63"/>
      <c r="BO1432" s="63"/>
      <c r="BP1432" s="63"/>
      <c r="BQ1432" s="63"/>
      <c r="BR1432" s="63"/>
      <c r="BS1432" s="63"/>
      <c r="BT1432" s="63"/>
      <c r="BU1432" s="61"/>
      <c r="BV1432" s="61"/>
      <c r="BW1432" s="61"/>
      <c r="BX1432" s="62"/>
      <c r="BY1432" s="62"/>
      <c r="BZ1432" s="63"/>
      <c r="CA1432" s="63"/>
      <c r="CB1432" s="63"/>
      <c r="CC1432" s="63"/>
      <c r="CD1432" s="63"/>
      <c r="CE1432" s="63"/>
      <c r="CF1432" s="63"/>
      <c r="CG1432" s="63"/>
      <c r="CH1432" s="64"/>
      <c r="CJ1432" s="63"/>
      <c r="CT1432" s="65"/>
      <c r="CU1432" s="65"/>
      <c r="CV1432" s="65"/>
      <c r="CW1432" s="65"/>
      <c r="CX1432" s="65"/>
      <c r="CY1432" s="65"/>
      <c r="CZ1432" s="65"/>
      <c r="DA1432" s="65"/>
      <c r="DB1432" s="65"/>
      <c r="DC1432" s="63"/>
    </row>
    <row r="1433" spans="1:107" s="57" customFormat="1" x14ac:dyDescent="0.2">
      <c r="A1433" s="55">
        <v>10097</v>
      </c>
      <c r="B1433" s="56">
        <v>11</v>
      </c>
      <c r="C1433" s="56">
        <f t="shared" si="95"/>
        <v>100970011</v>
      </c>
      <c r="D1433" s="57" t="s">
        <v>2121</v>
      </c>
      <c r="E1433" s="58" t="s">
        <v>640</v>
      </c>
      <c r="F1433" s="58"/>
      <c r="G1433" s="58"/>
      <c r="H1433" s="58"/>
      <c r="I1433" s="59" t="s">
        <v>206</v>
      </c>
      <c r="J1433" s="59"/>
      <c r="K1433" s="59"/>
      <c r="L1433" s="59"/>
      <c r="M1433" s="59"/>
      <c r="N1433" s="59" t="s">
        <v>163</v>
      </c>
      <c r="O1433" s="59" t="s">
        <v>163</v>
      </c>
      <c r="P1433" s="59"/>
      <c r="Q1433" s="59" t="s">
        <v>2041</v>
      </c>
      <c r="R1433" s="59"/>
      <c r="S1433" s="59"/>
      <c r="T1433" s="59" t="s">
        <v>2714</v>
      </c>
      <c r="U1433" s="122" t="s">
        <v>3121</v>
      </c>
      <c r="V1433" s="59" t="s">
        <v>109</v>
      </c>
      <c r="W1433" s="59" t="s">
        <v>1</v>
      </c>
      <c r="X1433" s="59"/>
      <c r="Z1433" s="59"/>
      <c r="AA1433" s="59"/>
      <c r="AB1433" s="59"/>
      <c r="AC1433" s="59">
        <v>97</v>
      </c>
      <c r="AD1433" s="59"/>
      <c r="AE1433" s="60"/>
      <c r="AF1433" s="60" t="s">
        <v>2042</v>
      </c>
      <c r="AG1433" s="59"/>
      <c r="AH1433" s="61">
        <v>101972</v>
      </c>
      <c r="AI1433" s="61" t="s">
        <v>260</v>
      </c>
      <c r="AJ1433" s="61"/>
      <c r="AK1433" s="62" t="s">
        <v>636</v>
      </c>
      <c r="AL1433" s="62"/>
      <c r="AM1433" s="63"/>
      <c r="AN1433" s="63"/>
      <c r="AO1433" s="63"/>
      <c r="AP1433" s="63"/>
      <c r="AQ1433" s="63"/>
      <c r="AR1433" s="63"/>
      <c r="AS1433" s="63"/>
      <c r="AT1433" s="63"/>
      <c r="AU1433" s="61"/>
      <c r="AV1433" s="61"/>
      <c r="AW1433" s="61"/>
      <c r="AX1433" s="62"/>
      <c r="AY1433" s="62"/>
      <c r="AZ1433" s="63"/>
      <c r="BA1433" s="63"/>
      <c r="BB1433" s="63"/>
      <c r="BC1433" s="63"/>
      <c r="BD1433" s="63"/>
      <c r="BE1433" s="63"/>
      <c r="BF1433" s="63"/>
      <c r="BG1433" s="63"/>
      <c r="BH1433" s="61"/>
      <c r="BI1433" s="61"/>
      <c r="BJ1433" s="61"/>
      <c r="BK1433" s="62"/>
      <c r="BL1433" s="62"/>
      <c r="BM1433" s="63"/>
      <c r="BN1433" s="63"/>
      <c r="BO1433" s="63"/>
      <c r="BP1433" s="63"/>
      <c r="BQ1433" s="63"/>
      <c r="BR1433" s="63"/>
      <c r="BS1433" s="63"/>
      <c r="BT1433" s="63"/>
      <c r="BU1433" s="61"/>
      <c r="BV1433" s="61"/>
      <c r="BW1433" s="61"/>
      <c r="BX1433" s="62"/>
      <c r="BY1433" s="62"/>
      <c r="BZ1433" s="63"/>
      <c r="CA1433" s="63"/>
      <c r="CB1433" s="63"/>
      <c r="CC1433" s="63"/>
      <c r="CD1433" s="63"/>
      <c r="CE1433" s="63"/>
      <c r="CF1433" s="63"/>
      <c r="CG1433" s="63"/>
      <c r="CH1433" s="64"/>
      <c r="CJ1433" s="63"/>
      <c r="CT1433" s="65"/>
      <c r="CU1433" s="65"/>
      <c r="CV1433" s="65"/>
      <c r="CW1433" s="65"/>
      <c r="CX1433" s="65"/>
      <c r="CY1433" s="65"/>
      <c r="CZ1433" s="65"/>
      <c r="DA1433" s="65"/>
      <c r="DB1433" s="65"/>
      <c r="DC1433" s="63"/>
    </row>
    <row r="1434" spans="1:107" s="57" customFormat="1" x14ac:dyDescent="0.2">
      <c r="A1434" s="55">
        <v>10097</v>
      </c>
      <c r="B1434" s="56">
        <v>12</v>
      </c>
      <c r="C1434" s="56">
        <f t="shared" si="95"/>
        <v>100970012</v>
      </c>
      <c r="D1434" s="57" t="s">
        <v>2121</v>
      </c>
      <c r="E1434" s="58" t="s">
        <v>640</v>
      </c>
      <c r="F1434" s="58"/>
      <c r="G1434" s="58"/>
      <c r="H1434" s="58"/>
      <c r="I1434" s="59" t="s">
        <v>206</v>
      </c>
      <c r="J1434" s="59"/>
      <c r="K1434" s="59"/>
      <c r="L1434" s="59"/>
      <c r="M1434" s="59"/>
      <c r="N1434" s="59" t="s">
        <v>163</v>
      </c>
      <c r="O1434" s="59" t="s">
        <v>163</v>
      </c>
      <c r="P1434" s="59"/>
      <c r="Q1434" s="59" t="s">
        <v>2041</v>
      </c>
      <c r="R1434" s="59"/>
      <c r="S1434" s="59"/>
      <c r="T1434" s="59" t="s">
        <v>2714</v>
      </c>
      <c r="U1434" s="122" t="s">
        <v>3122</v>
      </c>
      <c r="V1434" s="59" t="s">
        <v>109</v>
      </c>
      <c r="W1434" s="59" t="s">
        <v>1</v>
      </c>
      <c r="X1434" s="59"/>
      <c r="Z1434" s="59"/>
      <c r="AA1434" s="59"/>
      <c r="AB1434" s="59"/>
      <c r="AC1434" s="59">
        <v>97</v>
      </c>
      <c r="AD1434" s="59"/>
      <c r="AE1434" s="60"/>
      <c r="AF1434" s="60" t="s">
        <v>2042</v>
      </c>
      <c r="AG1434" s="59"/>
      <c r="AH1434" s="61">
        <v>101973</v>
      </c>
      <c r="AI1434" s="61" t="s">
        <v>264</v>
      </c>
      <c r="AJ1434" s="61"/>
      <c r="AK1434" s="62" t="s">
        <v>637</v>
      </c>
      <c r="AL1434" s="62"/>
      <c r="AM1434" s="63"/>
      <c r="AN1434" s="63"/>
      <c r="AO1434" s="63"/>
      <c r="AP1434" s="63"/>
      <c r="AQ1434" s="63"/>
      <c r="AR1434" s="63"/>
      <c r="AS1434" s="63"/>
      <c r="AT1434" s="63"/>
      <c r="AU1434" s="61"/>
      <c r="AV1434" s="61"/>
      <c r="AW1434" s="61"/>
      <c r="AX1434" s="62"/>
      <c r="AY1434" s="62"/>
      <c r="AZ1434" s="63"/>
      <c r="BA1434" s="63"/>
      <c r="BB1434" s="63"/>
      <c r="BC1434" s="63"/>
      <c r="BD1434" s="63"/>
      <c r="BE1434" s="63"/>
      <c r="BF1434" s="63"/>
      <c r="BG1434" s="63"/>
      <c r="BH1434" s="61"/>
      <c r="BI1434" s="61"/>
      <c r="BJ1434" s="61"/>
      <c r="BK1434" s="62"/>
      <c r="BL1434" s="62"/>
      <c r="BM1434" s="63"/>
      <c r="BN1434" s="63"/>
      <c r="BO1434" s="63"/>
      <c r="BP1434" s="63"/>
      <c r="BQ1434" s="63"/>
      <c r="BR1434" s="63"/>
      <c r="BS1434" s="63"/>
      <c r="BT1434" s="63"/>
      <c r="BU1434" s="61"/>
      <c r="BV1434" s="61"/>
      <c r="BW1434" s="61"/>
      <c r="BX1434" s="62"/>
      <c r="BY1434" s="62"/>
      <c r="BZ1434" s="63"/>
      <c r="CA1434" s="63"/>
      <c r="CB1434" s="63"/>
      <c r="CC1434" s="63"/>
      <c r="CD1434" s="63"/>
      <c r="CE1434" s="63"/>
      <c r="CF1434" s="63"/>
      <c r="CG1434" s="63"/>
      <c r="CH1434" s="64"/>
      <c r="CJ1434" s="63"/>
      <c r="CT1434" s="65"/>
      <c r="CU1434" s="65"/>
      <c r="CV1434" s="65"/>
      <c r="CW1434" s="65"/>
      <c r="CX1434" s="65"/>
      <c r="CY1434" s="65"/>
      <c r="CZ1434" s="65"/>
      <c r="DA1434" s="65"/>
      <c r="DB1434" s="65"/>
      <c r="DC1434" s="63"/>
    </row>
    <row r="1435" spans="1:107" s="57" customFormat="1" x14ac:dyDescent="0.2">
      <c r="A1435" s="55">
        <v>10097</v>
      </c>
      <c r="B1435" s="56">
        <v>13</v>
      </c>
      <c r="C1435" s="56">
        <f t="shared" si="95"/>
        <v>100970013</v>
      </c>
      <c r="D1435" s="57" t="s">
        <v>2121</v>
      </c>
      <c r="E1435" s="58" t="s">
        <v>640</v>
      </c>
      <c r="F1435" s="58"/>
      <c r="G1435" s="58"/>
      <c r="H1435" s="58"/>
      <c r="I1435" s="59" t="s">
        <v>206</v>
      </c>
      <c r="J1435" s="59"/>
      <c r="K1435" s="59"/>
      <c r="L1435" s="59"/>
      <c r="M1435" s="59"/>
      <c r="N1435" s="59" t="s">
        <v>163</v>
      </c>
      <c r="O1435" s="59" t="s">
        <v>163</v>
      </c>
      <c r="P1435" s="59"/>
      <c r="Q1435" s="59" t="s">
        <v>2041</v>
      </c>
      <c r="R1435" s="59"/>
      <c r="S1435" s="59"/>
      <c r="T1435" s="59" t="s">
        <v>2714</v>
      </c>
      <c r="U1435" s="122" t="s">
        <v>3123</v>
      </c>
      <c r="V1435" s="59" t="s">
        <v>109</v>
      </c>
      <c r="W1435" s="59" t="s">
        <v>1</v>
      </c>
      <c r="X1435" s="59"/>
      <c r="Z1435" s="59"/>
      <c r="AA1435" s="59"/>
      <c r="AB1435" s="59"/>
      <c r="AC1435" s="59">
        <v>97</v>
      </c>
      <c r="AD1435" s="59"/>
      <c r="AE1435" s="60"/>
      <c r="AF1435" s="60" t="s">
        <v>2042</v>
      </c>
      <c r="AG1435" s="59"/>
      <c r="AH1435" s="61">
        <v>101974</v>
      </c>
      <c r="AI1435" s="61" t="s">
        <v>265</v>
      </c>
      <c r="AJ1435" s="61"/>
      <c r="AK1435" s="62" t="s">
        <v>638</v>
      </c>
      <c r="AL1435" s="62"/>
      <c r="AM1435" s="63"/>
      <c r="AN1435" s="63"/>
      <c r="AO1435" s="63"/>
      <c r="AP1435" s="63"/>
      <c r="AQ1435" s="63"/>
      <c r="AR1435" s="63"/>
      <c r="AS1435" s="63"/>
      <c r="AT1435" s="63"/>
      <c r="AU1435" s="61"/>
      <c r="AV1435" s="61"/>
      <c r="AW1435" s="61"/>
      <c r="AX1435" s="62"/>
      <c r="AY1435" s="62"/>
      <c r="AZ1435" s="63"/>
      <c r="BA1435" s="63"/>
      <c r="BB1435" s="63"/>
      <c r="BC1435" s="63"/>
      <c r="BD1435" s="63"/>
      <c r="BE1435" s="63"/>
      <c r="BF1435" s="63"/>
      <c r="BG1435" s="63"/>
      <c r="BH1435" s="61"/>
      <c r="BI1435" s="61"/>
      <c r="BJ1435" s="61"/>
      <c r="BK1435" s="62"/>
      <c r="BL1435" s="62"/>
      <c r="BM1435" s="63"/>
      <c r="BN1435" s="63"/>
      <c r="BO1435" s="63"/>
      <c r="BP1435" s="63"/>
      <c r="BQ1435" s="63"/>
      <c r="BR1435" s="63"/>
      <c r="BS1435" s="63"/>
      <c r="BT1435" s="63"/>
      <c r="BU1435" s="61"/>
      <c r="BV1435" s="61"/>
      <c r="BW1435" s="61"/>
      <c r="BX1435" s="62"/>
      <c r="BY1435" s="62"/>
      <c r="BZ1435" s="63"/>
      <c r="CA1435" s="63"/>
      <c r="CB1435" s="63"/>
      <c r="CC1435" s="63"/>
      <c r="CD1435" s="63"/>
      <c r="CE1435" s="63"/>
      <c r="CF1435" s="63"/>
      <c r="CG1435" s="63"/>
      <c r="CH1435" s="64"/>
      <c r="CJ1435" s="63"/>
      <c r="CT1435" s="65"/>
      <c r="CU1435" s="65"/>
      <c r="CV1435" s="65"/>
      <c r="CW1435" s="65"/>
      <c r="CX1435" s="65"/>
      <c r="CY1435" s="65"/>
      <c r="CZ1435" s="65"/>
      <c r="DA1435" s="65"/>
      <c r="DB1435" s="65"/>
      <c r="DC1435" s="63"/>
    </row>
    <row r="1436" spans="1:107" s="57" customFormat="1" x14ac:dyDescent="0.2">
      <c r="A1436" s="55">
        <v>10097</v>
      </c>
      <c r="B1436" s="56">
        <v>14</v>
      </c>
      <c r="C1436" s="56">
        <f t="shared" si="95"/>
        <v>100970014</v>
      </c>
      <c r="D1436" s="57" t="s">
        <v>2121</v>
      </c>
      <c r="E1436" s="58" t="s">
        <v>640</v>
      </c>
      <c r="F1436" s="58"/>
      <c r="G1436" s="58"/>
      <c r="H1436" s="58"/>
      <c r="I1436" s="59" t="s">
        <v>206</v>
      </c>
      <c r="J1436" s="59"/>
      <c r="K1436" s="59"/>
      <c r="L1436" s="59"/>
      <c r="M1436" s="59"/>
      <c r="N1436" s="59" t="s">
        <v>163</v>
      </c>
      <c r="O1436" s="59" t="s">
        <v>163</v>
      </c>
      <c r="P1436" s="59"/>
      <c r="Q1436" s="59" t="s">
        <v>2041</v>
      </c>
      <c r="R1436" s="59"/>
      <c r="S1436" s="59"/>
      <c r="T1436" s="59" t="s">
        <v>2714</v>
      </c>
      <c r="U1436" s="122" t="s">
        <v>3124</v>
      </c>
      <c r="V1436" s="59" t="s">
        <v>109</v>
      </c>
      <c r="W1436" s="59" t="s">
        <v>1</v>
      </c>
      <c r="X1436" s="59"/>
      <c r="Z1436" s="59"/>
      <c r="AA1436" s="59"/>
      <c r="AB1436" s="59"/>
      <c r="AC1436" s="59">
        <v>97</v>
      </c>
      <c r="AD1436" s="59"/>
      <c r="AE1436" s="60"/>
      <c r="AF1436" s="60" t="s">
        <v>2042</v>
      </c>
      <c r="AG1436" s="59"/>
      <c r="AH1436" s="61">
        <v>101975</v>
      </c>
      <c r="AI1436" s="61" t="s">
        <v>266</v>
      </c>
      <c r="AJ1436" s="61"/>
      <c r="AK1436" s="62">
        <v>6350</v>
      </c>
      <c r="AL1436" s="62"/>
      <c r="AM1436" s="63"/>
      <c r="AN1436" s="63"/>
      <c r="AO1436" s="63"/>
      <c r="AP1436" s="63"/>
      <c r="AQ1436" s="63"/>
      <c r="AR1436" s="63"/>
      <c r="AS1436" s="63"/>
      <c r="AT1436" s="63"/>
      <c r="AU1436" s="61"/>
      <c r="AV1436" s="61"/>
      <c r="AW1436" s="61"/>
      <c r="AX1436" s="62"/>
      <c r="AY1436" s="62"/>
      <c r="AZ1436" s="63"/>
      <c r="BA1436" s="63"/>
      <c r="BB1436" s="63"/>
      <c r="BC1436" s="63"/>
      <c r="BD1436" s="63"/>
      <c r="BE1436" s="63"/>
      <c r="BF1436" s="63"/>
      <c r="BG1436" s="63"/>
      <c r="BH1436" s="61"/>
      <c r="BI1436" s="61"/>
      <c r="BJ1436" s="61"/>
      <c r="BK1436" s="62"/>
      <c r="BL1436" s="62"/>
      <c r="BM1436" s="63"/>
      <c r="BN1436" s="63"/>
      <c r="BO1436" s="63"/>
      <c r="BP1436" s="63"/>
      <c r="BQ1436" s="63"/>
      <c r="BR1436" s="63"/>
      <c r="BS1436" s="63"/>
      <c r="BT1436" s="63"/>
      <c r="BU1436" s="61"/>
      <c r="BV1436" s="61"/>
      <c r="BW1436" s="61"/>
      <c r="BX1436" s="62"/>
      <c r="BY1436" s="62"/>
      <c r="BZ1436" s="63"/>
      <c r="CA1436" s="63"/>
      <c r="CB1436" s="63"/>
      <c r="CC1436" s="63"/>
      <c r="CD1436" s="63"/>
      <c r="CE1436" s="63"/>
      <c r="CF1436" s="63"/>
      <c r="CG1436" s="63"/>
      <c r="CH1436" s="64"/>
      <c r="CJ1436" s="63"/>
      <c r="CT1436" s="65"/>
      <c r="CU1436" s="65"/>
      <c r="CV1436" s="65"/>
      <c r="CW1436" s="65"/>
      <c r="CX1436" s="65"/>
      <c r="CY1436" s="65"/>
      <c r="CZ1436" s="65"/>
      <c r="DA1436" s="65"/>
      <c r="DB1436" s="65"/>
      <c r="DC1436" s="63"/>
    </row>
    <row r="1437" spans="1:107" s="57" customFormat="1" x14ac:dyDescent="0.2">
      <c r="A1437" s="55">
        <v>10098</v>
      </c>
      <c r="B1437" s="56">
        <v>10</v>
      </c>
      <c r="C1437" s="56">
        <f t="shared" ref="C1437:C1441" si="96">A1437*10000+B1437</f>
        <v>100980010</v>
      </c>
      <c r="D1437" s="57" t="s">
        <v>3374</v>
      </c>
      <c r="E1437" s="58" t="s">
        <v>640</v>
      </c>
      <c r="F1437" s="58"/>
      <c r="G1437" s="58"/>
      <c r="H1437" s="58"/>
      <c r="I1437" s="59" t="s">
        <v>206</v>
      </c>
      <c r="J1437" s="59"/>
      <c r="K1437" s="59"/>
      <c r="L1437" s="59"/>
      <c r="M1437" s="59"/>
      <c r="N1437" s="59" t="s">
        <v>163</v>
      </c>
      <c r="O1437" s="59" t="s">
        <v>163</v>
      </c>
      <c r="P1437" s="59"/>
      <c r="Q1437" s="59" t="s">
        <v>2041</v>
      </c>
      <c r="R1437" s="59"/>
      <c r="S1437" s="59"/>
      <c r="T1437" s="59" t="s">
        <v>2714</v>
      </c>
      <c r="U1437" s="122" t="s">
        <v>3380</v>
      </c>
      <c r="V1437" s="59" t="s">
        <v>109</v>
      </c>
      <c r="W1437" s="59" t="s">
        <v>1</v>
      </c>
      <c r="X1437" s="59"/>
      <c r="Z1437" s="59"/>
      <c r="AA1437" s="59"/>
      <c r="AB1437" s="59"/>
      <c r="AC1437" s="59">
        <v>98</v>
      </c>
      <c r="AD1437" s="59"/>
      <c r="AE1437" s="60"/>
      <c r="AF1437" s="60" t="s">
        <v>2042</v>
      </c>
      <c r="AG1437" s="59"/>
      <c r="AH1437" s="61">
        <v>101981</v>
      </c>
      <c r="AI1437" s="61" t="s">
        <v>176</v>
      </c>
      <c r="AJ1437" s="61"/>
      <c r="AK1437" s="62" t="s">
        <v>635</v>
      </c>
      <c r="AL1437" s="62"/>
      <c r="AM1437" s="63"/>
      <c r="AN1437" s="63"/>
      <c r="AO1437" s="63"/>
      <c r="AP1437" s="63"/>
      <c r="AQ1437" s="63"/>
      <c r="AR1437" s="63"/>
      <c r="AS1437" s="63"/>
      <c r="AT1437" s="63"/>
      <c r="AU1437" s="61"/>
      <c r="AV1437" s="61"/>
      <c r="AW1437" s="61"/>
      <c r="AX1437" s="62"/>
      <c r="AY1437" s="62"/>
      <c r="AZ1437" s="63"/>
      <c r="BA1437" s="63"/>
      <c r="BB1437" s="63"/>
      <c r="BC1437" s="63"/>
      <c r="BD1437" s="63"/>
      <c r="BE1437" s="63"/>
      <c r="BF1437" s="63"/>
      <c r="BG1437" s="63"/>
      <c r="BH1437" s="61"/>
      <c r="BI1437" s="61"/>
      <c r="BJ1437" s="61"/>
      <c r="BK1437" s="62"/>
      <c r="BL1437" s="62"/>
      <c r="BM1437" s="63"/>
      <c r="BN1437" s="63"/>
      <c r="BO1437" s="63"/>
      <c r="BP1437" s="63"/>
      <c r="BQ1437" s="63"/>
      <c r="BR1437" s="63"/>
      <c r="BS1437" s="63"/>
      <c r="BT1437" s="63"/>
      <c r="BU1437" s="61"/>
      <c r="BV1437" s="61"/>
      <c r="BW1437" s="61"/>
      <c r="BX1437" s="62"/>
      <c r="BY1437" s="62"/>
      <c r="BZ1437" s="63"/>
      <c r="CA1437" s="63"/>
      <c r="CB1437" s="63"/>
      <c r="CC1437" s="63"/>
      <c r="CD1437" s="63"/>
      <c r="CE1437" s="63"/>
      <c r="CF1437" s="63"/>
      <c r="CG1437" s="63"/>
      <c r="CH1437" s="64"/>
      <c r="CJ1437" s="63"/>
      <c r="CT1437" s="65"/>
      <c r="CU1437" s="65"/>
      <c r="CV1437" s="65"/>
      <c r="CW1437" s="65"/>
      <c r="CX1437" s="65"/>
      <c r="CY1437" s="65"/>
      <c r="CZ1437" s="65"/>
      <c r="DA1437" s="65"/>
      <c r="DB1437" s="65"/>
      <c r="DC1437" s="63"/>
    </row>
    <row r="1438" spans="1:107" s="57" customFormat="1" x14ac:dyDescent="0.2">
      <c r="A1438" s="55">
        <v>10098</v>
      </c>
      <c r="B1438" s="56">
        <v>11</v>
      </c>
      <c r="C1438" s="56">
        <f t="shared" si="96"/>
        <v>100980011</v>
      </c>
      <c r="D1438" s="57" t="s">
        <v>3374</v>
      </c>
      <c r="E1438" s="58" t="s">
        <v>640</v>
      </c>
      <c r="F1438" s="58"/>
      <c r="G1438" s="58"/>
      <c r="H1438" s="58"/>
      <c r="I1438" s="59" t="s">
        <v>206</v>
      </c>
      <c r="J1438" s="59"/>
      <c r="K1438" s="59"/>
      <c r="L1438" s="59"/>
      <c r="M1438" s="59"/>
      <c r="N1438" s="59" t="s">
        <v>163</v>
      </c>
      <c r="O1438" s="59" t="s">
        <v>163</v>
      </c>
      <c r="P1438" s="59"/>
      <c r="Q1438" s="59" t="s">
        <v>2041</v>
      </c>
      <c r="R1438" s="59"/>
      <c r="S1438" s="59"/>
      <c r="T1438" s="59" t="s">
        <v>2714</v>
      </c>
      <c r="U1438" s="122" t="s">
        <v>3381</v>
      </c>
      <c r="V1438" s="59" t="s">
        <v>109</v>
      </c>
      <c r="W1438" s="59" t="s">
        <v>1</v>
      </c>
      <c r="X1438" s="59"/>
      <c r="Z1438" s="59"/>
      <c r="AA1438" s="59"/>
      <c r="AB1438" s="59"/>
      <c r="AC1438" s="59">
        <v>98</v>
      </c>
      <c r="AD1438" s="59"/>
      <c r="AE1438" s="60"/>
      <c r="AF1438" s="60" t="s">
        <v>2042</v>
      </c>
      <c r="AG1438" s="59"/>
      <c r="AH1438" s="61">
        <v>101982</v>
      </c>
      <c r="AI1438" s="61" t="s">
        <v>260</v>
      </c>
      <c r="AJ1438" s="61"/>
      <c r="AK1438" s="62" t="s">
        <v>636</v>
      </c>
      <c r="AL1438" s="62"/>
      <c r="AM1438" s="63"/>
      <c r="AN1438" s="63"/>
      <c r="AO1438" s="63"/>
      <c r="AP1438" s="63"/>
      <c r="AQ1438" s="63"/>
      <c r="AR1438" s="63"/>
      <c r="AS1438" s="63"/>
      <c r="AT1438" s="63"/>
      <c r="AU1438" s="61"/>
      <c r="AV1438" s="61"/>
      <c r="AW1438" s="61"/>
      <c r="AX1438" s="62"/>
      <c r="AY1438" s="62"/>
      <c r="AZ1438" s="63"/>
      <c r="BA1438" s="63"/>
      <c r="BB1438" s="63"/>
      <c r="BC1438" s="63"/>
      <c r="BD1438" s="63"/>
      <c r="BE1438" s="63"/>
      <c r="BF1438" s="63"/>
      <c r="BG1438" s="63"/>
      <c r="BH1438" s="61"/>
      <c r="BI1438" s="61"/>
      <c r="BJ1438" s="61"/>
      <c r="BK1438" s="62"/>
      <c r="BL1438" s="62"/>
      <c r="BM1438" s="63"/>
      <c r="BN1438" s="63"/>
      <c r="BO1438" s="63"/>
      <c r="BP1438" s="63"/>
      <c r="BQ1438" s="63"/>
      <c r="BR1438" s="63"/>
      <c r="BS1438" s="63"/>
      <c r="BT1438" s="63"/>
      <c r="BU1438" s="61"/>
      <c r="BV1438" s="61"/>
      <c r="BW1438" s="61"/>
      <c r="BX1438" s="62"/>
      <c r="BY1438" s="62"/>
      <c r="BZ1438" s="63"/>
      <c r="CA1438" s="63"/>
      <c r="CB1438" s="63"/>
      <c r="CC1438" s="63"/>
      <c r="CD1438" s="63"/>
      <c r="CE1438" s="63"/>
      <c r="CF1438" s="63"/>
      <c r="CG1438" s="63"/>
      <c r="CH1438" s="64"/>
      <c r="CJ1438" s="63"/>
      <c r="CT1438" s="65"/>
      <c r="CU1438" s="65"/>
      <c r="CV1438" s="65"/>
      <c r="CW1438" s="65"/>
      <c r="CX1438" s="65"/>
      <c r="CY1438" s="65"/>
      <c r="CZ1438" s="65"/>
      <c r="DA1438" s="65"/>
      <c r="DB1438" s="65"/>
      <c r="DC1438" s="63"/>
    </row>
    <row r="1439" spans="1:107" s="57" customFormat="1" x14ac:dyDescent="0.2">
      <c r="A1439" s="55">
        <v>10098</v>
      </c>
      <c r="B1439" s="56">
        <v>12</v>
      </c>
      <c r="C1439" s="56">
        <f t="shared" si="96"/>
        <v>100980012</v>
      </c>
      <c r="D1439" s="57" t="s">
        <v>3374</v>
      </c>
      <c r="E1439" s="58" t="s">
        <v>640</v>
      </c>
      <c r="F1439" s="58"/>
      <c r="G1439" s="58"/>
      <c r="H1439" s="58"/>
      <c r="I1439" s="59" t="s">
        <v>206</v>
      </c>
      <c r="J1439" s="59"/>
      <c r="K1439" s="59"/>
      <c r="L1439" s="59"/>
      <c r="M1439" s="59"/>
      <c r="N1439" s="59" t="s">
        <v>163</v>
      </c>
      <c r="O1439" s="59" t="s">
        <v>163</v>
      </c>
      <c r="P1439" s="59"/>
      <c r="Q1439" s="59" t="s">
        <v>2041</v>
      </c>
      <c r="R1439" s="59"/>
      <c r="S1439" s="59"/>
      <c r="T1439" s="59" t="s">
        <v>2714</v>
      </c>
      <c r="U1439" s="122" t="s">
        <v>3382</v>
      </c>
      <c r="V1439" s="59" t="s">
        <v>109</v>
      </c>
      <c r="W1439" s="59" t="s">
        <v>1</v>
      </c>
      <c r="X1439" s="59"/>
      <c r="Z1439" s="59"/>
      <c r="AA1439" s="59"/>
      <c r="AB1439" s="59"/>
      <c r="AC1439" s="59">
        <v>98</v>
      </c>
      <c r="AD1439" s="59"/>
      <c r="AE1439" s="60"/>
      <c r="AF1439" s="60" t="s">
        <v>2042</v>
      </c>
      <c r="AG1439" s="59"/>
      <c r="AH1439" s="61">
        <v>101983</v>
      </c>
      <c r="AI1439" s="61" t="s">
        <v>264</v>
      </c>
      <c r="AJ1439" s="61"/>
      <c r="AK1439" s="62" t="s">
        <v>637</v>
      </c>
      <c r="AL1439" s="62"/>
      <c r="AM1439" s="63"/>
      <c r="AN1439" s="63"/>
      <c r="AO1439" s="63"/>
      <c r="AP1439" s="63"/>
      <c r="AQ1439" s="63"/>
      <c r="AR1439" s="63"/>
      <c r="AS1439" s="63"/>
      <c r="AT1439" s="63"/>
      <c r="AU1439" s="61"/>
      <c r="AV1439" s="61"/>
      <c r="AW1439" s="61"/>
      <c r="AX1439" s="62"/>
      <c r="AY1439" s="62"/>
      <c r="AZ1439" s="63"/>
      <c r="BA1439" s="63"/>
      <c r="BB1439" s="63"/>
      <c r="BC1439" s="63"/>
      <c r="BD1439" s="63"/>
      <c r="BE1439" s="63"/>
      <c r="BF1439" s="63"/>
      <c r="BG1439" s="63"/>
      <c r="BH1439" s="61"/>
      <c r="BI1439" s="61"/>
      <c r="BJ1439" s="61"/>
      <c r="BK1439" s="62"/>
      <c r="BL1439" s="62"/>
      <c r="BM1439" s="63"/>
      <c r="BN1439" s="63"/>
      <c r="BO1439" s="63"/>
      <c r="BP1439" s="63"/>
      <c r="BQ1439" s="63"/>
      <c r="BR1439" s="63"/>
      <c r="BS1439" s="63"/>
      <c r="BT1439" s="63"/>
      <c r="BU1439" s="61"/>
      <c r="BV1439" s="61"/>
      <c r="BW1439" s="61"/>
      <c r="BX1439" s="62"/>
      <c r="BY1439" s="62"/>
      <c r="BZ1439" s="63"/>
      <c r="CA1439" s="63"/>
      <c r="CB1439" s="63"/>
      <c r="CC1439" s="63"/>
      <c r="CD1439" s="63"/>
      <c r="CE1439" s="63"/>
      <c r="CF1439" s="63"/>
      <c r="CG1439" s="63"/>
      <c r="CH1439" s="64"/>
      <c r="CJ1439" s="63"/>
      <c r="CT1439" s="65"/>
      <c r="CU1439" s="65"/>
      <c r="CV1439" s="65"/>
      <c r="CW1439" s="65"/>
      <c r="CX1439" s="65"/>
      <c r="CY1439" s="65"/>
      <c r="CZ1439" s="65"/>
      <c r="DA1439" s="65"/>
      <c r="DB1439" s="65"/>
      <c r="DC1439" s="63"/>
    </row>
    <row r="1440" spans="1:107" s="57" customFormat="1" x14ac:dyDescent="0.2">
      <c r="A1440" s="55">
        <v>10098</v>
      </c>
      <c r="B1440" s="56">
        <v>13</v>
      </c>
      <c r="C1440" s="56">
        <f t="shared" si="96"/>
        <v>100980013</v>
      </c>
      <c r="D1440" s="57" t="s">
        <v>3374</v>
      </c>
      <c r="E1440" s="58" t="s">
        <v>640</v>
      </c>
      <c r="F1440" s="58"/>
      <c r="G1440" s="58"/>
      <c r="H1440" s="58"/>
      <c r="I1440" s="59" t="s">
        <v>206</v>
      </c>
      <c r="J1440" s="59"/>
      <c r="K1440" s="59"/>
      <c r="L1440" s="59"/>
      <c r="M1440" s="59"/>
      <c r="N1440" s="59" t="s">
        <v>163</v>
      </c>
      <c r="O1440" s="59" t="s">
        <v>163</v>
      </c>
      <c r="P1440" s="59"/>
      <c r="Q1440" s="59" t="s">
        <v>2041</v>
      </c>
      <c r="R1440" s="59"/>
      <c r="S1440" s="59"/>
      <c r="T1440" s="59" t="s">
        <v>2714</v>
      </c>
      <c r="U1440" s="122" t="s">
        <v>3383</v>
      </c>
      <c r="V1440" s="59" t="s">
        <v>109</v>
      </c>
      <c r="W1440" s="59" t="s">
        <v>1</v>
      </c>
      <c r="X1440" s="59"/>
      <c r="Z1440" s="59"/>
      <c r="AA1440" s="59"/>
      <c r="AB1440" s="59"/>
      <c r="AC1440" s="59">
        <v>98</v>
      </c>
      <c r="AD1440" s="59"/>
      <c r="AE1440" s="60"/>
      <c r="AF1440" s="60" t="s">
        <v>2042</v>
      </c>
      <c r="AG1440" s="59"/>
      <c r="AH1440" s="61">
        <v>101984</v>
      </c>
      <c r="AI1440" s="61" t="s">
        <v>265</v>
      </c>
      <c r="AJ1440" s="61"/>
      <c r="AK1440" s="62" t="s">
        <v>638</v>
      </c>
      <c r="AL1440" s="62"/>
      <c r="AM1440" s="63"/>
      <c r="AN1440" s="63"/>
      <c r="AO1440" s="63"/>
      <c r="AP1440" s="63"/>
      <c r="AQ1440" s="63"/>
      <c r="AR1440" s="63"/>
      <c r="AS1440" s="63"/>
      <c r="AT1440" s="63"/>
      <c r="AU1440" s="61"/>
      <c r="AV1440" s="61"/>
      <c r="AW1440" s="61"/>
      <c r="AX1440" s="62"/>
      <c r="AY1440" s="62"/>
      <c r="AZ1440" s="63"/>
      <c r="BA1440" s="63"/>
      <c r="BB1440" s="63"/>
      <c r="BC1440" s="63"/>
      <c r="BD1440" s="63"/>
      <c r="BE1440" s="63"/>
      <c r="BF1440" s="63"/>
      <c r="BG1440" s="63"/>
      <c r="BH1440" s="61"/>
      <c r="BI1440" s="61"/>
      <c r="BJ1440" s="61"/>
      <c r="BK1440" s="62"/>
      <c r="BL1440" s="62"/>
      <c r="BM1440" s="63"/>
      <c r="BN1440" s="63"/>
      <c r="BO1440" s="63"/>
      <c r="BP1440" s="63"/>
      <c r="BQ1440" s="63"/>
      <c r="BR1440" s="63"/>
      <c r="BS1440" s="63"/>
      <c r="BT1440" s="63"/>
      <c r="BU1440" s="61"/>
      <c r="BV1440" s="61"/>
      <c r="BW1440" s="61"/>
      <c r="BX1440" s="62"/>
      <c r="BY1440" s="62"/>
      <c r="BZ1440" s="63"/>
      <c r="CA1440" s="63"/>
      <c r="CB1440" s="63"/>
      <c r="CC1440" s="63"/>
      <c r="CD1440" s="63"/>
      <c r="CE1440" s="63"/>
      <c r="CF1440" s="63"/>
      <c r="CG1440" s="63"/>
      <c r="CH1440" s="64"/>
      <c r="CJ1440" s="63"/>
      <c r="CT1440" s="65"/>
      <c r="CU1440" s="65"/>
      <c r="CV1440" s="65"/>
      <c r="CW1440" s="65"/>
      <c r="CX1440" s="65"/>
      <c r="CY1440" s="65"/>
      <c r="CZ1440" s="65"/>
      <c r="DA1440" s="65"/>
      <c r="DB1440" s="65"/>
      <c r="DC1440" s="63"/>
    </row>
    <row r="1441" spans="1:107" s="57" customFormat="1" x14ac:dyDescent="0.2">
      <c r="A1441" s="55">
        <v>10098</v>
      </c>
      <c r="B1441" s="56">
        <v>14</v>
      </c>
      <c r="C1441" s="56">
        <f t="shared" si="96"/>
        <v>100980014</v>
      </c>
      <c r="D1441" s="57" t="s">
        <v>3374</v>
      </c>
      <c r="E1441" s="58" t="s">
        <v>640</v>
      </c>
      <c r="F1441" s="58"/>
      <c r="G1441" s="58"/>
      <c r="H1441" s="58"/>
      <c r="I1441" s="59" t="s">
        <v>206</v>
      </c>
      <c r="J1441" s="59"/>
      <c r="K1441" s="59"/>
      <c r="L1441" s="59"/>
      <c r="M1441" s="59"/>
      <c r="N1441" s="59" t="s">
        <v>163</v>
      </c>
      <c r="O1441" s="59" t="s">
        <v>163</v>
      </c>
      <c r="P1441" s="59"/>
      <c r="Q1441" s="59" t="s">
        <v>2041</v>
      </c>
      <c r="R1441" s="59"/>
      <c r="S1441" s="59"/>
      <c r="T1441" s="59" t="s">
        <v>2714</v>
      </c>
      <c r="U1441" s="122" t="s">
        <v>3384</v>
      </c>
      <c r="V1441" s="59" t="s">
        <v>109</v>
      </c>
      <c r="W1441" s="59" t="s">
        <v>1</v>
      </c>
      <c r="X1441" s="59"/>
      <c r="Z1441" s="59"/>
      <c r="AA1441" s="59"/>
      <c r="AB1441" s="59"/>
      <c r="AC1441" s="59">
        <v>98</v>
      </c>
      <c r="AD1441" s="59"/>
      <c r="AE1441" s="60"/>
      <c r="AF1441" s="60" t="s">
        <v>2042</v>
      </c>
      <c r="AG1441" s="59"/>
      <c r="AH1441" s="61">
        <v>101985</v>
      </c>
      <c r="AI1441" s="61" t="s">
        <v>266</v>
      </c>
      <c r="AJ1441" s="61"/>
      <c r="AK1441" s="62">
        <v>6350</v>
      </c>
      <c r="AL1441" s="62"/>
      <c r="AM1441" s="63"/>
      <c r="AN1441" s="63"/>
      <c r="AO1441" s="63"/>
      <c r="AP1441" s="63"/>
      <c r="AQ1441" s="63"/>
      <c r="AR1441" s="63"/>
      <c r="AS1441" s="63"/>
      <c r="AT1441" s="63"/>
      <c r="AU1441" s="61"/>
      <c r="AV1441" s="61"/>
      <c r="AW1441" s="61"/>
      <c r="AX1441" s="62"/>
      <c r="AY1441" s="62"/>
      <c r="AZ1441" s="63"/>
      <c r="BA1441" s="63"/>
      <c r="BB1441" s="63"/>
      <c r="BC1441" s="63"/>
      <c r="BD1441" s="63"/>
      <c r="BE1441" s="63"/>
      <c r="BF1441" s="63"/>
      <c r="BG1441" s="63"/>
      <c r="BH1441" s="61"/>
      <c r="BI1441" s="61"/>
      <c r="BJ1441" s="61"/>
      <c r="BK1441" s="62"/>
      <c r="BL1441" s="62"/>
      <c r="BM1441" s="63"/>
      <c r="BN1441" s="63"/>
      <c r="BO1441" s="63"/>
      <c r="BP1441" s="63"/>
      <c r="BQ1441" s="63"/>
      <c r="BR1441" s="63"/>
      <c r="BS1441" s="63"/>
      <c r="BT1441" s="63"/>
      <c r="BU1441" s="61"/>
      <c r="BV1441" s="61"/>
      <c r="BW1441" s="61"/>
      <c r="BX1441" s="62"/>
      <c r="BY1441" s="62"/>
      <c r="BZ1441" s="63"/>
      <c r="CA1441" s="63"/>
      <c r="CB1441" s="63"/>
      <c r="CC1441" s="63"/>
      <c r="CD1441" s="63"/>
      <c r="CE1441" s="63"/>
      <c r="CF1441" s="63"/>
      <c r="CG1441" s="63"/>
      <c r="CH1441" s="64"/>
      <c r="CJ1441" s="63"/>
      <c r="CT1441" s="65"/>
      <c r="CU1441" s="65"/>
      <c r="CV1441" s="65"/>
      <c r="CW1441" s="65"/>
      <c r="CX1441" s="65"/>
      <c r="CY1441" s="65"/>
      <c r="CZ1441" s="65"/>
      <c r="DA1441" s="65"/>
      <c r="DB1441" s="65"/>
      <c r="DC1441" s="63"/>
    </row>
    <row r="1442" spans="1:107" s="57" customFormat="1" x14ac:dyDescent="0.2">
      <c r="A1442" s="55">
        <v>10099</v>
      </c>
      <c r="B1442" s="56">
        <v>10</v>
      </c>
      <c r="C1442" s="56">
        <f t="shared" ref="C1442:C1446" si="97">A1442*10000+B1442</f>
        <v>100990010</v>
      </c>
      <c r="D1442" s="57" t="s">
        <v>4065</v>
      </c>
      <c r="E1442" s="58" t="s">
        <v>640</v>
      </c>
      <c r="F1442" s="58"/>
      <c r="G1442" s="58"/>
      <c r="H1442" s="58"/>
      <c r="I1442" s="59" t="s">
        <v>206</v>
      </c>
      <c r="J1442" s="59"/>
      <c r="K1442" s="59"/>
      <c r="L1442" s="59"/>
      <c r="M1442" s="59"/>
      <c r="N1442" s="59" t="s">
        <v>163</v>
      </c>
      <c r="O1442" s="59" t="s">
        <v>163</v>
      </c>
      <c r="P1442" s="59"/>
      <c r="Q1442" s="59" t="s">
        <v>2041</v>
      </c>
      <c r="R1442" s="59"/>
      <c r="S1442" s="59"/>
      <c r="T1442" s="59" t="s">
        <v>2714</v>
      </c>
      <c r="U1442" s="122" t="s">
        <v>4071</v>
      </c>
      <c r="V1442" s="59" t="s">
        <v>109</v>
      </c>
      <c r="W1442" s="59" t="s">
        <v>1</v>
      </c>
      <c r="X1442" s="59"/>
      <c r="Z1442" s="59"/>
      <c r="AA1442" s="59"/>
      <c r="AB1442" s="59"/>
      <c r="AC1442" s="59">
        <v>99</v>
      </c>
      <c r="AD1442" s="59"/>
      <c r="AE1442" s="60"/>
      <c r="AF1442" s="60" t="s">
        <v>2042</v>
      </c>
      <c r="AG1442" s="59"/>
      <c r="AH1442" s="61">
        <v>101991</v>
      </c>
      <c r="AI1442" s="61" t="s">
        <v>176</v>
      </c>
      <c r="AJ1442" s="61"/>
      <c r="AK1442" s="62" t="s">
        <v>635</v>
      </c>
      <c r="AL1442" s="62"/>
      <c r="AM1442" s="63"/>
      <c r="AN1442" s="63"/>
      <c r="AO1442" s="63"/>
      <c r="AP1442" s="63"/>
      <c r="AQ1442" s="63"/>
      <c r="AR1442" s="63"/>
      <c r="AS1442" s="63"/>
      <c r="AT1442" s="63"/>
      <c r="AU1442" s="61"/>
      <c r="AV1442" s="61"/>
      <c r="AW1442" s="61"/>
      <c r="AX1442" s="62"/>
      <c r="AY1442" s="62"/>
      <c r="AZ1442" s="63"/>
      <c r="BA1442" s="63"/>
      <c r="BB1442" s="63"/>
      <c r="BC1442" s="63"/>
      <c r="BD1442" s="63"/>
      <c r="BE1442" s="63"/>
      <c r="BF1442" s="63"/>
      <c r="BG1442" s="63"/>
      <c r="BH1442" s="61"/>
      <c r="BI1442" s="61"/>
      <c r="BJ1442" s="61"/>
      <c r="BK1442" s="62"/>
      <c r="BL1442" s="62"/>
      <c r="BM1442" s="63"/>
      <c r="BN1442" s="63"/>
      <c r="BO1442" s="63"/>
      <c r="BP1442" s="63"/>
      <c r="BQ1442" s="63"/>
      <c r="BR1442" s="63"/>
      <c r="BS1442" s="63"/>
      <c r="BT1442" s="63"/>
      <c r="BU1442" s="61"/>
      <c r="BV1442" s="61"/>
      <c r="BW1442" s="61"/>
      <c r="BX1442" s="62"/>
      <c r="BY1442" s="62"/>
      <c r="BZ1442" s="63"/>
      <c r="CA1442" s="63"/>
      <c r="CB1442" s="63"/>
      <c r="CC1442" s="63"/>
      <c r="CD1442" s="63"/>
      <c r="CE1442" s="63"/>
      <c r="CF1442" s="63"/>
      <c r="CG1442" s="63"/>
      <c r="CH1442" s="64"/>
      <c r="CJ1442" s="63"/>
      <c r="CT1442" s="65"/>
      <c r="CU1442" s="65"/>
      <c r="CV1442" s="65"/>
      <c r="CW1442" s="65"/>
      <c r="CX1442" s="65"/>
      <c r="CY1442" s="65"/>
      <c r="CZ1442" s="65"/>
      <c r="DA1442" s="65"/>
      <c r="DB1442" s="65"/>
      <c r="DC1442" s="63"/>
    </row>
    <row r="1443" spans="1:107" s="57" customFormat="1" x14ac:dyDescent="0.2">
      <c r="A1443" s="55">
        <v>10099</v>
      </c>
      <c r="B1443" s="56">
        <v>11</v>
      </c>
      <c r="C1443" s="56">
        <f t="shared" si="97"/>
        <v>100990011</v>
      </c>
      <c r="D1443" s="57" t="s">
        <v>4065</v>
      </c>
      <c r="E1443" s="58" t="s">
        <v>640</v>
      </c>
      <c r="F1443" s="58"/>
      <c r="G1443" s="58"/>
      <c r="H1443" s="58"/>
      <c r="I1443" s="59" t="s">
        <v>206</v>
      </c>
      <c r="J1443" s="59"/>
      <c r="K1443" s="59"/>
      <c r="L1443" s="59"/>
      <c r="M1443" s="59"/>
      <c r="N1443" s="59" t="s">
        <v>163</v>
      </c>
      <c r="O1443" s="59" t="s">
        <v>163</v>
      </c>
      <c r="P1443" s="59"/>
      <c r="Q1443" s="59" t="s">
        <v>2041</v>
      </c>
      <c r="R1443" s="59"/>
      <c r="S1443" s="59"/>
      <c r="T1443" s="59" t="s">
        <v>2714</v>
      </c>
      <c r="U1443" s="122" t="s">
        <v>4072</v>
      </c>
      <c r="V1443" s="59" t="s">
        <v>109</v>
      </c>
      <c r="W1443" s="59" t="s">
        <v>1</v>
      </c>
      <c r="X1443" s="59"/>
      <c r="Z1443" s="59"/>
      <c r="AA1443" s="59"/>
      <c r="AB1443" s="59"/>
      <c r="AC1443" s="59">
        <v>99</v>
      </c>
      <c r="AD1443" s="59"/>
      <c r="AE1443" s="60"/>
      <c r="AF1443" s="60" t="s">
        <v>2042</v>
      </c>
      <c r="AG1443" s="59"/>
      <c r="AH1443" s="61">
        <v>101992</v>
      </c>
      <c r="AI1443" s="61" t="s">
        <v>260</v>
      </c>
      <c r="AJ1443" s="61"/>
      <c r="AK1443" s="62" t="s">
        <v>636</v>
      </c>
      <c r="AL1443" s="62"/>
      <c r="AM1443" s="63"/>
      <c r="AN1443" s="63"/>
      <c r="AO1443" s="63"/>
      <c r="AP1443" s="63"/>
      <c r="AQ1443" s="63"/>
      <c r="AR1443" s="63"/>
      <c r="AS1443" s="63"/>
      <c r="AT1443" s="63"/>
      <c r="AU1443" s="61"/>
      <c r="AV1443" s="61"/>
      <c r="AW1443" s="61"/>
      <c r="AX1443" s="62"/>
      <c r="AY1443" s="62"/>
      <c r="AZ1443" s="63"/>
      <c r="BA1443" s="63"/>
      <c r="BB1443" s="63"/>
      <c r="BC1443" s="63"/>
      <c r="BD1443" s="63"/>
      <c r="BE1443" s="63"/>
      <c r="BF1443" s="63"/>
      <c r="BG1443" s="63"/>
      <c r="BH1443" s="61"/>
      <c r="BI1443" s="61"/>
      <c r="BJ1443" s="61"/>
      <c r="BK1443" s="62"/>
      <c r="BL1443" s="62"/>
      <c r="BM1443" s="63"/>
      <c r="BN1443" s="63"/>
      <c r="BO1443" s="63"/>
      <c r="BP1443" s="63"/>
      <c r="BQ1443" s="63"/>
      <c r="BR1443" s="63"/>
      <c r="BS1443" s="63"/>
      <c r="BT1443" s="63"/>
      <c r="BU1443" s="61"/>
      <c r="BV1443" s="61"/>
      <c r="BW1443" s="61"/>
      <c r="BX1443" s="62"/>
      <c r="BY1443" s="62"/>
      <c r="BZ1443" s="63"/>
      <c r="CA1443" s="63"/>
      <c r="CB1443" s="63"/>
      <c r="CC1443" s="63"/>
      <c r="CD1443" s="63"/>
      <c r="CE1443" s="63"/>
      <c r="CF1443" s="63"/>
      <c r="CG1443" s="63"/>
      <c r="CH1443" s="64"/>
      <c r="CJ1443" s="63"/>
      <c r="CT1443" s="65"/>
      <c r="CU1443" s="65"/>
      <c r="CV1443" s="65"/>
      <c r="CW1443" s="65"/>
      <c r="CX1443" s="65"/>
      <c r="CY1443" s="65"/>
      <c r="CZ1443" s="65"/>
      <c r="DA1443" s="65"/>
      <c r="DB1443" s="65"/>
      <c r="DC1443" s="63"/>
    </row>
    <row r="1444" spans="1:107" s="57" customFormat="1" x14ac:dyDescent="0.2">
      <c r="A1444" s="55">
        <v>10099</v>
      </c>
      <c r="B1444" s="56">
        <v>12</v>
      </c>
      <c r="C1444" s="56">
        <f t="shared" si="97"/>
        <v>100990012</v>
      </c>
      <c r="D1444" s="57" t="s">
        <v>4065</v>
      </c>
      <c r="E1444" s="58" t="s">
        <v>640</v>
      </c>
      <c r="F1444" s="58"/>
      <c r="G1444" s="58"/>
      <c r="H1444" s="58"/>
      <c r="I1444" s="59" t="s">
        <v>206</v>
      </c>
      <c r="J1444" s="59"/>
      <c r="K1444" s="59"/>
      <c r="L1444" s="59"/>
      <c r="M1444" s="59"/>
      <c r="N1444" s="59" t="s">
        <v>163</v>
      </c>
      <c r="O1444" s="59" t="s">
        <v>163</v>
      </c>
      <c r="P1444" s="59"/>
      <c r="Q1444" s="59" t="s">
        <v>2041</v>
      </c>
      <c r="R1444" s="59"/>
      <c r="S1444" s="59"/>
      <c r="T1444" s="59" t="s">
        <v>2714</v>
      </c>
      <c r="U1444" s="122" t="s">
        <v>4073</v>
      </c>
      <c r="V1444" s="59" t="s">
        <v>109</v>
      </c>
      <c r="W1444" s="59" t="s">
        <v>1</v>
      </c>
      <c r="X1444" s="59"/>
      <c r="Z1444" s="59"/>
      <c r="AA1444" s="59"/>
      <c r="AB1444" s="59"/>
      <c r="AC1444" s="59">
        <v>99</v>
      </c>
      <c r="AD1444" s="59"/>
      <c r="AE1444" s="60"/>
      <c r="AF1444" s="60" t="s">
        <v>2042</v>
      </c>
      <c r="AG1444" s="59"/>
      <c r="AH1444" s="61">
        <v>101993</v>
      </c>
      <c r="AI1444" s="61" t="s">
        <v>264</v>
      </c>
      <c r="AJ1444" s="61"/>
      <c r="AK1444" s="62" t="s">
        <v>637</v>
      </c>
      <c r="AL1444" s="62"/>
      <c r="AM1444" s="63"/>
      <c r="AN1444" s="63"/>
      <c r="AO1444" s="63"/>
      <c r="AP1444" s="63"/>
      <c r="AQ1444" s="63"/>
      <c r="AR1444" s="63"/>
      <c r="AS1444" s="63"/>
      <c r="AT1444" s="63"/>
      <c r="AU1444" s="61"/>
      <c r="AV1444" s="61"/>
      <c r="AW1444" s="61"/>
      <c r="AX1444" s="62"/>
      <c r="AY1444" s="62"/>
      <c r="AZ1444" s="63"/>
      <c r="BA1444" s="63"/>
      <c r="BB1444" s="63"/>
      <c r="BC1444" s="63"/>
      <c r="BD1444" s="63"/>
      <c r="BE1444" s="63"/>
      <c r="BF1444" s="63"/>
      <c r="BG1444" s="63"/>
      <c r="BH1444" s="61"/>
      <c r="BI1444" s="61"/>
      <c r="BJ1444" s="61"/>
      <c r="BK1444" s="62"/>
      <c r="BL1444" s="62"/>
      <c r="BM1444" s="63"/>
      <c r="BN1444" s="63"/>
      <c r="BO1444" s="63"/>
      <c r="BP1444" s="63"/>
      <c r="BQ1444" s="63"/>
      <c r="BR1444" s="63"/>
      <c r="BS1444" s="63"/>
      <c r="BT1444" s="63"/>
      <c r="BU1444" s="61"/>
      <c r="BV1444" s="61"/>
      <c r="BW1444" s="61"/>
      <c r="BX1444" s="62"/>
      <c r="BY1444" s="62"/>
      <c r="BZ1444" s="63"/>
      <c r="CA1444" s="63"/>
      <c r="CB1444" s="63"/>
      <c r="CC1444" s="63"/>
      <c r="CD1444" s="63"/>
      <c r="CE1444" s="63"/>
      <c r="CF1444" s="63"/>
      <c r="CG1444" s="63"/>
      <c r="CH1444" s="64"/>
      <c r="CJ1444" s="63"/>
      <c r="CT1444" s="65"/>
      <c r="CU1444" s="65"/>
      <c r="CV1444" s="65"/>
      <c r="CW1444" s="65"/>
      <c r="CX1444" s="65"/>
      <c r="CY1444" s="65"/>
      <c r="CZ1444" s="65"/>
      <c r="DA1444" s="65"/>
      <c r="DB1444" s="65"/>
      <c r="DC1444" s="63"/>
    </row>
    <row r="1445" spans="1:107" s="57" customFormat="1" x14ac:dyDescent="0.2">
      <c r="A1445" s="55">
        <v>10099</v>
      </c>
      <c r="B1445" s="56">
        <v>13</v>
      </c>
      <c r="C1445" s="56">
        <f t="shared" si="97"/>
        <v>100990013</v>
      </c>
      <c r="D1445" s="57" t="s">
        <v>4065</v>
      </c>
      <c r="E1445" s="58" t="s">
        <v>640</v>
      </c>
      <c r="F1445" s="58"/>
      <c r="G1445" s="58"/>
      <c r="H1445" s="58"/>
      <c r="I1445" s="59" t="s">
        <v>206</v>
      </c>
      <c r="J1445" s="59"/>
      <c r="K1445" s="59"/>
      <c r="L1445" s="59"/>
      <c r="M1445" s="59"/>
      <c r="N1445" s="59" t="s">
        <v>163</v>
      </c>
      <c r="O1445" s="59" t="s">
        <v>163</v>
      </c>
      <c r="P1445" s="59"/>
      <c r="Q1445" s="59" t="s">
        <v>2041</v>
      </c>
      <c r="R1445" s="59"/>
      <c r="S1445" s="59"/>
      <c r="T1445" s="59" t="s">
        <v>2714</v>
      </c>
      <c r="U1445" s="122" t="s">
        <v>4074</v>
      </c>
      <c r="V1445" s="59" t="s">
        <v>109</v>
      </c>
      <c r="W1445" s="59" t="s">
        <v>1</v>
      </c>
      <c r="X1445" s="59"/>
      <c r="Z1445" s="59"/>
      <c r="AA1445" s="59"/>
      <c r="AB1445" s="59"/>
      <c r="AC1445" s="59">
        <v>99</v>
      </c>
      <c r="AD1445" s="59"/>
      <c r="AE1445" s="60"/>
      <c r="AF1445" s="60" t="s">
        <v>2042</v>
      </c>
      <c r="AG1445" s="59"/>
      <c r="AH1445" s="61">
        <v>101994</v>
      </c>
      <c r="AI1445" s="61" t="s">
        <v>265</v>
      </c>
      <c r="AJ1445" s="61"/>
      <c r="AK1445" s="62" t="s">
        <v>638</v>
      </c>
      <c r="AL1445" s="62"/>
      <c r="AM1445" s="63"/>
      <c r="AN1445" s="63"/>
      <c r="AO1445" s="63"/>
      <c r="AP1445" s="63"/>
      <c r="AQ1445" s="63"/>
      <c r="AR1445" s="63"/>
      <c r="AS1445" s="63"/>
      <c r="AT1445" s="63"/>
      <c r="AU1445" s="61"/>
      <c r="AV1445" s="61"/>
      <c r="AW1445" s="61"/>
      <c r="AX1445" s="62"/>
      <c r="AY1445" s="62"/>
      <c r="AZ1445" s="63"/>
      <c r="BA1445" s="63"/>
      <c r="BB1445" s="63"/>
      <c r="BC1445" s="63"/>
      <c r="BD1445" s="63"/>
      <c r="BE1445" s="63"/>
      <c r="BF1445" s="63"/>
      <c r="BG1445" s="63"/>
      <c r="BH1445" s="61"/>
      <c r="BI1445" s="61"/>
      <c r="BJ1445" s="61"/>
      <c r="BK1445" s="62"/>
      <c r="BL1445" s="62"/>
      <c r="BM1445" s="63"/>
      <c r="BN1445" s="63"/>
      <c r="BO1445" s="63"/>
      <c r="BP1445" s="63"/>
      <c r="BQ1445" s="63"/>
      <c r="BR1445" s="63"/>
      <c r="BS1445" s="63"/>
      <c r="BT1445" s="63"/>
      <c r="BU1445" s="61"/>
      <c r="BV1445" s="61"/>
      <c r="BW1445" s="61"/>
      <c r="BX1445" s="62"/>
      <c r="BY1445" s="62"/>
      <c r="BZ1445" s="63"/>
      <c r="CA1445" s="63"/>
      <c r="CB1445" s="63"/>
      <c r="CC1445" s="63"/>
      <c r="CD1445" s="63"/>
      <c r="CE1445" s="63"/>
      <c r="CF1445" s="63"/>
      <c r="CG1445" s="63"/>
      <c r="CH1445" s="64"/>
      <c r="CJ1445" s="63"/>
      <c r="CT1445" s="65"/>
      <c r="CU1445" s="65"/>
      <c r="CV1445" s="65"/>
      <c r="CW1445" s="65"/>
      <c r="CX1445" s="65"/>
      <c r="CY1445" s="65"/>
      <c r="CZ1445" s="65"/>
      <c r="DA1445" s="65"/>
      <c r="DB1445" s="65"/>
      <c r="DC1445" s="63"/>
    </row>
    <row r="1446" spans="1:107" s="57" customFormat="1" x14ac:dyDescent="0.2">
      <c r="A1446" s="55">
        <v>10099</v>
      </c>
      <c r="B1446" s="56">
        <v>14</v>
      </c>
      <c r="C1446" s="56">
        <f t="shared" si="97"/>
        <v>100990014</v>
      </c>
      <c r="D1446" s="57" t="s">
        <v>4065</v>
      </c>
      <c r="E1446" s="58" t="s">
        <v>640</v>
      </c>
      <c r="F1446" s="58"/>
      <c r="G1446" s="58"/>
      <c r="H1446" s="58"/>
      <c r="I1446" s="59" t="s">
        <v>206</v>
      </c>
      <c r="J1446" s="59"/>
      <c r="K1446" s="59"/>
      <c r="L1446" s="59"/>
      <c r="M1446" s="59"/>
      <c r="N1446" s="59" t="s">
        <v>163</v>
      </c>
      <c r="O1446" s="59" t="s">
        <v>163</v>
      </c>
      <c r="P1446" s="59"/>
      <c r="Q1446" s="59" t="s">
        <v>2041</v>
      </c>
      <c r="R1446" s="59"/>
      <c r="S1446" s="59"/>
      <c r="T1446" s="59" t="s">
        <v>2714</v>
      </c>
      <c r="U1446" s="122" t="s">
        <v>4075</v>
      </c>
      <c r="V1446" s="59" t="s">
        <v>109</v>
      </c>
      <c r="W1446" s="59" t="s">
        <v>1</v>
      </c>
      <c r="X1446" s="59"/>
      <c r="Z1446" s="59"/>
      <c r="AA1446" s="59"/>
      <c r="AB1446" s="59"/>
      <c r="AC1446" s="59">
        <v>99</v>
      </c>
      <c r="AD1446" s="59"/>
      <c r="AE1446" s="60"/>
      <c r="AF1446" s="60" t="s">
        <v>2042</v>
      </c>
      <c r="AG1446" s="59"/>
      <c r="AH1446" s="61">
        <v>101995</v>
      </c>
      <c r="AI1446" s="61" t="s">
        <v>266</v>
      </c>
      <c r="AJ1446" s="61"/>
      <c r="AK1446" s="62">
        <v>6350</v>
      </c>
      <c r="AL1446" s="62"/>
      <c r="AM1446" s="63"/>
      <c r="AN1446" s="63"/>
      <c r="AO1446" s="63"/>
      <c r="AP1446" s="63"/>
      <c r="AQ1446" s="63"/>
      <c r="AR1446" s="63"/>
      <c r="AS1446" s="63"/>
      <c r="AT1446" s="63"/>
      <c r="AU1446" s="61"/>
      <c r="AV1446" s="61"/>
      <c r="AW1446" s="61"/>
      <c r="AX1446" s="62"/>
      <c r="AY1446" s="62"/>
      <c r="AZ1446" s="63"/>
      <c r="BA1446" s="63"/>
      <c r="BB1446" s="63"/>
      <c r="BC1446" s="63"/>
      <c r="BD1446" s="63"/>
      <c r="BE1446" s="63"/>
      <c r="BF1446" s="63"/>
      <c r="BG1446" s="63"/>
      <c r="BH1446" s="61"/>
      <c r="BI1446" s="61"/>
      <c r="BJ1446" s="61"/>
      <c r="BK1446" s="62"/>
      <c r="BL1446" s="62"/>
      <c r="BM1446" s="63"/>
      <c r="BN1446" s="63"/>
      <c r="BO1446" s="63"/>
      <c r="BP1446" s="63"/>
      <c r="BQ1446" s="63"/>
      <c r="BR1446" s="63"/>
      <c r="BS1446" s="63"/>
      <c r="BT1446" s="63"/>
      <c r="BU1446" s="61"/>
      <c r="BV1446" s="61"/>
      <c r="BW1446" s="61"/>
      <c r="BX1446" s="62"/>
      <c r="BY1446" s="62"/>
      <c r="BZ1446" s="63"/>
      <c r="CA1446" s="63"/>
      <c r="CB1446" s="63"/>
      <c r="CC1446" s="63"/>
      <c r="CD1446" s="63"/>
      <c r="CE1446" s="63"/>
      <c r="CF1446" s="63"/>
      <c r="CG1446" s="63"/>
      <c r="CH1446" s="64"/>
      <c r="CJ1446" s="63"/>
      <c r="CT1446" s="65"/>
      <c r="CU1446" s="65"/>
      <c r="CV1446" s="65"/>
      <c r="CW1446" s="65"/>
      <c r="CX1446" s="65"/>
      <c r="CY1446" s="65"/>
      <c r="CZ1446" s="65"/>
      <c r="DA1446" s="65"/>
      <c r="DB1446" s="65"/>
      <c r="DC1446" s="63"/>
    </row>
    <row r="1447" spans="1:107" s="57" customFormat="1" x14ac:dyDescent="0.2">
      <c r="A1447" s="55">
        <v>10100</v>
      </c>
      <c r="B1447" s="56">
        <v>10</v>
      </c>
      <c r="C1447" s="56">
        <f t="shared" ref="C1447:C1451" si="98">A1447*10000+B1447</f>
        <v>101000010</v>
      </c>
      <c r="D1447" s="57" t="s">
        <v>4326</v>
      </c>
      <c r="E1447" s="58" t="s">
        <v>640</v>
      </c>
      <c r="F1447" s="58"/>
      <c r="G1447" s="58"/>
      <c r="H1447" s="58"/>
      <c r="I1447" s="59" t="s">
        <v>206</v>
      </c>
      <c r="J1447" s="59"/>
      <c r="K1447" s="59"/>
      <c r="L1447" s="59"/>
      <c r="M1447" s="59"/>
      <c r="N1447" s="59" t="s">
        <v>163</v>
      </c>
      <c r="O1447" s="59" t="s">
        <v>163</v>
      </c>
      <c r="P1447" s="59"/>
      <c r="Q1447" s="59" t="s">
        <v>2041</v>
      </c>
      <c r="R1447" s="59"/>
      <c r="S1447" s="59"/>
      <c r="T1447" s="59" t="s">
        <v>2714</v>
      </c>
      <c r="U1447" s="122" t="s">
        <v>4330</v>
      </c>
      <c r="V1447" s="59" t="s">
        <v>109</v>
      </c>
      <c r="W1447" s="59" t="s">
        <v>1</v>
      </c>
      <c r="X1447" s="59"/>
      <c r="Z1447" s="59"/>
      <c r="AA1447" s="59"/>
      <c r="AB1447" s="59"/>
      <c r="AC1447" s="59">
        <v>100</v>
      </c>
      <c r="AD1447" s="59"/>
      <c r="AE1447" s="60"/>
      <c r="AF1447" s="60" t="s">
        <v>2042</v>
      </c>
      <c r="AG1447" s="59"/>
      <c r="AH1447" s="61">
        <v>1011001</v>
      </c>
      <c r="AI1447" s="61" t="s">
        <v>176</v>
      </c>
      <c r="AJ1447" s="61"/>
      <c r="AK1447" s="62" t="s">
        <v>635</v>
      </c>
      <c r="AL1447" s="62"/>
      <c r="AM1447" s="63"/>
      <c r="AN1447" s="63"/>
      <c r="AO1447" s="63"/>
      <c r="AP1447" s="63"/>
      <c r="AQ1447" s="63"/>
      <c r="AR1447" s="63"/>
      <c r="AS1447" s="63"/>
      <c r="AT1447" s="63"/>
      <c r="AU1447" s="61"/>
      <c r="AV1447" s="61"/>
      <c r="AW1447" s="61"/>
      <c r="AX1447" s="62"/>
      <c r="AY1447" s="62"/>
      <c r="AZ1447" s="63"/>
      <c r="BA1447" s="63"/>
      <c r="BB1447" s="63"/>
      <c r="BC1447" s="63"/>
      <c r="BD1447" s="63"/>
      <c r="BE1447" s="63"/>
      <c r="BF1447" s="63"/>
      <c r="BG1447" s="63"/>
      <c r="BH1447" s="61"/>
      <c r="BI1447" s="61"/>
      <c r="BJ1447" s="61"/>
      <c r="BK1447" s="62"/>
      <c r="BL1447" s="62"/>
      <c r="BM1447" s="63"/>
      <c r="BN1447" s="63"/>
      <c r="BO1447" s="63"/>
      <c r="BP1447" s="63"/>
      <c r="BQ1447" s="63"/>
      <c r="BR1447" s="63"/>
      <c r="BS1447" s="63"/>
      <c r="BT1447" s="63"/>
      <c r="BU1447" s="61"/>
      <c r="BV1447" s="61"/>
      <c r="BW1447" s="61"/>
      <c r="BX1447" s="62"/>
      <c r="BY1447" s="62"/>
      <c r="BZ1447" s="63"/>
      <c r="CA1447" s="63"/>
      <c r="CB1447" s="63"/>
      <c r="CC1447" s="63"/>
      <c r="CD1447" s="63"/>
      <c r="CE1447" s="63"/>
      <c r="CF1447" s="63"/>
      <c r="CG1447" s="63"/>
      <c r="CH1447" s="64"/>
      <c r="CJ1447" s="63"/>
      <c r="CT1447" s="65"/>
      <c r="CU1447" s="65"/>
      <c r="CV1447" s="65"/>
      <c r="CW1447" s="65"/>
      <c r="CX1447" s="65"/>
      <c r="CY1447" s="65"/>
      <c r="CZ1447" s="65"/>
      <c r="DA1447" s="65"/>
      <c r="DB1447" s="65"/>
      <c r="DC1447" s="63"/>
    </row>
    <row r="1448" spans="1:107" s="57" customFormat="1" x14ac:dyDescent="0.2">
      <c r="A1448" s="55">
        <v>10100</v>
      </c>
      <c r="B1448" s="56">
        <v>11</v>
      </c>
      <c r="C1448" s="56">
        <f t="shared" si="98"/>
        <v>101000011</v>
      </c>
      <c r="D1448" s="57" t="s">
        <v>4326</v>
      </c>
      <c r="E1448" s="58" t="s">
        <v>640</v>
      </c>
      <c r="F1448" s="58"/>
      <c r="G1448" s="58"/>
      <c r="H1448" s="58"/>
      <c r="I1448" s="59" t="s">
        <v>206</v>
      </c>
      <c r="J1448" s="59"/>
      <c r="K1448" s="59"/>
      <c r="L1448" s="59"/>
      <c r="M1448" s="59"/>
      <c r="N1448" s="59" t="s">
        <v>163</v>
      </c>
      <c r="O1448" s="59" t="s">
        <v>163</v>
      </c>
      <c r="P1448" s="59"/>
      <c r="Q1448" s="59" t="s">
        <v>2041</v>
      </c>
      <c r="R1448" s="59"/>
      <c r="S1448" s="59"/>
      <c r="T1448" s="59" t="s">
        <v>2714</v>
      </c>
      <c r="U1448" s="122" t="s">
        <v>4331</v>
      </c>
      <c r="V1448" s="59" t="s">
        <v>109</v>
      </c>
      <c r="W1448" s="59" t="s">
        <v>1</v>
      </c>
      <c r="X1448" s="59"/>
      <c r="Z1448" s="59"/>
      <c r="AA1448" s="59"/>
      <c r="AB1448" s="59"/>
      <c r="AC1448" s="59">
        <v>100</v>
      </c>
      <c r="AD1448" s="59"/>
      <c r="AE1448" s="60"/>
      <c r="AF1448" s="60" t="s">
        <v>2042</v>
      </c>
      <c r="AG1448" s="59"/>
      <c r="AH1448" s="61">
        <v>1011002</v>
      </c>
      <c r="AI1448" s="61" t="s">
        <v>260</v>
      </c>
      <c r="AJ1448" s="61"/>
      <c r="AK1448" s="62" t="s">
        <v>636</v>
      </c>
      <c r="AL1448" s="62"/>
      <c r="AM1448" s="63"/>
      <c r="AN1448" s="63"/>
      <c r="AO1448" s="63"/>
      <c r="AP1448" s="63"/>
      <c r="AQ1448" s="63"/>
      <c r="AR1448" s="63"/>
      <c r="AS1448" s="63"/>
      <c r="AT1448" s="63"/>
      <c r="AU1448" s="61"/>
      <c r="AV1448" s="61"/>
      <c r="AW1448" s="61"/>
      <c r="AX1448" s="62"/>
      <c r="AY1448" s="62"/>
      <c r="AZ1448" s="63"/>
      <c r="BA1448" s="63"/>
      <c r="BB1448" s="63"/>
      <c r="BC1448" s="63"/>
      <c r="BD1448" s="63"/>
      <c r="BE1448" s="63"/>
      <c r="BF1448" s="63"/>
      <c r="BG1448" s="63"/>
      <c r="BH1448" s="61"/>
      <c r="BI1448" s="61"/>
      <c r="BJ1448" s="61"/>
      <c r="BK1448" s="62"/>
      <c r="BL1448" s="62"/>
      <c r="BM1448" s="63"/>
      <c r="BN1448" s="63"/>
      <c r="BO1448" s="63"/>
      <c r="BP1448" s="63"/>
      <c r="BQ1448" s="63"/>
      <c r="BR1448" s="63"/>
      <c r="BS1448" s="63"/>
      <c r="BT1448" s="63"/>
      <c r="BU1448" s="61"/>
      <c r="BV1448" s="61"/>
      <c r="BW1448" s="61"/>
      <c r="BX1448" s="62"/>
      <c r="BY1448" s="62"/>
      <c r="BZ1448" s="63"/>
      <c r="CA1448" s="63"/>
      <c r="CB1448" s="63"/>
      <c r="CC1448" s="63"/>
      <c r="CD1448" s="63"/>
      <c r="CE1448" s="63"/>
      <c r="CF1448" s="63"/>
      <c r="CG1448" s="63"/>
      <c r="CH1448" s="64"/>
      <c r="CJ1448" s="63"/>
      <c r="CT1448" s="65"/>
      <c r="CU1448" s="65"/>
      <c r="CV1448" s="65"/>
      <c r="CW1448" s="65"/>
      <c r="CX1448" s="65"/>
      <c r="CY1448" s="65"/>
      <c r="CZ1448" s="65"/>
      <c r="DA1448" s="65"/>
      <c r="DB1448" s="65"/>
      <c r="DC1448" s="63"/>
    </row>
    <row r="1449" spans="1:107" s="57" customFormat="1" x14ac:dyDescent="0.2">
      <c r="A1449" s="55">
        <v>10100</v>
      </c>
      <c r="B1449" s="56">
        <v>12</v>
      </c>
      <c r="C1449" s="56">
        <f t="shared" si="98"/>
        <v>101000012</v>
      </c>
      <c r="D1449" s="57" t="s">
        <v>4326</v>
      </c>
      <c r="E1449" s="58" t="s">
        <v>640</v>
      </c>
      <c r="F1449" s="58"/>
      <c r="G1449" s="58"/>
      <c r="H1449" s="58"/>
      <c r="I1449" s="59" t="s">
        <v>206</v>
      </c>
      <c r="J1449" s="59"/>
      <c r="K1449" s="59"/>
      <c r="L1449" s="59"/>
      <c r="M1449" s="59"/>
      <c r="N1449" s="59" t="s">
        <v>163</v>
      </c>
      <c r="O1449" s="59" t="s">
        <v>163</v>
      </c>
      <c r="P1449" s="59"/>
      <c r="Q1449" s="59" t="s">
        <v>2041</v>
      </c>
      <c r="R1449" s="59"/>
      <c r="S1449" s="59"/>
      <c r="T1449" s="59" t="s">
        <v>2714</v>
      </c>
      <c r="U1449" s="122" t="s">
        <v>4332</v>
      </c>
      <c r="V1449" s="59" t="s">
        <v>109</v>
      </c>
      <c r="W1449" s="59" t="s">
        <v>1</v>
      </c>
      <c r="X1449" s="59"/>
      <c r="Z1449" s="59"/>
      <c r="AA1449" s="59"/>
      <c r="AB1449" s="59"/>
      <c r="AC1449" s="59">
        <v>100</v>
      </c>
      <c r="AD1449" s="59"/>
      <c r="AE1449" s="60"/>
      <c r="AF1449" s="60" t="s">
        <v>2042</v>
      </c>
      <c r="AG1449" s="59"/>
      <c r="AH1449" s="61">
        <v>1011003</v>
      </c>
      <c r="AI1449" s="61" t="s">
        <v>264</v>
      </c>
      <c r="AJ1449" s="61"/>
      <c r="AK1449" s="62" t="s">
        <v>637</v>
      </c>
      <c r="AL1449" s="62"/>
      <c r="AM1449" s="63"/>
      <c r="AN1449" s="63"/>
      <c r="AO1449" s="63"/>
      <c r="AP1449" s="63"/>
      <c r="AQ1449" s="63"/>
      <c r="AR1449" s="63"/>
      <c r="AS1449" s="63"/>
      <c r="AT1449" s="63"/>
      <c r="AU1449" s="61"/>
      <c r="AV1449" s="61"/>
      <c r="AW1449" s="61"/>
      <c r="AX1449" s="62"/>
      <c r="AY1449" s="62"/>
      <c r="AZ1449" s="63"/>
      <c r="BA1449" s="63"/>
      <c r="BB1449" s="63"/>
      <c r="BC1449" s="63"/>
      <c r="BD1449" s="63"/>
      <c r="BE1449" s="63"/>
      <c r="BF1449" s="63"/>
      <c r="BG1449" s="63"/>
      <c r="BH1449" s="61"/>
      <c r="BI1449" s="61"/>
      <c r="BJ1449" s="61"/>
      <c r="BK1449" s="62"/>
      <c r="BL1449" s="62"/>
      <c r="BM1449" s="63"/>
      <c r="BN1449" s="63"/>
      <c r="BO1449" s="63"/>
      <c r="BP1449" s="63"/>
      <c r="BQ1449" s="63"/>
      <c r="BR1449" s="63"/>
      <c r="BS1449" s="63"/>
      <c r="BT1449" s="63"/>
      <c r="BU1449" s="61"/>
      <c r="BV1449" s="61"/>
      <c r="BW1449" s="61"/>
      <c r="BX1449" s="62"/>
      <c r="BY1449" s="62"/>
      <c r="BZ1449" s="63"/>
      <c r="CA1449" s="63"/>
      <c r="CB1449" s="63"/>
      <c r="CC1449" s="63"/>
      <c r="CD1449" s="63"/>
      <c r="CE1449" s="63"/>
      <c r="CF1449" s="63"/>
      <c r="CG1449" s="63"/>
      <c r="CH1449" s="64"/>
      <c r="CJ1449" s="63"/>
      <c r="CT1449" s="65"/>
      <c r="CU1449" s="65"/>
      <c r="CV1449" s="65"/>
      <c r="CW1449" s="65"/>
      <c r="CX1449" s="65"/>
      <c r="CY1449" s="65"/>
      <c r="CZ1449" s="65"/>
      <c r="DA1449" s="65"/>
      <c r="DB1449" s="65"/>
      <c r="DC1449" s="63"/>
    </row>
    <row r="1450" spans="1:107" s="57" customFormat="1" x14ac:dyDescent="0.2">
      <c r="A1450" s="55">
        <v>10100</v>
      </c>
      <c r="B1450" s="56">
        <v>13</v>
      </c>
      <c r="C1450" s="56">
        <f t="shared" si="98"/>
        <v>101000013</v>
      </c>
      <c r="D1450" s="57" t="s">
        <v>4326</v>
      </c>
      <c r="E1450" s="58" t="s">
        <v>640</v>
      </c>
      <c r="F1450" s="58"/>
      <c r="G1450" s="58"/>
      <c r="H1450" s="58"/>
      <c r="I1450" s="59" t="s">
        <v>206</v>
      </c>
      <c r="J1450" s="59"/>
      <c r="K1450" s="59"/>
      <c r="L1450" s="59"/>
      <c r="M1450" s="59"/>
      <c r="N1450" s="59" t="s">
        <v>163</v>
      </c>
      <c r="O1450" s="59" t="s">
        <v>163</v>
      </c>
      <c r="P1450" s="59"/>
      <c r="Q1450" s="59" t="s">
        <v>2041</v>
      </c>
      <c r="R1450" s="59"/>
      <c r="S1450" s="59"/>
      <c r="T1450" s="59" t="s">
        <v>2714</v>
      </c>
      <c r="U1450" s="122" t="s">
        <v>4333</v>
      </c>
      <c r="V1450" s="59" t="s">
        <v>109</v>
      </c>
      <c r="W1450" s="59" t="s">
        <v>1</v>
      </c>
      <c r="X1450" s="59"/>
      <c r="Z1450" s="59"/>
      <c r="AA1450" s="59"/>
      <c r="AB1450" s="59"/>
      <c r="AC1450" s="59">
        <v>100</v>
      </c>
      <c r="AD1450" s="59"/>
      <c r="AE1450" s="60"/>
      <c r="AF1450" s="60" t="s">
        <v>2042</v>
      </c>
      <c r="AG1450" s="59"/>
      <c r="AH1450" s="61">
        <v>1011004</v>
      </c>
      <c r="AI1450" s="61" t="s">
        <v>265</v>
      </c>
      <c r="AJ1450" s="61"/>
      <c r="AK1450" s="62" t="s">
        <v>638</v>
      </c>
      <c r="AL1450" s="62"/>
      <c r="AM1450" s="63"/>
      <c r="AN1450" s="63"/>
      <c r="AO1450" s="63"/>
      <c r="AP1450" s="63"/>
      <c r="AQ1450" s="63"/>
      <c r="AR1450" s="63"/>
      <c r="AS1450" s="63"/>
      <c r="AT1450" s="63"/>
      <c r="AU1450" s="61"/>
      <c r="AV1450" s="61"/>
      <c r="AW1450" s="61"/>
      <c r="AX1450" s="62"/>
      <c r="AY1450" s="62"/>
      <c r="AZ1450" s="63"/>
      <c r="BA1450" s="63"/>
      <c r="BB1450" s="63"/>
      <c r="BC1450" s="63"/>
      <c r="BD1450" s="63"/>
      <c r="BE1450" s="63"/>
      <c r="BF1450" s="63"/>
      <c r="BG1450" s="63"/>
      <c r="BH1450" s="61"/>
      <c r="BI1450" s="61"/>
      <c r="BJ1450" s="61"/>
      <c r="BK1450" s="62"/>
      <c r="BL1450" s="62"/>
      <c r="BM1450" s="63"/>
      <c r="BN1450" s="63"/>
      <c r="BO1450" s="63"/>
      <c r="BP1450" s="63"/>
      <c r="BQ1450" s="63"/>
      <c r="BR1450" s="63"/>
      <c r="BS1450" s="63"/>
      <c r="BT1450" s="63"/>
      <c r="BU1450" s="61"/>
      <c r="BV1450" s="61"/>
      <c r="BW1450" s="61"/>
      <c r="BX1450" s="62"/>
      <c r="BY1450" s="62"/>
      <c r="BZ1450" s="63"/>
      <c r="CA1450" s="63"/>
      <c r="CB1450" s="63"/>
      <c r="CC1450" s="63"/>
      <c r="CD1450" s="63"/>
      <c r="CE1450" s="63"/>
      <c r="CF1450" s="63"/>
      <c r="CG1450" s="63"/>
      <c r="CH1450" s="64"/>
      <c r="CJ1450" s="63"/>
      <c r="CT1450" s="65"/>
      <c r="CU1450" s="65"/>
      <c r="CV1450" s="65"/>
      <c r="CW1450" s="65"/>
      <c r="CX1450" s="65"/>
      <c r="CY1450" s="65"/>
      <c r="CZ1450" s="65"/>
      <c r="DA1450" s="65"/>
      <c r="DB1450" s="65"/>
      <c r="DC1450" s="63"/>
    </row>
    <row r="1451" spans="1:107" s="57" customFormat="1" x14ac:dyDescent="0.2">
      <c r="A1451" s="55">
        <v>10100</v>
      </c>
      <c r="B1451" s="56">
        <v>14</v>
      </c>
      <c r="C1451" s="56">
        <f t="shared" si="98"/>
        <v>101000014</v>
      </c>
      <c r="D1451" s="57" t="s">
        <v>4326</v>
      </c>
      <c r="E1451" s="58" t="s">
        <v>640</v>
      </c>
      <c r="F1451" s="58"/>
      <c r="G1451" s="58"/>
      <c r="H1451" s="58"/>
      <c r="I1451" s="59" t="s">
        <v>206</v>
      </c>
      <c r="J1451" s="59"/>
      <c r="K1451" s="59"/>
      <c r="L1451" s="59"/>
      <c r="M1451" s="59"/>
      <c r="N1451" s="59" t="s">
        <v>163</v>
      </c>
      <c r="O1451" s="59" t="s">
        <v>163</v>
      </c>
      <c r="P1451" s="59"/>
      <c r="Q1451" s="59" t="s">
        <v>2041</v>
      </c>
      <c r="R1451" s="59"/>
      <c r="S1451" s="59"/>
      <c r="T1451" s="59" t="s">
        <v>2714</v>
      </c>
      <c r="U1451" s="122" t="s">
        <v>4334</v>
      </c>
      <c r="V1451" s="59" t="s">
        <v>109</v>
      </c>
      <c r="W1451" s="59" t="s">
        <v>1</v>
      </c>
      <c r="X1451" s="59"/>
      <c r="Z1451" s="59"/>
      <c r="AA1451" s="59"/>
      <c r="AB1451" s="59"/>
      <c r="AC1451" s="59">
        <v>100</v>
      </c>
      <c r="AD1451" s="59"/>
      <c r="AE1451" s="60"/>
      <c r="AF1451" s="60" t="s">
        <v>2042</v>
      </c>
      <c r="AG1451" s="59"/>
      <c r="AH1451" s="61">
        <v>1011005</v>
      </c>
      <c r="AI1451" s="61" t="s">
        <v>266</v>
      </c>
      <c r="AJ1451" s="61"/>
      <c r="AK1451" s="62">
        <v>6350</v>
      </c>
      <c r="AL1451" s="62"/>
      <c r="AM1451" s="63"/>
      <c r="AN1451" s="63"/>
      <c r="AO1451" s="63"/>
      <c r="AP1451" s="63"/>
      <c r="AQ1451" s="63"/>
      <c r="AR1451" s="63"/>
      <c r="AS1451" s="63"/>
      <c r="AT1451" s="63"/>
      <c r="AU1451" s="61"/>
      <c r="AV1451" s="61"/>
      <c r="AW1451" s="61"/>
      <c r="AX1451" s="62"/>
      <c r="AY1451" s="62"/>
      <c r="AZ1451" s="63"/>
      <c r="BA1451" s="63"/>
      <c r="BB1451" s="63"/>
      <c r="BC1451" s="63"/>
      <c r="BD1451" s="63"/>
      <c r="BE1451" s="63"/>
      <c r="BF1451" s="63"/>
      <c r="BG1451" s="63"/>
      <c r="BH1451" s="61"/>
      <c r="BI1451" s="61"/>
      <c r="BJ1451" s="61"/>
      <c r="BK1451" s="62"/>
      <c r="BL1451" s="62"/>
      <c r="BM1451" s="63"/>
      <c r="BN1451" s="63"/>
      <c r="BO1451" s="63"/>
      <c r="BP1451" s="63"/>
      <c r="BQ1451" s="63"/>
      <c r="BR1451" s="63"/>
      <c r="BS1451" s="63"/>
      <c r="BT1451" s="63"/>
      <c r="BU1451" s="61"/>
      <c r="BV1451" s="61"/>
      <c r="BW1451" s="61"/>
      <c r="BX1451" s="62"/>
      <c r="BY1451" s="62"/>
      <c r="BZ1451" s="63"/>
      <c r="CA1451" s="63"/>
      <c r="CB1451" s="63"/>
      <c r="CC1451" s="63"/>
      <c r="CD1451" s="63"/>
      <c r="CE1451" s="63"/>
      <c r="CF1451" s="63"/>
      <c r="CG1451" s="63"/>
      <c r="CH1451" s="64"/>
      <c r="CJ1451" s="63"/>
      <c r="CT1451" s="65"/>
      <c r="CU1451" s="65"/>
      <c r="CV1451" s="65"/>
      <c r="CW1451" s="65"/>
      <c r="CX1451" s="65"/>
      <c r="CY1451" s="65"/>
      <c r="CZ1451" s="65"/>
      <c r="DA1451" s="65"/>
      <c r="DB1451" s="65"/>
      <c r="DC1451" s="63"/>
    </row>
    <row r="1452" spans="1:107" s="57" customFormat="1" x14ac:dyDescent="0.2">
      <c r="A1452" s="55">
        <v>10101</v>
      </c>
      <c r="B1452" s="56">
        <v>10</v>
      </c>
      <c r="C1452" s="56">
        <f t="shared" ref="C1452:C1456" si="99">A1452*10000+B1452</f>
        <v>101010010</v>
      </c>
      <c r="D1452" s="57" t="s">
        <v>4467</v>
      </c>
      <c r="E1452" s="58" t="s">
        <v>640</v>
      </c>
      <c r="F1452" s="58"/>
      <c r="G1452" s="58"/>
      <c r="H1452" s="58"/>
      <c r="I1452" s="59" t="s">
        <v>206</v>
      </c>
      <c r="J1452" s="59"/>
      <c r="K1452" s="59"/>
      <c r="L1452" s="59"/>
      <c r="M1452" s="59"/>
      <c r="N1452" s="59" t="s">
        <v>163</v>
      </c>
      <c r="O1452" s="59" t="s">
        <v>163</v>
      </c>
      <c r="P1452" s="59"/>
      <c r="Q1452" s="59" t="s">
        <v>2041</v>
      </c>
      <c r="R1452" s="59"/>
      <c r="S1452" s="59"/>
      <c r="T1452" s="59" t="s">
        <v>2714</v>
      </c>
      <c r="U1452" s="122" t="s">
        <v>4468</v>
      </c>
      <c r="V1452" s="59" t="s">
        <v>109</v>
      </c>
      <c r="W1452" s="59" t="s">
        <v>1</v>
      </c>
      <c r="X1452" s="59"/>
      <c r="Z1452" s="59"/>
      <c r="AA1452" s="59"/>
      <c r="AB1452" s="59"/>
      <c r="AC1452" s="59" t="s">
        <v>4463</v>
      </c>
      <c r="AD1452" s="59"/>
      <c r="AE1452" s="60"/>
      <c r="AF1452" s="60" t="s">
        <v>2042</v>
      </c>
      <c r="AG1452" s="59"/>
      <c r="AH1452" s="61" t="s">
        <v>4473</v>
      </c>
      <c r="AI1452" s="61" t="s">
        <v>176</v>
      </c>
      <c r="AJ1452" s="61"/>
      <c r="AK1452" s="62" t="s">
        <v>635</v>
      </c>
      <c r="AL1452" s="62"/>
      <c r="AM1452" s="63"/>
      <c r="AN1452" s="63"/>
      <c r="AO1452" s="63"/>
      <c r="AP1452" s="63"/>
      <c r="AQ1452" s="63"/>
      <c r="AR1452" s="63"/>
      <c r="AS1452" s="63"/>
      <c r="AT1452" s="63"/>
      <c r="AU1452" s="61"/>
      <c r="AV1452" s="61"/>
      <c r="AW1452" s="61"/>
      <c r="AX1452" s="62"/>
      <c r="AY1452" s="62"/>
      <c r="AZ1452" s="63"/>
      <c r="BA1452" s="63"/>
      <c r="BB1452" s="63"/>
      <c r="BC1452" s="63"/>
      <c r="BD1452" s="63"/>
      <c r="BE1452" s="63"/>
      <c r="BF1452" s="63"/>
      <c r="BG1452" s="63"/>
      <c r="BH1452" s="61"/>
      <c r="BI1452" s="61"/>
      <c r="BJ1452" s="61"/>
      <c r="BK1452" s="62"/>
      <c r="BL1452" s="62"/>
      <c r="BM1452" s="63"/>
      <c r="BN1452" s="63"/>
      <c r="BO1452" s="63"/>
      <c r="BP1452" s="63"/>
      <c r="BQ1452" s="63"/>
      <c r="BR1452" s="63"/>
      <c r="BS1452" s="63"/>
      <c r="BT1452" s="63"/>
      <c r="BU1452" s="61"/>
      <c r="BV1452" s="61"/>
      <c r="BW1452" s="61"/>
      <c r="BX1452" s="62"/>
      <c r="BY1452" s="62"/>
      <c r="BZ1452" s="63"/>
      <c r="CA1452" s="63"/>
      <c r="CB1452" s="63"/>
      <c r="CC1452" s="63"/>
      <c r="CD1452" s="63"/>
      <c r="CE1452" s="63"/>
      <c r="CF1452" s="63"/>
      <c r="CG1452" s="63"/>
      <c r="CH1452" s="64"/>
      <c r="CJ1452" s="63"/>
      <c r="CT1452" s="65"/>
      <c r="CU1452" s="65"/>
      <c r="CV1452" s="65"/>
      <c r="CW1452" s="65"/>
      <c r="CX1452" s="65"/>
      <c r="CY1452" s="65"/>
      <c r="CZ1452" s="65"/>
      <c r="DA1452" s="65"/>
      <c r="DB1452" s="65"/>
      <c r="DC1452" s="63"/>
    </row>
    <row r="1453" spans="1:107" s="57" customFormat="1" x14ac:dyDescent="0.2">
      <c r="A1453" s="55">
        <v>10101</v>
      </c>
      <c r="B1453" s="56">
        <v>11</v>
      </c>
      <c r="C1453" s="56">
        <f t="shared" si="99"/>
        <v>101010011</v>
      </c>
      <c r="D1453" s="57" t="s">
        <v>4467</v>
      </c>
      <c r="E1453" s="58" t="s">
        <v>640</v>
      </c>
      <c r="F1453" s="58"/>
      <c r="G1453" s="58"/>
      <c r="H1453" s="58"/>
      <c r="I1453" s="59" t="s">
        <v>206</v>
      </c>
      <c r="J1453" s="59"/>
      <c r="K1453" s="59"/>
      <c r="L1453" s="59"/>
      <c r="M1453" s="59"/>
      <c r="N1453" s="59" t="s">
        <v>163</v>
      </c>
      <c r="O1453" s="59" t="s">
        <v>163</v>
      </c>
      <c r="P1453" s="59"/>
      <c r="Q1453" s="59" t="s">
        <v>2041</v>
      </c>
      <c r="R1453" s="59"/>
      <c r="S1453" s="59"/>
      <c r="T1453" s="59" t="s">
        <v>2714</v>
      </c>
      <c r="U1453" s="122" t="s">
        <v>4469</v>
      </c>
      <c r="V1453" s="59" t="s">
        <v>109</v>
      </c>
      <c r="W1453" s="59" t="s">
        <v>1</v>
      </c>
      <c r="X1453" s="59"/>
      <c r="Z1453" s="59"/>
      <c r="AA1453" s="59"/>
      <c r="AB1453" s="59"/>
      <c r="AC1453" s="59" t="s">
        <v>4463</v>
      </c>
      <c r="AD1453" s="59"/>
      <c r="AE1453" s="60"/>
      <c r="AF1453" s="60" t="s">
        <v>2042</v>
      </c>
      <c r="AG1453" s="59"/>
      <c r="AH1453" s="61" t="s">
        <v>4474</v>
      </c>
      <c r="AI1453" s="61" t="s">
        <v>260</v>
      </c>
      <c r="AJ1453" s="61"/>
      <c r="AK1453" s="62" t="s">
        <v>636</v>
      </c>
      <c r="AL1453" s="62"/>
      <c r="AM1453" s="63"/>
      <c r="AN1453" s="63"/>
      <c r="AO1453" s="63"/>
      <c r="AP1453" s="63"/>
      <c r="AQ1453" s="63"/>
      <c r="AR1453" s="63"/>
      <c r="AS1453" s="63"/>
      <c r="AT1453" s="63"/>
      <c r="AU1453" s="61"/>
      <c r="AV1453" s="61"/>
      <c r="AW1453" s="61"/>
      <c r="AX1453" s="62"/>
      <c r="AY1453" s="62"/>
      <c r="AZ1453" s="63"/>
      <c r="BA1453" s="63"/>
      <c r="BB1453" s="63"/>
      <c r="BC1453" s="63"/>
      <c r="BD1453" s="63"/>
      <c r="BE1453" s="63"/>
      <c r="BF1453" s="63"/>
      <c r="BG1453" s="63"/>
      <c r="BH1453" s="61"/>
      <c r="BI1453" s="61"/>
      <c r="BJ1453" s="61"/>
      <c r="BK1453" s="62"/>
      <c r="BL1453" s="62"/>
      <c r="BM1453" s="63"/>
      <c r="BN1453" s="63"/>
      <c r="BO1453" s="63"/>
      <c r="BP1453" s="63"/>
      <c r="BQ1453" s="63"/>
      <c r="BR1453" s="63"/>
      <c r="BS1453" s="63"/>
      <c r="BT1453" s="63"/>
      <c r="BU1453" s="61"/>
      <c r="BV1453" s="61"/>
      <c r="BW1453" s="61"/>
      <c r="BX1453" s="62"/>
      <c r="BY1453" s="62"/>
      <c r="BZ1453" s="63"/>
      <c r="CA1453" s="63"/>
      <c r="CB1453" s="63"/>
      <c r="CC1453" s="63"/>
      <c r="CD1453" s="63"/>
      <c r="CE1453" s="63"/>
      <c r="CF1453" s="63"/>
      <c r="CG1453" s="63"/>
      <c r="CH1453" s="64"/>
      <c r="CJ1453" s="63"/>
      <c r="CT1453" s="65"/>
      <c r="CU1453" s="65"/>
      <c r="CV1453" s="65"/>
      <c r="CW1453" s="65"/>
      <c r="CX1453" s="65"/>
      <c r="CY1453" s="65"/>
      <c r="CZ1453" s="65"/>
      <c r="DA1453" s="65"/>
      <c r="DB1453" s="65"/>
      <c r="DC1453" s="63"/>
    </row>
    <row r="1454" spans="1:107" s="57" customFormat="1" x14ac:dyDescent="0.2">
      <c r="A1454" s="55">
        <v>10101</v>
      </c>
      <c r="B1454" s="56">
        <v>12</v>
      </c>
      <c r="C1454" s="56">
        <f t="shared" si="99"/>
        <v>101010012</v>
      </c>
      <c r="D1454" s="57" t="s">
        <v>4467</v>
      </c>
      <c r="E1454" s="58" t="s">
        <v>640</v>
      </c>
      <c r="F1454" s="58"/>
      <c r="G1454" s="58"/>
      <c r="H1454" s="58"/>
      <c r="I1454" s="59" t="s">
        <v>206</v>
      </c>
      <c r="J1454" s="59"/>
      <c r="K1454" s="59"/>
      <c r="L1454" s="59"/>
      <c r="M1454" s="59"/>
      <c r="N1454" s="59" t="s">
        <v>163</v>
      </c>
      <c r="O1454" s="59" t="s">
        <v>163</v>
      </c>
      <c r="P1454" s="59"/>
      <c r="Q1454" s="59" t="s">
        <v>2041</v>
      </c>
      <c r="R1454" s="59"/>
      <c r="S1454" s="59"/>
      <c r="T1454" s="59" t="s">
        <v>2714</v>
      </c>
      <c r="U1454" s="122" t="s">
        <v>4470</v>
      </c>
      <c r="V1454" s="59" t="s">
        <v>109</v>
      </c>
      <c r="W1454" s="59" t="s">
        <v>1</v>
      </c>
      <c r="X1454" s="59"/>
      <c r="Z1454" s="59"/>
      <c r="AA1454" s="59"/>
      <c r="AB1454" s="59"/>
      <c r="AC1454" s="59" t="s">
        <v>4463</v>
      </c>
      <c r="AD1454" s="59"/>
      <c r="AE1454" s="60"/>
      <c r="AF1454" s="60" t="s">
        <v>2042</v>
      </c>
      <c r="AG1454" s="59"/>
      <c r="AH1454" s="61" t="s">
        <v>4475</v>
      </c>
      <c r="AI1454" s="61" t="s">
        <v>264</v>
      </c>
      <c r="AJ1454" s="61"/>
      <c r="AK1454" s="62" t="s">
        <v>637</v>
      </c>
      <c r="AL1454" s="62"/>
      <c r="AM1454" s="63"/>
      <c r="AN1454" s="63"/>
      <c r="AO1454" s="63"/>
      <c r="AP1454" s="63"/>
      <c r="AQ1454" s="63"/>
      <c r="AR1454" s="63"/>
      <c r="AS1454" s="63"/>
      <c r="AT1454" s="63"/>
      <c r="AU1454" s="61"/>
      <c r="AV1454" s="61"/>
      <c r="AW1454" s="61"/>
      <c r="AX1454" s="62"/>
      <c r="AY1454" s="62"/>
      <c r="AZ1454" s="63"/>
      <c r="BA1454" s="63"/>
      <c r="BB1454" s="63"/>
      <c r="BC1454" s="63"/>
      <c r="BD1454" s="63"/>
      <c r="BE1454" s="63"/>
      <c r="BF1454" s="63"/>
      <c r="BG1454" s="63"/>
      <c r="BH1454" s="61"/>
      <c r="BI1454" s="61"/>
      <c r="BJ1454" s="61"/>
      <c r="BK1454" s="62"/>
      <c r="BL1454" s="62"/>
      <c r="BM1454" s="63"/>
      <c r="BN1454" s="63"/>
      <c r="BO1454" s="63"/>
      <c r="BP1454" s="63"/>
      <c r="BQ1454" s="63"/>
      <c r="BR1454" s="63"/>
      <c r="BS1454" s="63"/>
      <c r="BT1454" s="63"/>
      <c r="BU1454" s="61"/>
      <c r="BV1454" s="61"/>
      <c r="BW1454" s="61"/>
      <c r="BX1454" s="62"/>
      <c r="BY1454" s="62"/>
      <c r="BZ1454" s="63"/>
      <c r="CA1454" s="63"/>
      <c r="CB1454" s="63"/>
      <c r="CC1454" s="63"/>
      <c r="CD1454" s="63"/>
      <c r="CE1454" s="63"/>
      <c r="CF1454" s="63"/>
      <c r="CG1454" s="63"/>
      <c r="CH1454" s="64"/>
      <c r="CJ1454" s="63"/>
      <c r="CT1454" s="65"/>
      <c r="CU1454" s="65"/>
      <c r="CV1454" s="65"/>
      <c r="CW1454" s="65"/>
      <c r="CX1454" s="65"/>
      <c r="CY1454" s="65"/>
      <c r="CZ1454" s="65"/>
      <c r="DA1454" s="65"/>
      <c r="DB1454" s="65"/>
      <c r="DC1454" s="63"/>
    </row>
    <row r="1455" spans="1:107" s="57" customFormat="1" x14ac:dyDescent="0.2">
      <c r="A1455" s="55">
        <v>10101</v>
      </c>
      <c r="B1455" s="56">
        <v>13</v>
      </c>
      <c r="C1455" s="56">
        <f t="shared" si="99"/>
        <v>101010013</v>
      </c>
      <c r="D1455" s="57" t="s">
        <v>4467</v>
      </c>
      <c r="E1455" s="58" t="s">
        <v>640</v>
      </c>
      <c r="F1455" s="58"/>
      <c r="G1455" s="58"/>
      <c r="H1455" s="58"/>
      <c r="I1455" s="59" t="s">
        <v>206</v>
      </c>
      <c r="J1455" s="59"/>
      <c r="K1455" s="59"/>
      <c r="L1455" s="59"/>
      <c r="M1455" s="59"/>
      <c r="N1455" s="59" t="s">
        <v>163</v>
      </c>
      <c r="O1455" s="59" t="s">
        <v>163</v>
      </c>
      <c r="P1455" s="59"/>
      <c r="Q1455" s="59" t="s">
        <v>2041</v>
      </c>
      <c r="R1455" s="59"/>
      <c r="S1455" s="59"/>
      <c r="T1455" s="59" t="s">
        <v>2714</v>
      </c>
      <c r="U1455" s="122" t="s">
        <v>4471</v>
      </c>
      <c r="V1455" s="59" t="s">
        <v>109</v>
      </c>
      <c r="W1455" s="59" t="s">
        <v>1</v>
      </c>
      <c r="X1455" s="59"/>
      <c r="Z1455" s="59"/>
      <c r="AA1455" s="59"/>
      <c r="AB1455" s="59"/>
      <c r="AC1455" s="59" t="s">
        <v>4463</v>
      </c>
      <c r="AD1455" s="59"/>
      <c r="AE1455" s="60"/>
      <c r="AF1455" s="60" t="s">
        <v>2042</v>
      </c>
      <c r="AG1455" s="59"/>
      <c r="AH1455" s="61" t="s">
        <v>4476</v>
      </c>
      <c r="AI1455" s="61" t="s">
        <v>265</v>
      </c>
      <c r="AJ1455" s="61"/>
      <c r="AK1455" s="62" t="s">
        <v>638</v>
      </c>
      <c r="AL1455" s="62"/>
      <c r="AM1455" s="63"/>
      <c r="AN1455" s="63"/>
      <c r="AO1455" s="63"/>
      <c r="AP1455" s="63"/>
      <c r="AQ1455" s="63"/>
      <c r="AR1455" s="63"/>
      <c r="AS1455" s="63"/>
      <c r="AT1455" s="63"/>
      <c r="AU1455" s="61"/>
      <c r="AV1455" s="61"/>
      <c r="AW1455" s="61"/>
      <c r="AX1455" s="62"/>
      <c r="AY1455" s="62"/>
      <c r="AZ1455" s="63"/>
      <c r="BA1455" s="63"/>
      <c r="BB1455" s="63"/>
      <c r="BC1455" s="63"/>
      <c r="BD1455" s="63"/>
      <c r="BE1455" s="63"/>
      <c r="BF1455" s="63"/>
      <c r="BG1455" s="63"/>
      <c r="BH1455" s="61"/>
      <c r="BI1455" s="61"/>
      <c r="BJ1455" s="61"/>
      <c r="BK1455" s="62"/>
      <c r="BL1455" s="62"/>
      <c r="BM1455" s="63"/>
      <c r="BN1455" s="63"/>
      <c r="BO1455" s="63"/>
      <c r="BP1455" s="63"/>
      <c r="BQ1455" s="63"/>
      <c r="BR1455" s="63"/>
      <c r="BS1455" s="63"/>
      <c r="BT1455" s="63"/>
      <c r="BU1455" s="61"/>
      <c r="BV1455" s="61"/>
      <c r="BW1455" s="61"/>
      <c r="BX1455" s="62"/>
      <c r="BY1455" s="62"/>
      <c r="BZ1455" s="63"/>
      <c r="CA1455" s="63"/>
      <c r="CB1455" s="63"/>
      <c r="CC1455" s="63"/>
      <c r="CD1455" s="63"/>
      <c r="CE1455" s="63"/>
      <c r="CF1455" s="63"/>
      <c r="CG1455" s="63"/>
      <c r="CH1455" s="64"/>
      <c r="CJ1455" s="63"/>
      <c r="CT1455" s="65"/>
      <c r="CU1455" s="65"/>
      <c r="CV1455" s="65"/>
      <c r="CW1455" s="65"/>
      <c r="CX1455" s="65"/>
      <c r="CY1455" s="65"/>
      <c r="CZ1455" s="65"/>
      <c r="DA1455" s="65"/>
      <c r="DB1455" s="65"/>
      <c r="DC1455" s="63"/>
    </row>
    <row r="1456" spans="1:107" s="57" customFormat="1" x14ac:dyDescent="0.2">
      <c r="A1456" s="55">
        <v>10101</v>
      </c>
      <c r="B1456" s="56">
        <v>14</v>
      </c>
      <c r="C1456" s="56">
        <f t="shared" si="99"/>
        <v>101010014</v>
      </c>
      <c r="D1456" s="57" t="s">
        <v>4467</v>
      </c>
      <c r="E1456" s="58" t="s">
        <v>640</v>
      </c>
      <c r="F1456" s="58"/>
      <c r="G1456" s="58"/>
      <c r="H1456" s="58"/>
      <c r="I1456" s="59" t="s">
        <v>206</v>
      </c>
      <c r="J1456" s="59"/>
      <c r="K1456" s="59"/>
      <c r="L1456" s="59"/>
      <c r="M1456" s="59"/>
      <c r="N1456" s="59" t="s">
        <v>163</v>
      </c>
      <c r="O1456" s="59" t="s">
        <v>163</v>
      </c>
      <c r="P1456" s="59"/>
      <c r="Q1456" s="59" t="s">
        <v>2041</v>
      </c>
      <c r="R1456" s="59"/>
      <c r="S1456" s="59"/>
      <c r="T1456" s="59" t="s">
        <v>2714</v>
      </c>
      <c r="U1456" s="122" t="s">
        <v>4472</v>
      </c>
      <c r="V1456" s="59" t="s">
        <v>109</v>
      </c>
      <c r="W1456" s="59" t="s">
        <v>1</v>
      </c>
      <c r="X1456" s="59"/>
      <c r="Z1456" s="59"/>
      <c r="AA1456" s="59"/>
      <c r="AB1456" s="59"/>
      <c r="AC1456" s="59" t="s">
        <v>4463</v>
      </c>
      <c r="AD1456" s="59"/>
      <c r="AE1456" s="60"/>
      <c r="AF1456" s="60" t="s">
        <v>2042</v>
      </c>
      <c r="AG1456" s="59"/>
      <c r="AH1456" s="61" t="s">
        <v>4477</v>
      </c>
      <c r="AI1456" s="61" t="s">
        <v>266</v>
      </c>
      <c r="AJ1456" s="61"/>
      <c r="AK1456" s="62">
        <v>6350</v>
      </c>
      <c r="AL1456" s="62"/>
      <c r="AM1456" s="63"/>
      <c r="AN1456" s="63"/>
      <c r="AO1456" s="63"/>
      <c r="AP1456" s="63"/>
      <c r="AQ1456" s="63"/>
      <c r="AR1456" s="63"/>
      <c r="AS1456" s="63"/>
      <c r="AT1456" s="63"/>
      <c r="AU1456" s="61"/>
      <c r="AV1456" s="61"/>
      <c r="AW1456" s="61"/>
      <c r="AX1456" s="62"/>
      <c r="AY1456" s="62"/>
      <c r="AZ1456" s="63"/>
      <c r="BA1456" s="63"/>
      <c r="BB1456" s="63"/>
      <c r="BC1456" s="63"/>
      <c r="BD1456" s="63"/>
      <c r="BE1456" s="63"/>
      <c r="BF1456" s="63"/>
      <c r="BG1456" s="63"/>
      <c r="BH1456" s="61"/>
      <c r="BI1456" s="61"/>
      <c r="BJ1456" s="61"/>
      <c r="BK1456" s="62"/>
      <c r="BL1456" s="62"/>
      <c r="BM1456" s="63"/>
      <c r="BN1456" s="63"/>
      <c r="BO1456" s="63"/>
      <c r="BP1456" s="63"/>
      <c r="BQ1456" s="63"/>
      <c r="BR1456" s="63"/>
      <c r="BS1456" s="63"/>
      <c r="BT1456" s="63"/>
      <c r="BU1456" s="61"/>
      <c r="BV1456" s="61"/>
      <c r="BW1456" s="61"/>
      <c r="BX1456" s="62"/>
      <c r="BY1456" s="62"/>
      <c r="BZ1456" s="63"/>
      <c r="CA1456" s="63"/>
      <c r="CB1456" s="63"/>
      <c r="CC1456" s="63"/>
      <c r="CD1456" s="63"/>
      <c r="CE1456" s="63"/>
      <c r="CF1456" s="63"/>
      <c r="CG1456" s="63"/>
      <c r="CH1456" s="64"/>
      <c r="CJ1456" s="63"/>
      <c r="CT1456" s="65"/>
      <c r="CU1456" s="65"/>
      <c r="CV1456" s="65"/>
      <c r="CW1456" s="65"/>
      <c r="CX1456" s="65"/>
      <c r="CY1456" s="65"/>
      <c r="CZ1456" s="65"/>
      <c r="DA1456" s="65"/>
      <c r="DB1456" s="65"/>
      <c r="DC1456" s="63"/>
    </row>
    <row r="1457" spans="1:107" s="57" customFormat="1" x14ac:dyDescent="0.2">
      <c r="A1457" s="55">
        <v>10102</v>
      </c>
      <c r="B1457" s="56">
        <v>10</v>
      </c>
      <c r="C1457" s="56">
        <f t="shared" ref="C1457:C1461" si="100">A1457*10000+B1457</f>
        <v>101020010</v>
      </c>
      <c r="D1457" s="57" t="s">
        <v>4546</v>
      </c>
      <c r="E1457" s="58" t="s">
        <v>640</v>
      </c>
      <c r="F1457" s="58"/>
      <c r="G1457" s="58"/>
      <c r="H1457" s="58"/>
      <c r="I1457" s="59" t="s">
        <v>206</v>
      </c>
      <c r="J1457" s="59"/>
      <c r="K1457" s="59"/>
      <c r="L1457" s="59"/>
      <c r="M1457" s="59"/>
      <c r="N1457" s="59" t="s">
        <v>163</v>
      </c>
      <c r="O1457" s="59" t="s">
        <v>163</v>
      </c>
      <c r="P1457" s="59"/>
      <c r="Q1457" s="59" t="s">
        <v>2041</v>
      </c>
      <c r="R1457" s="59"/>
      <c r="S1457" s="59"/>
      <c r="T1457" s="59" t="s">
        <v>2714</v>
      </c>
      <c r="U1457" s="122" t="s">
        <v>4552</v>
      </c>
      <c r="V1457" s="59" t="s">
        <v>109</v>
      </c>
      <c r="W1457" s="59" t="s">
        <v>1</v>
      </c>
      <c r="X1457" s="59"/>
      <c r="Z1457" s="59"/>
      <c r="AA1457" s="59"/>
      <c r="AB1457" s="59"/>
      <c r="AC1457" s="59">
        <v>102</v>
      </c>
      <c r="AD1457" s="59"/>
      <c r="AE1457" s="60"/>
      <c r="AF1457" s="60" t="s">
        <v>2042</v>
      </c>
      <c r="AG1457" s="59"/>
      <c r="AH1457" s="61" t="s">
        <v>4557</v>
      </c>
      <c r="AI1457" s="61" t="s">
        <v>176</v>
      </c>
      <c r="AJ1457" s="61"/>
      <c r="AK1457" s="62" t="s">
        <v>635</v>
      </c>
      <c r="AL1457" s="62"/>
      <c r="AM1457" s="63"/>
      <c r="AN1457" s="63"/>
      <c r="AO1457" s="63"/>
      <c r="AP1457" s="63"/>
      <c r="AQ1457" s="63"/>
      <c r="AR1457" s="63"/>
      <c r="AS1457" s="63"/>
      <c r="AT1457" s="63"/>
      <c r="AU1457" s="61"/>
      <c r="AV1457" s="61"/>
      <c r="AW1457" s="61"/>
      <c r="AX1457" s="62"/>
      <c r="AY1457" s="62"/>
      <c r="AZ1457" s="63"/>
      <c r="BA1457" s="63"/>
      <c r="BB1457" s="63"/>
      <c r="BC1457" s="63"/>
      <c r="BD1457" s="63"/>
      <c r="BE1457" s="63"/>
      <c r="BF1457" s="63"/>
      <c r="BG1457" s="63"/>
      <c r="BH1457" s="61"/>
      <c r="BI1457" s="61"/>
      <c r="BJ1457" s="61"/>
      <c r="BK1457" s="62"/>
      <c r="BL1457" s="62"/>
      <c r="BM1457" s="63"/>
      <c r="BN1457" s="63"/>
      <c r="BO1457" s="63"/>
      <c r="BP1457" s="63"/>
      <c r="BQ1457" s="63"/>
      <c r="BR1457" s="63"/>
      <c r="BS1457" s="63"/>
      <c r="BT1457" s="63"/>
      <c r="BU1457" s="61"/>
      <c r="BV1457" s="61"/>
      <c r="BW1457" s="61"/>
      <c r="BX1457" s="62"/>
      <c r="BY1457" s="62"/>
      <c r="BZ1457" s="63"/>
      <c r="CA1457" s="63"/>
      <c r="CB1457" s="63"/>
      <c r="CC1457" s="63"/>
      <c r="CD1457" s="63"/>
      <c r="CE1457" s="63"/>
      <c r="CF1457" s="63"/>
      <c r="CG1457" s="63"/>
      <c r="CH1457" s="64"/>
      <c r="CJ1457" s="63"/>
      <c r="CT1457" s="65"/>
      <c r="CU1457" s="65"/>
      <c r="CV1457" s="65"/>
      <c r="CW1457" s="65"/>
      <c r="CX1457" s="65"/>
      <c r="CY1457" s="65"/>
      <c r="CZ1457" s="65"/>
      <c r="DA1457" s="65"/>
      <c r="DB1457" s="65"/>
      <c r="DC1457" s="63"/>
    </row>
    <row r="1458" spans="1:107" s="57" customFormat="1" x14ac:dyDescent="0.2">
      <c r="A1458" s="55">
        <v>10102</v>
      </c>
      <c r="B1458" s="56">
        <v>11</v>
      </c>
      <c r="C1458" s="56">
        <f t="shared" si="100"/>
        <v>101020011</v>
      </c>
      <c r="D1458" s="57" t="s">
        <v>4546</v>
      </c>
      <c r="E1458" s="58" t="s">
        <v>640</v>
      </c>
      <c r="F1458" s="58"/>
      <c r="G1458" s="58"/>
      <c r="H1458" s="58"/>
      <c r="I1458" s="59" t="s">
        <v>206</v>
      </c>
      <c r="J1458" s="59"/>
      <c r="K1458" s="59"/>
      <c r="L1458" s="59"/>
      <c r="M1458" s="59"/>
      <c r="N1458" s="59" t="s">
        <v>163</v>
      </c>
      <c r="O1458" s="59" t="s">
        <v>163</v>
      </c>
      <c r="P1458" s="59"/>
      <c r="Q1458" s="59" t="s">
        <v>2041</v>
      </c>
      <c r="R1458" s="59"/>
      <c r="S1458" s="59"/>
      <c r="T1458" s="59" t="s">
        <v>2714</v>
      </c>
      <c r="U1458" s="122" t="s">
        <v>4553</v>
      </c>
      <c r="V1458" s="59" t="s">
        <v>109</v>
      </c>
      <c r="W1458" s="59" t="s">
        <v>1</v>
      </c>
      <c r="X1458" s="59"/>
      <c r="Z1458" s="59"/>
      <c r="AA1458" s="59"/>
      <c r="AB1458" s="59"/>
      <c r="AC1458" s="59">
        <v>102</v>
      </c>
      <c r="AD1458" s="59"/>
      <c r="AE1458" s="60"/>
      <c r="AF1458" s="60" t="s">
        <v>2042</v>
      </c>
      <c r="AG1458" s="59"/>
      <c r="AH1458" s="61" t="s">
        <v>4558</v>
      </c>
      <c r="AI1458" s="61" t="s">
        <v>260</v>
      </c>
      <c r="AJ1458" s="61"/>
      <c r="AK1458" s="62" t="s">
        <v>636</v>
      </c>
      <c r="AL1458" s="62"/>
      <c r="AM1458" s="63"/>
      <c r="AN1458" s="63"/>
      <c r="AO1458" s="63"/>
      <c r="AP1458" s="63"/>
      <c r="AQ1458" s="63"/>
      <c r="AR1458" s="63"/>
      <c r="AS1458" s="63"/>
      <c r="AT1458" s="63"/>
      <c r="AU1458" s="61"/>
      <c r="AV1458" s="61"/>
      <c r="AW1458" s="61"/>
      <c r="AX1458" s="62"/>
      <c r="AY1458" s="62"/>
      <c r="AZ1458" s="63"/>
      <c r="BA1458" s="63"/>
      <c r="BB1458" s="63"/>
      <c r="BC1458" s="63"/>
      <c r="BD1458" s="63"/>
      <c r="BE1458" s="63"/>
      <c r="BF1458" s="63"/>
      <c r="BG1458" s="63"/>
      <c r="BH1458" s="61"/>
      <c r="BI1458" s="61"/>
      <c r="BJ1458" s="61"/>
      <c r="BK1458" s="62"/>
      <c r="BL1458" s="62"/>
      <c r="BM1458" s="63"/>
      <c r="BN1458" s="63"/>
      <c r="BO1458" s="63"/>
      <c r="BP1458" s="63"/>
      <c r="BQ1458" s="63"/>
      <c r="BR1458" s="63"/>
      <c r="BS1458" s="63"/>
      <c r="BT1458" s="63"/>
      <c r="BU1458" s="61"/>
      <c r="BV1458" s="61"/>
      <c r="BW1458" s="61"/>
      <c r="BX1458" s="62"/>
      <c r="BY1458" s="62"/>
      <c r="BZ1458" s="63"/>
      <c r="CA1458" s="63"/>
      <c r="CB1458" s="63"/>
      <c r="CC1458" s="63"/>
      <c r="CD1458" s="63"/>
      <c r="CE1458" s="63"/>
      <c r="CF1458" s="63"/>
      <c r="CG1458" s="63"/>
      <c r="CH1458" s="64"/>
      <c r="CJ1458" s="63"/>
      <c r="CT1458" s="65"/>
      <c r="CU1458" s="65"/>
      <c r="CV1458" s="65"/>
      <c r="CW1458" s="65"/>
      <c r="CX1458" s="65"/>
      <c r="CY1458" s="65"/>
      <c r="CZ1458" s="65"/>
      <c r="DA1458" s="65"/>
      <c r="DB1458" s="65"/>
      <c r="DC1458" s="63"/>
    </row>
    <row r="1459" spans="1:107" s="57" customFormat="1" x14ac:dyDescent="0.2">
      <c r="A1459" s="55">
        <v>10102</v>
      </c>
      <c r="B1459" s="56">
        <v>12</v>
      </c>
      <c r="C1459" s="56">
        <f t="shared" si="100"/>
        <v>101020012</v>
      </c>
      <c r="D1459" s="57" t="s">
        <v>4546</v>
      </c>
      <c r="E1459" s="58" t="s">
        <v>640</v>
      </c>
      <c r="F1459" s="58"/>
      <c r="G1459" s="58"/>
      <c r="H1459" s="58"/>
      <c r="I1459" s="59" t="s">
        <v>206</v>
      </c>
      <c r="J1459" s="59"/>
      <c r="K1459" s="59"/>
      <c r="L1459" s="59"/>
      <c r="M1459" s="59"/>
      <c r="N1459" s="59" t="s">
        <v>163</v>
      </c>
      <c r="O1459" s="59" t="s">
        <v>163</v>
      </c>
      <c r="P1459" s="59"/>
      <c r="Q1459" s="59" t="s">
        <v>2041</v>
      </c>
      <c r="R1459" s="59"/>
      <c r="S1459" s="59"/>
      <c r="T1459" s="59" t="s">
        <v>2714</v>
      </c>
      <c r="U1459" s="122" t="s">
        <v>4554</v>
      </c>
      <c r="V1459" s="59" t="s">
        <v>109</v>
      </c>
      <c r="W1459" s="59" t="s">
        <v>1</v>
      </c>
      <c r="X1459" s="59"/>
      <c r="Z1459" s="59"/>
      <c r="AA1459" s="59"/>
      <c r="AB1459" s="59"/>
      <c r="AC1459" s="59">
        <v>102</v>
      </c>
      <c r="AD1459" s="59"/>
      <c r="AE1459" s="60"/>
      <c r="AF1459" s="60" t="s">
        <v>2042</v>
      </c>
      <c r="AG1459" s="59"/>
      <c r="AH1459" s="61" t="s">
        <v>4559</v>
      </c>
      <c r="AI1459" s="61" t="s">
        <v>264</v>
      </c>
      <c r="AJ1459" s="61"/>
      <c r="AK1459" s="62" t="s">
        <v>637</v>
      </c>
      <c r="AL1459" s="62"/>
      <c r="AM1459" s="63"/>
      <c r="AN1459" s="63"/>
      <c r="AO1459" s="63"/>
      <c r="AP1459" s="63"/>
      <c r="AQ1459" s="63"/>
      <c r="AR1459" s="63"/>
      <c r="AS1459" s="63"/>
      <c r="AT1459" s="63"/>
      <c r="AU1459" s="61"/>
      <c r="AV1459" s="61"/>
      <c r="AW1459" s="61"/>
      <c r="AX1459" s="62"/>
      <c r="AY1459" s="62"/>
      <c r="AZ1459" s="63"/>
      <c r="BA1459" s="63"/>
      <c r="BB1459" s="63"/>
      <c r="BC1459" s="63"/>
      <c r="BD1459" s="63"/>
      <c r="BE1459" s="63"/>
      <c r="BF1459" s="63"/>
      <c r="BG1459" s="63"/>
      <c r="BH1459" s="61"/>
      <c r="BI1459" s="61"/>
      <c r="BJ1459" s="61"/>
      <c r="BK1459" s="62"/>
      <c r="BL1459" s="62"/>
      <c r="BM1459" s="63"/>
      <c r="BN1459" s="63"/>
      <c r="BO1459" s="63"/>
      <c r="BP1459" s="63"/>
      <c r="BQ1459" s="63"/>
      <c r="BR1459" s="63"/>
      <c r="BS1459" s="63"/>
      <c r="BT1459" s="63"/>
      <c r="BU1459" s="61"/>
      <c r="BV1459" s="61"/>
      <c r="BW1459" s="61"/>
      <c r="BX1459" s="62"/>
      <c r="BY1459" s="62"/>
      <c r="BZ1459" s="63"/>
      <c r="CA1459" s="63"/>
      <c r="CB1459" s="63"/>
      <c r="CC1459" s="63"/>
      <c r="CD1459" s="63"/>
      <c r="CE1459" s="63"/>
      <c r="CF1459" s="63"/>
      <c r="CG1459" s="63"/>
      <c r="CH1459" s="64"/>
      <c r="CJ1459" s="63"/>
      <c r="CT1459" s="65"/>
      <c r="CU1459" s="65"/>
      <c r="CV1459" s="65"/>
      <c r="CW1459" s="65"/>
      <c r="CX1459" s="65"/>
      <c r="CY1459" s="65"/>
      <c r="CZ1459" s="65"/>
      <c r="DA1459" s="65"/>
      <c r="DB1459" s="65"/>
      <c r="DC1459" s="63"/>
    </row>
    <row r="1460" spans="1:107" s="57" customFormat="1" x14ac:dyDescent="0.2">
      <c r="A1460" s="55">
        <v>10102</v>
      </c>
      <c r="B1460" s="56">
        <v>13</v>
      </c>
      <c r="C1460" s="56">
        <f t="shared" si="100"/>
        <v>101020013</v>
      </c>
      <c r="D1460" s="57" t="s">
        <v>4546</v>
      </c>
      <c r="E1460" s="58" t="s">
        <v>640</v>
      </c>
      <c r="F1460" s="58"/>
      <c r="G1460" s="58"/>
      <c r="H1460" s="58"/>
      <c r="I1460" s="59" t="s">
        <v>206</v>
      </c>
      <c r="J1460" s="59"/>
      <c r="K1460" s="59"/>
      <c r="L1460" s="59"/>
      <c r="M1460" s="59"/>
      <c r="N1460" s="59" t="s">
        <v>163</v>
      </c>
      <c r="O1460" s="59" t="s">
        <v>163</v>
      </c>
      <c r="P1460" s="59"/>
      <c r="Q1460" s="59" t="s">
        <v>2041</v>
      </c>
      <c r="R1460" s="59"/>
      <c r="S1460" s="59"/>
      <c r="T1460" s="59" t="s">
        <v>2714</v>
      </c>
      <c r="U1460" s="122" t="s">
        <v>4555</v>
      </c>
      <c r="V1460" s="59" t="s">
        <v>109</v>
      </c>
      <c r="W1460" s="59" t="s">
        <v>1</v>
      </c>
      <c r="X1460" s="59"/>
      <c r="Z1460" s="59"/>
      <c r="AA1460" s="59"/>
      <c r="AB1460" s="59"/>
      <c r="AC1460" s="59">
        <v>102</v>
      </c>
      <c r="AD1460" s="59"/>
      <c r="AE1460" s="60"/>
      <c r="AF1460" s="60" t="s">
        <v>2042</v>
      </c>
      <c r="AG1460" s="59"/>
      <c r="AH1460" s="61" t="s">
        <v>4560</v>
      </c>
      <c r="AI1460" s="61" t="s">
        <v>265</v>
      </c>
      <c r="AJ1460" s="61"/>
      <c r="AK1460" s="62" t="s">
        <v>638</v>
      </c>
      <c r="AL1460" s="62"/>
      <c r="AM1460" s="63"/>
      <c r="AN1460" s="63"/>
      <c r="AO1460" s="63"/>
      <c r="AP1460" s="63"/>
      <c r="AQ1460" s="63"/>
      <c r="AR1460" s="63"/>
      <c r="AS1460" s="63"/>
      <c r="AT1460" s="63"/>
      <c r="AU1460" s="61"/>
      <c r="AV1460" s="61"/>
      <c r="AW1460" s="61"/>
      <c r="AX1460" s="62"/>
      <c r="AY1460" s="62"/>
      <c r="AZ1460" s="63"/>
      <c r="BA1460" s="63"/>
      <c r="BB1460" s="63"/>
      <c r="BC1460" s="63"/>
      <c r="BD1460" s="63"/>
      <c r="BE1460" s="63"/>
      <c r="BF1460" s="63"/>
      <c r="BG1460" s="63"/>
      <c r="BH1460" s="61"/>
      <c r="BI1460" s="61"/>
      <c r="BJ1460" s="61"/>
      <c r="BK1460" s="62"/>
      <c r="BL1460" s="62"/>
      <c r="BM1460" s="63"/>
      <c r="BN1460" s="63"/>
      <c r="BO1460" s="63"/>
      <c r="BP1460" s="63"/>
      <c r="BQ1460" s="63"/>
      <c r="BR1460" s="63"/>
      <c r="BS1460" s="63"/>
      <c r="BT1460" s="63"/>
      <c r="BU1460" s="61"/>
      <c r="BV1460" s="61"/>
      <c r="BW1460" s="61"/>
      <c r="BX1460" s="62"/>
      <c r="BY1460" s="62"/>
      <c r="BZ1460" s="63"/>
      <c r="CA1460" s="63"/>
      <c r="CB1460" s="63"/>
      <c r="CC1460" s="63"/>
      <c r="CD1460" s="63"/>
      <c r="CE1460" s="63"/>
      <c r="CF1460" s="63"/>
      <c r="CG1460" s="63"/>
      <c r="CH1460" s="64"/>
      <c r="CJ1460" s="63"/>
      <c r="CT1460" s="65"/>
      <c r="CU1460" s="65"/>
      <c r="CV1460" s="65"/>
      <c r="CW1460" s="65"/>
      <c r="CX1460" s="65"/>
      <c r="CY1460" s="65"/>
      <c r="CZ1460" s="65"/>
      <c r="DA1460" s="65"/>
      <c r="DB1460" s="65"/>
      <c r="DC1460" s="63"/>
    </row>
    <row r="1461" spans="1:107" s="57" customFormat="1" x14ac:dyDescent="0.2">
      <c r="A1461" s="55">
        <v>10102</v>
      </c>
      <c r="B1461" s="56">
        <v>14</v>
      </c>
      <c r="C1461" s="56">
        <f t="shared" si="100"/>
        <v>101020014</v>
      </c>
      <c r="D1461" s="57" t="s">
        <v>4546</v>
      </c>
      <c r="E1461" s="58" t="s">
        <v>640</v>
      </c>
      <c r="F1461" s="58"/>
      <c r="G1461" s="58"/>
      <c r="H1461" s="58"/>
      <c r="I1461" s="59" t="s">
        <v>206</v>
      </c>
      <c r="J1461" s="59"/>
      <c r="K1461" s="59"/>
      <c r="L1461" s="59"/>
      <c r="M1461" s="59"/>
      <c r="N1461" s="59" t="s">
        <v>163</v>
      </c>
      <c r="O1461" s="59" t="s">
        <v>163</v>
      </c>
      <c r="P1461" s="59"/>
      <c r="Q1461" s="59" t="s">
        <v>2041</v>
      </c>
      <c r="R1461" s="59"/>
      <c r="S1461" s="59"/>
      <c r="T1461" s="59" t="s">
        <v>2714</v>
      </c>
      <c r="U1461" s="122" t="s">
        <v>4556</v>
      </c>
      <c r="V1461" s="59" t="s">
        <v>109</v>
      </c>
      <c r="W1461" s="59" t="s">
        <v>1</v>
      </c>
      <c r="X1461" s="59"/>
      <c r="Z1461" s="59"/>
      <c r="AA1461" s="59"/>
      <c r="AB1461" s="59"/>
      <c r="AC1461" s="59">
        <v>102</v>
      </c>
      <c r="AD1461" s="59"/>
      <c r="AE1461" s="60"/>
      <c r="AF1461" s="60" t="s">
        <v>2042</v>
      </c>
      <c r="AG1461" s="59"/>
      <c r="AH1461" s="61" t="s">
        <v>4561</v>
      </c>
      <c r="AI1461" s="61" t="s">
        <v>266</v>
      </c>
      <c r="AJ1461" s="61"/>
      <c r="AK1461" s="62">
        <v>6350</v>
      </c>
      <c r="AL1461" s="62"/>
      <c r="AM1461" s="63"/>
      <c r="AN1461" s="63"/>
      <c r="AO1461" s="63"/>
      <c r="AP1461" s="63"/>
      <c r="AQ1461" s="63"/>
      <c r="AR1461" s="63"/>
      <c r="AS1461" s="63"/>
      <c r="AT1461" s="63"/>
      <c r="AU1461" s="61"/>
      <c r="AV1461" s="61"/>
      <c r="AW1461" s="61"/>
      <c r="AX1461" s="62"/>
      <c r="AY1461" s="62"/>
      <c r="AZ1461" s="63"/>
      <c r="BA1461" s="63"/>
      <c r="BB1461" s="63"/>
      <c r="BC1461" s="63"/>
      <c r="BD1461" s="63"/>
      <c r="BE1461" s="63"/>
      <c r="BF1461" s="63"/>
      <c r="BG1461" s="63"/>
      <c r="BH1461" s="61"/>
      <c r="BI1461" s="61"/>
      <c r="BJ1461" s="61"/>
      <c r="BK1461" s="62"/>
      <c r="BL1461" s="62"/>
      <c r="BM1461" s="63"/>
      <c r="BN1461" s="63"/>
      <c r="BO1461" s="63"/>
      <c r="BP1461" s="63"/>
      <c r="BQ1461" s="63"/>
      <c r="BR1461" s="63"/>
      <c r="BS1461" s="63"/>
      <c r="BT1461" s="63"/>
      <c r="BU1461" s="61"/>
      <c r="BV1461" s="61"/>
      <c r="BW1461" s="61"/>
      <c r="BX1461" s="62"/>
      <c r="BY1461" s="62"/>
      <c r="BZ1461" s="63"/>
      <c r="CA1461" s="63"/>
      <c r="CB1461" s="63"/>
      <c r="CC1461" s="63"/>
      <c r="CD1461" s="63"/>
      <c r="CE1461" s="63"/>
      <c r="CF1461" s="63"/>
      <c r="CG1461" s="63"/>
      <c r="CH1461" s="64"/>
      <c r="CJ1461" s="63"/>
      <c r="CT1461" s="65"/>
      <c r="CU1461" s="65"/>
      <c r="CV1461" s="65"/>
      <c r="CW1461" s="65"/>
      <c r="CX1461" s="65"/>
      <c r="CY1461" s="65"/>
      <c r="CZ1461" s="65"/>
      <c r="DA1461" s="65"/>
      <c r="DB1461" s="65"/>
      <c r="DC1461" s="63"/>
    </row>
    <row r="1462" spans="1:107" s="57" customFormat="1" x14ac:dyDescent="0.2">
      <c r="A1462" s="55">
        <v>10111</v>
      </c>
      <c r="B1462" s="56">
        <v>10</v>
      </c>
      <c r="C1462" s="56">
        <f t="shared" ref="C1462:C1466" si="101">A1462*10000+B1462</f>
        <v>101110010</v>
      </c>
      <c r="D1462" s="57" t="s">
        <v>4786</v>
      </c>
      <c r="E1462" s="58" t="s">
        <v>640</v>
      </c>
      <c r="F1462" s="58"/>
      <c r="G1462" s="58"/>
      <c r="H1462" s="58"/>
      <c r="I1462" s="59" t="s">
        <v>206</v>
      </c>
      <c r="J1462" s="59"/>
      <c r="K1462" s="59"/>
      <c r="L1462" s="59"/>
      <c r="M1462" s="59"/>
      <c r="N1462" s="59" t="s">
        <v>163</v>
      </c>
      <c r="O1462" s="59" t="s">
        <v>163</v>
      </c>
      <c r="P1462" s="59"/>
      <c r="Q1462" s="59" t="s">
        <v>2041</v>
      </c>
      <c r="R1462" s="59"/>
      <c r="S1462" s="59"/>
      <c r="T1462" s="59" t="s">
        <v>2714</v>
      </c>
      <c r="U1462" s="122" t="s">
        <v>4787</v>
      </c>
      <c r="V1462" s="59" t="s">
        <v>109</v>
      </c>
      <c r="W1462" s="59" t="s">
        <v>1</v>
      </c>
      <c r="X1462" s="59"/>
      <c r="Z1462" s="59"/>
      <c r="AA1462" s="59"/>
      <c r="AB1462" s="59"/>
      <c r="AC1462" s="59" t="s">
        <v>4348</v>
      </c>
      <c r="AD1462" s="59"/>
      <c r="AE1462" s="60"/>
      <c r="AF1462" s="60" t="s">
        <v>2042</v>
      </c>
      <c r="AG1462" s="59"/>
      <c r="AH1462" s="61" t="s">
        <v>4842</v>
      </c>
      <c r="AI1462" s="61" t="s">
        <v>176</v>
      </c>
      <c r="AJ1462" s="61"/>
      <c r="AK1462" s="62" t="s">
        <v>635</v>
      </c>
      <c r="AL1462" s="62"/>
      <c r="AM1462" s="63"/>
      <c r="AN1462" s="63"/>
      <c r="AO1462" s="63"/>
      <c r="AP1462" s="63"/>
      <c r="AQ1462" s="63"/>
      <c r="AR1462" s="63"/>
      <c r="AS1462" s="63"/>
      <c r="AT1462" s="63"/>
      <c r="AU1462" s="61"/>
      <c r="AV1462" s="61"/>
      <c r="AW1462" s="61"/>
      <c r="AX1462" s="62"/>
      <c r="AY1462" s="62"/>
      <c r="AZ1462" s="63"/>
      <c r="BA1462" s="63"/>
      <c r="BB1462" s="63"/>
      <c r="BC1462" s="63"/>
      <c r="BD1462" s="63"/>
      <c r="BE1462" s="63"/>
      <c r="BF1462" s="63"/>
      <c r="BG1462" s="63"/>
      <c r="BH1462" s="61"/>
      <c r="BI1462" s="61"/>
      <c r="BJ1462" s="61"/>
      <c r="BK1462" s="62"/>
      <c r="BL1462" s="62"/>
      <c r="BM1462" s="63"/>
      <c r="BN1462" s="63"/>
      <c r="BO1462" s="63"/>
      <c r="BP1462" s="63"/>
      <c r="BQ1462" s="63"/>
      <c r="BR1462" s="63"/>
      <c r="BS1462" s="63"/>
      <c r="BT1462" s="63"/>
      <c r="BU1462" s="61"/>
      <c r="BV1462" s="61"/>
      <c r="BW1462" s="61"/>
      <c r="BX1462" s="62"/>
      <c r="BY1462" s="62"/>
      <c r="BZ1462" s="63"/>
      <c r="CA1462" s="63"/>
      <c r="CB1462" s="63"/>
      <c r="CC1462" s="63"/>
      <c r="CD1462" s="63"/>
      <c r="CE1462" s="63"/>
      <c r="CF1462" s="63"/>
      <c r="CG1462" s="63"/>
      <c r="CH1462" s="64"/>
      <c r="CJ1462" s="63"/>
      <c r="CT1462" s="65"/>
      <c r="CU1462" s="65"/>
      <c r="CV1462" s="65"/>
      <c r="CW1462" s="65"/>
      <c r="CX1462" s="65"/>
      <c r="CY1462" s="65"/>
      <c r="CZ1462" s="65"/>
      <c r="DA1462" s="65"/>
      <c r="DB1462" s="65"/>
      <c r="DC1462" s="63"/>
    </row>
    <row r="1463" spans="1:107" s="57" customFormat="1" x14ac:dyDescent="0.2">
      <c r="A1463" s="55">
        <v>10111</v>
      </c>
      <c r="B1463" s="56">
        <v>11</v>
      </c>
      <c r="C1463" s="56">
        <f t="shared" si="101"/>
        <v>101110011</v>
      </c>
      <c r="D1463" s="57" t="s">
        <v>4786</v>
      </c>
      <c r="E1463" s="58" t="s">
        <v>640</v>
      </c>
      <c r="F1463" s="58"/>
      <c r="G1463" s="58"/>
      <c r="H1463" s="58"/>
      <c r="I1463" s="59" t="s">
        <v>206</v>
      </c>
      <c r="J1463" s="59"/>
      <c r="K1463" s="59"/>
      <c r="L1463" s="59"/>
      <c r="M1463" s="59"/>
      <c r="N1463" s="59" t="s">
        <v>163</v>
      </c>
      <c r="O1463" s="59" t="s">
        <v>163</v>
      </c>
      <c r="P1463" s="59"/>
      <c r="Q1463" s="59" t="s">
        <v>2041</v>
      </c>
      <c r="R1463" s="59"/>
      <c r="S1463" s="59"/>
      <c r="T1463" s="59" t="s">
        <v>2714</v>
      </c>
      <c r="U1463" s="122" t="s">
        <v>4788</v>
      </c>
      <c r="V1463" s="59" t="s">
        <v>109</v>
      </c>
      <c r="W1463" s="59" t="s">
        <v>1</v>
      </c>
      <c r="X1463" s="59"/>
      <c r="Z1463" s="59"/>
      <c r="AA1463" s="59"/>
      <c r="AB1463" s="59"/>
      <c r="AC1463" s="59" t="s">
        <v>4348</v>
      </c>
      <c r="AD1463" s="59"/>
      <c r="AE1463" s="60"/>
      <c r="AF1463" s="60" t="s">
        <v>2042</v>
      </c>
      <c r="AG1463" s="59"/>
      <c r="AH1463" s="61" t="s">
        <v>4792</v>
      </c>
      <c r="AI1463" s="61" t="s">
        <v>260</v>
      </c>
      <c r="AJ1463" s="61"/>
      <c r="AK1463" s="62" t="s">
        <v>636</v>
      </c>
      <c r="AL1463" s="62"/>
      <c r="AM1463" s="63"/>
      <c r="AN1463" s="63"/>
      <c r="AO1463" s="63"/>
      <c r="AP1463" s="63"/>
      <c r="AQ1463" s="63"/>
      <c r="AR1463" s="63"/>
      <c r="AS1463" s="63"/>
      <c r="AT1463" s="63"/>
      <c r="AU1463" s="61"/>
      <c r="AV1463" s="61"/>
      <c r="AW1463" s="61"/>
      <c r="AX1463" s="62"/>
      <c r="AY1463" s="62"/>
      <c r="AZ1463" s="63"/>
      <c r="BA1463" s="63"/>
      <c r="BB1463" s="63"/>
      <c r="BC1463" s="63"/>
      <c r="BD1463" s="63"/>
      <c r="BE1463" s="63"/>
      <c r="BF1463" s="63"/>
      <c r="BG1463" s="63"/>
      <c r="BH1463" s="61"/>
      <c r="BI1463" s="61"/>
      <c r="BJ1463" s="61"/>
      <c r="BK1463" s="62"/>
      <c r="BL1463" s="62"/>
      <c r="BM1463" s="63"/>
      <c r="BN1463" s="63"/>
      <c r="BO1463" s="63"/>
      <c r="BP1463" s="63"/>
      <c r="BQ1463" s="63"/>
      <c r="BR1463" s="63"/>
      <c r="BS1463" s="63"/>
      <c r="BT1463" s="63"/>
      <c r="BU1463" s="61"/>
      <c r="BV1463" s="61"/>
      <c r="BW1463" s="61"/>
      <c r="BX1463" s="62"/>
      <c r="BY1463" s="62"/>
      <c r="BZ1463" s="63"/>
      <c r="CA1463" s="63"/>
      <c r="CB1463" s="63"/>
      <c r="CC1463" s="63"/>
      <c r="CD1463" s="63"/>
      <c r="CE1463" s="63"/>
      <c r="CF1463" s="63"/>
      <c r="CG1463" s="63"/>
      <c r="CH1463" s="64"/>
      <c r="CJ1463" s="63"/>
      <c r="CT1463" s="65"/>
      <c r="CU1463" s="65"/>
      <c r="CV1463" s="65"/>
      <c r="CW1463" s="65"/>
      <c r="CX1463" s="65"/>
      <c r="CY1463" s="65"/>
      <c r="CZ1463" s="65"/>
      <c r="DA1463" s="65"/>
      <c r="DB1463" s="65"/>
      <c r="DC1463" s="63"/>
    </row>
    <row r="1464" spans="1:107" s="57" customFormat="1" x14ac:dyDescent="0.2">
      <c r="A1464" s="55">
        <v>10111</v>
      </c>
      <c r="B1464" s="56">
        <v>12</v>
      </c>
      <c r="C1464" s="56">
        <f t="shared" si="101"/>
        <v>101110012</v>
      </c>
      <c r="D1464" s="57" t="s">
        <v>4786</v>
      </c>
      <c r="E1464" s="58" t="s">
        <v>640</v>
      </c>
      <c r="F1464" s="58"/>
      <c r="G1464" s="58"/>
      <c r="H1464" s="58"/>
      <c r="I1464" s="59" t="s">
        <v>206</v>
      </c>
      <c r="J1464" s="59"/>
      <c r="K1464" s="59"/>
      <c r="L1464" s="59"/>
      <c r="M1464" s="59"/>
      <c r="N1464" s="59" t="s">
        <v>163</v>
      </c>
      <c r="O1464" s="59" t="s">
        <v>163</v>
      </c>
      <c r="P1464" s="59"/>
      <c r="Q1464" s="59" t="s">
        <v>2041</v>
      </c>
      <c r="R1464" s="59"/>
      <c r="S1464" s="59"/>
      <c r="T1464" s="59" t="s">
        <v>2714</v>
      </c>
      <c r="U1464" s="122" t="s">
        <v>4789</v>
      </c>
      <c r="V1464" s="59" t="s">
        <v>109</v>
      </c>
      <c r="W1464" s="59" t="s">
        <v>1</v>
      </c>
      <c r="X1464" s="59"/>
      <c r="Z1464" s="59"/>
      <c r="AA1464" s="59"/>
      <c r="AB1464" s="59"/>
      <c r="AC1464" s="59" t="s">
        <v>765</v>
      </c>
      <c r="AD1464" s="59"/>
      <c r="AE1464" s="60"/>
      <c r="AF1464" s="60" t="s">
        <v>2042</v>
      </c>
      <c r="AG1464" s="59"/>
      <c r="AH1464" s="61" t="s">
        <v>4793</v>
      </c>
      <c r="AI1464" s="61" t="s">
        <v>264</v>
      </c>
      <c r="AJ1464" s="61"/>
      <c r="AK1464" s="62" t="s">
        <v>637</v>
      </c>
      <c r="AL1464" s="62"/>
      <c r="AM1464" s="63"/>
      <c r="AN1464" s="63"/>
      <c r="AO1464" s="63"/>
      <c r="AP1464" s="63"/>
      <c r="AQ1464" s="63"/>
      <c r="AR1464" s="63"/>
      <c r="AS1464" s="63"/>
      <c r="AT1464" s="63"/>
      <c r="AU1464" s="61"/>
      <c r="AV1464" s="61"/>
      <c r="AW1464" s="61"/>
      <c r="AX1464" s="62"/>
      <c r="AY1464" s="62"/>
      <c r="AZ1464" s="63"/>
      <c r="BA1464" s="63"/>
      <c r="BB1464" s="63"/>
      <c r="BC1464" s="63"/>
      <c r="BD1464" s="63"/>
      <c r="BE1464" s="63"/>
      <c r="BF1464" s="63"/>
      <c r="BG1464" s="63"/>
      <c r="BH1464" s="61"/>
      <c r="BI1464" s="61"/>
      <c r="BJ1464" s="61"/>
      <c r="BK1464" s="62"/>
      <c r="BL1464" s="62"/>
      <c r="BM1464" s="63"/>
      <c r="BN1464" s="63"/>
      <c r="BO1464" s="63"/>
      <c r="BP1464" s="63"/>
      <c r="BQ1464" s="63"/>
      <c r="BR1464" s="63"/>
      <c r="BS1464" s="63"/>
      <c r="BT1464" s="63"/>
      <c r="BU1464" s="61"/>
      <c r="BV1464" s="61"/>
      <c r="BW1464" s="61"/>
      <c r="BX1464" s="62"/>
      <c r="BY1464" s="62"/>
      <c r="BZ1464" s="63"/>
      <c r="CA1464" s="63"/>
      <c r="CB1464" s="63"/>
      <c r="CC1464" s="63"/>
      <c r="CD1464" s="63"/>
      <c r="CE1464" s="63"/>
      <c r="CF1464" s="63"/>
      <c r="CG1464" s="63"/>
      <c r="CH1464" s="64"/>
      <c r="CJ1464" s="63"/>
      <c r="CT1464" s="65"/>
      <c r="CU1464" s="65"/>
      <c r="CV1464" s="65"/>
      <c r="CW1464" s="65"/>
      <c r="CX1464" s="65"/>
      <c r="CY1464" s="65"/>
      <c r="CZ1464" s="65"/>
      <c r="DA1464" s="65"/>
      <c r="DB1464" s="65"/>
      <c r="DC1464" s="63"/>
    </row>
    <row r="1465" spans="1:107" s="57" customFormat="1" x14ac:dyDescent="0.2">
      <c r="A1465" s="55">
        <v>10111</v>
      </c>
      <c r="B1465" s="56">
        <v>13</v>
      </c>
      <c r="C1465" s="56">
        <f t="shared" si="101"/>
        <v>101110013</v>
      </c>
      <c r="D1465" s="57" t="s">
        <v>4786</v>
      </c>
      <c r="E1465" s="58" t="s">
        <v>640</v>
      </c>
      <c r="F1465" s="58"/>
      <c r="G1465" s="58"/>
      <c r="H1465" s="58"/>
      <c r="I1465" s="59" t="s">
        <v>206</v>
      </c>
      <c r="J1465" s="59"/>
      <c r="K1465" s="59"/>
      <c r="L1465" s="59"/>
      <c r="M1465" s="59"/>
      <c r="N1465" s="59" t="s">
        <v>163</v>
      </c>
      <c r="O1465" s="59" t="s">
        <v>163</v>
      </c>
      <c r="P1465" s="59"/>
      <c r="Q1465" s="59" t="s">
        <v>2041</v>
      </c>
      <c r="R1465" s="59"/>
      <c r="S1465" s="59"/>
      <c r="T1465" s="59" t="s">
        <v>2714</v>
      </c>
      <c r="U1465" s="122" t="s">
        <v>4790</v>
      </c>
      <c r="V1465" s="59" t="s">
        <v>109</v>
      </c>
      <c r="W1465" s="59" t="s">
        <v>1</v>
      </c>
      <c r="X1465" s="59"/>
      <c r="Z1465" s="59"/>
      <c r="AA1465" s="59"/>
      <c r="AB1465" s="59"/>
      <c r="AC1465" s="59" t="s">
        <v>765</v>
      </c>
      <c r="AD1465" s="59"/>
      <c r="AE1465" s="60"/>
      <c r="AF1465" s="60" t="s">
        <v>2042</v>
      </c>
      <c r="AG1465" s="59"/>
      <c r="AH1465" s="61" t="s">
        <v>4794</v>
      </c>
      <c r="AI1465" s="61" t="s">
        <v>265</v>
      </c>
      <c r="AJ1465" s="61"/>
      <c r="AK1465" s="62" t="s">
        <v>638</v>
      </c>
      <c r="AL1465" s="62"/>
      <c r="AM1465" s="63"/>
      <c r="AN1465" s="63"/>
      <c r="AO1465" s="63"/>
      <c r="AP1465" s="63"/>
      <c r="AQ1465" s="63"/>
      <c r="AR1465" s="63"/>
      <c r="AS1465" s="63"/>
      <c r="AT1465" s="63"/>
      <c r="AU1465" s="61"/>
      <c r="AV1465" s="61"/>
      <c r="AW1465" s="61"/>
      <c r="AX1465" s="62"/>
      <c r="AY1465" s="62"/>
      <c r="AZ1465" s="63"/>
      <c r="BA1465" s="63"/>
      <c r="BB1465" s="63"/>
      <c r="BC1465" s="63"/>
      <c r="BD1465" s="63"/>
      <c r="BE1465" s="63"/>
      <c r="BF1465" s="63"/>
      <c r="BG1465" s="63"/>
      <c r="BH1465" s="61"/>
      <c r="BI1465" s="61"/>
      <c r="BJ1465" s="61"/>
      <c r="BK1465" s="62"/>
      <c r="BL1465" s="62"/>
      <c r="BM1465" s="63"/>
      <c r="BN1465" s="63"/>
      <c r="BO1465" s="63"/>
      <c r="BP1465" s="63"/>
      <c r="BQ1465" s="63"/>
      <c r="BR1465" s="63"/>
      <c r="BS1465" s="63"/>
      <c r="BT1465" s="63"/>
      <c r="BU1465" s="61"/>
      <c r="BV1465" s="61"/>
      <c r="BW1465" s="61"/>
      <c r="BX1465" s="62"/>
      <c r="BY1465" s="62"/>
      <c r="BZ1465" s="63"/>
      <c r="CA1465" s="63"/>
      <c r="CB1465" s="63"/>
      <c r="CC1465" s="63"/>
      <c r="CD1465" s="63"/>
      <c r="CE1465" s="63"/>
      <c r="CF1465" s="63"/>
      <c r="CG1465" s="63"/>
      <c r="CH1465" s="64"/>
      <c r="CJ1465" s="63"/>
      <c r="CT1465" s="65"/>
      <c r="CU1465" s="65"/>
      <c r="CV1465" s="65"/>
      <c r="CW1465" s="65"/>
      <c r="CX1465" s="65"/>
      <c r="CY1465" s="65"/>
      <c r="CZ1465" s="65"/>
      <c r="DA1465" s="65"/>
      <c r="DB1465" s="65"/>
      <c r="DC1465" s="63"/>
    </row>
    <row r="1466" spans="1:107" s="57" customFormat="1" x14ac:dyDescent="0.2">
      <c r="A1466" s="55">
        <v>10111</v>
      </c>
      <c r="B1466" s="56">
        <v>14</v>
      </c>
      <c r="C1466" s="56">
        <f t="shared" si="101"/>
        <v>101110014</v>
      </c>
      <c r="D1466" s="57" t="s">
        <v>4786</v>
      </c>
      <c r="E1466" s="58" t="s">
        <v>640</v>
      </c>
      <c r="F1466" s="58"/>
      <c r="G1466" s="58"/>
      <c r="H1466" s="58"/>
      <c r="I1466" s="59" t="s">
        <v>206</v>
      </c>
      <c r="J1466" s="59"/>
      <c r="K1466" s="59"/>
      <c r="L1466" s="59"/>
      <c r="M1466" s="59"/>
      <c r="N1466" s="59" t="s">
        <v>163</v>
      </c>
      <c r="O1466" s="59" t="s">
        <v>163</v>
      </c>
      <c r="P1466" s="59"/>
      <c r="Q1466" s="59" t="s">
        <v>2041</v>
      </c>
      <c r="R1466" s="59"/>
      <c r="S1466" s="59"/>
      <c r="T1466" s="59" t="s">
        <v>2714</v>
      </c>
      <c r="U1466" s="122" t="s">
        <v>4791</v>
      </c>
      <c r="V1466" s="59" t="s">
        <v>109</v>
      </c>
      <c r="W1466" s="59" t="s">
        <v>1</v>
      </c>
      <c r="X1466" s="59"/>
      <c r="Z1466" s="59"/>
      <c r="AA1466" s="59"/>
      <c r="AB1466" s="59"/>
      <c r="AC1466" s="59" t="s">
        <v>765</v>
      </c>
      <c r="AD1466" s="59"/>
      <c r="AE1466" s="60"/>
      <c r="AF1466" s="60" t="s">
        <v>2042</v>
      </c>
      <c r="AG1466" s="59"/>
      <c r="AH1466" s="61" t="s">
        <v>4795</v>
      </c>
      <c r="AI1466" s="61" t="s">
        <v>266</v>
      </c>
      <c r="AJ1466" s="61"/>
      <c r="AK1466" s="62">
        <v>6350</v>
      </c>
      <c r="AL1466" s="62"/>
      <c r="AM1466" s="63"/>
      <c r="AN1466" s="63"/>
      <c r="AO1466" s="63"/>
      <c r="AP1466" s="63"/>
      <c r="AQ1466" s="63"/>
      <c r="AR1466" s="63"/>
      <c r="AS1466" s="63"/>
      <c r="AT1466" s="63"/>
      <c r="AU1466" s="61"/>
      <c r="AV1466" s="61"/>
      <c r="AW1466" s="61"/>
      <c r="AX1466" s="62"/>
      <c r="AY1466" s="62"/>
      <c r="AZ1466" s="63"/>
      <c r="BA1466" s="63"/>
      <c r="BB1466" s="63"/>
      <c r="BC1466" s="63"/>
      <c r="BD1466" s="63"/>
      <c r="BE1466" s="63"/>
      <c r="BF1466" s="63"/>
      <c r="BG1466" s="63"/>
      <c r="BH1466" s="61"/>
      <c r="BI1466" s="61"/>
      <c r="BJ1466" s="61"/>
      <c r="BK1466" s="62"/>
      <c r="BL1466" s="62"/>
      <c r="BM1466" s="63"/>
      <c r="BN1466" s="63"/>
      <c r="BO1466" s="63"/>
      <c r="BP1466" s="63"/>
      <c r="BQ1466" s="63"/>
      <c r="BR1466" s="63"/>
      <c r="BS1466" s="63"/>
      <c r="BT1466" s="63"/>
      <c r="BU1466" s="61"/>
      <c r="BV1466" s="61"/>
      <c r="BW1466" s="61"/>
      <c r="BX1466" s="62"/>
      <c r="BY1466" s="62"/>
      <c r="BZ1466" s="63"/>
      <c r="CA1466" s="63"/>
      <c r="CB1466" s="63"/>
      <c r="CC1466" s="63"/>
      <c r="CD1466" s="63"/>
      <c r="CE1466" s="63"/>
      <c r="CF1466" s="63"/>
      <c r="CG1466" s="63"/>
      <c r="CH1466" s="64"/>
      <c r="CJ1466" s="63"/>
      <c r="CT1466" s="65"/>
      <c r="CU1466" s="65"/>
      <c r="CV1466" s="65"/>
      <c r="CW1466" s="65"/>
      <c r="CX1466" s="65"/>
      <c r="CY1466" s="65"/>
      <c r="CZ1466" s="65"/>
      <c r="DA1466" s="65"/>
      <c r="DB1466" s="65"/>
      <c r="DC1466" s="63"/>
    </row>
    <row r="1467" spans="1:107" s="14" customFormat="1" ht="17.25" x14ac:dyDescent="0.3">
      <c r="A1467" s="8"/>
      <c r="B1467" s="8"/>
      <c r="C1467" s="8">
        <f t="shared" ref="C1467:C1519" si="102">A1467*10000+B1467</f>
        <v>0</v>
      </c>
      <c r="D1467" s="8"/>
      <c r="E1467" s="9" t="s">
        <v>3734</v>
      </c>
      <c r="F1467" s="9"/>
      <c r="G1467" s="9"/>
      <c r="H1467" s="9"/>
      <c r="I1467" s="10"/>
      <c r="J1467" s="10"/>
      <c r="K1467" s="10"/>
      <c r="L1467" s="10"/>
      <c r="M1467" s="10"/>
      <c r="N1467" s="10"/>
      <c r="O1467" s="10"/>
      <c r="P1467" s="10"/>
      <c r="Q1467" s="10"/>
      <c r="R1467" s="10"/>
      <c r="S1467" s="10"/>
      <c r="T1467" s="10"/>
      <c r="U1467" s="10"/>
      <c r="V1467" s="10"/>
      <c r="W1467" s="10"/>
      <c r="X1467" s="10"/>
      <c r="Y1467" s="11"/>
      <c r="Z1467" s="10"/>
      <c r="AA1467" s="10"/>
      <c r="AB1467" s="10"/>
      <c r="AC1467" s="10"/>
      <c r="AD1467" s="10"/>
      <c r="AE1467" s="12"/>
      <c r="AF1467" s="12"/>
      <c r="AG1467" s="10"/>
      <c r="AH1467" s="13"/>
      <c r="AI1467" s="13"/>
      <c r="AJ1467" s="13"/>
      <c r="AK1467" s="15"/>
      <c r="AL1467" s="15"/>
      <c r="AM1467" s="15"/>
      <c r="AN1467" s="15"/>
      <c r="AO1467" s="15"/>
      <c r="AP1467" s="15"/>
      <c r="AQ1467" s="15"/>
      <c r="AR1467" s="15"/>
      <c r="AS1467" s="15"/>
      <c r="AT1467" s="15"/>
      <c r="AU1467" s="13"/>
      <c r="AV1467" s="13"/>
      <c r="AW1467" s="13"/>
      <c r="AX1467" s="31"/>
      <c r="AY1467" s="31"/>
      <c r="AZ1467" s="15"/>
      <c r="BA1467" s="15"/>
      <c r="BB1467" s="15"/>
      <c r="BC1467" s="15"/>
      <c r="BD1467" s="15"/>
      <c r="BE1467" s="15"/>
      <c r="BF1467" s="15"/>
      <c r="BG1467" s="15"/>
      <c r="BH1467" s="13"/>
      <c r="BI1467" s="13"/>
      <c r="BJ1467" s="13"/>
      <c r="BK1467" s="31"/>
      <c r="BL1467" s="31"/>
      <c r="BM1467" s="15"/>
      <c r="BN1467" s="15"/>
      <c r="BO1467" s="15"/>
      <c r="BP1467" s="15"/>
      <c r="BQ1467" s="15"/>
      <c r="BR1467" s="15"/>
      <c r="BS1467" s="15"/>
      <c r="BT1467" s="15"/>
      <c r="BU1467" s="13"/>
      <c r="BV1467" s="13"/>
      <c r="BW1467" s="13"/>
      <c r="BX1467" s="31"/>
      <c r="BY1467" s="31"/>
      <c r="BZ1467" s="15"/>
      <c r="CA1467" s="15"/>
      <c r="CB1467" s="15"/>
      <c r="CC1467" s="15"/>
      <c r="CD1467" s="15"/>
      <c r="CE1467" s="15"/>
      <c r="CF1467" s="15"/>
      <c r="CG1467" s="15"/>
      <c r="CH1467" s="10"/>
      <c r="CI1467" s="8"/>
      <c r="CJ1467" s="16"/>
      <c r="CK1467" s="8"/>
      <c r="CT1467" s="17"/>
      <c r="CU1467" s="17"/>
      <c r="CV1467" s="17"/>
      <c r="CW1467" s="17"/>
      <c r="CX1467" s="17"/>
      <c r="CY1467" s="17"/>
      <c r="CZ1467" s="17"/>
      <c r="DA1467" s="17"/>
      <c r="DB1467" s="17"/>
      <c r="DC1467" s="15"/>
    </row>
    <row r="1468" spans="1:107" x14ac:dyDescent="0.2">
      <c r="A1468" s="29" t="s">
        <v>97</v>
      </c>
      <c r="B1468" s="29" t="s">
        <v>0</v>
      </c>
      <c r="C1468" s="29">
        <f t="shared" si="102"/>
        <v>200010001</v>
      </c>
      <c r="D1468" s="23" t="s">
        <v>3738</v>
      </c>
      <c r="E1468" s="21" t="s">
        <v>1124</v>
      </c>
      <c r="F1468" s="21"/>
      <c r="G1468" s="21"/>
      <c r="H1468" s="21"/>
      <c r="I1468" s="21" t="s">
        <v>207</v>
      </c>
      <c r="J1468" s="21"/>
      <c r="K1468" s="21"/>
      <c r="L1468" s="21"/>
      <c r="M1468" s="21"/>
      <c r="N1468" s="22" t="s">
        <v>3762</v>
      </c>
      <c r="O1468" s="22" t="s">
        <v>3762</v>
      </c>
      <c r="P1468" s="22"/>
      <c r="Q1468" s="22" t="s">
        <v>2041</v>
      </c>
      <c r="R1468" s="22"/>
      <c r="S1468" s="22"/>
      <c r="T1468" s="22" t="s">
        <v>3763</v>
      </c>
      <c r="U1468" s="23" t="s">
        <v>3738</v>
      </c>
      <c r="V1468" s="22" t="s">
        <v>1823</v>
      </c>
      <c r="W1468" s="22" t="s">
        <v>1</v>
      </c>
      <c r="X1468" s="22"/>
      <c r="Z1468" s="22"/>
      <c r="AA1468" s="22"/>
      <c r="AB1468" s="22"/>
      <c r="AC1468" s="22"/>
      <c r="AD1468" s="22"/>
      <c r="AE1468" s="24"/>
      <c r="AF1468" s="24" t="s">
        <v>2042</v>
      </c>
      <c r="AG1468" s="22"/>
      <c r="AI1468" s="25" t="s">
        <v>341</v>
      </c>
      <c r="AK1468" s="40"/>
      <c r="AL1468" s="40"/>
      <c r="AX1468" s="27"/>
      <c r="AY1468" s="27"/>
      <c r="BK1468" s="27"/>
      <c r="BL1468" s="27"/>
      <c r="BX1468" s="27"/>
      <c r="BY1468" s="27"/>
      <c r="CH1468" s="29"/>
    </row>
    <row r="1469" spans="1:107" x14ac:dyDescent="0.2">
      <c r="A1469" s="29" t="s">
        <v>97</v>
      </c>
      <c r="B1469" s="29" t="s">
        <v>26</v>
      </c>
      <c r="C1469" s="29">
        <f t="shared" si="102"/>
        <v>200010002</v>
      </c>
      <c r="D1469" s="23" t="s">
        <v>3739</v>
      </c>
      <c r="E1469" s="21" t="s">
        <v>1124</v>
      </c>
      <c r="F1469" s="21"/>
      <c r="G1469" s="21"/>
      <c r="H1469" s="21"/>
      <c r="I1469" s="21" t="s">
        <v>207</v>
      </c>
      <c r="J1469" s="21"/>
      <c r="K1469" s="21"/>
      <c r="L1469" s="21"/>
      <c r="M1469" s="21"/>
      <c r="N1469" s="22" t="s">
        <v>3762</v>
      </c>
      <c r="O1469" s="22" t="s">
        <v>3762</v>
      </c>
      <c r="P1469" s="22"/>
      <c r="Q1469" s="22" t="s">
        <v>2041</v>
      </c>
      <c r="R1469" s="22"/>
      <c r="S1469" s="22"/>
      <c r="T1469" s="22" t="s">
        <v>3763</v>
      </c>
      <c r="U1469" s="23" t="s">
        <v>3739</v>
      </c>
      <c r="V1469" s="22" t="s">
        <v>1822</v>
      </c>
      <c r="W1469" s="22" t="s">
        <v>1</v>
      </c>
      <c r="X1469" s="22"/>
      <c r="Z1469" s="22"/>
      <c r="AA1469" s="22"/>
      <c r="AB1469" s="22"/>
      <c r="AC1469" s="22"/>
      <c r="AD1469" s="22"/>
      <c r="AE1469" s="24"/>
      <c r="AF1469" s="24" t="s">
        <v>2042</v>
      </c>
      <c r="AG1469" s="22"/>
      <c r="AI1469" s="25" t="s">
        <v>340</v>
      </c>
      <c r="AK1469" s="40"/>
      <c r="AL1469" s="40"/>
      <c r="AX1469" s="27"/>
      <c r="AY1469" s="27"/>
      <c r="BK1469" s="27"/>
      <c r="BL1469" s="27"/>
      <c r="BX1469" s="27"/>
      <c r="BY1469" s="27"/>
      <c r="CH1469" s="29"/>
    </row>
    <row r="1470" spans="1:107" x14ac:dyDescent="0.2">
      <c r="A1470" s="29" t="s">
        <v>97</v>
      </c>
      <c r="B1470" s="29" t="s">
        <v>27</v>
      </c>
      <c r="C1470" s="29">
        <f t="shared" si="102"/>
        <v>200010003</v>
      </c>
      <c r="D1470" s="23" t="s">
        <v>3740</v>
      </c>
      <c r="E1470" s="21" t="s">
        <v>1124</v>
      </c>
      <c r="F1470" s="21"/>
      <c r="G1470" s="21"/>
      <c r="H1470" s="21"/>
      <c r="I1470" s="21" t="s">
        <v>207</v>
      </c>
      <c r="J1470" s="21"/>
      <c r="K1470" s="21"/>
      <c r="L1470" s="21"/>
      <c r="M1470" s="21"/>
      <c r="N1470" s="22" t="s">
        <v>3762</v>
      </c>
      <c r="O1470" s="22" t="s">
        <v>3762</v>
      </c>
      <c r="P1470" s="22"/>
      <c r="Q1470" s="22" t="s">
        <v>2041</v>
      </c>
      <c r="R1470" s="22"/>
      <c r="S1470" s="22"/>
      <c r="T1470" s="22" t="s">
        <v>3763</v>
      </c>
      <c r="U1470" s="23" t="s">
        <v>3740</v>
      </c>
      <c r="V1470" s="22" t="s">
        <v>1822</v>
      </c>
      <c r="W1470" s="22" t="s">
        <v>1</v>
      </c>
      <c r="X1470" s="22"/>
      <c r="Z1470" s="22"/>
      <c r="AA1470" s="22"/>
      <c r="AB1470" s="22"/>
      <c r="AC1470" s="22"/>
      <c r="AD1470" s="22"/>
      <c r="AE1470" s="24"/>
      <c r="AF1470" s="24" t="s">
        <v>2042</v>
      </c>
      <c r="AG1470" s="22"/>
      <c r="AI1470" s="25" t="s">
        <v>343</v>
      </c>
      <c r="AK1470" s="40"/>
      <c r="AL1470" s="40"/>
      <c r="AX1470" s="27"/>
      <c r="AY1470" s="27"/>
      <c r="BK1470" s="27"/>
      <c r="BL1470" s="27"/>
      <c r="BX1470" s="27"/>
      <c r="BY1470" s="27"/>
      <c r="CH1470" s="29"/>
    </row>
    <row r="1471" spans="1:107" x14ac:dyDescent="0.2">
      <c r="A1471" s="29" t="s">
        <v>97</v>
      </c>
      <c r="B1471" s="29" t="s">
        <v>1</v>
      </c>
      <c r="C1471" s="29">
        <f t="shared" si="102"/>
        <v>200010004</v>
      </c>
      <c r="D1471" s="23" t="s">
        <v>3741</v>
      </c>
      <c r="E1471" s="21" t="s">
        <v>1124</v>
      </c>
      <c r="F1471" s="21"/>
      <c r="G1471" s="21"/>
      <c r="H1471" s="21"/>
      <c r="I1471" s="21" t="s">
        <v>207</v>
      </c>
      <c r="J1471" s="21"/>
      <c r="K1471" s="21"/>
      <c r="L1471" s="21"/>
      <c r="M1471" s="21"/>
      <c r="N1471" s="22" t="s">
        <v>3762</v>
      </c>
      <c r="O1471" s="22" t="s">
        <v>3762</v>
      </c>
      <c r="P1471" s="22"/>
      <c r="Q1471" s="22" t="s">
        <v>2041</v>
      </c>
      <c r="R1471" s="22"/>
      <c r="S1471" s="22"/>
      <c r="T1471" s="22" t="s">
        <v>3763</v>
      </c>
      <c r="U1471" s="23" t="s">
        <v>3741</v>
      </c>
      <c r="V1471" s="22" t="s">
        <v>1822</v>
      </c>
      <c r="W1471" s="22" t="s">
        <v>1</v>
      </c>
      <c r="X1471" s="22"/>
      <c r="Z1471" s="22"/>
      <c r="AA1471" s="22"/>
      <c r="AB1471" s="22"/>
      <c r="AC1471" s="22"/>
      <c r="AD1471" s="22"/>
      <c r="AE1471" s="24"/>
      <c r="AF1471" s="24" t="s">
        <v>2042</v>
      </c>
      <c r="AG1471" s="22"/>
      <c r="AI1471" s="25" t="s">
        <v>345</v>
      </c>
      <c r="AK1471" s="40"/>
      <c r="AL1471" s="40"/>
      <c r="AX1471" s="27"/>
      <c r="AY1471" s="27"/>
      <c r="BK1471" s="27"/>
      <c r="BL1471" s="27"/>
      <c r="BX1471" s="27"/>
      <c r="BY1471" s="27"/>
      <c r="CH1471" s="29"/>
    </row>
    <row r="1472" spans="1:107" x14ac:dyDescent="0.2">
      <c r="A1472" s="29" t="s">
        <v>97</v>
      </c>
      <c r="B1472" s="29" t="s">
        <v>2</v>
      </c>
      <c r="C1472" s="29">
        <f t="shared" si="102"/>
        <v>200010005</v>
      </c>
      <c r="D1472" s="23" t="s">
        <v>3742</v>
      </c>
      <c r="E1472" s="21" t="s">
        <v>1124</v>
      </c>
      <c r="F1472" s="21"/>
      <c r="G1472" s="21"/>
      <c r="H1472" s="21"/>
      <c r="I1472" s="21" t="s">
        <v>207</v>
      </c>
      <c r="J1472" s="21"/>
      <c r="K1472" s="21"/>
      <c r="L1472" s="21"/>
      <c r="M1472" s="21"/>
      <c r="N1472" s="22" t="s">
        <v>3762</v>
      </c>
      <c r="O1472" s="22" t="s">
        <v>3762</v>
      </c>
      <c r="P1472" s="22"/>
      <c r="Q1472" s="22" t="s">
        <v>2041</v>
      </c>
      <c r="R1472" s="22"/>
      <c r="S1472" s="22"/>
      <c r="T1472" s="22" t="s">
        <v>3763</v>
      </c>
      <c r="U1472" s="23" t="s">
        <v>3742</v>
      </c>
      <c r="V1472" s="22" t="s">
        <v>1822</v>
      </c>
      <c r="W1472" s="22" t="s">
        <v>1</v>
      </c>
      <c r="X1472" s="22"/>
      <c r="Z1472" s="22"/>
      <c r="AA1472" s="22"/>
      <c r="AB1472" s="22"/>
      <c r="AC1472" s="22"/>
      <c r="AD1472" s="22"/>
      <c r="AE1472" s="24"/>
      <c r="AF1472" s="24" t="s">
        <v>2042</v>
      </c>
      <c r="AG1472" s="22"/>
      <c r="AI1472" s="25" t="s">
        <v>346</v>
      </c>
      <c r="AK1472" s="40"/>
      <c r="AL1472" s="40"/>
      <c r="AX1472" s="27"/>
      <c r="AY1472" s="27"/>
      <c r="BK1472" s="27"/>
      <c r="BL1472" s="27"/>
      <c r="BX1472" s="27"/>
      <c r="BY1472" s="27"/>
      <c r="CH1472" s="29"/>
    </row>
    <row r="1473" spans="1:107" x14ac:dyDescent="0.2">
      <c r="A1473" s="29" t="s">
        <v>97</v>
      </c>
      <c r="B1473" s="29" t="s">
        <v>3735</v>
      </c>
      <c r="C1473" s="29">
        <f t="shared" ref="C1473" si="103">A1473*10000+B1473</f>
        <v>200010006</v>
      </c>
      <c r="D1473" s="23" t="s">
        <v>3743</v>
      </c>
      <c r="E1473" s="21" t="s">
        <v>1124</v>
      </c>
      <c r="F1473" s="21"/>
      <c r="G1473" s="21"/>
      <c r="H1473" s="21"/>
      <c r="I1473" s="21" t="s">
        <v>207</v>
      </c>
      <c r="J1473" s="21"/>
      <c r="K1473" s="21"/>
      <c r="L1473" s="21"/>
      <c r="M1473" s="21"/>
      <c r="N1473" s="22" t="s">
        <v>3762</v>
      </c>
      <c r="O1473" s="22" t="s">
        <v>3762</v>
      </c>
      <c r="P1473" s="22"/>
      <c r="Q1473" s="22" t="s">
        <v>2041</v>
      </c>
      <c r="R1473" s="22"/>
      <c r="S1473" s="22"/>
      <c r="T1473" s="22" t="s">
        <v>3763</v>
      </c>
      <c r="U1473" s="23" t="s">
        <v>3743</v>
      </c>
      <c r="V1473" s="22" t="s">
        <v>1822</v>
      </c>
      <c r="W1473" s="22" t="s">
        <v>1</v>
      </c>
      <c r="X1473" s="22"/>
      <c r="Z1473" s="22"/>
      <c r="AA1473" s="22"/>
      <c r="AB1473" s="22"/>
      <c r="AC1473" s="22"/>
      <c r="AD1473" s="22"/>
      <c r="AE1473" s="24"/>
      <c r="AF1473" s="24" t="s">
        <v>2042</v>
      </c>
      <c r="AG1473" s="22"/>
      <c r="AI1473" s="25" t="s">
        <v>268</v>
      </c>
      <c r="AK1473" s="40"/>
      <c r="AL1473" s="40"/>
      <c r="AX1473" s="27"/>
      <c r="AY1473" s="27"/>
      <c r="BK1473" s="27"/>
      <c r="BL1473" s="27"/>
      <c r="BX1473" s="27"/>
      <c r="BY1473" s="27"/>
      <c r="CH1473" s="29"/>
    </row>
    <row r="1474" spans="1:107" s="153" customFormat="1" x14ac:dyDescent="0.2">
      <c r="A1474" s="152" t="s">
        <v>99</v>
      </c>
      <c r="B1474" s="152" t="s">
        <v>0</v>
      </c>
      <c r="C1474" s="152">
        <f t="shared" si="102"/>
        <v>200020001</v>
      </c>
      <c r="D1474" s="153" t="s">
        <v>3744</v>
      </c>
      <c r="E1474" s="67" t="s">
        <v>1124</v>
      </c>
      <c r="F1474" s="67"/>
      <c r="G1474" s="67"/>
      <c r="H1474" s="67"/>
      <c r="I1474" s="67" t="s">
        <v>207</v>
      </c>
      <c r="J1474" s="67"/>
      <c r="K1474" s="67"/>
      <c r="L1474" s="67"/>
      <c r="M1474" s="67"/>
      <c r="N1474" s="67" t="s">
        <v>3762</v>
      </c>
      <c r="O1474" s="67" t="s">
        <v>3762</v>
      </c>
      <c r="P1474" s="22"/>
      <c r="Q1474" s="22" t="s">
        <v>2041</v>
      </c>
      <c r="R1474" s="22"/>
      <c r="S1474" s="22"/>
      <c r="T1474" s="22" t="s">
        <v>3763</v>
      </c>
      <c r="U1474" s="153" t="s">
        <v>3744</v>
      </c>
      <c r="V1474" s="67" t="s">
        <v>1826</v>
      </c>
      <c r="W1474" s="67" t="s">
        <v>1</v>
      </c>
      <c r="X1474" s="67"/>
      <c r="Z1474" s="67"/>
      <c r="AA1474" s="67"/>
      <c r="AB1474" s="67"/>
      <c r="AC1474" s="67"/>
      <c r="AD1474" s="67"/>
      <c r="AE1474" s="154"/>
      <c r="AF1474" s="154" t="s">
        <v>2042</v>
      </c>
      <c r="AG1474" s="67"/>
      <c r="AH1474" s="155"/>
      <c r="AI1474" s="155" t="s">
        <v>341</v>
      </c>
      <c r="AJ1474" s="155"/>
      <c r="AK1474" s="156"/>
      <c r="AL1474" s="156"/>
      <c r="AM1474" s="157"/>
      <c r="AN1474" s="157"/>
      <c r="AO1474" s="157"/>
      <c r="AP1474" s="157"/>
      <c r="AQ1474" s="157"/>
      <c r="AR1474" s="157"/>
      <c r="AS1474" s="157"/>
      <c r="AT1474" s="157"/>
      <c r="AU1474" s="155"/>
      <c r="AV1474" s="155"/>
      <c r="AW1474" s="155"/>
      <c r="AX1474" s="156"/>
      <c r="AY1474" s="156"/>
      <c r="AZ1474" s="157"/>
      <c r="BA1474" s="157"/>
      <c r="BB1474" s="157"/>
      <c r="BC1474" s="157"/>
      <c r="BD1474" s="157"/>
      <c r="BE1474" s="157"/>
      <c r="BF1474" s="157"/>
      <c r="BG1474" s="157"/>
      <c r="BH1474" s="155"/>
      <c r="BI1474" s="155"/>
      <c r="BJ1474" s="155"/>
      <c r="BK1474" s="156"/>
      <c r="BL1474" s="156"/>
      <c r="BM1474" s="157"/>
      <c r="BN1474" s="157"/>
      <c r="BO1474" s="157"/>
      <c r="BP1474" s="157"/>
      <c r="BQ1474" s="157"/>
      <c r="BR1474" s="157"/>
      <c r="BS1474" s="157"/>
      <c r="BT1474" s="157"/>
      <c r="BU1474" s="155"/>
      <c r="BV1474" s="155"/>
      <c r="BW1474" s="155"/>
      <c r="BX1474" s="156"/>
      <c r="BY1474" s="156"/>
      <c r="BZ1474" s="157"/>
      <c r="CA1474" s="157"/>
      <c r="CB1474" s="157"/>
      <c r="CC1474" s="157"/>
      <c r="CD1474" s="157"/>
      <c r="CE1474" s="157"/>
      <c r="CF1474" s="157"/>
      <c r="CG1474" s="157"/>
      <c r="CH1474" s="152"/>
      <c r="CI1474" s="23"/>
      <c r="CJ1474" s="157"/>
      <c r="CT1474" s="158"/>
      <c r="CU1474" s="158"/>
      <c r="CV1474" s="158"/>
      <c r="CW1474" s="158"/>
      <c r="CX1474" s="158"/>
      <c r="CY1474" s="158"/>
      <c r="CZ1474" s="158"/>
      <c r="DA1474" s="158"/>
      <c r="DB1474" s="158"/>
      <c r="DC1474" s="157"/>
    </row>
    <row r="1475" spans="1:107" s="153" customFormat="1" x14ac:dyDescent="0.2">
      <c r="A1475" s="152" t="s">
        <v>99</v>
      </c>
      <c r="B1475" s="152" t="s">
        <v>26</v>
      </c>
      <c r="C1475" s="152">
        <f t="shared" si="102"/>
        <v>200020002</v>
      </c>
      <c r="D1475" s="153" t="s">
        <v>3745</v>
      </c>
      <c r="E1475" s="67" t="s">
        <v>1124</v>
      </c>
      <c r="F1475" s="67"/>
      <c r="G1475" s="67"/>
      <c r="H1475" s="67"/>
      <c r="I1475" s="67" t="s">
        <v>207</v>
      </c>
      <c r="J1475" s="67"/>
      <c r="K1475" s="67"/>
      <c r="L1475" s="67"/>
      <c r="M1475" s="67"/>
      <c r="N1475" s="67" t="s">
        <v>3762</v>
      </c>
      <c r="O1475" s="67" t="s">
        <v>3762</v>
      </c>
      <c r="P1475" s="22"/>
      <c r="Q1475" s="22" t="s">
        <v>2041</v>
      </c>
      <c r="R1475" s="22"/>
      <c r="S1475" s="22"/>
      <c r="T1475" s="22" t="s">
        <v>3763</v>
      </c>
      <c r="U1475" s="153" t="s">
        <v>3745</v>
      </c>
      <c r="V1475" s="67" t="s">
        <v>1826</v>
      </c>
      <c r="W1475" s="67" t="s">
        <v>1</v>
      </c>
      <c r="X1475" s="67"/>
      <c r="Z1475" s="67"/>
      <c r="AA1475" s="67"/>
      <c r="AB1475" s="67"/>
      <c r="AC1475" s="67"/>
      <c r="AD1475" s="67"/>
      <c r="AE1475" s="154"/>
      <c r="AF1475" s="154" t="s">
        <v>2042</v>
      </c>
      <c r="AG1475" s="67"/>
      <c r="AH1475" s="155"/>
      <c r="AI1475" s="155" t="s">
        <v>340</v>
      </c>
      <c r="AJ1475" s="155"/>
      <c r="AK1475" s="156"/>
      <c r="AL1475" s="156"/>
      <c r="AM1475" s="157"/>
      <c r="AN1475" s="157"/>
      <c r="AO1475" s="157"/>
      <c r="AP1475" s="157"/>
      <c r="AQ1475" s="157"/>
      <c r="AR1475" s="157"/>
      <c r="AS1475" s="157"/>
      <c r="AT1475" s="157"/>
      <c r="AU1475" s="155"/>
      <c r="AV1475" s="155"/>
      <c r="AW1475" s="155"/>
      <c r="AX1475" s="156"/>
      <c r="AY1475" s="156"/>
      <c r="AZ1475" s="157"/>
      <c r="BA1475" s="157"/>
      <c r="BB1475" s="157"/>
      <c r="BC1475" s="157"/>
      <c r="BD1475" s="157"/>
      <c r="BE1475" s="157"/>
      <c r="BF1475" s="157"/>
      <c r="BG1475" s="157"/>
      <c r="BH1475" s="155"/>
      <c r="BI1475" s="155"/>
      <c r="BJ1475" s="155"/>
      <c r="BK1475" s="156"/>
      <c r="BL1475" s="156"/>
      <c r="BM1475" s="157"/>
      <c r="BN1475" s="157"/>
      <c r="BO1475" s="157"/>
      <c r="BP1475" s="157"/>
      <c r="BQ1475" s="157"/>
      <c r="BR1475" s="157"/>
      <c r="BS1475" s="157"/>
      <c r="BT1475" s="157"/>
      <c r="BU1475" s="155"/>
      <c r="BV1475" s="155"/>
      <c r="BW1475" s="155"/>
      <c r="BX1475" s="156"/>
      <c r="BY1475" s="156"/>
      <c r="BZ1475" s="157"/>
      <c r="CA1475" s="157"/>
      <c r="CB1475" s="157"/>
      <c r="CC1475" s="157"/>
      <c r="CD1475" s="157"/>
      <c r="CE1475" s="157"/>
      <c r="CF1475" s="157"/>
      <c r="CG1475" s="157"/>
      <c r="CH1475" s="152"/>
      <c r="CI1475" s="23"/>
      <c r="CJ1475" s="157"/>
      <c r="CT1475" s="158"/>
      <c r="CU1475" s="158"/>
      <c r="CV1475" s="158"/>
      <c r="CW1475" s="158"/>
      <c r="CX1475" s="158"/>
      <c r="CY1475" s="158"/>
      <c r="CZ1475" s="158"/>
      <c r="DA1475" s="158"/>
      <c r="DB1475" s="158"/>
      <c r="DC1475" s="157"/>
    </row>
    <row r="1476" spans="1:107" s="153" customFormat="1" x14ac:dyDescent="0.2">
      <c r="A1476" s="152" t="s">
        <v>99</v>
      </c>
      <c r="B1476" s="152" t="s">
        <v>27</v>
      </c>
      <c r="C1476" s="152">
        <f t="shared" si="102"/>
        <v>200020003</v>
      </c>
      <c r="D1476" s="153" t="s">
        <v>3746</v>
      </c>
      <c r="E1476" s="67" t="s">
        <v>1124</v>
      </c>
      <c r="F1476" s="67"/>
      <c r="G1476" s="67"/>
      <c r="H1476" s="67"/>
      <c r="I1476" s="67" t="s">
        <v>207</v>
      </c>
      <c r="J1476" s="67"/>
      <c r="K1476" s="67"/>
      <c r="L1476" s="67"/>
      <c r="M1476" s="67"/>
      <c r="N1476" s="67" t="s">
        <v>3762</v>
      </c>
      <c r="O1476" s="67" t="s">
        <v>3762</v>
      </c>
      <c r="P1476" s="22"/>
      <c r="Q1476" s="22" t="s">
        <v>2041</v>
      </c>
      <c r="R1476" s="22"/>
      <c r="S1476" s="22"/>
      <c r="T1476" s="22" t="s">
        <v>3763</v>
      </c>
      <c r="U1476" s="153" t="s">
        <v>3746</v>
      </c>
      <c r="V1476" s="67" t="s">
        <v>1826</v>
      </c>
      <c r="W1476" s="67" t="s">
        <v>1</v>
      </c>
      <c r="X1476" s="67"/>
      <c r="Z1476" s="67"/>
      <c r="AA1476" s="67"/>
      <c r="AB1476" s="67"/>
      <c r="AC1476" s="67"/>
      <c r="AD1476" s="67"/>
      <c r="AE1476" s="154"/>
      <c r="AF1476" s="154" t="s">
        <v>2042</v>
      </c>
      <c r="AG1476" s="67"/>
      <c r="AH1476" s="155"/>
      <c r="AI1476" s="155" t="s">
        <v>343</v>
      </c>
      <c r="AJ1476" s="155"/>
      <c r="AK1476" s="156"/>
      <c r="AL1476" s="156"/>
      <c r="AM1476" s="157"/>
      <c r="AN1476" s="157"/>
      <c r="AO1476" s="157"/>
      <c r="AP1476" s="157"/>
      <c r="AQ1476" s="157"/>
      <c r="AR1476" s="157"/>
      <c r="AS1476" s="157"/>
      <c r="AT1476" s="157"/>
      <c r="AU1476" s="155"/>
      <c r="AV1476" s="155"/>
      <c r="AW1476" s="155"/>
      <c r="AX1476" s="156"/>
      <c r="AY1476" s="156"/>
      <c r="AZ1476" s="157"/>
      <c r="BA1476" s="157"/>
      <c r="BB1476" s="157"/>
      <c r="BC1476" s="157"/>
      <c r="BD1476" s="157"/>
      <c r="BE1476" s="157"/>
      <c r="BF1476" s="157"/>
      <c r="BG1476" s="157"/>
      <c r="BH1476" s="155"/>
      <c r="BI1476" s="155"/>
      <c r="BJ1476" s="155"/>
      <c r="BK1476" s="156"/>
      <c r="BL1476" s="156"/>
      <c r="BM1476" s="157"/>
      <c r="BN1476" s="157"/>
      <c r="BO1476" s="157"/>
      <c r="BP1476" s="157"/>
      <c r="BQ1476" s="157"/>
      <c r="BR1476" s="157"/>
      <c r="BS1476" s="157"/>
      <c r="BT1476" s="157"/>
      <c r="BU1476" s="155"/>
      <c r="BV1476" s="155"/>
      <c r="BW1476" s="155"/>
      <c r="BX1476" s="156"/>
      <c r="BY1476" s="156"/>
      <c r="BZ1476" s="157"/>
      <c r="CA1476" s="157"/>
      <c r="CB1476" s="157"/>
      <c r="CC1476" s="157"/>
      <c r="CD1476" s="157"/>
      <c r="CE1476" s="157"/>
      <c r="CF1476" s="157"/>
      <c r="CG1476" s="157"/>
      <c r="CH1476" s="152"/>
      <c r="CI1476" s="23"/>
      <c r="CJ1476" s="157"/>
      <c r="CT1476" s="158"/>
      <c r="CU1476" s="158"/>
      <c r="CV1476" s="158"/>
      <c r="CW1476" s="158"/>
      <c r="CX1476" s="158"/>
      <c r="CY1476" s="158"/>
      <c r="CZ1476" s="158"/>
      <c r="DA1476" s="158"/>
      <c r="DB1476" s="158"/>
      <c r="DC1476" s="157"/>
    </row>
    <row r="1477" spans="1:107" s="153" customFormat="1" x14ac:dyDescent="0.2">
      <c r="A1477" s="152" t="s">
        <v>99</v>
      </c>
      <c r="B1477" s="152" t="s">
        <v>1</v>
      </c>
      <c r="C1477" s="152">
        <f t="shared" si="102"/>
        <v>200020004</v>
      </c>
      <c r="D1477" s="153" t="s">
        <v>3747</v>
      </c>
      <c r="E1477" s="67" t="s">
        <v>1124</v>
      </c>
      <c r="F1477" s="67"/>
      <c r="G1477" s="67"/>
      <c r="H1477" s="67"/>
      <c r="I1477" s="67" t="s">
        <v>207</v>
      </c>
      <c r="J1477" s="67"/>
      <c r="K1477" s="67"/>
      <c r="L1477" s="67"/>
      <c r="M1477" s="67"/>
      <c r="N1477" s="67" t="s">
        <v>3762</v>
      </c>
      <c r="O1477" s="67" t="s">
        <v>3762</v>
      </c>
      <c r="P1477" s="22"/>
      <c r="Q1477" s="22" t="s">
        <v>2041</v>
      </c>
      <c r="R1477" s="22"/>
      <c r="S1477" s="22"/>
      <c r="T1477" s="22" t="s">
        <v>3763</v>
      </c>
      <c r="U1477" s="153" t="s">
        <v>3747</v>
      </c>
      <c r="V1477" s="67" t="s">
        <v>1826</v>
      </c>
      <c r="W1477" s="67" t="s">
        <v>1</v>
      </c>
      <c r="X1477" s="67"/>
      <c r="Z1477" s="67"/>
      <c r="AA1477" s="67"/>
      <c r="AB1477" s="67"/>
      <c r="AC1477" s="67"/>
      <c r="AD1477" s="67"/>
      <c r="AE1477" s="154"/>
      <c r="AF1477" s="154" t="s">
        <v>2042</v>
      </c>
      <c r="AG1477" s="67"/>
      <c r="AH1477" s="155"/>
      <c r="AI1477" s="155" t="s">
        <v>345</v>
      </c>
      <c r="AJ1477" s="155"/>
      <c r="AK1477" s="156"/>
      <c r="AL1477" s="156"/>
      <c r="AM1477" s="157"/>
      <c r="AN1477" s="157"/>
      <c r="AO1477" s="157"/>
      <c r="AP1477" s="157"/>
      <c r="AQ1477" s="157"/>
      <c r="AR1477" s="157"/>
      <c r="AS1477" s="157"/>
      <c r="AT1477" s="157"/>
      <c r="AU1477" s="155"/>
      <c r="AV1477" s="155"/>
      <c r="AW1477" s="155"/>
      <c r="AX1477" s="156"/>
      <c r="AY1477" s="156"/>
      <c r="AZ1477" s="157"/>
      <c r="BA1477" s="157"/>
      <c r="BB1477" s="157"/>
      <c r="BC1477" s="157"/>
      <c r="BD1477" s="157"/>
      <c r="BE1477" s="157"/>
      <c r="BF1477" s="157"/>
      <c r="BG1477" s="157"/>
      <c r="BH1477" s="155"/>
      <c r="BI1477" s="155"/>
      <c r="BJ1477" s="155"/>
      <c r="BK1477" s="156"/>
      <c r="BL1477" s="156"/>
      <c r="BM1477" s="157"/>
      <c r="BN1477" s="157"/>
      <c r="BO1477" s="157"/>
      <c r="BP1477" s="157"/>
      <c r="BQ1477" s="157"/>
      <c r="BR1477" s="157"/>
      <c r="BS1477" s="157"/>
      <c r="BT1477" s="157"/>
      <c r="BU1477" s="155"/>
      <c r="BV1477" s="155"/>
      <c r="BW1477" s="155"/>
      <c r="BX1477" s="156"/>
      <c r="BY1477" s="156"/>
      <c r="BZ1477" s="157"/>
      <c r="CA1477" s="157"/>
      <c r="CB1477" s="157"/>
      <c r="CC1477" s="157"/>
      <c r="CD1477" s="157"/>
      <c r="CE1477" s="157"/>
      <c r="CF1477" s="157"/>
      <c r="CG1477" s="157"/>
      <c r="CH1477" s="152"/>
      <c r="CI1477" s="23"/>
      <c r="CJ1477" s="157"/>
      <c r="CT1477" s="158"/>
      <c r="CU1477" s="158"/>
      <c r="CV1477" s="158"/>
      <c r="CW1477" s="158"/>
      <c r="CX1477" s="158"/>
      <c r="CY1477" s="158"/>
      <c r="CZ1477" s="158"/>
      <c r="DA1477" s="158"/>
      <c r="DB1477" s="158"/>
      <c r="DC1477" s="157"/>
    </row>
    <row r="1478" spans="1:107" s="153" customFormat="1" x14ac:dyDescent="0.2">
      <c r="A1478" s="152" t="s">
        <v>99</v>
      </c>
      <c r="B1478" s="152" t="s">
        <v>2</v>
      </c>
      <c r="C1478" s="152">
        <f t="shared" si="102"/>
        <v>200020005</v>
      </c>
      <c r="D1478" s="153" t="s">
        <v>3748</v>
      </c>
      <c r="E1478" s="67" t="s">
        <v>1124</v>
      </c>
      <c r="F1478" s="67"/>
      <c r="G1478" s="67"/>
      <c r="H1478" s="67"/>
      <c r="I1478" s="67" t="s">
        <v>207</v>
      </c>
      <c r="J1478" s="67"/>
      <c r="K1478" s="67"/>
      <c r="L1478" s="67"/>
      <c r="M1478" s="67"/>
      <c r="N1478" s="67" t="s">
        <v>3762</v>
      </c>
      <c r="O1478" s="67" t="s">
        <v>3762</v>
      </c>
      <c r="P1478" s="22"/>
      <c r="Q1478" s="22" t="s">
        <v>2041</v>
      </c>
      <c r="R1478" s="22"/>
      <c r="S1478" s="22"/>
      <c r="T1478" s="22" t="s">
        <v>3763</v>
      </c>
      <c r="U1478" s="153" t="s">
        <v>3748</v>
      </c>
      <c r="V1478" s="67" t="s">
        <v>1826</v>
      </c>
      <c r="W1478" s="67" t="s">
        <v>1</v>
      </c>
      <c r="X1478" s="67"/>
      <c r="Z1478" s="67"/>
      <c r="AA1478" s="67"/>
      <c r="AB1478" s="67"/>
      <c r="AC1478" s="67"/>
      <c r="AD1478" s="67"/>
      <c r="AE1478" s="154"/>
      <c r="AF1478" s="154" t="s">
        <v>2042</v>
      </c>
      <c r="AG1478" s="67"/>
      <c r="AH1478" s="155"/>
      <c r="AI1478" s="155" t="s">
        <v>346</v>
      </c>
      <c r="AJ1478" s="155"/>
      <c r="AK1478" s="156"/>
      <c r="AL1478" s="156"/>
      <c r="AM1478" s="157"/>
      <c r="AN1478" s="157"/>
      <c r="AO1478" s="157"/>
      <c r="AP1478" s="157"/>
      <c r="AQ1478" s="157"/>
      <c r="AR1478" s="157"/>
      <c r="AS1478" s="157"/>
      <c r="AT1478" s="157"/>
      <c r="AU1478" s="155"/>
      <c r="AV1478" s="155"/>
      <c r="AW1478" s="155"/>
      <c r="AX1478" s="156"/>
      <c r="AY1478" s="156"/>
      <c r="AZ1478" s="157"/>
      <c r="BA1478" s="157"/>
      <c r="BB1478" s="157"/>
      <c r="BC1478" s="157"/>
      <c r="BD1478" s="157"/>
      <c r="BE1478" s="157"/>
      <c r="BF1478" s="157"/>
      <c r="BG1478" s="157"/>
      <c r="BH1478" s="155"/>
      <c r="BI1478" s="155"/>
      <c r="BJ1478" s="155"/>
      <c r="BK1478" s="156"/>
      <c r="BL1478" s="156"/>
      <c r="BM1478" s="157"/>
      <c r="BN1478" s="157"/>
      <c r="BO1478" s="157"/>
      <c r="BP1478" s="157"/>
      <c r="BQ1478" s="157"/>
      <c r="BR1478" s="157"/>
      <c r="BS1478" s="157"/>
      <c r="BT1478" s="157"/>
      <c r="BU1478" s="155"/>
      <c r="BV1478" s="155"/>
      <c r="BW1478" s="155"/>
      <c r="BX1478" s="156"/>
      <c r="BY1478" s="156"/>
      <c r="BZ1478" s="157"/>
      <c r="CA1478" s="157"/>
      <c r="CB1478" s="157"/>
      <c r="CC1478" s="157"/>
      <c r="CD1478" s="157"/>
      <c r="CE1478" s="157"/>
      <c r="CF1478" s="157"/>
      <c r="CG1478" s="157"/>
      <c r="CH1478" s="152"/>
      <c r="CI1478" s="23"/>
      <c r="CJ1478" s="157"/>
      <c r="CT1478" s="158"/>
      <c r="CU1478" s="158"/>
      <c r="CV1478" s="158"/>
      <c r="CW1478" s="158"/>
      <c r="CX1478" s="158"/>
      <c r="CY1478" s="158"/>
      <c r="CZ1478" s="158"/>
      <c r="DA1478" s="158"/>
      <c r="DB1478" s="158"/>
      <c r="DC1478" s="157"/>
    </row>
    <row r="1479" spans="1:107" s="153" customFormat="1" x14ac:dyDescent="0.2">
      <c r="A1479" s="152" t="s">
        <v>99</v>
      </c>
      <c r="B1479" s="152" t="s">
        <v>3735</v>
      </c>
      <c r="C1479" s="152">
        <f t="shared" ref="C1479" si="104">A1479*10000+B1479</f>
        <v>200020006</v>
      </c>
      <c r="D1479" s="153" t="s">
        <v>3749</v>
      </c>
      <c r="E1479" s="67" t="s">
        <v>1124</v>
      </c>
      <c r="F1479" s="67"/>
      <c r="G1479" s="67"/>
      <c r="H1479" s="67"/>
      <c r="I1479" s="67" t="s">
        <v>207</v>
      </c>
      <c r="J1479" s="67"/>
      <c r="K1479" s="67"/>
      <c r="L1479" s="67"/>
      <c r="M1479" s="67"/>
      <c r="N1479" s="67" t="s">
        <v>3762</v>
      </c>
      <c r="O1479" s="67" t="s">
        <v>3762</v>
      </c>
      <c r="P1479" s="22"/>
      <c r="Q1479" s="22" t="s">
        <v>2041</v>
      </c>
      <c r="R1479" s="22"/>
      <c r="S1479" s="22"/>
      <c r="T1479" s="22" t="s">
        <v>3763</v>
      </c>
      <c r="U1479" s="153" t="s">
        <v>3749</v>
      </c>
      <c r="V1479" s="67" t="s">
        <v>1826</v>
      </c>
      <c r="W1479" s="67" t="s">
        <v>1</v>
      </c>
      <c r="X1479" s="67"/>
      <c r="Z1479" s="67"/>
      <c r="AA1479" s="67"/>
      <c r="AB1479" s="67"/>
      <c r="AC1479" s="67"/>
      <c r="AD1479" s="67"/>
      <c r="AE1479" s="154"/>
      <c r="AF1479" s="154" t="s">
        <v>2042</v>
      </c>
      <c r="AG1479" s="67"/>
      <c r="AH1479" s="155"/>
      <c r="AI1479" s="25" t="s">
        <v>268</v>
      </c>
      <c r="AJ1479" s="155"/>
      <c r="AK1479" s="156"/>
      <c r="AL1479" s="156"/>
      <c r="AM1479" s="157"/>
      <c r="AN1479" s="157"/>
      <c r="AO1479" s="157"/>
      <c r="AP1479" s="157"/>
      <c r="AQ1479" s="157"/>
      <c r="AR1479" s="157"/>
      <c r="AS1479" s="157"/>
      <c r="AT1479" s="157"/>
      <c r="AU1479" s="155"/>
      <c r="AV1479" s="155"/>
      <c r="AW1479" s="155"/>
      <c r="AX1479" s="156"/>
      <c r="AY1479" s="156"/>
      <c r="AZ1479" s="157"/>
      <c r="BA1479" s="157"/>
      <c r="BB1479" s="157"/>
      <c r="BC1479" s="157"/>
      <c r="BD1479" s="157"/>
      <c r="BE1479" s="157"/>
      <c r="BF1479" s="157"/>
      <c r="BG1479" s="157"/>
      <c r="BH1479" s="155"/>
      <c r="BI1479" s="155"/>
      <c r="BJ1479" s="155"/>
      <c r="BK1479" s="156"/>
      <c r="BL1479" s="156"/>
      <c r="BM1479" s="157"/>
      <c r="BN1479" s="157"/>
      <c r="BO1479" s="157"/>
      <c r="BP1479" s="157"/>
      <c r="BQ1479" s="157"/>
      <c r="BR1479" s="157"/>
      <c r="BS1479" s="157"/>
      <c r="BT1479" s="157"/>
      <c r="BU1479" s="155"/>
      <c r="BV1479" s="155"/>
      <c r="BW1479" s="155"/>
      <c r="BX1479" s="156"/>
      <c r="BY1479" s="156"/>
      <c r="BZ1479" s="157"/>
      <c r="CA1479" s="157"/>
      <c r="CB1479" s="157"/>
      <c r="CC1479" s="157"/>
      <c r="CD1479" s="157"/>
      <c r="CE1479" s="157"/>
      <c r="CF1479" s="157"/>
      <c r="CG1479" s="157"/>
      <c r="CH1479" s="152"/>
      <c r="CI1479" s="23"/>
      <c r="CJ1479" s="157"/>
      <c r="CT1479" s="158"/>
      <c r="CU1479" s="158"/>
      <c r="CV1479" s="158"/>
      <c r="CW1479" s="158"/>
      <c r="CX1479" s="158"/>
      <c r="CY1479" s="158"/>
      <c r="CZ1479" s="158"/>
      <c r="DA1479" s="158"/>
      <c r="DB1479" s="158"/>
      <c r="DC1479" s="157"/>
    </row>
    <row r="1480" spans="1:107" x14ac:dyDescent="0.2">
      <c r="A1480" s="29" t="s">
        <v>100</v>
      </c>
      <c r="B1480" s="29" t="s">
        <v>0</v>
      </c>
      <c r="C1480" s="29">
        <f t="shared" si="102"/>
        <v>200030001</v>
      </c>
      <c r="D1480" s="23" t="s">
        <v>3750</v>
      </c>
      <c r="E1480" s="21" t="s">
        <v>1124</v>
      </c>
      <c r="F1480" s="21"/>
      <c r="G1480" s="21"/>
      <c r="H1480" s="21"/>
      <c r="I1480" s="21" t="s">
        <v>207</v>
      </c>
      <c r="J1480" s="21"/>
      <c r="K1480" s="21"/>
      <c r="L1480" s="21"/>
      <c r="M1480" s="21"/>
      <c r="N1480" s="22" t="s">
        <v>3762</v>
      </c>
      <c r="O1480" s="22" t="s">
        <v>3762</v>
      </c>
      <c r="P1480" s="22"/>
      <c r="Q1480" s="22" t="s">
        <v>2041</v>
      </c>
      <c r="R1480" s="22"/>
      <c r="S1480" s="22"/>
      <c r="T1480" s="22" t="s">
        <v>3763</v>
      </c>
      <c r="U1480" s="23" t="s">
        <v>3750</v>
      </c>
      <c r="V1480" s="22" t="s">
        <v>1827</v>
      </c>
      <c r="W1480" s="22" t="s">
        <v>1</v>
      </c>
      <c r="X1480" s="22"/>
      <c r="Z1480" s="22"/>
      <c r="AA1480" s="22"/>
      <c r="AB1480" s="22"/>
      <c r="AC1480" s="22"/>
      <c r="AD1480" s="22"/>
      <c r="AE1480" s="24"/>
      <c r="AF1480" s="24" t="s">
        <v>2042</v>
      </c>
      <c r="AG1480" s="22"/>
      <c r="AH1480" s="25" t="s">
        <v>3790</v>
      </c>
      <c r="AI1480" s="25" t="s">
        <v>341</v>
      </c>
      <c r="AK1480" s="40">
        <v>100000</v>
      </c>
      <c r="AL1480" s="40"/>
      <c r="AX1480" s="27"/>
      <c r="AY1480" s="27"/>
      <c r="BK1480" s="27"/>
      <c r="BL1480" s="27"/>
      <c r="BX1480" s="27"/>
      <c r="BY1480" s="27"/>
      <c r="CH1480" s="29"/>
    </row>
    <row r="1481" spans="1:107" x14ac:dyDescent="0.2">
      <c r="A1481" s="29" t="s">
        <v>100</v>
      </c>
      <c r="B1481" s="29" t="s">
        <v>26</v>
      </c>
      <c r="C1481" s="29">
        <f t="shared" si="102"/>
        <v>200030002</v>
      </c>
      <c r="D1481" s="23" t="s">
        <v>3751</v>
      </c>
      <c r="E1481" s="21" t="s">
        <v>1124</v>
      </c>
      <c r="F1481" s="21"/>
      <c r="G1481" s="21"/>
      <c r="H1481" s="21"/>
      <c r="I1481" s="21" t="s">
        <v>207</v>
      </c>
      <c r="J1481" s="21"/>
      <c r="K1481" s="21"/>
      <c r="L1481" s="21"/>
      <c r="M1481" s="21"/>
      <c r="N1481" s="22" t="s">
        <v>3762</v>
      </c>
      <c r="O1481" s="22" t="s">
        <v>3762</v>
      </c>
      <c r="P1481" s="22"/>
      <c r="Q1481" s="22" t="s">
        <v>2041</v>
      </c>
      <c r="R1481" s="22"/>
      <c r="S1481" s="22"/>
      <c r="T1481" s="22" t="s">
        <v>3763</v>
      </c>
      <c r="U1481" s="23" t="s">
        <v>3751</v>
      </c>
      <c r="V1481" s="22" t="s">
        <v>1824</v>
      </c>
      <c r="W1481" s="22" t="s">
        <v>1</v>
      </c>
      <c r="X1481" s="22"/>
      <c r="Z1481" s="22"/>
      <c r="AA1481" s="22"/>
      <c r="AB1481" s="22"/>
      <c r="AC1481" s="22"/>
      <c r="AD1481" s="22"/>
      <c r="AE1481" s="24"/>
      <c r="AF1481" s="24" t="s">
        <v>2042</v>
      </c>
      <c r="AG1481" s="22"/>
      <c r="AH1481" s="25" t="s">
        <v>3791</v>
      </c>
      <c r="AI1481" s="25" t="s">
        <v>340</v>
      </c>
      <c r="AK1481" s="40">
        <v>1000000</v>
      </c>
      <c r="AL1481" s="40"/>
      <c r="AX1481" s="27"/>
      <c r="AY1481" s="27"/>
      <c r="BK1481" s="27"/>
      <c r="BL1481" s="27"/>
      <c r="BX1481" s="27"/>
      <c r="BY1481" s="27"/>
      <c r="CH1481" s="29"/>
    </row>
    <row r="1482" spans="1:107" x14ac:dyDescent="0.2">
      <c r="A1482" s="29" t="s">
        <v>100</v>
      </c>
      <c r="B1482" s="29" t="s">
        <v>27</v>
      </c>
      <c r="C1482" s="29">
        <f t="shared" si="102"/>
        <v>200030003</v>
      </c>
      <c r="D1482" s="23" t="s">
        <v>3752</v>
      </c>
      <c r="E1482" s="21" t="s">
        <v>1124</v>
      </c>
      <c r="F1482" s="21"/>
      <c r="G1482" s="21"/>
      <c r="H1482" s="21"/>
      <c r="I1482" s="21" t="s">
        <v>207</v>
      </c>
      <c r="J1482" s="21"/>
      <c r="K1482" s="21"/>
      <c r="L1482" s="21"/>
      <c r="M1482" s="21"/>
      <c r="N1482" s="22" t="s">
        <v>3762</v>
      </c>
      <c r="O1482" s="22" t="s">
        <v>3762</v>
      </c>
      <c r="P1482" s="22"/>
      <c r="Q1482" s="22" t="s">
        <v>2041</v>
      </c>
      <c r="R1482" s="22"/>
      <c r="S1482" s="22"/>
      <c r="T1482" s="22" t="s">
        <v>3763</v>
      </c>
      <c r="U1482" s="23" t="s">
        <v>3752</v>
      </c>
      <c r="V1482" s="22" t="s">
        <v>1824</v>
      </c>
      <c r="W1482" s="22" t="s">
        <v>1</v>
      </c>
      <c r="X1482" s="22"/>
      <c r="Z1482" s="22"/>
      <c r="AA1482" s="22"/>
      <c r="AB1482" s="22"/>
      <c r="AC1482" s="22"/>
      <c r="AD1482" s="22"/>
      <c r="AE1482" s="24"/>
      <c r="AF1482" s="24" t="s">
        <v>2042</v>
      </c>
      <c r="AG1482" s="22"/>
      <c r="AH1482" s="25" t="s">
        <v>3792</v>
      </c>
      <c r="AI1482" s="25" t="s">
        <v>343</v>
      </c>
      <c r="AK1482" s="40">
        <v>3000000</v>
      </c>
      <c r="AL1482" s="40"/>
      <c r="AX1482" s="27"/>
      <c r="AY1482" s="27"/>
      <c r="BK1482" s="27"/>
      <c r="BL1482" s="27"/>
      <c r="BX1482" s="27"/>
      <c r="BY1482" s="27"/>
      <c r="CH1482" s="29"/>
    </row>
    <row r="1483" spans="1:107" x14ac:dyDescent="0.2">
      <c r="A1483" s="29" t="s">
        <v>100</v>
      </c>
      <c r="B1483" s="29" t="s">
        <v>1</v>
      </c>
      <c r="C1483" s="29">
        <f t="shared" si="102"/>
        <v>200030004</v>
      </c>
      <c r="D1483" s="23" t="s">
        <v>3753</v>
      </c>
      <c r="E1483" s="21" t="s">
        <v>1124</v>
      </c>
      <c r="F1483" s="21"/>
      <c r="G1483" s="21"/>
      <c r="H1483" s="21"/>
      <c r="I1483" s="21" t="s">
        <v>207</v>
      </c>
      <c r="J1483" s="21"/>
      <c r="K1483" s="21"/>
      <c r="L1483" s="21"/>
      <c r="M1483" s="21"/>
      <c r="N1483" s="22" t="s">
        <v>3762</v>
      </c>
      <c r="O1483" s="22" t="s">
        <v>3762</v>
      </c>
      <c r="P1483" s="22"/>
      <c r="Q1483" s="22" t="s">
        <v>2041</v>
      </c>
      <c r="R1483" s="22"/>
      <c r="S1483" s="22"/>
      <c r="T1483" s="22" t="s">
        <v>3763</v>
      </c>
      <c r="U1483" s="23" t="s">
        <v>3753</v>
      </c>
      <c r="V1483" s="22" t="s">
        <v>1824</v>
      </c>
      <c r="W1483" s="22" t="s">
        <v>1</v>
      </c>
      <c r="X1483" s="22"/>
      <c r="Z1483" s="22"/>
      <c r="AA1483" s="22"/>
      <c r="AB1483" s="22"/>
      <c r="AC1483" s="22"/>
      <c r="AD1483" s="22"/>
      <c r="AE1483" s="24"/>
      <c r="AF1483" s="24" t="s">
        <v>2042</v>
      </c>
      <c r="AG1483" s="22"/>
      <c r="AH1483" s="25" t="s">
        <v>3793</v>
      </c>
      <c r="AI1483" s="25" t="s">
        <v>345</v>
      </c>
      <c r="AK1483" s="40">
        <v>5000000</v>
      </c>
      <c r="AL1483" s="40"/>
      <c r="AX1483" s="27"/>
      <c r="AY1483" s="27"/>
      <c r="BK1483" s="27"/>
      <c r="BL1483" s="27"/>
      <c r="BX1483" s="27"/>
      <c r="BY1483" s="27"/>
      <c r="CH1483" s="29"/>
    </row>
    <row r="1484" spans="1:107" x14ac:dyDescent="0.2">
      <c r="A1484" s="29" t="s">
        <v>100</v>
      </c>
      <c r="B1484" s="29" t="s">
        <v>3737</v>
      </c>
      <c r="C1484" s="29">
        <f t="shared" ref="C1484" si="105">A1484*10000+B1484</f>
        <v>200030005</v>
      </c>
      <c r="D1484" s="23" t="s">
        <v>3754</v>
      </c>
      <c r="E1484" s="21" t="s">
        <v>1124</v>
      </c>
      <c r="F1484" s="21"/>
      <c r="G1484" s="21"/>
      <c r="H1484" s="21"/>
      <c r="I1484" s="21" t="s">
        <v>207</v>
      </c>
      <c r="J1484" s="21"/>
      <c r="K1484" s="21"/>
      <c r="L1484" s="21"/>
      <c r="M1484" s="21"/>
      <c r="N1484" s="22" t="s">
        <v>3762</v>
      </c>
      <c r="O1484" s="22" t="s">
        <v>3762</v>
      </c>
      <c r="P1484" s="22"/>
      <c r="Q1484" s="22" t="s">
        <v>2041</v>
      </c>
      <c r="R1484" s="22"/>
      <c r="S1484" s="22"/>
      <c r="T1484" s="22" t="s">
        <v>3763</v>
      </c>
      <c r="U1484" s="23" t="s">
        <v>3754</v>
      </c>
      <c r="V1484" s="22" t="s">
        <v>1824</v>
      </c>
      <c r="W1484" s="22" t="s">
        <v>1</v>
      </c>
      <c r="X1484" s="22"/>
      <c r="Z1484" s="22"/>
      <c r="AA1484" s="22"/>
      <c r="AB1484" s="22"/>
      <c r="AC1484" s="22"/>
      <c r="AD1484" s="22"/>
      <c r="AE1484" s="24"/>
      <c r="AF1484" s="24" t="s">
        <v>2042</v>
      </c>
      <c r="AG1484" s="22"/>
      <c r="AH1484" s="25" t="s">
        <v>3794</v>
      </c>
      <c r="AI1484" s="25" t="s">
        <v>265</v>
      </c>
      <c r="AK1484" s="40">
        <v>10000000</v>
      </c>
      <c r="AL1484" s="40"/>
      <c r="AX1484" s="27"/>
      <c r="AY1484" s="27"/>
      <c r="BK1484" s="27"/>
      <c r="BL1484" s="27"/>
      <c r="BX1484" s="27"/>
      <c r="BY1484" s="27"/>
      <c r="CH1484" s="29"/>
    </row>
    <row r="1485" spans="1:107" x14ac:dyDescent="0.2">
      <c r="A1485" s="29" t="s">
        <v>100</v>
      </c>
      <c r="B1485" s="29" t="s">
        <v>3735</v>
      </c>
      <c r="C1485" s="29">
        <f t="shared" si="102"/>
        <v>200030006</v>
      </c>
      <c r="D1485" s="23" t="s">
        <v>3755</v>
      </c>
      <c r="E1485" s="21" t="s">
        <v>1124</v>
      </c>
      <c r="F1485" s="21"/>
      <c r="G1485" s="21"/>
      <c r="H1485" s="21"/>
      <c r="I1485" s="21" t="s">
        <v>207</v>
      </c>
      <c r="J1485" s="21"/>
      <c r="K1485" s="21"/>
      <c r="L1485" s="21"/>
      <c r="M1485" s="21"/>
      <c r="N1485" s="22" t="s">
        <v>3762</v>
      </c>
      <c r="O1485" s="22" t="s">
        <v>3762</v>
      </c>
      <c r="P1485" s="22"/>
      <c r="Q1485" s="22" t="s">
        <v>2041</v>
      </c>
      <c r="R1485" s="22"/>
      <c r="S1485" s="22"/>
      <c r="T1485" s="22" t="s">
        <v>3763</v>
      </c>
      <c r="U1485" s="23" t="s">
        <v>3755</v>
      </c>
      <c r="V1485" s="22" t="s">
        <v>1824</v>
      </c>
      <c r="W1485" s="22" t="s">
        <v>1</v>
      </c>
      <c r="X1485" s="22"/>
      <c r="Z1485" s="22"/>
      <c r="AA1485" s="22"/>
      <c r="AB1485" s="22"/>
      <c r="AC1485" s="22"/>
      <c r="AD1485" s="22"/>
      <c r="AE1485" s="24"/>
      <c r="AF1485" s="24" t="s">
        <v>2042</v>
      </c>
      <c r="AG1485" s="22"/>
      <c r="AH1485" s="25" t="s">
        <v>3795</v>
      </c>
      <c r="AI1485" s="25" t="s">
        <v>268</v>
      </c>
      <c r="AK1485" s="40">
        <v>15000000</v>
      </c>
      <c r="AL1485" s="40"/>
      <c r="AX1485" s="27"/>
      <c r="AY1485" s="27"/>
      <c r="BK1485" s="27"/>
      <c r="BL1485" s="27"/>
      <c r="BX1485" s="27"/>
      <c r="BY1485" s="27"/>
      <c r="CH1485" s="29"/>
    </row>
    <row r="1486" spans="1:107" s="153" customFormat="1" x14ac:dyDescent="0.2">
      <c r="A1486" s="152" t="s">
        <v>101</v>
      </c>
      <c r="B1486" s="152" t="s">
        <v>3736</v>
      </c>
      <c r="C1486" s="152">
        <f t="shared" si="102"/>
        <v>200040001</v>
      </c>
      <c r="D1486" s="153" t="s">
        <v>3756</v>
      </c>
      <c r="E1486" s="67" t="s">
        <v>1124</v>
      </c>
      <c r="F1486" s="67"/>
      <c r="G1486" s="67"/>
      <c r="H1486" s="67"/>
      <c r="I1486" s="67" t="s">
        <v>207</v>
      </c>
      <c r="J1486" s="67"/>
      <c r="K1486" s="67"/>
      <c r="L1486" s="67"/>
      <c r="M1486" s="67"/>
      <c r="N1486" s="67" t="s">
        <v>3762</v>
      </c>
      <c r="O1486" s="67" t="s">
        <v>3762</v>
      </c>
      <c r="P1486" s="22"/>
      <c r="Q1486" s="22" t="s">
        <v>2041</v>
      </c>
      <c r="R1486" s="22"/>
      <c r="S1486" s="22"/>
      <c r="T1486" s="22" t="s">
        <v>3763</v>
      </c>
      <c r="U1486" s="153" t="s">
        <v>3756</v>
      </c>
      <c r="V1486" s="67" t="s">
        <v>1828</v>
      </c>
      <c r="W1486" s="67" t="s">
        <v>1</v>
      </c>
      <c r="X1486" s="67"/>
      <c r="Z1486" s="67"/>
      <c r="AA1486" s="67"/>
      <c r="AB1486" s="67"/>
      <c r="AC1486" s="67"/>
      <c r="AD1486" s="67"/>
      <c r="AE1486" s="154"/>
      <c r="AF1486" s="154" t="s">
        <v>2042</v>
      </c>
      <c r="AG1486" s="67"/>
      <c r="AH1486" s="155" t="s">
        <v>3784</v>
      </c>
      <c r="AI1486" s="155" t="s">
        <v>341</v>
      </c>
      <c r="AJ1486" s="155"/>
      <c r="AK1486" s="156"/>
      <c r="AL1486" s="156"/>
      <c r="AM1486" s="157"/>
      <c r="AN1486" s="157"/>
      <c r="AO1486" s="157"/>
      <c r="AP1486" s="157"/>
      <c r="AQ1486" s="157"/>
      <c r="AR1486" s="157"/>
      <c r="AS1486" s="157"/>
      <c r="AT1486" s="157"/>
      <c r="AU1486" s="155"/>
      <c r="AV1486" s="155"/>
      <c r="AW1486" s="155"/>
      <c r="AX1486" s="156"/>
      <c r="AY1486" s="156"/>
      <c r="AZ1486" s="157"/>
      <c r="BA1486" s="157"/>
      <c r="BB1486" s="157"/>
      <c r="BC1486" s="157"/>
      <c r="BD1486" s="157"/>
      <c r="BE1486" s="157"/>
      <c r="BF1486" s="157"/>
      <c r="BG1486" s="157"/>
      <c r="BH1486" s="155"/>
      <c r="BI1486" s="155"/>
      <c r="BJ1486" s="155"/>
      <c r="BK1486" s="156"/>
      <c r="BL1486" s="156"/>
      <c r="BM1486" s="157"/>
      <c r="BN1486" s="157"/>
      <c r="BO1486" s="157"/>
      <c r="BP1486" s="157"/>
      <c r="BQ1486" s="157"/>
      <c r="BR1486" s="157"/>
      <c r="BS1486" s="157"/>
      <c r="BT1486" s="157"/>
      <c r="BU1486" s="155"/>
      <c r="BV1486" s="155"/>
      <c r="BW1486" s="155"/>
      <c r="BX1486" s="156"/>
      <c r="BY1486" s="156"/>
      <c r="BZ1486" s="157"/>
      <c r="CA1486" s="157"/>
      <c r="CB1486" s="157"/>
      <c r="CC1486" s="157"/>
      <c r="CD1486" s="157"/>
      <c r="CE1486" s="157"/>
      <c r="CF1486" s="157"/>
      <c r="CG1486" s="157"/>
      <c r="CH1486" s="152"/>
      <c r="CI1486" s="23"/>
      <c r="CJ1486" s="157"/>
      <c r="CT1486" s="158"/>
      <c r="CU1486" s="158"/>
      <c r="CV1486" s="158"/>
      <c r="CW1486" s="158"/>
      <c r="CX1486" s="158"/>
      <c r="CY1486" s="158"/>
      <c r="CZ1486" s="158"/>
      <c r="DA1486" s="158"/>
      <c r="DB1486" s="158"/>
      <c r="DC1486" s="157"/>
    </row>
    <row r="1487" spans="1:107" s="153" customFormat="1" x14ac:dyDescent="0.2">
      <c r="A1487" s="152" t="s">
        <v>101</v>
      </c>
      <c r="B1487" s="152" t="s">
        <v>26</v>
      </c>
      <c r="C1487" s="152">
        <f t="shared" si="102"/>
        <v>200040002</v>
      </c>
      <c r="D1487" s="153" t="s">
        <v>3757</v>
      </c>
      <c r="E1487" s="67" t="s">
        <v>1124</v>
      </c>
      <c r="F1487" s="67"/>
      <c r="G1487" s="67"/>
      <c r="H1487" s="67"/>
      <c r="I1487" s="67" t="s">
        <v>207</v>
      </c>
      <c r="J1487" s="67"/>
      <c r="K1487" s="67"/>
      <c r="L1487" s="67"/>
      <c r="M1487" s="67"/>
      <c r="N1487" s="67" t="s">
        <v>3762</v>
      </c>
      <c r="O1487" s="67" t="s">
        <v>3762</v>
      </c>
      <c r="P1487" s="22"/>
      <c r="Q1487" s="22" t="s">
        <v>2041</v>
      </c>
      <c r="R1487" s="22"/>
      <c r="S1487" s="22"/>
      <c r="T1487" s="22" t="s">
        <v>3763</v>
      </c>
      <c r="U1487" s="153" t="s">
        <v>3757</v>
      </c>
      <c r="V1487" s="67" t="s">
        <v>1825</v>
      </c>
      <c r="W1487" s="67" t="s">
        <v>1</v>
      </c>
      <c r="X1487" s="67"/>
      <c r="Z1487" s="67"/>
      <c r="AA1487" s="67"/>
      <c r="AB1487" s="67"/>
      <c r="AC1487" s="67"/>
      <c r="AD1487" s="67"/>
      <c r="AE1487" s="154"/>
      <c r="AF1487" s="154" t="s">
        <v>2042</v>
      </c>
      <c r="AG1487" s="67"/>
      <c r="AH1487" s="155" t="s">
        <v>3785</v>
      </c>
      <c r="AI1487" s="155" t="s">
        <v>340</v>
      </c>
      <c r="AJ1487" s="155"/>
      <c r="AK1487" s="156"/>
      <c r="AL1487" s="156"/>
      <c r="AM1487" s="157"/>
      <c r="AN1487" s="157"/>
      <c r="AO1487" s="157"/>
      <c r="AP1487" s="157"/>
      <c r="AQ1487" s="157"/>
      <c r="AR1487" s="157"/>
      <c r="AS1487" s="157"/>
      <c r="AT1487" s="157"/>
      <c r="AU1487" s="155"/>
      <c r="AV1487" s="155"/>
      <c r="AW1487" s="155"/>
      <c r="AX1487" s="156"/>
      <c r="AY1487" s="156"/>
      <c r="AZ1487" s="157"/>
      <c r="BA1487" s="157"/>
      <c r="BB1487" s="157"/>
      <c r="BC1487" s="157"/>
      <c r="BD1487" s="157"/>
      <c r="BE1487" s="157"/>
      <c r="BF1487" s="157"/>
      <c r="BG1487" s="157"/>
      <c r="BH1487" s="155"/>
      <c r="BI1487" s="155"/>
      <c r="BJ1487" s="155"/>
      <c r="BK1487" s="156"/>
      <c r="BL1487" s="156"/>
      <c r="BM1487" s="157"/>
      <c r="BN1487" s="157"/>
      <c r="BO1487" s="157"/>
      <c r="BP1487" s="157"/>
      <c r="BQ1487" s="157"/>
      <c r="BR1487" s="157"/>
      <c r="BS1487" s="157"/>
      <c r="BT1487" s="157"/>
      <c r="BU1487" s="155"/>
      <c r="BV1487" s="155"/>
      <c r="BW1487" s="155"/>
      <c r="BX1487" s="156"/>
      <c r="BY1487" s="156"/>
      <c r="BZ1487" s="157"/>
      <c r="CA1487" s="157"/>
      <c r="CB1487" s="157"/>
      <c r="CC1487" s="157"/>
      <c r="CD1487" s="157"/>
      <c r="CE1487" s="157"/>
      <c r="CF1487" s="157"/>
      <c r="CG1487" s="157"/>
      <c r="CH1487" s="152"/>
      <c r="CI1487" s="23"/>
      <c r="CJ1487" s="157"/>
      <c r="CT1487" s="158"/>
      <c r="CU1487" s="158"/>
      <c r="CV1487" s="158"/>
      <c r="CW1487" s="158"/>
      <c r="CX1487" s="158"/>
      <c r="CY1487" s="158"/>
      <c r="CZ1487" s="158"/>
      <c r="DA1487" s="158"/>
      <c r="DB1487" s="158"/>
      <c r="DC1487" s="157"/>
    </row>
    <row r="1488" spans="1:107" s="153" customFormat="1" x14ac:dyDescent="0.2">
      <c r="A1488" s="152" t="s">
        <v>101</v>
      </c>
      <c r="B1488" s="152" t="s">
        <v>27</v>
      </c>
      <c r="C1488" s="152">
        <f t="shared" si="102"/>
        <v>200040003</v>
      </c>
      <c r="D1488" s="153" t="s">
        <v>3758</v>
      </c>
      <c r="E1488" s="67" t="s">
        <v>1124</v>
      </c>
      <c r="F1488" s="67"/>
      <c r="G1488" s="67"/>
      <c r="H1488" s="67"/>
      <c r="I1488" s="67" t="s">
        <v>207</v>
      </c>
      <c r="J1488" s="67"/>
      <c r="K1488" s="67"/>
      <c r="L1488" s="67"/>
      <c r="M1488" s="67"/>
      <c r="N1488" s="67" t="s">
        <v>3762</v>
      </c>
      <c r="O1488" s="67" t="s">
        <v>3762</v>
      </c>
      <c r="P1488" s="22"/>
      <c r="Q1488" s="22" t="s">
        <v>2041</v>
      </c>
      <c r="R1488" s="22"/>
      <c r="S1488" s="22"/>
      <c r="T1488" s="22" t="s">
        <v>3763</v>
      </c>
      <c r="U1488" s="153" t="s">
        <v>3758</v>
      </c>
      <c r="V1488" s="67" t="s">
        <v>1825</v>
      </c>
      <c r="W1488" s="67" t="s">
        <v>1</v>
      </c>
      <c r="X1488" s="67"/>
      <c r="Z1488" s="67"/>
      <c r="AA1488" s="67"/>
      <c r="AB1488" s="67"/>
      <c r="AC1488" s="67"/>
      <c r="AD1488" s="67"/>
      <c r="AE1488" s="154"/>
      <c r="AF1488" s="154" t="s">
        <v>2042</v>
      </c>
      <c r="AG1488" s="67"/>
      <c r="AH1488" s="155" t="s">
        <v>3786</v>
      </c>
      <c r="AI1488" s="155" t="s">
        <v>343</v>
      </c>
      <c r="AJ1488" s="155"/>
      <c r="AK1488" s="156"/>
      <c r="AL1488" s="156"/>
      <c r="AM1488" s="157"/>
      <c r="AN1488" s="157"/>
      <c r="AO1488" s="157"/>
      <c r="AP1488" s="157"/>
      <c r="AQ1488" s="157"/>
      <c r="AR1488" s="157"/>
      <c r="AS1488" s="157"/>
      <c r="AT1488" s="157"/>
      <c r="AU1488" s="155"/>
      <c r="AV1488" s="155"/>
      <c r="AW1488" s="155"/>
      <c r="AX1488" s="156"/>
      <c r="AY1488" s="156"/>
      <c r="AZ1488" s="157"/>
      <c r="BA1488" s="157"/>
      <c r="BB1488" s="157"/>
      <c r="BC1488" s="157"/>
      <c r="BD1488" s="157"/>
      <c r="BE1488" s="157"/>
      <c r="BF1488" s="157"/>
      <c r="BG1488" s="157"/>
      <c r="BH1488" s="155"/>
      <c r="BI1488" s="155"/>
      <c r="BJ1488" s="155"/>
      <c r="BK1488" s="156"/>
      <c r="BL1488" s="156"/>
      <c r="BM1488" s="157"/>
      <c r="BN1488" s="157"/>
      <c r="BO1488" s="157"/>
      <c r="BP1488" s="157"/>
      <c r="BQ1488" s="157"/>
      <c r="BR1488" s="157"/>
      <c r="BS1488" s="157"/>
      <c r="BT1488" s="157"/>
      <c r="BU1488" s="155"/>
      <c r="BV1488" s="155"/>
      <c r="BW1488" s="155"/>
      <c r="BX1488" s="156"/>
      <c r="BY1488" s="156"/>
      <c r="BZ1488" s="157"/>
      <c r="CA1488" s="157"/>
      <c r="CB1488" s="157"/>
      <c r="CC1488" s="157"/>
      <c r="CD1488" s="157"/>
      <c r="CE1488" s="157"/>
      <c r="CF1488" s="157"/>
      <c r="CG1488" s="157"/>
      <c r="CH1488" s="152"/>
      <c r="CI1488" s="23"/>
      <c r="CJ1488" s="157"/>
      <c r="CT1488" s="158"/>
      <c r="CU1488" s="158"/>
      <c r="CV1488" s="158"/>
      <c r="CW1488" s="158"/>
      <c r="CX1488" s="158"/>
      <c r="CY1488" s="158"/>
      <c r="CZ1488" s="158"/>
      <c r="DA1488" s="158"/>
      <c r="DB1488" s="158"/>
      <c r="DC1488" s="157"/>
    </row>
    <row r="1489" spans="1:109" s="153" customFormat="1" x14ac:dyDescent="0.2">
      <c r="A1489" s="152" t="s">
        <v>101</v>
      </c>
      <c r="B1489" s="152" t="s">
        <v>1</v>
      </c>
      <c r="C1489" s="152">
        <f t="shared" si="102"/>
        <v>200040004</v>
      </c>
      <c r="D1489" s="153" t="s">
        <v>3759</v>
      </c>
      <c r="E1489" s="67" t="s">
        <v>1124</v>
      </c>
      <c r="F1489" s="67"/>
      <c r="G1489" s="67"/>
      <c r="H1489" s="67"/>
      <c r="I1489" s="67" t="s">
        <v>207</v>
      </c>
      <c r="J1489" s="67"/>
      <c r="K1489" s="67"/>
      <c r="L1489" s="67"/>
      <c r="M1489" s="67"/>
      <c r="N1489" s="67" t="s">
        <v>3762</v>
      </c>
      <c r="O1489" s="67" t="s">
        <v>3762</v>
      </c>
      <c r="P1489" s="22"/>
      <c r="Q1489" s="22" t="s">
        <v>2041</v>
      </c>
      <c r="R1489" s="22"/>
      <c r="S1489" s="22"/>
      <c r="T1489" s="22" t="s">
        <v>3763</v>
      </c>
      <c r="U1489" s="153" t="s">
        <v>3759</v>
      </c>
      <c r="V1489" s="67" t="s">
        <v>1825</v>
      </c>
      <c r="W1489" s="67" t="s">
        <v>1</v>
      </c>
      <c r="X1489" s="67"/>
      <c r="Z1489" s="67"/>
      <c r="AA1489" s="67"/>
      <c r="AB1489" s="67"/>
      <c r="AC1489" s="67"/>
      <c r="AD1489" s="67"/>
      <c r="AE1489" s="154"/>
      <c r="AF1489" s="154" t="s">
        <v>2042</v>
      </c>
      <c r="AG1489" s="67"/>
      <c r="AH1489" s="155" t="s">
        <v>3787</v>
      </c>
      <c r="AI1489" s="155" t="s">
        <v>345</v>
      </c>
      <c r="AJ1489" s="155"/>
      <c r="AK1489" s="156"/>
      <c r="AL1489" s="156"/>
      <c r="AM1489" s="157"/>
      <c r="AN1489" s="157"/>
      <c r="AO1489" s="157"/>
      <c r="AP1489" s="157"/>
      <c r="AQ1489" s="157"/>
      <c r="AR1489" s="157"/>
      <c r="AS1489" s="157"/>
      <c r="AT1489" s="157"/>
      <c r="AU1489" s="155"/>
      <c r="AV1489" s="155"/>
      <c r="AW1489" s="155"/>
      <c r="AX1489" s="156"/>
      <c r="AY1489" s="156"/>
      <c r="AZ1489" s="157"/>
      <c r="BA1489" s="157"/>
      <c r="BB1489" s="157"/>
      <c r="BC1489" s="157"/>
      <c r="BD1489" s="157"/>
      <c r="BE1489" s="157"/>
      <c r="BF1489" s="157"/>
      <c r="BG1489" s="157"/>
      <c r="BH1489" s="155"/>
      <c r="BI1489" s="155"/>
      <c r="BJ1489" s="155"/>
      <c r="BK1489" s="156"/>
      <c r="BL1489" s="156"/>
      <c r="BM1489" s="157"/>
      <c r="BN1489" s="157"/>
      <c r="BO1489" s="157"/>
      <c r="BP1489" s="157"/>
      <c r="BQ1489" s="157"/>
      <c r="BR1489" s="157"/>
      <c r="BS1489" s="157"/>
      <c r="BT1489" s="157"/>
      <c r="BU1489" s="155"/>
      <c r="BV1489" s="155"/>
      <c r="BW1489" s="155"/>
      <c r="BX1489" s="156"/>
      <c r="BY1489" s="156"/>
      <c r="BZ1489" s="157"/>
      <c r="CA1489" s="157"/>
      <c r="CB1489" s="157"/>
      <c r="CC1489" s="157"/>
      <c r="CD1489" s="157"/>
      <c r="CE1489" s="157"/>
      <c r="CF1489" s="157"/>
      <c r="CG1489" s="157"/>
      <c r="CH1489" s="152"/>
      <c r="CI1489" s="23"/>
      <c r="CJ1489" s="157"/>
      <c r="CT1489" s="158"/>
      <c r="CU1489" s="158"/>
      <c r="CV1489" s="158"/>
      <c r="CW1489" s="158"/>
      <c r="CX1489" s="158"/>
      <c r="CY1489" s="158"/>
      <c r="CZ1489" s="158"/>
      <c r="DA1489" s="158"/>
      <c r="DB1489" s="158"/>
      <c r="DC1489" s="157"/>
    </row>
    <row r="1490" spans="1:109" s="153" customFormat="1" x14ac:dyDescent="0.2">
      <c r="A1490" s="152" t="s">
        <v>101</v>
      </c>
      <c r="B1490" s="152" t="s">
        <v>3737</v>
      </c>
      <c r="C1490" s="152">
        <f t="shared" si="102"/>
        <v>200040005</v>
      </c>
      <c r="D1490" s="153" t="s">
        <v>3760</v>
      </c>
      <c r="E1490" s="67" t="s">
        <v>1124</v>
      </c>
      <c r="F1490" s="67"/>
      <c r="G1490" s="67"/>
      <c r="H1490" s="67"/>
      <c r="I1490" s="67" t="s">
        <v>207</v>
      </c>
      <c r="J1490" s="67"/>
      <c r="K1490" s="67"/>
      <c r="L1490" s="67"/>
      <c r="M1490" s="67"/>
      <c r="N1490" s="67" t="s">
        <v>3762</v>
      </c>
      <c r="O1490" s="67" t="s">
        <v>3762</v>
      </c>
      <c r="P1490" s="22"/>
      <c r="Q1490" s="22" t="s">
        <v>2041</v>
      </c>
      <c r="R1490" s="22"/>
      <c r="S1490" s="22"/>
      <c r="T1490" s="22" t="s">
        <v>3763</v>
      </c>
      <c r="U1490" s="153" t="s">
        <v>3760</v>
      </c>
      <c r="V1490" s="67" t="s">
        <v>1829</v>
      </c>
      <c r="W1490" s="67" t="s">
        <v>1</v>
      </c>
      <c r="X1490" s="67"/>
      <c r="Z1490" s="67"/>
      <c r="AA1490" s="67"/>
      <c r="AB1490" s="67"/>
      <c r="AC1490" s="67"/>
      <c r="AD1490" s="67"/>
      <c r="AE1490" s="154"/>
      <c r="AF1490" s="154" t="s">
        <v>2042</v>
      </c>
      <c r="AG1490" s="67"/>
      <c r="AH1490" s="155" t="s">
        <v>3788</v>
      </c>
      <c r="AI1490" s="155" t="s">
        <v>346</v>
      </c>
      <c r="AJ1490" s="155"/>
      <c r="AK1490" s="156"/>
      <c r="AL1490" s="156"/>
      <c r="AM1490" s="157"/>
      <c r="AN1490" s="157"/>
      <c r="AO1490" s="157"/>
      <c r="AP1490" s="157"/>
      <c r="AQ1490" s="157"/>
      <c r="AR1490" s="157"/>
      <c r="AS1490" s="157"/>
      <c r="AT1490" s="157"/>
      <c r="AU1490" s="155"/>
      <c r="AV1490" s="155"/>
      <c r="AW1490" s="155"/>
      <c r="AX1490" s="156"/>
      <c r="AY1490" s="156"/>
      <c r="AZ1490" s="157"/>
      <c r="BA1490" s="157"/>
      <c r="BB1490" s="157"/>
      <c r="BC1490" s="157"/>
      <c r="BD1490" s="157"/>
      <c r="BE1490" s="157"/>
      <c r="BF1490" s="157"/>
      <c r="BG1490" s="157"/>
      <c r="BH1490" s="155"/>
      <c r="BI1490" s="155"/>
      <c r="BJ1490" s="155"/>
      <c r="BK1490" s="156"/>
      <c r="BL1490" s="156"/>
      <c r="BM1490" s="157"/>
      <c r="BN1490" s="157"/>
      <c r="BO1490" s="157"/>
      <c r="BP1490" s="157"/>
      <c r="BQ1490" s="157"/>
      <c r="BR1490" s="157"/>
      <c r="BS1490" s="157"/>
      <c r="BT1490" s="157"/>
      <c r="BU1490" s="155"/>
      <c r="BV1490" s="155"/>
      <c r="BW1490" s="155"/>
      <c r="BX1490" s="156"/>
      <c r="BY1490" s="156"/>
      <c r="BZ1490" s="157"/>
      <c r="CA1490" s="157"/>
      <c r="CB1490" s="157"/>
      <c r="CC1490" s="157"/>
      <c r="CD1490" s="157"/>
      <c r="CE1490" s="157"/>
      <c r="CF1490" s="157"/>
      <c r="CG1490" s="157"/>
      <c r="CH1490" s="152"/>
      <c r="CI1490" s="23"/>
      <c r="CJ1490" s="157"/>
      <c r="CT1490" s="158"/>
      <c r="CU1490" s="158"/>
      <c r="CV1490" s="158"/>
      <c r="CW1490" s="158"/>
      <c r="CX1490" s="158"/>
      <c r="CY1490" s="158"/>
      <c r="CZ1490" s="158"/>
      <c r="DA1490" s="158"/>
      <c r="DB1490" s="158"/>
      <c r="DC1490" s="157"/>
    </row>
    <row r="1491" spans="1:109" s="153" customFormat="1" x14ac:dyDescent="0.2">
      <c r="A1491" s="152" t="s">
        <v>101</v>
      </c>
      <c r="B1491" s="152" t="s">
        <v>3735</v>
      </c>
      <c r="C1491" s="152">
        <f t="shared" ref="C1491" si="106">A1491*10000+B1491</f>
        <v>200040006</v>
      </c>
      <c r="D1491" s="153" t="s">
        <v>3761</v>
      </c>
      <c r="E1491" s="67" t="s">
        <v>1124</v>
      </c>
      <c r="F1491" s="67"/>
      <c r="G1491" s="67"/>
      <c r="H1491" s="67"/>
      <c r="I1491" s="67" t="s">
        <v>207</v>
      </c>
      <c r="J1491" s="67"/>
      <c r="K1491" s="67"/>
      <c r="L1491" s="67"/>
      <c r="M1491" s="67"/>
      <c r="N1491" s="67" t="s">
        <v>3762</v>
      </c>
      <c r="O1491" s="67" t="s">
        <v>3762</v>
      </c>
      <c r="P1491" s="22"/>
      <c r="Q1491" s="22" t="s">
        <v>2041</v>
      </c>
      <c r="R1491" s="22"/>
      <c r="S1491" s="22"/>
      <c r="T1491" s="22" t="s">
        <v>3763</v>
      </c>
      <c r="U1491" s="153" t="s">
        <v>3761</v>
      </c>
      <c r="V1491" s="67" t="s">
        <v>1828</v>
      </c>
      <c r="W1491" s="67" t="s">
        <v>1</v>
      </c>
      <c r="X1491" s="67"/>
      <c r="Z1491" s="67"/>
      <c r="AA1491" s="67"/>
      <c r="AB1491" s="67"/>
      <c r="AC1491" s="67"/>
      <c r="AD1491" s="67"/>
      <c r="AE1491" s="154"/>
      <c r="AF1491" s="154" t="s">
        <v>2042</v>
      </c>
      <c r="AG1491" s="67"/>
      <c r="AH1491" s="155" t="s">
        <v>3789</v>
      </c>
      <c r="AI1491" s="25" t="s">
        <v>268</v>
      </c>
      <c r="AJ1491" s="155"/>
      <c r="AK1491" s="156"/>
      <c r="AL1491" s="156"/>
      <c r="AM1491" s="157"/>
      <c r="AN1491" s="157"/>
      <c r="AO1491" s="157"/>
      <c r="AP1491" s="157"/>
      <c r="AQ1491" s="157"/>
      <c r="AR1491" s="157"/>
      <c r="AS1491" s="157"/>
      <c r="AT1491" s="157"/>
      <c r="AU1491" s="155"/>
      <c r="AV1491" s="155"/>
      <c r="AW1491" s="155"/>
      <c r="AX1491" s="156"/>
      <c r="AY1491" s="156"/>
      <c r="AZ1491" s="157"/>
      <c r="BA1491" s="157"/>
      <c r="BB1491" s="157"/>
      <c r="BC1491" s="157"/>
      <c r="BD1491" s="157"/>
      <c r="BE1491" s="157"/>
      <c r="BF1491" s="157"/>
      <c r="BG1491" s="157"/>
      <c r="BH1491" s="155"/>
      <c r="BI1491" s="155"/>
      <c r="BJ1491" s="155"/>
      <c r="BK1491" s="156"/>
      <c r="BL1491" s="156"/>
      <c r="BM1491" s="157"/>
      <c r="BN1491" s="157"/>
      <c r="BO1491" s="157"/>
      <c r="BP1491" s="157"/>
      <c r="BQ1491" s="157"/>
      <c r="BR1491" s="157"/>
      <c r="BS1491" s="157"/>
      <c r="BT1491" s="157"/>
      <c r="BU1491" s="155"/>
      <c r="BV1491" s="155"/>
      <c r="BW1491" s="155"/>
      <c r="BX1491" s="156"/>
      <c r="BY1491" s="156"/>
      <c r="BZ1491" s="157"/>
      <c r="CA1491" s="157"/>
      <c r="CB1491" s="157"/>
      <c r="CC1491" s="157"/>
      <c r="CD1491" s="157"/>
      <c r="CE1491" s="157"/>
      <c r="CF1491" s="157"/>
      <c r="CG1491" s="157"/>
      <c r="CH1491" s="152"/>
      <c r="CI1491" s="23"/>
      <c r="CJ1491" s="157"/>
      <c r="CT1491" s="158"/>
      <c r="CU1491" s="158"/>
      <c r="CV1491" s="158"/>
      <c r="CW1491" s="158"/>
      <c r="CX1491" s="158"/>
      <c r="CY1491" s="158"/>
      <c r="CZ1491" s="158"/>
      <c r="DA1491" s="158"/>
      <c r="DB1491" s="158"/>
      <c r="DC1491" s="157"/>
    </row>
    <row r="1492" spans="1:109" s="14" customFormat="1" ht="17.25" x14ac:dyDescent="0.3">
      <c r="A1492" s="8"/>
      <c r="B1492" s="8"/>
      <c r="C1492" s="8">
        <f t="shared" si="102"/>
        <v>0</v>
      </c>
      <c r="D1492" s="8"/>
      <c r="E1492" s="9" t="s">
        <v>2064</v>
      </c>
      <c r="F1492" s="9"/>
      <c r="G1492" s="9"/>
      <c r="H1492" s="9"/>
      <c r="I1492" s="10"/>
      <c r="J1492" s="10"/>
      <c r="K1492" s="10"/>
      <c r="L1492" s="10"/>
      <c r="M1492" s="10"/>
      <c r="N1492" s="10"/>
      <c r="O1492" s="10"/>
      <c r="P1492" s="10"/>
      <c r="Q1492" s="10"/>
      <c r="R1492" s="10"/>
      <c r="S1492" s="10"/>
      <c r="T1492" s="10"/>
      <c r="U1492" s="10"/>
      <c r="V1492" s="10"/>
      <c r="W1492" s="10"/>
      <c r="X1492" s="10"/>
      <c r="Y1492" s="11"/>
      <c r="Z1492" s="10"/>
      <c r="AA1492" s="10"/>
      <c r="AB1492" s="10"/>
      <c r="AC1492" s="10"/>
      <c r="AD1492" s="10"/>
      <c r="AE1492" s="12"/>
      <c r="AF1492" s="12" t="s">
        <v>2074</v>
      </c>
      <c r="AG1492" s="10"/>
      <c r="AH1492" s="13"/>
      <c r="AI1492" s="13"/>
      <c r="AJ1492" s="13"/>
      <c r="AK1492" s="15"/>
      <c r="AL1492" s="15"/>
      <c r="AM1492" s="15"/>
      <c r="AN1492" s="15"/>
      <c r="AO1492" s="15"/>
      <c r="AP1492" s="15"/>
      <c r="AQ1492" s="15"/>
      <c r="AR1492" s="15"/>
      <c r="AS1492" s="15"/>
      <c r="AT1492" s="15"/>
      <c r="AU1492" s="13"/>
      <c r="AV1492" s="13"/>
      <c r="AW1492" s="13"/>
      <c r="AX1492" s="31"/>
      <c r="AY1492" s="31"/>
      <c r="AZ1492" s="15"/>
      <c r="BA1492" s="15"/>
      <c r="BB1492" s="15"/>
      <c r="BC1492" s="15"/>
      <c r="BD1492" s="15"/>
      <c r="BE1492" s="15"/>
      <c r="BF1492" s="15"/>
      <c r="BG1492" s="15"/>
      <c r="BH1492" s="13"/>
      <c r="BI1492" s="13"/>
      <c r="BJ1492" s="13"/>
      <c r="BK1492" s="31"/>
      <c r="BL1492" s="31"/>
      <c r="BM1492" s="15"/>
      <c r="BN1492" s="15"/>
      <c r="BO1492" s="15"/>
      <c r="BP1492" s="15"/>
      <c r="BQ1492" s="15"/>
      <c r="BR1492" s="15"/>
      <c r="BS1492" s="15"/>
      <c r="BT1492" s="15"/>
      <c r="BU1492" s="13"/>
      <c r="BV1492" s="13"/>
      <c r="BW1492" s="13"/>
      <c r="BX1492" s="31"/>
      <c r="BY1492" s="31"/>
      <c r="BZ1492" s="15"/>
      <c r="CA1492" s="15"/>
      <c r="CB1492" s="15"/>
      <c r="CC1492" s="15"/>
      <c r="CD1492" s="15"/>
      <c r="CE1492" s="15"/>
      <c r="CF1492" s="15"/>
      <c r="CG1492" s="15"/>
      <c r="CH1492" s="10"/>
      <c r="CI1492" s="8"/>
      <c r="CJ1492" s="16"/>
      <c r="CK1492" s="8"/>
      <c r="CT1492" s="17"/>
      <c r="CU1492" s="17"/>
      <c r="CV1492" s="17"/>
      <c r="CW1492" s="17"/>
      <c r="CX1492" s="17"/>
      <c r="CY1492" s="17"/>
      <c r="CZ1492" s="17"/>
      <c r="DA1492" s="17"/>
      <c r="DB1492" s="17"/>
      <c r="DC1492" s="15"/>
    </row>
    <row r="1493" spans="1:109" x14ac:dyDescent="0.2">
      <c r="A1493" s="29" t="s">
        <v>2065</v>
      </c>
      <c r="B1493" s="29" t="s">
        <v>2066</v>
      </c>
      <c r="C1493" s="29">
        <f t="shared" si="102"/>
        <v>20000001</v>
      </c>
      <c r="D1493" s="23" t="s">
        <v>2068</v>
      </c>
      <c r="E1493" s="20" t="s">
        <v>640</v>
      </c>
      <c r="I1493" s="22" t="s">
        <v>206</v>
      </c>
      <c r="J1493" s="21" t="s">
        <v>2077</v>
      </c>
      <c r="K1493" s="21"/>
      <c r="L1493" s="21"/>
      <c r="M1493" s="21"/>
      <c r="N1493" s="22" t="s">
        <v>2073</v>
      </c>
      <c r="O1493" s="22" t="s">
        <v>2073</v>
      </c>
      <c r="P1493" s="22"/>
      <c r="Q1493" s="22" t="s">
        <v>2041</v>
      </c>
      <c r="R1493" s="22"/>
      <c r="S1493" s="22"/>
      <c r="T1493" s="22" t="s">
        <v>3125</v>
      </c>
      <c r="U1493" s="116" t="s">
        <v>3126</v>
      </c>
      <c r="V1493" s="22" t="s">
        <v>2073</v>
      </c>
      <c r="W1493" s="22" t="s">
        <v>23</v>
      </c>
      <c r="X1493" s="22"/>
      <c r="Z1493" s="22"/>
      <c r="AA1493" s="22"/>
      <c r="AB1493" s="22"/>
      <c r="AC1493" s="112" t="s">
        <v>2079</v>
      </c>
      <c r="AD1493" s="22"/>
      <c r="AE1493" s="24"/>
      <c r="AF1493" s="24" t="s">
        <v>2042</v>
      </c>
      <c r="AG1493" s="22"/>
      <c r="AK1493" s="40"/>
      <c r="AL1493" s="40"/>
      <c r="AX1493" s="27"/>
      <c r="AY1493" s="27"/>
      <c r="BK1493" s="27"/>
      <c r="BL1493" s="27"/>
      <c r="BX1493" s="27"/>
      <c r="BY1493" s="27"/>
      <c r="CH1493" s="29"/>
      <c r="DE1493" s="23" t="s">
        <v>2076</v>
      </c>
    </row>
    <row r="1494" spans="1:109" x14ac:dyDescent="0.2">
      <c r="A1494" s="29" t="s">
        <v>2065</v>
      </c>
      <c r="B1494" s="29" t="s">
        <v>2067</v>
      </c>
      <c r="C1494" s="29">
        <f t="shared" si="102"/>
        <v>20000002</v>
      </c>
      <c r="D1494" s="23" t="s">
        <v>2069</v>
      </c>
      <c r="E1494" s="20" t="s">
        <v>640</v>
      </c>
      <c r="I1494" s="22" t="s">
        <v>206</v>
      </c>
      <c r="J1494" s="21" t="s">
        <v>2077</v>
      </c>
      <c r="K1494" s="21"/>
      <c r="L1494" s="21"/>
      <c r="M1494" s="21"/>
      <c r="N1494" s="22" t="s">
        <v>2073</v>
      </c>
      <c r="O1494" s="22" t="s">
        <v>2073</v>
      </c>
      <c r="P1494" s="22"/>
      <c r="Q1494" s="22" t="s">
        <v>2041</v>
      </c>
      <c r="R1494" s="22"/>
      <c r="S1494" s="22"/>
      <c r="T1494" s="22" t="s">
        <v>3125</v>
      </c>
      <c r="U1494" s="116" t="s">
        <v>3127</v>
      </c>
      <c r="V1494" s="22" t="s">
        <v>2073</v>
      </c>
      <c r="W1494" s="22" t="s">
        <v>181</v>
      </c>
      <c r="X1494" s="22"/>
      <c r="Z1494" s="22"/>
      <c r="AA1494" s="22"/>
      <c r="AB1494" s="22"/>
      <c r="AC1494" s="112" t="s">
        <v>2078</v>
      </c>
      <c r="AD1494" s="22"/>
      <c r="AE1494" s="24"/>
      <c r="AF1494" s="24" t="s">
        <v>2042</v>
      </c>
      <c r="AG1494" s="22"/>
      <c r="AK1494" s="40"/>
      <c r="AL1494" s="40"/>
      <c r="AX1494" s="27"/>
      <c r="AY1494" s="27"/>
      <c r="BK1494" s="27"/>
      <c r="BL1494" s="27"/>
      <c r="BX1494" s="27"/>
      <c r="BY1494" s="27"/>
      <c r="CH1494" s="29"/>
      <c r="DE1494" s="23" t="s">
        <v>2076</v>
      </c>
    </row>
    <row r="1495" spans="1:109" x14ac:dyDescent="0.2">
      <c r="A1495" s="29" t="s">
        <v>2065</v>
      </c>
      <c r="B1495" s="29" t="s">
        <v>27</v>
      </c>
      <c r="C1495" s="29">
        <f t="shared" si="102"/>
        <v>20000003</v>
      </c>
      <c r="D1495" s="23" t="s">
        <v>2070</v>
      </c>
      <c r="E1495" s="20" t="s">
        <v>640</v>
      </c>
      <c r="I1495" s="22" t="s">
        <v>206</v>
      </c>
      <c r="J1495" s="21" t="s">
        <v>2077</v>
      </c>
      <c r="K1495" s="21"/>
      <c r="L1495" s="21"/>
      <c r="M1495" s="21"/>
      <c r="N1495" s="22" t="s">
        <v>2073</v>
      </c>
      <c r="O1495" s="22" t="s">
        <v>2073</v>
      </c>
      <c r="P1495" s="22"/>
      <c r="Q1495" s="22" t="s">
        <v>2041</v>
      </c>
      <c r="R1495" s="22"/>
      <c r="S1495" s="22"/>
      <c r="T1495" s="22" t="s">
        <v>3125</v>
      </c>
      <c r="U1495" s="116" t="s">
        <v>3128</v>
      </c>
      <c r="V1495" s="22" t="s">
        <v>2073</v>
      </c>
      <c r="W1495" s="22" t="s">
        <v>22</v>
      </c>
      <c r="X1495" s="22"/>
      <c r="Z1495" s="22"/>
      <c r="AA1495" s="22"/>
      <c r="AB1495" s="22"/>
      <c r="AC1495" s="112" t="s">
        <v>2103</v>
      </c>
      <c r="AD1495" s="22"/>
      <c r="AE1495" s="24"/>
      <c r="AF1495" s="24" t="s">
        <v>2042</v>
      </c>
      <c r="AG1495" s="22"/>
      <c r="AK1495" s="40"/>
      <c r="AL1495" s="40"/>
      <c r="AX1495" s="27"/>
      <c r="AY1495" s="27"/>
      <c r="BK1495" s="27"/>
      <c r="BL1495" s="27"/>
      <c r="BX1495" s="27"/>
      <c r="BY1495" s="27"/>
      <c r="CH1495" s="29"/>
      <c r="DE1495" s="23" t="s">
        <v>2076</v>
      </c>
    </row>
    <row r="1496" spans="1:109" x14ac:dyDescent="0.2">
      <c r="A1496" s="29" t="s">
        <v>2065</v>
      </c>
      <c r="B1496" s="29" t="s">
        <v>1</v>
      </c>
      <c r="C1496" s="29">
        <f t="shared" si="102"/>
        <v>20000004</v>
      </c>
      <c r="D1496" s="23" t="s">
        <v>2071</v>
      </c>
      <c r="E1496" s="20" t="s">
        <v>640</v>
      </c>
      <c r="I1496" s="22" t="s">
        <v>206</v>
      </c>
      <c r="J1496" s="21" t="s">
        <v>2077</v>
      </c>
      <c r="K1496" s="21"/>
      <c r="L1496" s="21"/>
      <c r="M1496" s="21"/>
      <c r="N1496" s="22" t="s">
        <v>2073</v>
      </c>
      <c r="O1496" s="22" t="s">
        <v>2073</v>
      </c>
      <c r="P1496" s="22"/>
      <c r="Q1496" s="22" t="s">
        <v>2041</v>
      </c>
      <c r="R1496" s="22"/>
      <c r="S1496" s="22"/>
      <c r="T1496" s="22" t="s">
        <v>3125</v>
      </c>
      <c r="U1496" s="116" t="s">
        <v>3129</v>
      </c>
      <c r="V1496" s="22" t="s">
        <v>2073</v>
      </c>
      <c r="W1496" s="22" t="s">
        <v>181</v>
      </c>
      <c r="X1496" s="22"/>
      <c r="Z1496" s="22"/>
      <c r="AA1496" s="22"/>
      <c r="AB1496" s="22"/>
      <c r="AC1496" s="112" t="s">
        <v>2078</v>
      </c>
      <c r="AD1496" s="22"/>
      <c r="AE1496" s="24"/>
      <c r="AF1496" s="24" t="s">
        <v>2042</v>
      </c>
      <c r="AG1496" s="22"/>
      <c r="AK1496" s="40"/>
      <c r="AL1496" s="40"/>
      <c r="AX1496" s="27"/>
      <c r="AY1496" s="27"/>
      <c r="BK1496" s="27"/>
      <c r="BL1496" s="27"/>
      <c r="BX1496" s="27"/>
      <c r="BY1496" s="27"/>
      <c r="CH1496" s="29"/>
      <c r="DE1496" s="23" t="s">
        <v>2076</v>
      </c>
    </row>
    <row r="1497" spans="1:109" x14ac:dyDescent="0.2">
      <c r="A1497" s="29" t="s">
        <v>2065</v>
      </c>
      <c r="B1497" s="29" t="s">
        <v>2</v>
      </c>
      <c r="C1497" s="29">
        <f t="shared" si="102"/>
        <v>20000005</v>
      </c>
      <c r="D1497" s="23" t="s">
        <v>2072</v>
      </c>
      <c r="E1497" s="20" t="s">
        <v>640</v>
      </c>
      <c r="I1497" s="22" t="s">
        <v>206</v>
      </c>
      <c r="J1497" s="21" t="s">
        <v>2077</v>
      </c>
      <c r="K1497" s="21"/>
      <c r="L1497" s="21"/>
      <c r="M1497" s="21"/>
      <c r="N1497" s="22" t="s">
        <v>2073</v>
      </c>
      <c r="O1497" s="22" t="s">
        <v>2073</v>
      </c>
      <c r="P1497" s="22"/>
      <c r="Q1497" s="22" t="s">
        <v>2041</v>
      </c>
      <c r="R1497" s="22"/>
      <c r="S1497" s="22"/>
      <c r="T1497" s="22" t="s">
        <v>3125</v>
      </c>
      <c r="U1497" s="116" t="s">
        <v>3130</v>
      </c>
      <c r="V1497" s="22" t="s">
        <v>2073</v>
      </c>
      <c r="W1497" s="22" t="s">
        <v>23</v>
      </c>
      <c r="X1497" s="22"/>
      <c r="Z1497" s="22"/>
      <c r="AA1497" s="22"/>
      <c r="AB1497" s="22"/>
      <c r="AC1497" s="112"/>
      <c r="AD1497" s="22"/>
      <c r="AE1497" s="24"/>
      <c r="AF1497" s="24" t="s">
        <v>2042</v>
      </c>
      <c r="AG1497" s="22"/>
      <c r="AK1497" s="40"/>
      <c r="AL1497" s="40"/>
      <c r="AX1497" s="27"/>
      <c r="AY1497" s="27"/>
      <c r="BK1497" s="27"/>
      <c r="BL1497" s="27"/>
      <c r="BX1497" s="27"/>
      <c r="BY1497" s="27"/>
      <c r="CH1497" s="29"/>
      <c r="DE1497" s="23" t="s">
        <v>2076</v>
      </c>
    </row>
    <row r="1498" spans="1:109" s="14" customFormat="1" ht="17.25" x14ac:dyDescent="0.3">
      <c r="A1498" s="8"/>
      <c r="B1498" s="8"/>
      <c r="C1498" s="8">
        <f t="shared" si="102"/>
        <v>0</v>
      </c>
      <c r="D1498" s="8"/>
      <c r="E1498" s="9" t="s">
        <v>119</v>
      </c>
      <c r="F1498" s="9"/>
      <c r="G1498" s="9"/>
      <c r="H1498" s="9"/>
      <c r="I1498" s="10"/>
      <c r="J1498" s="10"/>
      <c r="K1498" s="10"/>
      <c r="L1498" s="10"/>
      <c r="M1498" s="10"/>
      <c r="N1498" s="10"/>
      <c r="O1498" s="10"/>
      <c r="P1498" s="10"/>
      <c r="Q1498" s="10"/>
      <c r="R1498" s="10"/>
      <c r="S1498" s="10"/>
      <c r="T1498" s="10"/>
      <c r="U1498" s="10"/>
      <c r="V1498" s="10"/>
      <c r="W1498" s="10"/>
      <c r="X1498" s="10"/>
      <c r="Y1498" s="11"/>
      <c r="Z1498" s="10"/>
      <c r="AA1498" s="10"/>
      <c r="AB1498" s="10"/>
      <c r="AC1498" s="10"/>
      <c r="AD1498" s="10"/>
      <c r="AE1498" s="12"/>
      <c r="AF1498" s="12" t="s">
        <v>2042</v>
      </c>
      <c r="AG1498" s="10"/>
      <c r="AH1498" s="13"/>
      <c r="AI1498" s="13"/>
      <c r="AJ1498" s="13"/>
      <c r="AK1498" s="15"/>
      <c r="AL1498" s="15"/>
      <c r="AM1498" s="15"/>
      <c r="AN1498" s="15"/>
      <c r="AO1498" s="15"/>
      <c r="AP1498" s="15"/>
      <c r="AQ1498" s="15"/>
      <c r="AR1498" s="15"/>
      <c r="AS1498" s="15"/>
      <c r="AT1498" s="15"/>
      <c r="AU1498" s="13"/>
      <c r="AV1498" s="13"/>
      <c r="AW1498" s="13"/>
      <c r="AX1498" s="31"/>
      <c r="AY1498" s="31"/>
      <c r="AZ1498" s="15"/>
      <c r="BA1498" s="15"/>
      <c r="BB1498" s="15"/>
      <c r="BC1498" s="15"/>
      <c r="BD1498" s="15"/>
      <c r="BE1498" s="15"/>
      <c r="BF1498" s="15"/>
      <c r="BG1498" s="15"/>
      <c r="BH1498" s="13"/>
      <c r="BI1498" s="13"/>
      <c r="BJ1498" s="13"/>
      <c r="BK1498" s="31"/>
      <c r="BL1498" s="31"/>
      <c r="BM1498" s="15"/>
      <c r="BN1498" s="15"/>
      <c r="BO1498" s="15"/>
      <c r="BP1498" s="15"/>
      <c r="BQ1498" s="15"/>
      <c r="BR1498" s="15"/>
      <c r="BS1498" s="15"/>
      <c r="BT1498" s="15"/>
      <c r="BU1498" s="13"/>
      <c r="BV1498" s="13"/>
      <c r="BW1498" s="13"/>
      <c r="BX1498" s="31"/>
      <c r="BY1498" s="31"/>
      <c r="BZ1498" s="15"/>
      <c r="CA1498" s="15"/>
      <c r="CB1498" s="15"/>
      <c r="CC1498" s="15"/>
      <c r="CD1498" s="15"/>
      <c r="CE1498" s="15"/>
      <c r="CF1498" s="15"/>
      <c r="CG1498" s="15"/>
      <c r="CH1498" s="10"/>
      <c r="CI1498" s="8"/>
      <c r="CJ1498" s="16"/>
      <c r="CK1498" s="8"/>
      <c r="CT1498" s="17"/>
      <c r="CU1498" s="17"/>
      <c r="CV1498" s="17"/>
      <c r="CW1498" s="17"/>
      <c r="CX1498" s="17"/>
      <c r="CY1498" s="17"/>
      <c r="CZ1498" s="17"/>
      <c r="DA1498" s="17"/>
      <c r="DB1498" s="17"/>
      <c r="DC1498" s="15"/>
    </row>
    <row r="1499" spans="1:109" x14ac:dyDescent="0.2">
      <c r="A1499" s="18">
        <v>2001</v>
      </c>
      <c r="B1499" s="19">
        <v>1</v>
      </c>
      <c r="C1499" s="19">
        <f t="shared" si="102"/>
        <v>20010001</v>
      </c>
      <c r="D1499" s="23" t="s">
        <v>306</v>
      </c>
      <c r="E1499" s="20" t="s">
        <v>640</v>
      </c>
      <c r="I1499" s="22" t="s">
        <v>206</v>
      </c>
      <c r="J1499" s="22"/>
      <c r="K1499" s="22"/>
      <c r="L1499" s="22"/>
      <c r="M1499" s="22"/>
      <c r="N1499" s="22" t="s">
        <v>454</v>
      </c>
      <c r="O1499" s="22" t="s">
        <v>454</v>
      </c>
      <c r="P1499" s="22"/>
      <c r="Q1499" s="22" t="s">
        <v>2041</v>
      </c>
      <c r="R1499" s="22"/>
      <c r="S1499" s="22"/>
      <c r="T1499" s="22" t="s">
        <v>3131</v>
      </c>
      <c r="U1499" s="116" t="s">
        <v>3148</v>
      </c>
      <c r="V1499" s="22" t="s">
        <v>454</v>
      </c>
      <c r="W1499" s="22" t="s">
        <v>1</v>
      </c>
      <c r="X1499" s="22"/>
      <c r="Z1499" s="22"/>
      <c r="AA1499" s="22"/>
      <c r="AB1499" s="22"/>
      <c r="AC1499" s="22"/>
      <c r="AD1499" s="22"/>
      <c r="AE1499" s="24"/>
      <c r="AF1499" s="24" t="s">
        <v>2042</v>
      </c>
      <c r="AG1499" s="22"/>
      <c r="AK1499" s="40" t="s">
        <v>593</v>
      </c>
      <c r="AL1499" s="40"/>
      <c r="AX1499" s="27"/>
      <c r="AY1499" s="27"/>
      <c r="BK1499" s="27"/>
      <c r="BL1499" s="27"/>
      <c r="BX1499" s="27"/>
      <c r="BY1499" s="27"/>
      <c r="CH1499" s="29"/>
      <c r="CM1499" s="23" t="s">
        <v>734</v>
      </c>
    </row>
    <row r="1500" spans="1:109" x14ac:dyDescent="0.2">
      <c r="A1500" s="18">
        <v>2001</v>
      </c>
      <c r="B1500" s="19">
        <v>2</v>
      </c>
      <c r="C1500" s="19">
        <f t="shared" si="102"/>
        <v>20010002</v>
      </c>
      <c r="D1500" s="23" t="s">
        <v>306</v>
      </c>
      <c r="E1500" s="20" t="s">
        <v>640</v>
      </c>
      <c r="I1500" s="22" t="s">
        <v>206</v>
      </c>
      <c r="J1500" s="22"/>
      <c r="K1500" s="22"/>
      <c r="L1500" s="22"/>
      <c r="M1500" s="22"/>
      <c r="N1500" s="22" t="s">
        <v>454</v>
      </c>
      <c r="O1500" s="22" t="s">
        <v>454</v>
      </c>
      <c r="P1500" s="22"/>
      <c r="Q1500" s="22" t="s">
        <v>2041</v>
      </c>
      <c r="R1500" s="22"/>
      <c r="S1500" s="22"/>
      <c r="T1500" s="22" t="s">
        <v>3131</v>
      </c>
      <c r="U1500" s="116" t="s">
        <v>3148</v>
      </c>
      <c r="V1500" s="22" t="s">
        <v>454</v>
      </c>
      <c r="W1500" s="22" t="s">
        <v>1</v>
      </c>
      <c r="X1500" s="22"/>
      <c r="Z1500" s="22"/>
      <c r="AA1500" s="22"/>
      <c r="AB1500" s="22"/>
      <c r="AC1500" s="22"/>
      <c r="AD1500" s="22"/>
      <c r="AE1500" s="24"/>
      <c r="AF1500" s="24" t="s">
        <v>2042</v>
      </c>
      <c r="AG1500" s="22"/>
      <c r="AK1500" s="40" t="s">
        <v>593</v>
      </c>
      <c r="AL1500" s="40"/>
      <c r="AX1500" s="27"/>
      <c r="AY1500" s="27"/>
      <c r="BK1500" s="27"/>
      <c r="BL1500" s="27"/>
      <c r="BX1500" s="27"/>
      <c r="BY1500" s="27"/>
      <c r="CH1500" s="29"/>
      <c r="CM1500" s="23" t="s">
        <v>4</v>
      </c>
    </row>
    <row r="1501" spans="1:109" x14ac:dyDescent="0.2">
      <c r="A1501" s="18">
        <v>2001</v>
      </c>
      <c r="B1501" s="19">
        <v>3</v>
      </c>
      <c r="C1501" s="19">
        <f t="shared" si="102"/>
        <v>20010003</v>
      </c>
      <c r="D1501" s="23" t="s">
        <v>306</v>
      </c>
      <c r="E1501" s="20" t="s">
        <v>640</v>
      </c>
      <c r="I1501" s="22" t="s">
        <v>206</v>
      </c>
      <c r="J1501" s="22"/>
      <c r="K1501" s="22"/>
      <c r="L1501" s="22"/>
      <c r="M1501" s="22"/>
      <c r="N1501" s="22" t="s">
        <v>454</v>
      </c>
      <c r="O1501" s="22" t="s">
        <v>454</v>
      </c>
      <c r="P1501" s="22"/>
      <c r="Q1501" s="22" t="s">
        <v>2041</v>
      </c>
      <c r="R1501" s="22"/>
      <c r="S1501" s="22"/>
      <c r="T1501" s="22" t="s">
        <v>3131</v>
      </c>
      <c r="U1501" s="116" t="s">
        <v>3148</v>
      </c>
      <c r="V1501" s="22" t="s">
        <v>454</v>
      </c>
      <c r="W1501" s="22" t="s">
        <v>1</v>
      </c>
      <c r="X1501" s="22"/>
      <c r="Z1501" s="22"/>
      <c r="AA1501" s="22"/>
      <c r="AB1501" s="22"/>
      <c r="AC1501" s="22"/>
      <c r="AD1501" s="22"/>
      <c r="AE1501" s="24"/>
      <c r="AF1501" s="24" t="s">
        <v>2042</v>
      </c>
      <c r="AG1501" s="22"/>
      <c r="AK1501" s="40" t="s">
        <v>593</v>
      </c>
      <c r="AL1501" s="40"/>
      <c r="AX1501" s="27"/>
      <c r="AY1501" s="27"/>
      <c r="BK1501" s="27"/>
      <c r="BL1501" s="27"/>
      <c r="BX1501" s="27"/>
      <c r="BY1501" s="27"/>
      <c r="CH1501" s="29"/>
      <c r="CM1501" s="23" t="s">
        <v>5</v>
      </c>
    </row>
    <row r="1502" spans="1:109" x14ac:dyDescent="0.2">
      <c r="A1502" s="18">
        <v>2001</v>
      </c>
      <c r="B1502" s="19">
        <v>4</v>
      </c>
      <c r="C1502" s="19">
        <f t="shared" si="102"/>
        <v>20010004</v>
      </c>
      <c r="D1502" s="23" t="s">
        <v>306</v>
      </c>
      <c r="E1502" s="20" t="s">
        <v>640</v>
      </c>
      <c r="I1502" s="22" t="s">
        <v>206</v>
      </c>
      <c r="J1502" s="22"/>
      <c r="K1502" s="22"/>
      <c r="L1502" s="22"/>
      <c r="M1502" s="22"/>
      <c r="N1502" s="22" t="s">
        <v>454</v>
      </c>
      <c r="O1502" s="22" t="s">
        <v>454</v>
      </c>
      <c r="P1502" s="22"/>
      <c r="Q1502" s="22" t="s">
        <v>2041</v>
      </c>
      <c r="R1502" s="22"/>
      <c r="S1502" s="22"/>
      <c r="T1502" s="22" t="s">
        <v>3131</v>
      </c>
      <c r="U1502" s="116" t="s">
        <v>3148</v>
      </c>
      <c r="V1502" s="22" t="s">
        <v>454</v>
      </c>
      <c r="W1502" s="22" t="s">
        <v>1</v>
      </c>
      <c r="X1502" s="22"/>
      <c r="Z1502" s="22"/>
      <c r="AA1502" s="22"/>
      <c r="AB1502" s="22"/>
      <c r="AC1502" s="22"/>
      <c r="AD1502" s="22"/>
      <c r="AE1502" s="24"/>
      <c r="AF1502" s="24" t="s">
        <v>2042</v>
      </c>
      <c r="AG1502" s="22"/>
      <c r="AK1502" s="40" t="s">
        <v>593</v>
      </c>
      <c r="AL1502" s="40"/>
      <c r="AX1502" s="27"/>
      <c r="AY1502" s="27"/>
      <c r="BK1502" s="27"/>
      <c r="BL1502" s="27"/>
      <c r="BX1502" s="27"/>
      <c r="BY1502" s="27"/>
      <c r="CH1502" s="29"/>
      <c r="CM1502" s="23" t="s">
        <v>6</v>
      </c>
    </row>
    <row r="1503" spans="1:109" x14ac:dyDescent="0.2">
      <c r="A1503" s="18">
        <v>2001</v>
      </c>
      <c r="B1503" s="19">
        <v>5</v>
      </c>
      <c r="C1503" s="19">
        <f t="shared" si="102"/>
        <v>20010005</v>
      </c>
      <c r="D1503" s="23" t="s">
        <v>306</v>
      </c>
      <c r="E1503" s="20" t="s">
        <v>640</v>
      </c>
      <c r="I1503" s="22" t="s">
        <v>206</v>
      </c>
      <c r="J1503" s="22"/>
      <c r="K1503" s="22"/>
      <c r="L1503" s="22"/>
      <c r="M1503" s="22"/>
      <c r="N1503" s="22" t="s">
        <v>454</v>
      </c>
      <c r="O1503" s="22" t="s">
        <v>454</v>
      </c>
      <c r="P1503" s="22"/>
      <c r="Q1503" s="22" t="s">
        <v>2041</v>
      </c>
      <c r="R1503" s="22"/>
      <c r="S1503" s="22"/>
      <c r="T1503" s="22" t="s">
        <v>3131</v>
      </c>
      <c r="U1503" s="116" t="s">
        <v>3148</v>
      </c>
      <c r="V1503" s="22" t="s">
        <v>454</v>
      </c>
      <c r="W1503" s="22" t="s">
        <v>1</v>
      </c>
      <c r="X1503" s="22"/>
      <c r="Z1503" s="22"/>
      <c r="AA1503" s="22"/>
      <c r="AB1503" s="22"/>
      <c r="AC1503" s="22"/>
      <c r="AD1503" s="22"/>
      <c r="AE1503" s="24"/>
      <c r="AF1503" s="24" t="s">
        <v>2042</v>
      </c>
      <c r="AG1503" s="22"/>
      <c r="AK1503" s="40" t="s">
        <v>593</v>
      </c>
      <c r="AL1503" s="40"/>
      <c r="AX1503" s="27"/>
      <c r="AY1503" s="27"/>
      <c r="BK1503" s="27"/>
      <c r="BL1503" s="27"/>
      <c r="BX1503" s="27"/>
      <c r="BY1503" s="27"/>
      <c r="CH1503" s="29"/>
      <c r="CM1503" s="23" t="s">
        <v>7</v>
      </c>
    </row>
    <row r="1504" spans="1:109" x14ac:dyDescent="0.2">
      <c r="A1504" s="18">
        <v>2001</v>
      </c>
      <c r="B1504" s="19">
        <v>6</v>
      </c>
      <c r="C1504" s="19">
        <f t="shared" si="102"/>
        <v>20010006</v>
      </c>
      <c r="D1504" s="23" t="s">
        <v>594</v>
      </c>
      <c r="E1504" s="20" t="s">
        <v>640</v>
      </c>
      <c r="I1504" s="22" t="s">
        <v>206</v>
      </c>
      <c r="J1504" s="22"/>
      <c r="K1504" s="22"/>
      <c r="L1504" s="22"/>
      <c r="M1504" s="22"/>
      <c r="N1504" s="22" t="s">
        <v>454</v>
      </c>
      <c r="O1504" s="22" t="s">
        <v>454</v>
      </c>
      <c r="P1504" s="22"/>
      <c r="Q1504" s="22" t="s">
        <v>2041</v>
      </c>
      <c r="R1504" s="22"/>
      <c r="S1504" s="22"/>
      <c r="T1504" s="22" t="s">
        <v>3131</v>
      </c>
      <c r="U1504" s="116" t="s">
        <v>3149</v>
      </c>
      <c r="V1504" s="22" t="s">
        <v>454</v>
      </c>
      <c r="W1504" s="22" t="s">
        <v>1</v>
      </c>
      <c r="X1504" s="22"/>
      <c r="Z1504" s="22"/>
      <c r="AA1504" s="22"/>
      <c r="AB1504" s="22"/>
      <c r="AC1504" s="22"/>
      <c r="AD1504" s="22"/>
      <c r="AE1504" s="24"/>
      <c r="AF1504" s="24" t="s">
        <v>2042</v>
      </c>
      <c r="AG1504" s="22"/>
      <c r="AK1504" s="40" t="s">
        <v>613</v>
      </c>
      <c r="AL1504" s="40"/>
      <c r="AX1504" s="27"/>
      <c r="AY1504" s="27"/>
      <c r="BK1504" s="27"/>
      <c r="BL1504" s="27"/>
      <c r="BX1504" s="27"/>
      <c r="BY1504" s="27"/>
      <c r="CH1504" s="29"/>
      <c r="CM1504" s="23" t="s">
        <v>8</v>
      </c>
    </row>
    <row r="1505" spans="1:91" x14ac:dyDescent="0.2">
      <c r="A1505" s="18">
        <v>2001</v>
      </c>
      <c r="B1505" s="19">
        <v>7</v>
      </c>
      <c r="C1505" s="19">
        <f t="shared" si="102"/>
        <v>20010007</v>
      </c>
      <c r="D1505" s="23" t="s">
        <v>594</v>
      </c>
      <c r="E1505" s="20" t="s">
        <v>640</v>
      </c>
      <c r="I1505" s="22" t="s">
        <v>206</v>
      </c>
      <c r="J1505" s="22"/>
      <c r="K1505" s="22"/>
      <c r="L1505" s="22"/>
      <c r="M1505" s="22"/>
      <c r="N1505" s="22" t="s">
        <v>454</v>
      </c>
      <c r="O1505" s="22" t="s">
        <v>454</v>
      </c>
      <c r="P1505" s="22"/>
      <c r="Q1505" s="22" t="s">
        <v>2041</v>
      </c>
      <c r="R1505" s="22"/>
      <c r="S1505" s="22"/>
      <c r="T1505" s="22" t="s">
        <v>3131</v>
      </c>
      <c r="U1505" s="116" t="s">
        <v>3149</v>
      </c>
      <c r="V1505" s="22" t="s">
        <v>454</v>
      </c>
      <c r="W1505" s="22" t="s">
        <v>1</v>
      </c>
      <c r="X1505" s="22"/>
      <c r="Z1505" s="22"/>
      <c r="AA1505" s="22"/>
      <c r="AB1505" s="22"/>
      <c r="AC1505" s="22"/>
      <c r="AD1505" s="22"/>
      <c r="AE1505" s="24"/>
      <c r="AF1505" s="24" t="s">
        <v>2042</v>
      </c>
      <c r="AG1505" s="22"/>
      <c r="AK1505" s="40" t="s">
        <v>613</v>
      </c>
      <c r="AL1505" s="40"/>
      <c r="AX1505" s="27"/>
      <c r="AY1505" s="27"/>
      <c r="BK1505" s="27"/>
      <c r="BL1505" s="27"/>
      <c r="BX1505" s="27"/>
      <c r="BY1505" s="27"/>
      <c r="CH1505" s="29"/>
      <c r="CM1505" s="23" t="s">
        <v>9</v>
      </c>
    </row>
    <row r="1506" spans="1:91" x14ac:dyDescent="0.2">
      <c r="A1506" s="18">
        <v>2001</v>
      </c>
      <c r="B1506" s="19">
        <v>8</v>
      </c>
      <c r="C1506" s="19">
        <f t="shared" si="102"/>
        <v>20010008</v>
      </c>
      <c r="D1506" s="23" t="s">
        <v>594</v>
      </c>
      <c r="E1506" s="20" t="s">
        <v>640</v>
      </c>
      <c r="I1506" s="22" t="s">
        <v>206</v>
      </c>
      <c r="J1506" s="22"/>
      <c r="K1506" s="22"/>
      <c r="L1506" s="22"/>
      <c r="M1506" s="22"/>
      <c r="N1506" s="22" t="s">
        <v>454</v>
      </c>
      <c r="O1506" s="22" t="s">
        <v>454</v>
      </c>
      <c r="P1506" s="22"/>
      <c r="Q1506" s="22" t="s">
        <v>2041</v>
      </c>
      <c r="R1506" s="22"/>
      <c r="S1506" s="22"/>
      <c r="T1506" s="22" t="s">
        <v>3131</v>
      </c>
      <c r="U1506" s="116" t="s">
        <v>3149</v>
      </c>
      <c r="V1506" s="22" t="s">
        <v>454</v>
      </c>
      <c r="W1506" s="22" t="s">
        <v>1</v>
      </c>
      <c r="X1506" s="22"/>
      <c r="Z1506" s="22"/>
      <c r="AA1506" s="22"/>
      <c r="AB1506" s="22"/>
      <c r="AC1506" s="22"/>
      <c r="AD1506" s="22"/>
      <c r="AE1506" s="24"/>
      <c r="AF1506" s="24" t="s">
        <v>2042</v>
      </c>
      <c r="AG1506" s="22"/>
      <c r="AK1506" s="40" t="s">
        <v>613</v>
      </c>
      <c r="AL1506" s="40"/>
      <c r="AX1506" s="27"/>
      <c r="AY1506" s="27"/>
      <c r="BK1506" s="27"/>
      <c r="BL1506" s="27"/>
      <c r="BX1506" s="27"/>
      <c r="BY1506" s="27"/>
      <c r="CH1506" s="29"/>
      <c r="CM1506" s="23" t="s">
        <v>10</v>
      </c>
    </row>
    <row r="1507" spans="1:91" x14ac:dyDescent="0.2">
      <c r="A1507" s="18">
        <v>2001</v>
      </c>
      <c r="B1507" s="19">
        <v>9</v>
      </c>
      <c r="C1507" s="19">
        <f t="shared" si="102"/>
        <v>20010009</v>
      </c>
      <c r="D1507" s="23" t="s">
        <v>594</v>
      </c>
      <c r="E1507" s="20" t="s">
        <v>640</v>
      </c>
      <c r="I1507" s="22" t="s">
        <v>206</v>
      </c>
      <c r="J1507" s="22"/>
      <c r="K1507" s="22"/>
      <c r="L1507" s="22"/>
      <c r="M1507" s="22"/>
      <c r="N1507" s="22" t="s">
        <v>454</v>
      </c>
      <c r="O1507" s="22" t="s">
        <v>454</v>
      </c>
      <c r="P1507" s="22"/>
      <c r="Q1507" s="22" t="s">
        <v>2041</v>
      </c>
      <c r="R1507" s="22"/>
      <c r="S1507" s="22"/>
      <c r="T1507" s="22" t="s">
        <v>3131</v>
      </c>
      <c r="U1507" s="116" t="s">
        <v>3149</v>
      </c>
      <c r="V1507" s="22" t="s">
        <v>454</v>
      </c>
      <c r="W1507" s="22" t="s">
        <v>1</v>
      </c>
      <c r="X1507" s="22"/>
      <c r="Z1507" s="22"/>
      <c r="AA1507" s="22"/>
      <c r="AB1507" s="22"/>
      <c r="AC1507" s="22"/>
      <c r="AD1507" s="22"/>
      <c r="AE1507" s="24"/>
      <c r="AF1507" s="24" t="s">
        <v>2042</v>
      </c>
      <c r="AG1507" s="22"/>
      <c r="AK1507" s="40" t="s">
        <v>613</v>
      </c>
      <c r="AL1507" s="40"/>
      <c r="AX1507" s="27"/>
      <c r="AY1507" s="27"/>
      <c r="BK1507" s="27"/>
      <c r="BL1507" s="27"/>
      <c r="BX1507" s="27"/>
      <c r="BY1507" s="27"/>
      <c r="CH1507" s="29"/>
      <c r="CM1507" s="23" t="s">
        <v>11</v>
      </c>
    </row>
    <row r="1508" spans="1:91" x14ac:dyDescent="0.2">
      <c r="A1508" s="18">
        <v>2001</v>
      </c>
      <c r="B1508" s="19">
        <v>10</v>
      </c>
      <c r="C1508" s="19">
        <f t="shared" si="102"/>
        <v>20010010</v>
      </c>
      <c r="D1508" s="23" t="s">
        <v>594</v>
      </c>
      <c r="E1508" s="20" t="s">
        <v>640</v>
      </c>
      <c r="I1508" s="22" t="s">
        <v>206</v>
      </c>
      <c r="J1508" s="22"/>
      <c r="K1508" s="22"/>
      <c r="L1508" s="22"/>
      <c r="M1508" s="22"/>
      <c r="N1508" s="22" t="s">
        <v>454</v>
      </c>
      <c r="O1508" s="22" t="s">
        <v>454</v>
      </c>
      <c r="P1508" s="22"/>
      <c r="Q1508" s="22" t="s">
        <v>2041</v>
      </c>
      <c r="R1508" s="22"/>
      <c r="S1508" s="22"/>
      <c r="T1508" s="22" t="s">
        <v>3131</v>
      </c>
      <c r="U1508" s="116" t="s">
        <v>3149</v>
      </c>
      <c r="V1508" s="22" t="s">
        <v>454</v>
      </c>
      <c r="W1508" s="22" t="s">
        <v>1</v>
      </c>
      <c r="X1508" s="22"/>
      <c r="Z1508" s="22"/>
      <c r="AA1508" s="22"/>
      <c r="AB1508" s="22"/>
      <c r="AC1508" s="22"/>
      <c r="AD1508" s="22"/>
      <c r="AE1508" s="24"/>
      <c r="AF1508" s="24" t="s">
        <v>2042</v>
      </c>
      <c r="AG1508" s="22"/>
      <c r="AK1508" s="40" t="s">
        <v>613</v>
      </c>
      <c r="AL1508" s="40"/>
      <c r="AX1508" s="27"/>
      <c r="AY1508" s="27"/>
      <c r="BK1508" s="27"/>
      <c r="BL1508" s="27"/>
      <c r="BX1508" s="27"/>
      <c r="BY1508" s="27"/>
      <c r="CH1508" s="29"/>
      <c r="CM1508" s="23" t="s">
        <v>12</v>
      </c>
    </row>
    <row r="1509" spans="1:91" x14ac:dyDescent="0.2">
      <c r="A1509" s="18">
        <v>2001</v>
      </c>
      <c r="B1509" s="19">
        <v>11</v>
      </c>
      <c r="C1509" s="19">
        <f t="shared" si="102"/>
        <v>20010011</v>
      </c>
      <c r="D1509" s="23" t="s">
        <v>595</v>
      </c>
      <c r="E1509" s="20" t="s">
        <v>640</v>
      </c>
      <c r="I1509" s="22" t="s">
        <v>206</v>
      </c>
      <c r="J1509" s="22"/>
      <c r="K1509" s="22"/>
      <c r="L1509" s="22"/>
      <c r="M1509" s="22"/>
      <c r="N1509" s="22" t="s">
        <v>454</v>
      </c>
      <c r="O1509" s="22" t="s">
        <v>454</v>
      </c>
      <c r="P1509" s="22"/>
      <c r="Q1509" s="22" t="s">
        <v>2041</v>
      </c>
      <c r="R1509" s="22"/>
      <c r="S1509" s="22"/>
      <c r="T1509" s="22" t="s">
        <v>3131</v>
      </c>
      <c r="U1509" s="116" t="s">
        <v>3150</v>
      </c>
      <c r="V1509" s="22" t="s">
        <v>454</v>
      </c>
      <c r="W1509" s="22" t="s">
        <v>1</v>
      </c>
      <c r="X1509" s="22"/>
      <c r="Z1509" s="22"/>
      <c r="AA1509" s="22"/>
      <c r="AB1509" s="22"/>
      <c r="AC1509" s="22"/>
      <c r="AD1509" s="22"/>
      <c r="AE1509" s="24"/>
      <c r="AF1509" s="24" t="s">
        <v>2042</v>
      </c>
      <c r="AG1509" s="22"/>
      <c r="AK1509" s="40" t="s">
        <v>614</v>
      </c>
      <c r="AL1509" s="40"/>
      <c r="AX1509" s="27"/>
      <c r="AY1509" s="27"/>
      <c r="BK1509" s="27"/>
      <c r="BL1509" s="27"/>
      <c r="BX1509" s="27"/>
      <c r="BY1509" s="27"/>
      <c r="CH1509" s="29"/>
      <c r="CM1509" s="23" t="s">
        <v>13</v>
      </c>
    </row>
    <row r="1510" spans="1:91" x14ac:dyDescent="0.2">
      <c r="A1510" s="18">
        <v>2001</v>
      </c>
      <c r="B1510" s="19">
        <v>12</v>
      </c>
      <c r="C1510" s="19">
        <f t="shared" si="102"/>
        <v>20010012</v>
      </c>
      <c r="D1510" s="23" t="s">
        <v>595</v>
      </c>
      <c r="E1510" s="20" t="s">
        <v>640</v>
      </c>
      <c r="I1510" s="22" t="s">
        <v>206</v>
      </c>
      <c r="J1510" s="22"/>
      <c r="K1510" s="22"/>
      <c r="L1510" s="22"/>
      <c r="M1510" s="22"/>
      <c r="N1510" s="22" t="s">
        <v>454</v>
      </c>
      <c r="O1510" s="22" t="s">
        <v>454</v>
      </c>
      <c r="P1510" s="22"/>
      <c r="Q1510" s="22" t="s">
        <v>2041</v>
      </c>
      <c r="R1510" s="22"/>
      <c r="S1510" s="22"/>
      <c r="T1510" s="22" t="s">
        <v>3131</v>
      </c>
      <c r="U1510" s="116" t="s">
        <v>3150</v>
      </c>
      <c r="V1510" s="22" t="s">
        <v>454</v>
      </c>
      <c r="W1510" s="22" t="s">
        <v>1</v>
      </c>
      <c r="X1510" s="22"/>
      <c r="Z1510" s="22"/>
      <c r="AA1510" s="22"/>
      <c r="AB1510" s="22"/>
      <c r="AC1510" s="22"/>
      <c r="AD1510" s="22"/>
      <c r="AE1510" s="24"/>
      <c r="AF1510" s="24" t="s">
        <v>2042</v>
      </c>
      <c r="AG1510" s="22"/>
      <c r="AK1510" s="40" t="s">
        <v>614</v>
      </c>
      <c r="AL1510" s="40"/>
      <c r="AX1510" s="27"/>
      <c r="AY1510" s="27"/>
      <c r="BK1510" s="27"/>
      <c r="BL1510" s="27"/>
      <c r="BX1510" s="27"/>
      <c r="BY1510" s="27"/>
      <c r="CH1510" s="29"/>
      <c r="CM1510" s="23" t="s">
        <v>14</v>
      </c>
    </row>
    <row r="1511" spans="1:91" x14ac:dyDescent="0.2">
      <c r="A1511" s="18">
        <v>2001</v>
      </c>
      <c r="B1511" s="19">
        <v>13</v>
      </c>
      <c r="C1511" s="19">
        <f t="shared" si="102"/>
        <v>20010013</v>
      </c>
      <c r="D1511" s="23" t="s">
        <v>595</v>
      </c>
      <c r="E1511" s="20" t="s">
        <v>640</v>
      </c>
      <c r="I1511" s="22" t="s">
        <v>206</v>
      </c>
      <c r="J1511" s="22"/>
      <c r="K1511" s="22"/>
      <c r="L1511" s="22"/>
      <c r="M1511" s="22"/>
      <c r="N1511" s="22" t="s">
        <v>454</v>
      </c>
      <c r="O1511" s="22" t="s">
        <v>454</v>
      </c>
      <c r="P1511" s="22"/>
      <c r="Q1511" s="22" t="s">
        <v>2041</v>
      </c>
      <c r="R1511" s="22"/>
      <c r="S1511" s="22"/>
      <c r="T1511" s="22" t="s">
        <v>3131</v>
      </c>
      <c r="U1511" s="116" t="s">
        <v>3150</v>
      </c>
      <c r="V1511" s="22" t="s">
        <v>454</v>
      </c>
      <c r="W1511" s="22" t="s">
        <v>1</v>
      </c>
      <c r="X1511" s="22"/>
      <c r="Z1511" s="22"/>
      <c r="AA1511" s="22"/>
      <c r="AB1511" s="22"/>
      <c r="AC1511" s="22"/>
      <c r="AD1511" s="22"/>
      <c r="AE1511" s="24"/>
      <c r="AF1511" s="24" t="s">
        <v>2042</v>
      </c>
      <c r="AG1511" s="22"/>
      <c r="AK1511" s="40" t="s">
        <v>614</v>
      </c>
      <c r="AL1511" s="40"/>
      <c r="AX1511" s="27"/>
      <c r="AY1511" s="27"/>
      <c r="BK1511" s="27"/>
      <c r="BL1511" s="27"/>
      <c r="BX1511" s="27"/>
      <c r="BY1511" s="27"/>
      <c r="CH1511" s="29"/>
      <c r="CM1511" s="23" t="s">
        <v>15</v>
      </c>
    </row>
    <row r="1512" spans="1:91" x14ac:dyDescent="0.2">
      <c r="A1512" s="18">
        <v>2001</v>
      </c>
      <c r="B1512" s="19">
        <v>14</v>
      </c>
      <c r="C1512" s="19">
        <f t="shared" si="102"/>
        <v>20010014</v>
      </c>
      <c r="D1512" s="23" t="s">
        <v>595</v>
      </c>
      <c r="E1512" s="20" t="s">
        <v>640</v>
      </c>
      <c r="I1512" s="22" t="s">
        <v>206</v>
      </c>
      <c r="J1512" s="22"/>
      <c r="K1512" s="22"/>
      <c r="L1512" s="22"/>
      <c r="M1512" s="22"/>
      <c r="N1512" s="22" t="s">
        <v>454</v>
      </c>
      <c r="O1512" s="22" t="s">
        <v>454</v>
      </c>
      <c r="P1512" s="22"/>
      <c r="Q1512" s="22" t="s">
        <v>2041</v>
      </c>
      <c r="R1512" s="22"/>
      <c r="S1512" s="22"/>
      <c r="T1512" s="22" t="s">
        <v>3131</v>
      </c>
      <c r="U1512" s="116" t="s">
        <v>3150</v>
      </c>
      <c r="V1512" s="22" t="s">
        <v>454</v>
      </c>
      <c r="W1512" s="22" t="s">
        <v>1</v>
      </c>
      <c r="X1512" s="22"/>
      <c r="Z1512" s="22"/>
      <c r="AA1512" s="22"/>
      <c r="AB1512" s="22"/>
      <c r="AC1512" s="22"/>
      <c r="AD1512" s="22"/>
      <c r="AE1512" s="24"/>
      <c r="AF1512" s="24" t="s">
        <v>2042</v>
      </c>
      <c r="AG1512" s="22"/>
      <c r="AK1512" s="40" t="s">
        <v>614</v>
      </c>
      <c r="AL1512" s="40"/>
      <c r="AX1512" s="27"/>
      <c r="AY1512" s="27"/>
      <c r="BK1512" s="27"/>
      <c r="BL1512" s="27"/>
      <c r="BX1512" s="27"/>
      <c r="BY1512" s="27"/>
      <c r="CH1512" s="29"/>
      <c r="CM1512" s="23" t="s">
        <v>16</v>
      </c>
    </row>
    <row r="1513" spans="1:91" x14ac:dyDescent="0.2">
      <c r="A1513" s="18">
        <v>2001</v>
      </c>
      <c r="B1513" s="19">
        <v>15</v>
      </c>
      <c r="C1513" s="19">
        <f t="shared" si="102"/>
        <v>20010015</v>
      </c>
      <c r="D1513" s="23" t="s">
        <v>595</v>
      </c>
      <c r="E1513" s="20" t="s">
        <v>640</v>
      </c>
      <c r="I1513" s="22" t="s">
        <v>206</v>
      </c>
      <c r="J1513" s="22"/>
      <c r="K1513" s="22"/>
      <c r="L1513" s="22"/>
      <c r="M1513" s="22"/>
      <c r="N1513" s="22" t="s">
        <v>454</v>
      </c>
      <c r="O1513" s="22" t="s">
        <v>454</v>
      </c>
      <c r="P1513" s="22"/>
      <c r="Q1513" s="22" t="s">
        <v>2041</v>
      </c>
      <c r="R1513" s="22"/>
      <c r="S1513" s="22"/>
      <c r="T1513" s="22" t="s">
        <v>3131</v>
      </c>
      <c r="U1513" s="116" t="s">
        <v>3150</v>
      </c>
      <c r="V1513" s="22" t="s">
        <v>454</v>
      </c>
      <c r="W1513" s="22" t="s">
        <v>1</v>
      </c>
      <c r="X1513" s="22"/>
      <c r="Z1513" s="22"/>
      <c r="AA1513" s="22"/>
      <c r="AB1513" s="22"/>
      <c r="AC1513" s="22"/>
      <c r="AD1513" s="22"/>
      <c r="AE1513" s="24"/>
      <c r="AF1513" s="24" t="s">
        <v>2042</v>
      </c>
      <c r="AG1513" s="22"/>
      <c r="AK1513" s="40" t="s">
        <v>614</v>
      </c>
      <c r="AL1513" s="40"/>
      <c r="AX1513" s="27"/>
      <c r="AY1513" s="27"/>
      <c r="BK1513" s="27"/>
      <c r="BL1513" s="27"/>
      <c r="BX1513" s="27"/>
      <c r="BY1513" s="27"/>
      <c r="CH1513" s="29"/>
      <c r="CM1513" s="23" t="s">
        <v>17</v>
      </c>
    </row>
    <row r="1514" spans="1:91" x14ac:dyDescent="0.2">
      <c r="A1514" s="18">
        <v>2001</v>
      </c>
      <c r="B1514" s="19">
        <v>16</v>
      </c>
      <c r="C1514" s="19">
        <f t="shared" si="102"/>
        <v>20010016</v>
      </c>
      <c r="D1514" s="23" t="s">
        <v>596</v>
      </c>
      <c r="E1514" s="20" t="s">
        <v>640</v>
      </c>
      <c r="I1514" s="22" t="s">
        <v>206</v>
      </c>
      <c r="J1514" s="22"/>
      <c r="K1514" s="22"/>
      <c r="L1514" s="22"/>
      <c r="M1514" s="22"/>
      <c r="N1514" s="22" t="s">
        <v>454</v>
      </c>
      <c r="O1514" s="22" t="s">
        <v>454</v>
      </c>
      <c r="P1514" s="22"/>
      <c r="Q1514" s="22" t="s">
        <v>2041</v>
      </c>
      <c r="R1514" s="22"/>
      <c r="S1514" s="22"/>
      <c r="T1514" s="22" t="s">
        <v>3131</v>
      </c>
      <c r="U1514" s="116" t="s">
        <v>3151</v>
      </c>
      <c r="V1514" s="22" t="s">
        <v>454</v>
      </c>
      <c r="W1514" s="22" t="s">
        <v>1</v>
      </c>
      <c r="X1514" s="22"/>
      <c r="Z1514" s="22"/>
      <c r="AA1514" s="22"/>
      <c r="AB1514" s="22"/>
      <c r="AC1514" s="22"/>
      <c r="AD1514" s="22"/>
      <c r="AE1514" s="24"/>
      <c r="AF1514" s="24" t="s">
        <v>2042</v>
      </c>
      <c r="AG1514" s="22"/>
      <c r="AK1514" s="40" t="s">
        <v>615</v>
      </c>
      <c r="AL1514" s="40"/>
      <c r="AX1514" s="27"/>
      <c r="AY1514" s="27"/>
      <c r="BK1514" s="27"/>
      <c r="BL1514" s="27"/>
      <c r="BX1514" s="27"/>
      <c r="BY1514" s="27"/>
      <c r="CH1514" s="29"/>
      <c r="CM1514" s="23" t="s">
        <v>18</v>
      </c>
    </row>
    <row r="1515" spans="1:91" x14ac:dyDescent="0.2">
      <c r="A1515" s="18">
        <v>2001</v>
      </c>
      <c r="B1515" s="19">
        <v>17</v>
      </c>
      <c r="C1515" s="19">
        <f t="shared" si="102"/>
        <v>20010017</v>
      </c>
      <c r="D1515" s="23" t="s">
        <v>596</v>
      </c>
      <c r="E1515" s="20" t="s">
        <v>640</v>
      </c>
      <c r="I1515" s="22" t="s">
        <v>206</v>
      </c>
      <c r="J1515" s="22"/>
      <c r="K1515" s="22"/>
      <c r="L1515" s="22"/>
      <c r="M1515" s="22"/>
      <c r="N1515" s="22" t="s">
        <v>454</v>
      </c>
      <c r="O1515" s="22" t="s">
        <v>454</v>
      </c>
      <c r="P1515" s="22"/>
      <c r="Q1515" s="22" t="s">
        <v>2041</v>
      </c>
      <c r="R1515" s="22"/>
      <c r="S1515" s="22"/>
      <c r="T1515" s="22" t="s">
        <v>3131</v>
      </c>
      <c r="U1515" s="116" t="s">
        <v>3151</v>
      </c>
      <c r="V1515" s="22" t="s">
        <v>454</v>
      </c>
      <c r="W1515" s="22" t="s">
        <v>1</v>
      </c>
      <c r="X1515" s="22"/>
      <c r="Z1515" s="22"/>
      <c r="AA1515" s="22"/>
      <c r="AB1515" s="22"/>
      <c r="AC1515" s="22"/>
      <c r="AD1515" s="22"/>
      <c r="AE1515" s="24"/>
      <c r="AF1515" s="24" t="s">
        <v>2042</v>
      </c>
      <c r="AG1515" s="22"/>
      <c r="AK1515" s="40" t="s">
        <v>615</v>
      </c>
      <c r="AL1515" s="40"/>
      <c r="AX1515" s="27"/>
      <c r="AY1515" s="27"/>
      <c r="BK1515" s="27"/>
      <c r="BL1515" s="27"/>
      <c r="BX1515" s="27"/>
      <c r="BY1515" s="27"/>
      <c r="CH1515" s="29"/>
      <c r="CM1515" s="23" t="s">
        <v>19</v>
      </c>
    </row>
    <row r="1516" spans="1:91" x14ac:dyDescent="0.2">
      <c r="A1516" s="18">
        <v>2001</v>
      </c>
      <c r="B1516" s="19">
        <v>18</v>
      </c>
      <c r="C1516" s="19">
        <f t="shared" si="102"/>
        <v>20010018</v>
      </c>
      <c r="D1516" s="23" t="s">
        <v>596</v>
      </c>
      <c r="E1516" s="20" t="s">
        <v>640</v>
      </c>
      <c r="I1516" s="22" t="s">
        <v>206</v>
      </c>
      <c r="J1516" s="22"/>
      <c r="K1516" s="22"/>
      <c r="L1516" s="22"/>
      <c r="M1516" s="22"/>
      <c r="N1516" s="22" t="s">
        <v>454</v>
      </c>
      <c r="O1516" s="22" t="s">
        <v>454</v>
      </c>
      <c r="P1516" s="22"/>
      <c r="Q1516" s="22" t="s">
        <v>2041</v>
      </c>
      <c r="R1516" s="22"/>
      <c r="S1516" s="22"/>
      <c r="T1516" s="22" t="s">
        <v>3131</v>
      </c>
      <c r="U1516" s="116" t="s">
        <v>3151</v>
      </c>
      <c r="V1516" s="22" t="s">
        <v>454</v>
      </c>
      <c r="W1516" s="22" t="s">
        <v>1</v>
      </c>
      <c r="X1516" s="22"/>
      <c r="Z1516" s="22"/>
      <c r="AA1516" s="22"/>
      <c r="AB1516" s="22"/>
      <c r="AC1516" s="22"/>
      <c r="AD1516" s="22"/>
      <c r="AE1516" s="24"/>
      <c r="AF1516" s="24" t="s">
        <v>2042</v>
      </c>
      <c r="AG1516" s="22"/>
      <c r="AK1516" s="40" t="s">
        <v>615</v>
      </c>
      <c r="AL1516" s="40"/>
      <c r="AX1516" s="27"/>
      <c r="AY1516" s="27"/>
      <c r="BK1516" s="27"/>
      <c r="BL1516" s="27"/>
      <c r="BX1516" s="27"/>
      <c r="BY1516" s="27"/>
      <c r="CH1516" s="29"/>
      <c r="CM1516" s="23" t="s">
        <v>20</v>
      </c>
    </row>
    <row r="1517" spans="1:91" x14ac:dyDescent="0.2">
      <c r="A1517" s="18">
        <v>2001</v>
      </c>
      <c r="B1517" s="19">
        <v>19</v>
      </c>
      <c r="C1517" s="19">
        <f t="shared" si="102"/>
        <v>20010019</v>
      </c>
      <c r="D1517" s="23" t="s">
        <v>596</v>
      </c>
      <c r="E1517" s="20" t="s">
        <v>640</v>
      </c>
      <c r="I1517" s="22" t="s">
        <v>206</v>
      </c>
      <c r="J1517" s="22"/>
      <c r="K1517" s="22"/>
      <c r="L1517" s="22"/>
      <c r="M1517" s="22"/>
      <c r="N1517" s="22" t="s">
        <v>454</v>
      </c>
      <c r="O1517" s="22" t="s">
        <v>454</v>
      </c>
      <c r="P1517" s="22"/>
      <c r="Q1517" s="22" t="s">
        <v>2041</v>
      </c>
      <c r="R1517" s="22"/>
      <c r="S1517" s="22"/>
      <c r="T1517" s="22" t="s">
        <v>3131</v>
      </c>
      <c r="U1517" s="116" t="s">
        <v>3151</v>
      </c>
      <c r="V1517" s="22" t="s">
        <v>454</v>
      </c>
      <c r="W1517" s="22" t="s">
        <v>1</v>
      </c>
      <c r="X1517" s="22"/>
      <c r="Z1517" s="22"/>
      <c r="AA1517" s="22"/>
      <c r="AB1517" s="22"/>
      <c r="AC1517" s="22"/>
      <c r="AD1517" s="22"/>
      <c r="AE1517" s="24"/>
      <c r="AF1517" s="24" t="s">
        <v>2042</v>
      </c>
      <c r="AG1517" s="22"/>
      <c r="AK1517" s="40" t="s">
        <v>615</v>
      </c>
      <c r="AL1517" s="40"/>
      <c r="AX1517" s="27"/>
      <c r="AY1517" s="27"/>
      <c r="BK1517" s="27"/>
      <c r="BL1517" s="27"/>
      <c r="BX1517" s="27"/>
      <c r="BY1517" s="27"/>
      <c r="CH1517" s="29"/>
      <c r="CM1517" s="23" t="s">
        <v>21</v>
      </c>
    </row>
    <row r="1518" spans="1:91" x14ac:dyDescent="0.2">
      <c r="A1518" s="18">
        <v>2001</v>
      </c>
      <c r="B1518" s="19">
        <v>20</v>
      </c>
      <c r="C1518" s="19">
        <f t="shared" si="102"/>
        <v>20010020</v>
      </c>
      <c r="D1518" s="23" t="s">
        <v>596</v>
      </c>
      <c r="E1518" s="20" t="s">
        <v>640</v>
      </c>
      <c r="I1518" s="22" t="s">
        <v>206</v>
      </c>
      <c r="J1518" s="22"/>
      <c r="K1518" s="22"/>
      <c r="L1518" s="22"/>
      <c r="M1518" s="22"/>
      <c r="N1518" s="22" t="s">
        <v>454</v>
      </c>
      <c r="O1518" s="22" t="s">
        <v>454</v>
      </c>
      <c r="P1518" s="22"/>
      <c r="Q1518" s="22" t="s">
        <v>2041</v>
      </c>
      <c r="R1518" s="22"/>
      <c r="S1518" s="22"/>
      <c r="T1518" s="22" t="s">
        <v>3131</v>
      </c>
      <c r="U1518" s="116" t="s">
        <v>3151</v>
      </c>
      <c r="V1518" s="22" t="s">
        <v>454</v>
      </c>
      <c r="W1518" s="22" t="s">
        <v>1</v>
      </c>
      <c r="X1518" s="22"/>
      <c r="Z1518" s="22"/>
      <c r="AA1518" s="22"/>
      <c r="AB1518" s="22"/>
      <c r="AC1518" s="22"/>
      <c r="AD1518" s="22"/>
      <c r="AE1518" s="24"/>
      <c r="AF1518" s="24" t="s">
        <v>2042</v>
      </c>
      <c r="AG1518" s="22"/>
      <c r="AK1518" s="40" t="s">
        <v>615</v>
      </c>
      <c r="AL1518" s="40"/>
      <c r="AX1518" s="27"/>
      <c r="AY1518" s="27"/>
      <c r="BK1518" s="27"/>
      <c r="BL1518" s="27"/>
      <c r="BX1518" s="27"/>
      <c r="BY1518" s="27"/>
      <c r="CH1518" s="29"/>
      <c r="CM1518" s="23" t="s">
        <v>487</v>
      </c>
    </row>
    <row r="1519" spans="1:91" x14ac:dyDescent="0.2">
      <c r="A1519" s="18">
        <v>2001</v>
      </c>
      <c r="B1519" s="19">
        <v>21</v>
      </c>
      <c r="C1519" s="19">
        <f t="shared" si="102"/>
        <v>20010021</v>
      </c>
      <c r="D1519" s="23" t="s">
        <v>597</v>
      </c>
      <c r="E1519" s="20" t="s">
        <v>640</v>
      </c>
      <c r="I1519" s="22" t="s">
        <v>206</v>
      </c>
      <c r="J1519" s="22"/>
      <c r="K1519" s="22"/>
      <c r="L1519" s="22"/>
      <c r="M1519" s="22"/>
      <c r="N1519" s="22" t="s">
        <v>454</v>
      </c>
      <c r="O1519" s="22" t="s">
        <v>454</v>
      </c>
      <c r="P1519" s="22"/>
      <c r="Q1519" s="22" t="s">
        <v>2041</v>
      </c>
      <c r="R1519" s="22"/>
      <c r="S1519" s="22"/>
      <c r="T1519" s="22" t="s">
        <v>3131</v>
      </c>
      <c r="U1519" s="116" t="s">
        <v>3152</v>
      </c>
      <c r="V1519" s="22" t="s">
        <v>454</v>
      </c>
      <c r="W1519" s="22" t="s">
        <v>1</v>
      </c>
      <c r="X1519" s="22"/>
      <c r="Z1519" s="22"/>
      <c r="AA1519" s="22"/>
      <c r="AB1519" s="22"/>
      <c r="AC1519" s="22"/>
      <c r="AD1519" s="22"/>
      <c r="AE1519" s="24"/>
      <c r="AF1519" s="24" t="s">
        <v>2042</v>
      </c>
      <c r="AG1519" s="22"/>
      <c r="AK1519" s="40" t="s">
        <v>616</v>
      </c>
      <c r="AL1519" s="40"/>
      <c r="AX1519" s="27"/>
      <c r="AY1519" s="27"/>
      <c r="BK1519" s="27"/>
      <c r="BL1519" s="27"/>
      <c r="BX1519" s="27"/>
      <c r="BY1519" s="27"/>
      <c r="CH1519" s="29"/>
      <c r="CM1519" s="23" t="s">
        <v>358</v>
      </c>
    </row>
    <row r="1520" spans="1:91" x14ac:dyDescent="0.2">
      <c r="A1520" s="18">
        <v>2001</v>
      </c>
      <c r="B1520" s="19">
        <v>22</v>
      </c>
      <c r="C1520" s="19">
        <f t="shared" ref="C1520:C1583" si="107">A1520*10000+B1520</f>
        <v>20010022</v>
      </c>
      <c r="D1520" s="23" t="s">
        <v>597</v>
      </c>
      <c r="E1520" s="20" t="s">
        <v>640</v>
      </c>
      <c r="I1520" s="22" t="s">
        <v>206</v>
      </c>
      <c r="J1520" s="22"/>
      <c r="K1520" s="22"/>
      <c r="L1520" s="22"/>
      <c r="M1520" s="22"/>
      <c r="N1520" s="22" t="s">
        <v>454</v>
      </c>
      <c r="O1520" s="22" t="s">
        <v>454</v>
      </c>
      <c r="P1520" s="22"/>
      <c r="Q1520" s="22" t="s">
        <v>2041</v>
      </c>
      <c r="R1520" s="22"/>
      <c r="S1520" s="22"/>
      <c r="T1520" s="22" t="s">
        <v>3131</v>
      </c>
      <c r="U1520" s="116" t="s">
        <v>3152</v>
      </c>
      <c r="V1520" s="22" t="s">
        <v>454</v>
      </c>
      <c r="W1520" s="22" t="s">
        <v>1</v>
      </c>
      <c r="X1520" s="22"/>
      <c r="Z1520" s="22"/>
      <c r="AA1520" s="22"/>
      <c r="AB1520" s="22"/>
      <c r="AC1520" s="22"/>
      <c r="AD1520" s="22"/>
      <c r="AE1520" s="24"/>
      <c r="AF1520" s="24" t="s">
        <v>2042</v>
      </c>
      <c r="AG1520" s="22"/>
      <c r="AK1520" s="40" t="s">
        <v>616</v>
      </c>
      <c r="AL1520" s="40"/>
      <c r="AX1520" s="27"/>
      <c r="AY1520" s="27"/>
      <c r="BK1520" s="27"/>
      <c r="BL1520" s="27"/>
      <c r="BX1520" s="27"/>
      <c r="BY1520" s="27"/>
      <c r="CH1520" s="29"/>
      <c r="CM1520" s="23" t="s">
        <v>488</v>
      </c>
    </row>
    <row r="1521" spans="1:91" x14ac:dyDescent="0.2">
      <c r="A1521" s="18">
        <v>2001</v>
      </c>
      <c r="B1521" s="19">
        <v>23</v>
      </c>
      <c r="C1521" s="19">
        <f t="shared" si="107"/>
        <v>20010023</v>
      </c>
      <c r="D1521" s="23" t="s">
        <v>597</v>
      </c>
      <c r="E1521" s="20" t="s">
        <v>640</v>
      </c>
      <c r="I1521" s="22" t="s">
        <v>206</v>
      </c>
      <c r="J1521" s="22"/>
      <c r="K1521" s="22"/>
      <c r="L1521" s="22"/>
      <c r="M1521" s="22"/>
      <c r="N1521" s="22" t="s">
        <v>454</v>
      </c>
      <c r="O1521" s="22" t="s">
        <v>454</v>
      </c>
      <c r="P1521" s="22"/>
      <c r="Q1521" s="22" t="s">
        <v>2041</v>
      </c>
      <c r="R1521" s="22"/>
      <c r="S1521" s="22"/>
      <c r="T1521" s="22" t="s">
        <v>3131</v>
      </c>
      <c r="U1521" s="116" t="s">
        <v>3152</v>
      </c>
      <c r="V1521" s="22" t="s">
        <v>454</v>
      </c>
      <c r="W1521" s="22" t="s">
        <v>1</v>
      </c>
      <c r="X1521" s="22"/>
      <c r="Z1521" s="22"/>
      <c r="AA1521" s="22"/>
      <c r="AB1521" s="22"/>
      <c r="AC1521" s="22"/>
      <c r="AD1521" s="22"/>
      <c r="AE1521" s="24"/>
      <c r="AF1521" s="24" t="s">
        <v>2042</v>
      </c>
      <c r="AG1521" s="22"/>
      <c r="AK1521" s="40" t="s">
        <v>616</v>
      </c>
      <c r="AL1521" s="40"/>
      <c r="AX1521" s="27"/>
      <c r="AY1521" s="27"/>
      <c r="BK1521" s="27"/>
      <c r="BL1521" s="27"/>
      <c r="BX1521" s="27"/>
      <c r="BY1521" s="27"/>
      <c r="CH1521" s="29"/>
      <c r="CM1521" s="23" t="s">
        <v>359</v>
      </c>
    </row>
    <row r="1522" spans="1:91" x14ac:dyDescent="0.2">
      <c r="A1522" s="18">
        <v>2001</v>
      </c>
      <c r="B1522" s="19">
        <v>24</v>
      </c>
      <c r="C1522" s="19">
        <f t="shared" si="107"/>
        <v>20010024</v>
      </c>
      <c r="D1522" s="23" t="s">
        <v>597</v>
      </c>
      <c r="E1522" s="20" t="s">
        <v>640</v>
      </c>
      <c r="I1522" s="22" t="s">
        <v>206</v>
      </c>
      <c r="J1522" s="22"/>
      <c r="K1522" s="22"/>
      <c r="L1522" s="22"/>
      <c r="M1522" s="22"/>
      <c r="N1522" s="22" t="s">
        <v>454</v>
      </c>
      <c r="O1522" s="22" t="s">
        <v>454</v>
      </c>
      <c r="P1522" s="22"/>
      <c r="Q1522" s="22" t="s">
        <v>2041</v>
      </c>
      <c r="R1522" s="22"/>
      <c r="S1522" s="22"/>
      <c r="T1522" s="22" t="s">
        <v>3131</v>
      </c>
      <c r="U1522" s="116" t="s">
        <v>3152</v>
      </c>
      <c r="V1522" s="22" t="s">
        <v>454</v>
      </c>
      <c r="W1522" s="22" t="s">
        <v>1</v>
      </c>
      <c r="X1522" s="22"/>
      <c r="Z1522" s="22"/>
      <c r="AA1522" s="22"/>
      <c r="AB1522" s="22"/>
      <c r="AC1522" s="22"/>
      <c r="AD1522" s="22"/>
      <c r="AE1522" s="24"/>
      <c r="AF1522" s="24" t="s">
        <v>2042</v>
      </c>
      <c r="AG1522" s="22"/>
      <c r="AK1522" s="40" t="s">
        <v>616</v>
      </c>
      <c r="AL1522" s="40"/>
      <c r="AX1522" s="27"/>
      <c r="AY1522" s="27"/>
      <c r="BK1522" s="27"/>
      <c r="BL1522" s="27"/>
      <c r="BX1522" s="27"/>
      <c r="BY1522" s="27"/>
      <c r="CH1522" s="29"/>
      <c r="CM1522" s="23" t="s">
        <v>489</v>
      </c>
    </row>
    <row r="1523" spans="1:91" x14ac:dyDescent="0.2">
      <c r="A1523" s="18">
        <v>2001</v>
      </c>
      <c r="B1523" s="19">
        <v>25</v>
      </c>
      <c r="C1523" s="19">
        <f t="shared" si="107"/>
        <v>20010025</v>
      </c>
      <c r="D1523" s="23" t="s">
        <v>597</v>
      </c>
      <c r="E1523" s="20" t="s">
        <v>640</v>
      </c>
      <c r="I1523" s="22" t="s">
        <v>206</v>
      </c>
      <c r="J1523" s="22"/>
      <c r="K1523" s="22"/>
      <c r="L1523" s="22"/>
      <c r="M1523" s="22"/>
      <c r="N1523" s="22" t="s">
        <v>454</v>
      </c>
      <c r="O1523" s="22" t="s">
        <v>454</v>
      </c>
      <c r="P1523" s="22"/>
      <c r="Q1523" s="22" t="s">
        <v>2041</v>
      </c>
      <c r="R1523" s="22"/>
      <c r="S1523" s="22"/>
      <c r="T1523" s="22" t="s">
        <v>3131</v>
      </c>
      <c r="U1523" s="116" t="s">
        <v>3152</v>
      </c>
      <c r="V1523" s="22" t="s">
        <v>454</v>
      </c>
      <c r="W1523" s="22" t="s">
        <v>1</v>
      </c>
      <c r="X1523" s="22"/>
      <c r="Z1523" s="22"/>
      <c r="AA1523" s="22"/>
      <c r="AB1523" s="22"/>
      <c r="AC1523" s="22"/>
      <c r="AD1523" s="22"/>
      <c r="AE1523" s="24"/>
      <c r="AF1523" s="24" t="s">
        <v>2042</v>
      </c>
      <c r="AG1523" s="22"/>
      <c r="AK1523" s="40" t="s">
        <v>616</v>
      </c>
      <c r="AL1523" s="40"/>
      <c r="AX1523" s="27"/>
      <c r="AY1523" s="27"/>
      <c r="BK1523" s="27"/>
      <c r="BL1523" s="27"/>
      <c r="BX1523" s="27"/>
      <c r="BY1523" s="27"/>
      <c r="CH1523" s="29"/>
      <c r="CM1523" s="23" t="s">
        <v>342</v>
      </c>
    </row>
    <row r="1524" spans="1:91" x14ac:dyDescent="0.2">
      <c r="A1524" s="18">
        <v>2001</v>
      </c>
      <c r="B1524" s="19">
        <v>26</v>
      </c>
      <c r="C1524" s="19">
        <f t="shared" si="107"/>
        <v>20010026</v>
      </c>
      <c r="D1524" s="23" t="s">
        <v>598</v>
      </c>
      <c r="E1524" s="20" t="s">
        <v>640</v>
      </c>
      <c r="I1524" s="22" t="s">
        <v>206</v>
      </c>
      <c r="J1524" s="22"/>
      <c r="K1524" s="22"/>
      <c r="L1524" s="22"/>
      <c r="M1524" s="22"/>
      <c r="N1524" s="22" t="s">
        <v>454</v>
      </c>
      <c r="O1524" s="22" t="s">
        <v>454</v>
      </c>
      <c r="P1524" s="22"/>
      <c r="Q1524" s="22" t="s">
        <v>2041</v>
      </c>
      <c r="R1524" s="22"/>
      <c r="S1524" s="22"/>
      <c r="T1524" s="22" t="s">
        <v>3131</v>
      </c>
      <c r="U1524" s="116" t="s">
        <v>3153</v>
      </c>
      <c r="V1524" s="22" t="s">
        <v>454</v>
      </c>
      <c r="W1524" s="22" t="s">
        <v>1</v>
      </c>
      <c r="X1524" s="22"/>
      <c r="Z1524" s="22"/>
      <c r="AA1524" s="22"/>
      <c r="AB1524" s="22"/>
      <c r="AC1524" s="22"/>
      <c r="AD1524" s="22"/>
      <c r="AE1524" s="24"/>
      <c r="AF1524" s="24" t="s">
        <v>2042</v>
      </c>
      <c r="AG1524" s="22"/>
      <c r="AK1524" s="40" t="s">
        <v>617</v>
      </c>
      <c r="AL1524" s="40"/>
      <c r="AX1524" s="27"/>
      <c r="AY1524" s="27"/>
      <c r="BK1524" s="27"/>
      <c r="BL1524" s="27"/>
      <c r="BX1524" s="27"/>
      <c r="BY1524" s="27"/>
      <c r="CH1524" s="29"/>
      <c r="CM1524" s="23" t="s">
        <v>490</v>
      </c>
    </row>
    <row r="1525" spans="1:91" x14ac:dyDescent="0.2">
      <c r="A1525" s="18">
        <v>2001</v>
      </c>
      <c r="B1525" s="19">
        <v>27</v>
      </c>
      <c r="C1525" s="19">
        <f t="shared" si="107"/>
        <v>20010027</v>
      </c>
      <c r="D1525" s="23" t="s">
        <v>598</v>
      </c>
      <c r="E1525" s="20" t="s">
        <v>640</v>
      </c>
      <c r="I1525" s="22" t="s">
        <v>206</v>
      </c>
      <c r="J1525" s="22"/>
      <c r="K1525" s="22"/>
      <c r="L1525" s="22"/>
      <c r="M1525" s="22"/>
      <c r="N1525" s="22" t="s">
        <v>454</v>
      </c>
      <c r="O1525" s="22" t="s">
        <v>454</v>
      </c>
      <c r="P1525" s="22"/>
      <c r="Q1525" s="22" t="s">
        <v>2041</v>
      </c>
      <c r="R1525" s="22"/>
      <c r="S1525" s="22"/>
      <c r="T1525" s="22" t="s">
        <v>3131</v>
      </c>
      <c r="U1525" s="116" t="s">
        <v>3153</v>
      </c>
      <c r="V1525" s="22" t="s">
        <v>454</v>
      </c>
      <c r="W1525" s="22" t="s">
        <v>1</v>
      </c>
      <c r="X1525" s="22"/>
      <c r="Z1525" s="22"/>
      <c r="AA1525" s="22"/>
      <c r="AB1525" s="22"/>
      <c r="AC1525" s="22"/>
      <c r="AD1525" s="22"/>
      <c r="AE1525" s="24"/>
      <c r="AF1525" s="24" t="s">
        <v>2042</v>
      </c>
      <c r="AG1525" s="22"/>
      <c r="AK1525" s="40" t="s">
        <v>617</v>
      </c>
      <c r="AL1525" s="40"/>
      <c r="AX1525" s="27"/>
      <c r="AY1525" s="27"/>
      <c r="BK1525" s="27"/>
      <c r="BL1525" s="27"/>
      <c r="BX1525" s="27"/>
      <c r="BY1525" s="27"/>
      <c r="CH1525" s="29"/>
      <c r="CM1525" s="23" t="s">
        <v>360</v>
      </c>
    </row>
    <row r="1526" spans="1:91" x14ac:dyDescent="0.2">
      <c r="A1526" s="18">
        <v>2001</v>
      </c>
      <c r="B1526" s="19">
        <v>28</v>
      </c>
      <c r="C1526" s="19">
        <f t="shared" si="107"/>
        <v>20010028</v>
      </c>
      <c r="D1526" s="23" t="s">
        <v>598</v>
      </c>
      <c r="E1526" s="20" t="s">
        <v>640</v>
      </c>
      <c r="I1526" s="22" t="s">
        <v>206</v>
      </c>
      <c r="J1526" s="22"/>
      <c r="K1526" s="22"/>
      <c r="L1526" s="22"/>
      <c r="M1526" s="22"/>
      <c r="N1526" s="22" t="s">
        <v>454</v>
      </c>
      <c r="O1526" s="22" t="s">
        <v>454</v>
      </c>
      <c r="P1526" s="22"/>
      <c r="Q1526" s="22" t="s">
        <v>2041</v>
      </c>
      <c r="R1526" s="22"/>
      <c r="S1526" s="22"/>
      <c r="T1526" s="22" t="s">
        <v>3131</v>
      </c>
      <c r="U1526" s="116" t="s">
        <v>3153</v>
      </c>
      <c r="V1526" s="22" t="s">
        <v>454</v>
      </c>
      <c r="W1526" s="22" t="s">
        <v>1</v>
      </c>
      <c r="X1526" s="22"/>
      <c r="Z1526" s="22"/>
      <c r="AA1526" s="22"/>
      <c r="AB1526" s="22"/>
      <c r="AC1526" s="22"/>
      <c r="AD1526" s="22"/>
      <c r="AE1526" s="24"/>
      <c r="AF1526" s="24" t="s">
        <v>2042</v>
      </c>
      <c r="AG1526" s="22"/>
      <c r="AK1526" s="40" t="s">
        <v>617</v>
      </c>
      <c r="AL1526" s="40"/>
      <c r="AX1526" s="27"/>
      <c r="AY1526" s="27"/>
      <c r="BK1526" s="27"/>
      <c r="BL1526" s="27"/>
      <c r="BX1526" s="27"/>
      <c r="BY1526" s="27"/>
      <c r="CH1526" s="29"/>
      <c r="CM1526" s="23" t="s">
        <v>491</v>
      </c>
    </row>
    <row r="1527" spans="1:91" x14ac:dyDescent="0.2">
      <c r="A1527" s="18">
        <v>2001</v>
      </c>
      <c r="B1527" s="19">
        <v>29</v>
      </c>
      <c r="C1527" s="19">
        <f t="shared" si="107"/>
        <v>20010029</v>
      </c>
      <c r="D1527" s="23" t="s">
        <v>598</v>
      </c>
      <c r="E1527" s="20" t="s">
        <v>640</v>
      </c>
      <c r="I1527" s="22" t="s">
        <v>206</v>
      </c>
      <c r="J1527" s="22"/>
      <c r="K1527" s="22"/>
      <c r="L1527" s="22"/>
      <c r="M1527" s="22"/>
      <c r="N1527" s="22" t="s">
        <v>454</v>
      </c>
      <c r="O1527" s="22" t="s">
        <v>454</v>
      </c>
      <c r="P1527" s="22"/>
      <c r="Q1527" s="22" t="s">
        <v>2041</v>
      </c>
      <c r="R1527" s="22"/>
      <c r="S1527" s="22"/>
      <c r="T1527" s="22" t="s">
        <v>3131</v>
      </c>
      <c r="U1527" s="116" t="s">
        <v>3153</v>
      </c>
      <c r="V1527" s="22" t="s">
        <v>454</v>
      </c>
      <c r="W1527" s="22" t="s">
        <v>1</v>
      </c>
      <c r="X1527" s="22"/>
      <c r="Z1527" s="22"/>
      <c r="AA1527" s="22"/>
      <c r="AB1527" s="22"/>
      <c r="AC1527" s="22"/>
      <c r="AD1527" s="22"/>
      <c r="AE1527" s="24"/>
      <c r="AF1527" s="24" t="s">
        <v>2042</v>
      </c>
      <c r="AG1527" s="22"/>
      <c r="AK1527" s="40" t="s">
        <v>617</v>
      </c>
      <c r="AL1527" s="40"/>
      <c r="AX1527" s="27"/>
      <c r="AY1527" s="27"/>
      <c r="BK1527" s="27"/>
      <c r="BL1527" s="27"/>
      <c r="BX1527" s="27"/>
      <c r="BY1527" s="27"/>
      <c r="CH1527" s="29"/>
      <c r="CM1527" s="23" t="s">
        <v>361</v>
      </c>
    </row>
    <row r="1528" spans="1:91" x14ac:dyDescent="0.2">
      <c r="A1528" s="18">
        <v>2001</v>
      </c>
      <c r="B1528" s="19">
        <v>30</v>
      </c>
      <c r="C1528" s="19">
        <f t="shared" si="107"/>
        <v>20010030</v>
      </c>
      <c r="D1528" s="23" t="s">
        <v>598</v>
      </c>
      <c r="E1528" s="20" t="s">
        <v>640</v>
      </c>
      <c r="I1528" s="22" t="s">
        <v>206</v>
      </c>
      <c r="J1528" s="22"/>
      <c r="K1528" s="22"/>
      <c r="L1528" s="22"/>
      <c r="M1528" s="22"/>
      <c r="N1528" s="22" t="s">
        <v>454</v>
      </c>
      <c r="O1528" s="22" t="s">
        <v>454</v>
      </c>
      <c r="P1528" s="22"/>
      <c r="Q1528" s="22" t="s">
        <v>2041</v>
      </c>
      <c r="R1528" s="22"/>
      <c r="S1528" s="22"/>
      <c r="T1528" s="22" t="s">
        <v>3131</v>
      </c>
      <c r="U1528" s="116" t="s">
        <v>3153</v>
      </c>
      <c r="V1528" s="22" t="s">
        <v>454</v>
      </c>
      <c r="W1528" s="22" t="s">
        <v>1</v>
      </c>
      <c r="X1528" s="22"/>
      <c r="Z1528" s="22"/>
      <c r="AA1528" s="22"/>
      <c r="AB1528" s="22"/>
      <c r="AC1528" s="22"/>
      <c r="AD1528" s="22"/>
      <c r="AE1528" s="24"/>
      <c r="AF1528" s="24" t="s">
        <v>2042</v>
      </c>
      <c r="AG1528" s="22"/>
      <c r="AK1528" s="40" t="s">
        <v>617</v>
      </c>
      <c r="AL1528" s="40"/>
      <c r="AX1528" s="27"/>
      <c r="AY1528" s="27"/>
      <c r="BK1528" s="27"/>
      <c r="BL1528" s="27"/>
      <c r="BX1528" s="27"/>
      <c r="BY1528" s="27"/>
      <c r="CH1528" s="29"/>
      <c r="CM1528" s="23" t="s">
        <v>492</v>
      </c>
    </row>
    <row r="1529" spans="1:91" x14ac:dyDescent="0.2">
      <c r="A1529" s="18">
        <v>2001</v>
      </c>
      <c r="B1529" s="19">
        <v>31</v>
      </c>
      <c r="C1529" s="19">
        <f t="shared" si="107"/>
        <v>20010031</v>
      </c>
      <c r="D1529" s="23" t="s">
        <v>599</v>
      </c>
      <c r="E1529" s="20" t="s">
        <v>640</v>
      </c>
      <c r="I1529" s="22" t="s">
        <v>206</v>
      </c>
      <c r="J1529" s="22"/>
      <c r="K1529" s="22"/>
      <c r="L1529" s="22"/>
      <c r="M1529" s="22"/>
      <c r="N1529" s="22" t="s">
        <v>454</v>
      </c>
      <c r="O1529" s="22" t="s">
        <v>454</v>
      </c>
      <c r="P1529" s="22"/>
      <c r="Q1529" s="22" t="s">
        <v>2041</v>
      </c>
      <c r="R1529" s="22"/>
      <c r="S1529" s="22"/>
      <c r="T1529" s="22" t="s">
        <v>3131</v>
      </c>
      <c r="U1529" s="116" t="s">
        <v>3154</v>
      </c>
      <c r="V1529" s="22" t="s">
        <v>454</v>
      </c>
      <c r="W1529" s="22" t="s">
        <v>1</v>
      </c>
      <c r="X1529" s="22"/>
      <c r="Z1529" s="22"/>
      <c r="AA1529" s="22"/>
      <c r="AB1529" s="22"/>
      <c r="AC1529" s="22"/>
      <c r="AD1529" s="22"/>
      <c r="AE1529" s="24"/>
      <c r="AF1529" s="24" t="s">
        <v>2042</v>
      </c>
      <c r="AG1529" s="22"/>
      <c r="AK1529" s="40" t="s">
        <v>618</v>
      </c>
      <c r="AL1529" s="40"/>
      <c r="AX1529" s="27"/>
      <c r="AY1529" s="27"/>
      <c r="BK1529" s="27"/>
      <c r="BL1529" s="27"/>
      <c r="BX1529" s="27"/>
      <c r="BY1529" s="27"/>
      <c r="CH1529" s="29"/>
      <c r="CM1529" s="23" t="s">
        <v>362</v>
      </c>
    </row>
    <row r="1530" spans="1:91" x14ac:dyDescent="0.2">
      <c r="A1530" s="18">
        <v>2001</v>
      </c>
      <c r="B1530" s="19">
        <v>32</v>
      </c>
      <c r="C1530" s="19">
        <f t="shared" si="107"/>
        <v>20010032</v>
      </c>
      <c r="D1530" s="23" t="s">
        <v>599</v>
      </c>
      <c r="E1530" s="20" t="s">
        <v>640</v>
      </c>
      <c r="I1530" s="22" t="s">
        <v>206</v>
      </c>
      <c r="J1530" s="22"/>
      <c r="K1530" s="22"/>
      <c r="L1530" s="22"/>
      <c r="M1530" s="22"/>
      <c r="N1530" s="22" t="s">
        <v>454</v>
      </c>
      <c r="O1530" s="22" t="s">
        <v>454</v>
      </c>
      <c r="P1530" s="22"/>
      <c r="Q1530" s="22" t="s">
        <v>2041</v>
      </c>
      <c r="R1530" s="22"/>
      <c r="S1530" s="22"/>
      <c r="T1530" s="22" t="s">
        <v>3131</v>
      </c>
      <c r="U1530" s="116" t="s">
        <v>3154</v>
      </c>
      <c r="V1530" s="22" t="s">
        <v>454</v>
      </c>
      <c r="W1530" s="22" t="s">
        <v>1</v>
      </c>
      <c r="X1530" s="22"/>
      <c r="Z1530" s="22"/>
      <c r="AA1530" s="22"/>
      <c r="AB1530" s="22"/>
      <c r="AC1530" s="22"/>
      <c r="AD1530" s="22"/>
      <c r="AE1530" s="24"/>
      <c r="AF1530" s="24" t="s">
        <v>2042</v>
      </c>
      <c r="AG1530" s="22"/>
      <c r="AK1530" s="40" t="s">
        <v>618</v>
      </c>
      <c r="AL1530" s="40"/>
      <c r="AX1530" s="27"/>
      <c r="AY1530" s="27"/>
      <c r="BK1530" s="27"/>
      <c r="BL1530" s="27"/>
      <c r="BX1530" s="27"/>
      <c r="BY1530" s="27"/>
      <c r="CH1530" s="29"/>
      <c r="CM1530" s="23" t="s">
        <v>493</v>
      </c>
    </row>
    <row r="1531" spans="1:91" x14ac:dyDescent="0.2">
      <c r="A1531" s="18">
        <v>2001</v>
      </c>
      <c r="B1531" s="19">
        <v>33</v>
      </c>
      <c r="C1531" s="19">
        <f t="shared" si="107"/>
        <v>20010033</v>
      </c>
      <c r="D1531" s="23" t="s">
        <v>599</v>
      </c>
      <c r="E1531" s="20" t="s">
        <v>640</v>
      </c>
      <c r="I1531" s="22" t="s">
        <v>206</v>
      </c>
      <c r="J1531" s="22"/>
      <c r="K1531" s="22"/>
      <c r="L1531" s="22"/>
      <c r="M1531" s="22"/>
      <c r="N1531" s="22" t="s">
        <v>454</v>
      </c>
      <c r="O1531" s="22" t="s">
        <v>454</v>
      </c>
      <c r="P1531" s="22"/>
      <c r="Q1531" s="22" t="s">
        <v>2041</v>
      </c>
      <c r="R1531" s="22"/>
      <c r="S1531" s="22"/>
      <c r="T1531" s="22" t="s">
        <v>3131</v>
      </c>
      <c r="U1531" s="116" t="s">
        <v>3154</v>
      </c>
      <c r="V1531" s="22" t="s">
        <v>454</v>
      </c>
      <c r="W1531" s="22" t="s">
        <v>1</v>
      </c>
      <c r="X1531" s="22"/>
      <c r="Z1531" s="22"/>
      <c r="AA1531" s="22"/>
      <c r="AB1531" s="22"/>
      <c r="AC1531" s="22"/>
      <c r="AD1531" s="22"/>
      <c r="AE1531" s="24"/>
      <c r="AF1531" s="24" t="s">
        <v>2042</v>
      </c>
      <c r="AG1531" s="22"/>
      <c r="AK1531" s="40" t="s">
        <v>618</v>
      </c>
      <c r="AL1531" s="40"/>
      <c r="AX1531" s="27"/>
      <c r="AY1531" s="27"/>
      <c r="BK1531" s="27"/>
      <c r="BL1531" s="27"/>
      <c r="BX1531" s="27"/>
      <c r="BY1531" s="27"/>
      <c r="CH1531" s="29"/>
      <c r="CM1531" s="23" t="s">
        <v>363</v>
      </c>
    </row>
    <row r="1532" spans="1:91" x14ac:dyDescent="0.2">
      <c r="A1532" s="18">
        <v>2001</v>
      </c>
      <c r="B1532" s="19">
        <v>34</v>
      </c>
      <c r="C1532" s="19">
        <f t="shared" si="107"/>
        <v>20010034</v>
      </c>
      <c r="D1532" s="23" t="s">
        <v>599</v>
      </c>
      <c r="E1532" s="20" t="s">
        <v>640</v>
      </c>
      <c r="I1532" s="22" t="s">
        <v>206</v>
      </c>
      <c r="J1532" s="22"/>
      <c r="K1532" s="22"/>
      <c r="L1532" s="22"/>
      <c r="M1532" s="22"/>
      <c r="N1532" s="22" t="s">
        <v>454</v>
      </c>
      <c r="O1532" s="22" t="s">
        <v>454</v>
      </c>
      <c r="P1532" s="22"/>
      <c r="Q1532" s="22" t="s">
        <v>2041</v>
      </c>
      <c r="R1532" s="22"/>
      <c r="S1532" s="22"/>
      <c r="T1532" s="22" t="s">
        <v>3131</v>
      </c>
      <c r="U1532" s="116" t="s">
        <v>3154</v>
      </c>
      <c r="V1532" s="22" t="s">
        <v>454</v>
      </c>
      <c r="W1532" s="22" t="s">
        <v>1</v>
      </c>
      <c r="X1532" s="22"/>
      <c r="Z1532" s="22"/>
      <c r="AA1532" s="22"/>
      <c r="AB1532" s="22"/>
      <c r="AC1532" s="22"/>
      <c r="AD1532" s="22"/>
      <c r="AE1532" s="24"/>
      <c r="AF1532" s="24" t="s">
        <v>2042</v>
      </c>
      <c r="AG1532" s="22"/>
      <c r="AK1532" s="40" t="s">
        <v>618</v>
      </c>
      <c r="AL1532" s="40"/>
      <c r="AX1532" s="27"/>
      <c r="AY1532" s="27"/>
      <c r="BK1532" s="27"/>
      <c r="BL1532" s="27"/>
      <c r="BX1532" s="27"/>
      <c r="BY1532" s="27"/>
      <c r="CH1532" s="29"/>
      <c r="CM1532" s="23" t="s">
        <v>494</v>
      </c>
    </row>
    <row r="1533" spans="1:91" x14ac:dyDescent="0.2">
      <c r="A1533" s="18">
        <v>2001</v>
      </c>
      <c r="B1533" s="19">
        <v>35</v>
      </c>
      <c r="C1533" s="19">
        <f t="shared" si="107"/>
        <v>20010035</v>
      </c>
      <c r="D1533" s="23" t="s">
        <v>599</v>
      </c>
      <c r="E1533" s="20" t="s">
        <v>640</v>
      </c>
      <c r="I1533" s="22" t="s">
        <v>206</v>
      </c>
      <c r="J1533" s="22"/>
      <c r="K1533" s="22"/>
      <c r="L1533" s="22"/>
      <c r="M1533" s="22"/>
      <c r="N1533" s="22" t="s">
        <v>454</v>
      </c>
      <c r="O1533" s="22" t="s">
        <v>454</v>
      </c>
      <c r="P1533" s="22"/>
      <c r="Q1533" s="22" t="s">
        <v>2041</v>
      </c>
      <c r="R1533" s="22"/>
      <c r="S1533" s="22"/>
      <c r="T1533" s="22" t="s">
        <v>3131</v>
      </c>
      <c r="U1533" s="116" t="s">
        <v>3154</v>
      </c>
      <c r="V1533" s="22" t="s">
        <v>454</v>
      </c>
      <c r="W1533" s="22" t="s">
        <v>1</v>
      </c>
      <c r="X1533" s="22"/>
      <c r="Z1533" s="22"/>
      <c r="AA1533" s="22"/>
      <c r="AB1533" s="22"/>
      <c r="AC1533" s="22"/>
      <c r="AD1533" s="22"/>
      <c r="AE1533" s="24"/>
      <c r="AF1533" s="24" t="s">
        <v>2042</v>
      </c>
      <c r="AG1533" s="22"/>
      <c r="AK1533" s="40" t="s">
        <v>618</v>
      </c>
      <c r="AL1533" s="40"/>
      <c r="AX1533" s="27"/>
      <c r="AY1533" s="27"/>
      <c r="BK1533" s="27"/>
      <c r="BL1533" s="27"/>
      <c r="BX1533" s="27"/>
      <c r="BY1533" s="27"/>
      <c r="CH1533" s="29"/>
      <c r="CM1533" s="23" t="s">
        <v>348</v>
      </c>
    </row>
    <row r="1534" spans="1:91" x14ac:dyDescent="0.2">
      <c r="A1534" s="18">
        <v>2001</v>
      </c>
      <c r="B1534" s="19">
        <v>36</v>
      </c>
      <c r="C1534" s="19">
        <f t="shared" si="107"/>
        <v>20010036</v>
      </c>
      <c r="D1534" s="23" t="s">
        <v>600</v>
      </c>
      <c r="E1534" s="20" t="s">
        <v>640</v>
      </c>
      <c r="I1534" s="22" t="s">
        <v>206</v>
      </c>
      <c r="J1534" s="22"/>
      <c r="K1534" s="22"/>
      <c r="L1534" s="22"/>
      <c r="M1534" s="22"/>
      <c r="N1534" s="22" t="s">
        <v>454</v>
      </c>
      <c r="O1534" s="22" t="s">
        <v>454</v>
      </c>
      <c r="P1534" s="22"/>
      <c r="Q1534" s="22" t="s">
        <v>2041</v>
      </c>
      <c r="R1534" s="22"/>
      <c r="S1534" s="22"/>
      <c r="T1534" s="22" t="s">
        <v>3131</v>
      </c>
      <c r="U1534" s="116" t="s">
        <v>3155</v>
      </c>
      <c r="V1534" s="22" t="s">
        <v>454</v>
      </c>
      <c r="W1534" s="22" t="s">
        <v>1</v>
      </c>
      <c r="X1534" s="22"/>
      <c r="Z1534" s="22"/>
      <c r="AA1534" s="22"/>
      <c r="AB1534" s="22"/>
      <c r="AC1534" s="22"/>
      <c r="AD1534" s="22"/>
      <c r="AE1534" s="24"/>
      <c r="AF1534" s="24" t="s">
        <v>2042</v>
      </c>
      <c r="AG1534" s="22"/>
      <c r="AK1534" s="40" t="s">
        <v>619</v>
      </c>
      <c r="AL1534" s="40"/>
      <c r="AX1534" s="27"/>
      <c r="AY1534" s="27"/>
      <c r="BK1534" s="27"/>
      <c r="BL1534" s="27"/>
      <c r="BX1534" s="27"/>
      <c r="BY1534" s="27"/>
      <c r="CH1534" s="29"/>
      <c r="CM1534" s="23" t="s">
        <v>495</v>
      </c>
    </row>
    <row r="1535" spans="1:91" x14ac:dyDescent="0.2">
      <c r="A1535" s="18">
        <v>2001</v>
      </c>
      <c r="B1535" s="19">
        <v>37</v>
      </c>
      <c r="C1535" s="19">
        <f t="shared" si="107"/>
        <v>20010037</v>
      </c>
      <c r="D1535" s="23" t="s">
        <v>600</v>
      </c>
      <c r="E1535" s="20" t="s">
        <v>640</v>
      </c>
      <c r="I1535" s="22" t="s">
        <v>206</v>
      </c>
      <c r="J1535" s="22"/>
      <c r="K1535" s="22"/>
      <c r="L1535" s="22"/>
      <c r="M1535" s="22"/>
      <c r="N1535" s="22" t="s">
        <v>454</v>
      </c>
      <c r="O1535" s="22" t="s">
        <v>454</v>
      </c>
      <c r="P1535" s="22"/>
      <c r="Q1535" s="22" t="s">
        <v>2041</v>
      </c>
      <c r="R1535" s="22"/>
      <c r="S1535" s="22"/>
      <c r="T1535" s="22" t="s">
        <v>3131</v>
      </c>
      <c r="U1535" s="116" t="s">
        <v>3155</v>
      </c>
      <c r="V1535" s="22" t="s">
        <v>454</v>
      </c>
      <c r="W1535" s="22" t="s">
        <v>1</v>
      </c>
      <c r="X1535" s="22"/>
      <c r="Z1535" s="22"/>
      <c r="AA1535" s="22"/>
      <c r="AB1535" s="22"/>
      <c r="AC1535" s="22"/>
      <c r="AD1535" s="22"/>
      <c r="AE1535" s="24"/>
      <c r="AF1535" s="24" t="s">
        <v>2042</v>
      </c>
      <c r="AG1535" s="22"/>
      <c r="AK1535" s="40" t="s">
        <v>619</v>
      </c>
      <c r="AL1535" s="40"/>
      <c r="AX1535" s="27"/>
      <c r="AY1535" s="27"/>
      <c r="BK1535" s="27"/>
      <c r="BL1535" s="27"/>
      <c r="BX1535" s="27"/>
      <c r="BY1535" s="27"/>
      <c r="CH1535" s="29"/>
      <c r="CM1535" s="23" t="s">
        <v>364</v>
      </c>
    </row>
    <row r="1536" spans="1:91" x14ac:dyDescent="0.2">
      <c r="A1536" s="18">
        <v>2001</v>
      </c>
      <c r="B1536" s="19">
        <v>38</v>
      </c>
      <c r="C1536" s="19">
        <f t="shared" si="107"/>
        <v>20010038</v>
      </c>
      <c r="D1536" s="23" t="s">
        <v>600</v>
      </c>
      <c r="E1536" s="20" t="s">
        <v>640</v>
      </c>
      <c r="I1536" s="22" t="s">
        <v>206</v>
      </c>
      <c r="J1536" s="22"/>
      <c r="K1536" s="22"/>
      <c r="L1536" s="22"/>
      <c r="M1536" s="22"/>
      <c r="N1536" s="22" t="s">
        <v>454</v>
      </c>
      <c r="O1536" s="22" t="s">
        <v>454</v>
      </c>
      <c r="P1536" s="22"/>
      <c r="Q1536" s="22" t="s">
        <v>2041</v>
      </c>
      <c r="R1536" s="22"/>
      <c r="S1536" s="22"/>
      <c r="T1536" s="22" t="s">
        <v>3131</v>
      </c>
      <c r="U1536" s="116" t="s">
        <v>3155</v>
      </c>
      <c r="V1536" s="22" t="s">
        <v>454</v>
      </c>
      <c r="W1536" s="22" t="s">
        <v>1</v>
      </c>
      <c r="X1536" s="22"/>
      <c r="Z1536" s="22"/>
      <c r="AA1536" s="22"/>
      <c r="AB1536" s="22"/>
      <c r="AC1536" s="22"/>
      <c r="AD1536" s="22"/>
      <c r="AE1536" s="24"/>
      <c r="AF1536" s="24" t="s">
        <v>2042</v>
      </c>
      <c r="AG1536" s="22"/>
      <c r="AK1536" s="40" t="s">
        <v>619</v>
      </c>
      <c r="AL1536" s="40"/>
      <c r="AX1536" s="27"/>
      <c r="AY1536" s="27"/>
      <c r="BK1536" s="27"/>
      <c r="BL1536" s="27"/>
      <c r="BX1536" s="27"/>
      <c r="BY1536" s="27"/>
      <c r="CH1536" s="29"/>
      <c r="CM1536" s="23" t="s">
        <v>496</v>
      </c>
    </row>
    <row r="1537" spans="1:91" x14ac:dyDescent="0.2">
      <c r="A1537" s="18">
        <v>2001</v>
      </c>
      <c r="B1537" s="19">
        <v>39</v>
      </c>
      <c r="C1537" s="19">
        <f t="shared" si="107"/>
        <v>20010039</v>
      </c>
      <c r="D1537" s="23" t="s">
        <v>600</v>
      </c>
      <c r="E1537" s="20" t="s">
        <v>640</v>
      </c>
      <c r="I1537" s="22" t="s">
        <v>206</v>
      </c>
      <c r="J1537" s="22"/>
      <c r="K1537" s="22"/>
      <c r="L1537" s="22"/>
      <c r="M1537" s="22"/>
      <c r="N1537" s="22" t="s">
        <v>454</v>
      </c>
      <c r="O1537" s="22" t="s">
        <v>454</v>
      </c>
      <c r="P1537" s="22"/>
      <c r="Q1537" s="22" t="s">
        <v>2041</v>
      </c>
      <c r="R1537" s="22"/>
      <c r="S1537" s="22"/>
      <c r="T1537" s="22" t="s">
        <v>3131</v>
      </c>
      <c r="U1537" s="116" t="s">
        <v>3155</v>
      </c>
      <c r="V1537" s="22" t="s">
        <v>454</v>
      </c>
      <c r="W1537" s="22" t="s">
        <v>1</v>
      </c>
      <c r="X1537" s="22"/>
      <c r="Z1537" s="22"/>
      <c r="AA1537" s="22"/>
      <c r="AB1537" s="22"/>
      <c r="AC1537" s="22"/>
      <c r="AD1537" s="22"/>
      <c r="AE1537" s="24"/>
      <c r="AF1537" s="24" t="s">
        <v>2042</v>
      </c>
      <c r="AG1537" s="22"/>
      <c r="AK1537" s="40" t="s">
        <v>619</v>
      </c>
      <c r="AL1537" s="40"/>
      <c r="AX1537" s="27"/>
      <c r="AY1537" s="27"/>
      <c r="BK1537" s="27"/>
      <c r="BL1537" s="27"/>
      <c r="BX1537" s="27"/>
      <c r="BY1537" s="27"/>
      <c r="CH1537" s="29"/>
      <c r="CM1537" s="23" t="s">
        <v>365</v>
      </c>
    </row>
    <row r="1538" spans="1:91" x14ac:dyDescent="0.2">
      <c r="A1538" s="18">
        <v>2001</v>
      </c>
      <c r="B1538" s="19">
        <v>40</v>
      </c>
      <c r="C1538" s="19">
        <f t="shared" si="107"/>
        <v>20010040</v>
      </c>
      <c r="D1538" s="23" t="s">
        <v>600</v>
      </c>
      <c r="E1538" s="20" t="s">
        <v>640</v>
      </c>
      <c r="I1538" s="22" t="s">
        <v>206</v>
      </c>
      <c r="J1538" s="22"/>
      <c r="K1538" s="22"/>
      <c r="L1538" s="22"/>
      <c r="M1538" s="22"/>
      <c r="N1538" s="22" t="s">
        <v>454</v>
      </c>
      <c r="O1538" s="22" t="s">
        <v>454</v>
      </c>
      <c r="P1538" s="22"/>
      <c r="Q1538" s="22" t="s">
        <v>2041</v>
      </c>
      <c r="R1538" s="22"/>
      <c r="S1538" s="22"/>
      <c r="T1538" s="22" t="s">
        <v>3131</v>
      </c>
      <c r="U1538" s="116" t="s">
        <v>3155</v>
      </c>
      <c r="V1538" s="22" t="s">
        <v>454</v>
      </c>
      <c r="W1538" s="22" t="s">
        <v>1</v>
      </c>
      <c r="X1538" s="22"/>
      <c r="Z1538" s="22"/>
      <c r="AA1538" s="22"/>
      <c r="AB1538" s="22"/>
      <c r="AC1538" s="22"/>
      <c r="AD1538" s="22"/>
      <c r="AE1538" s="24"/>
      <c r="AF1538" s="24" t="s">
        <v>2042</v>
      </c>
      <c r="AG1538" s="22"/>
      <c r="AK1538" s="40" t="s">
        <v>619</v>
      </c>
      <c r="AL1538" s="40"/>
      <c r="AX1538" s="27"/>
      <c r="AY1538" s="27"/>
      <c r="BK1538" s="27"/>
      <c r="BL1538" s="27"/>
      <c r="BX1538" s="27"/>
      <c r="BY1538" s="27"/>
      <c r="CH1538" s="29"/>
      <c r="CM1538" s="23" t="s">
        <v>497</v>
      </c>
    </row>
    <row r="1539" spans="1:91" x14ac:dyDescent="0.2">
      <c r="A1539" s="18">
        <v>2001</v>
      </c>
      <c r="B1539" s="19">
        <v>41</v>
      </c>
      <c r="C1539" s="19">
        <f t="shared" si="107"/>
        <v>20010041</v>
      </c>
      <c r="D1539" s="23" t="s">
        <v>601</v>
      </c>
      <c r="E1539" s="20" t="s">
        <v>640</v>
      </c>
      <c r="I1539" s="22" t="s">
        <v>206</v>
      </c>
      <c r="J1539" s="22"/>
      <c r="K1539" s="22"/>
      <c r="L1539" s="22"/>
      <c r="M1539" s="22"/>
      <c r="N1539" s="22" t="s">
        <v>454</v>
      </c>
      <c r="O1539" s="22" t="s">
        <v>454</v>
      </c>
      <c r="P1539" s="22"/>
      <c r="Q1539" s="22" t="s">
        <v>2041</v>
      </c>
      <c r="R1539" s="22"/>
      <c r="S1539" s="22"/>
      <c r="T1539" s="22" t="s">
        <v>3131</v>
      </c>
      <c r="U1539" s="116" t="s">
        <v>3156</v>
      </c>
      <c r="V1539" s="22" t="s">
        <v>454</v>
      </c>
      <c r="W1539" s="22" t="s">
        <v>1</v>
      </c>
      <c r="X1539" s="22"/>
      <c r="Z1539" s="22"/>
      <c r="AA1539" s="22"/>
      <c r="AB1539" s="22"/>
      <c r="AC1539" s="22"/>
      <c r="AD1539" s="22"/>
      <c r="AE1539" s="24"/>
      <c r="AF1539" s="24" t="s">
        <v>2042</v>
      </c>
      <c r="AG1539" s="22"/>
      <c r="AK1539" s="40" t="s">
        <v>620</v>
      </c>
      <c r="AL1539" s="40"/>
      <c r="AX1539" s="27"/>
      <c r="AY1539" s="27"/>
      <c r="BK1539" s="27"/>
      <c r="BL1539" s="27"/>
      <c r="BX1539" s="27"/>
      <c r="BY1539" s="27"/>
      <c r="CH1539" s="29"/>
      <c r="CM1539" s="23" t="s">
        <v>366</v>
      </c>
    </row>
    <row r="1540" spans="1:91" x14ac:dyDescent="0.2">
      <c r="A1540" s="18">
        <v>2001</v>
      </c>
      <c r="B1540" s="19">
        <v>42</v>
      </c>
      <c r="C1540" s="19">
        <f t="shared" si="107"/>
        <v>20010042</v>
      </c>
      <c r="D1540" s="23" t="s">
        <v>601</v>
      </c>
      <c r="E1540" s="20" t="s">
        <v>640</v>
      </c>
      <c r="I1540" s="22" t="s">
        <v>206</v>
      </c>
      <c r="J1540" s="22"/>
      <c r="K1540" s="22"/>
      <c r="L1540" s="22"/>
      <c r="M1540" s="22"/>
      <c r="N1540" s="22" t="s">
        <v>454</v>
      </c>
      <c r="O1540" s="22" t="s">
        <v>454</v>
      </c>
      <c r="P1540" s="22"/>
      <c r="Q1540" s="22" t="s">
        <v>2041</v>
      </c>
      <c r="R1540" s="22"/>
      <c r="S1540" s="22"/>
      <c r="T1540" s="22" t="s">
        <v>3131</v>
      </c>
      <c r="U1540" s="116" t="s">
        <v>3156</v>
      </c>
      <c r="V1540" s="22" t="s">
        <v>454</v>
      </c>
      <c r="W1540" s="22" t="s">
        <v>1</v>
      </c>
      <c r="X1540" s="22"/>
      <c r="Z1540" s="22"/>
      <c r="AA1540" s="22"/>
      <c r="AB1540" s="22"/>
      <c r="AC1540" s="22"/>
      <c r="AD1540" s="22"/>
      <c r="AE1540" s="24"/>
      <c r="AF1540" s="24" t="s">
        <v>2042</v>
      </c>
      <c r="AG1540" s="22"/>
      <c r="AK1540" s="40" t="s">
        <v>620</v>
      </c>
      <c r="AL1540" s="40"/>
      <c r="AX1540" s="27"/>
      <c r="AY1540" s="27"/>
      <c r="BK1540" s="27"/>
      <c r="BL1540" s="27"/>
      <c r="BX1540" s="27"/>
      <c r="BY1540" s="27"/>
      <c r="CH1540" s="29"/>
      <c r="CM1540" s="23" t="s">
        <v>498</v>
      </c>
    </row>
    <row r="1541" spans="1:91" x14ac:dyDescent="0.2">
      <c r="A1541" s="18">
        <v>2001</v>
      </c>
      <c r="B1541" s="19">
        <v>43</v>
      </c>
      <c r="C1541" s="19">
        <f t="shared" si="107"/>
        <v>20010043</v>
      </c>
      <c r="D1541" s="23" t="s">
        <v>601</v>
      </c>
      <c r="E1541" s="20" t="s">
        <v>640</v>
      </c>
      <c r="I1541" s="22" t="s">
        <v>206</v>
      </c>
      <c r="J1541" s="22"/>
      <c r="K1541" s="22"/>
      <c r="L1541" s="22"/>
      <c r="M1541" s="22"/>
      <c r="N1541" s="22" t="s">
        <v>454</v>
      </c>
      <c r="O1541" s="22" t="s">
        <v>454</v>
      </c>
      <c r="P1541" s="22"/>
      <c r="Q1541" s="22" t="s">
        <v>2041</v>
      </c>
      <c r="R1541" s="22"/>
      <c r="S1541" s="22"/>
      <c r="T1541" s="22" t="s">
        <v>3131</v>
      </c>
      <c r="U1541" s="116" t="s">
        <v>3156</v>
      </c>
      <c r="V1541" s="22" t="s">
        <v>454</v>
      </c>
      <c r="W1541" s="22" t="s">
        <v>1</v>
      </c>
      <c r="X1541" s="22"/>
      <c r="Z1541" s="22"/>
      <c r="AA1541" s="22"/>
      <c r="AB1541" s="22"/>
      <c r="AC1541" s="22"/>
      <c r="AD1541" s="22"/>
      <c r="AE1541" s="24"/>
      <c r="AF1541" s="24" t="s">
        <v>2042</v>
      </c>
      <c r="AG1541" s="22"/>
      <c r="AK1541" s="40" t="s">
        <v>620</v>
      </c>
      <c r="AL1541" s="40"/>
      <c r="AX1541" s="27"/>
      <c r="AY1541" s="27"/>
      <c r="BK1541" s="27"/>
      <c r="BL1541" s="27"/>
      <c r="BX1541" s="27"/>
      <c r="BY1541" s="27"/>
      <c r="CH1541" s="29"/>
      <c r="CM1541" s="23" t="s">
        <v>367</v>
      </c>
    </row>
    <row r="1542" spans="1:91" x14ac:dyDescent="0.2">
      <c r="A1542" s="18">
        <v>2001</v>
      </c>
      <c r="B1542" s="19">
        <v>44</v>
      </c>
      <c r="C1542" s="19">
        <f t="shared" si="107"/>
        <v>20010044</v>
      </c>
      <c r="D1542" s="23" t="s">
        <v>601</v>
      </c>
      <c r="E1542" s="20" t="s">
        <v>640</v>
      </c>
      <c r="I1542" s="22" t="s">
        <v>206</v>
      </c>
      <c r="J1542" s="22"/>
      <c r="K1542" s="22"/>
      <c r="L1542" s="22"/>
      <c r="M1542" s="22"/>
      <c r="N1542" s="22" t="s">
        <v>454</v>
      </c>
      <c r="O1542" s="22" t="s">
        <v>454</v>
      </c>
      <c r="P1542" s="22"/>
      <c r="Q1542" s="22" t="s">
        <v>2041</v>
      </c>
      <c r="R1542" s="22"/>
      <c r="S1542" s="22"/>
      <c r="T1542" s="22" t="s">
        <v>3131</v>
      </c>
      <c r="U1542" s="116" t="s">
        <v>3156</v>
      </c>
      <c r="V1542" s="22" t="s">
        <v>454</v>
      </c>
      <c r="W1542" s="22" t="s">
        <v>1</v>
      </c>
      <c r="X1542" s="22"/>
      <c r="Z1542" s="22"/>
      <c r="AA1542" s="22"/>
      <c r="AB1542" s="22"/>
      <c r="AC1542" s="22"/>
      <c r="AD1542" s="22"/>
      <c r="AE1542" s="24"/>
      <c r="AF1542" s="24" t="s">
        <v>2042</v>
      </c>
      <c r="AG1542" s="22"/>
      <c r="AK1542" s="40" t="s">
        <v>620</v>
      </c>
      <c r="AL1542" s="40"/>
      <c r="AX1542" s="27"/>
      <c r="AY1542" s="27"/>
      <c r="BK1542" s="27"/>
      <c r="BL1542" s="27"/>
      <c r="BX1542" s="27"/>
      <c r="BY1542" s="27"/>
      <c r="CH1542" s="29"/>
      <c r="CM1542" s="23" t="s">
        <v>499</v>
      </c>
    </row>
    <row r="1543" spans="1:91" x14ac:dyDescent="0.2">
      <c r="A1543" s="18">
        <v>2001</v>
      </c>
      <c r="B1543" s="19">
        <v>45</v>
      </c>
      <c r="C1543" s="19">
        <f t="shared" si="107"/>
        <v>20010045</v>
      </c>
      <c r="D1543" s="23" t="s">
        <v>601</v>
      </c>
      <c r="E1543" s="20" t="s">
        <v>640</v>
      </c>
      <c r="I1543" s="22" t="s">
        <v>206</v>
      </c>
      <c r="J1543" s="22"/>
      <c r="K1543" s="22"/>
      <c r="L1543" s="22"/>
      <c r="M1543" s="22"/>
      <c r="N1543" s="22" t="s">
        <v>454</v>
      </c>
      <c r="O1543" s="22" t="s">
        <v>454</v>
      </c>
      <c r="P1543" s="22"/>
      <c r="Q1543" s="22" t="s">
        <v>2041</v>
      </c>
      <c r="R1543" s="22"/>
      <c r="S1543" s="22"/>
      <c r="T1543" s="22" t="s">
        <v>3131</v>
      </c>
      <c r="U1543" s="116" t="s">
        <v>3157</v>
      </c>
      <c r="V1543" s="22" t="s">
        <v>454</v>
      </c>
      <c r="W1543" s="22" t="s">
        <v>1</v>
      </c>
      <c r="X1543" s="22"/>
      <c r="Z1543" s="22"/>
      <c r="AA1543" s="22"/>
      <c r="AB1543" s="22"/>
      <c r="AC1543" s="22"/>
      <c r="AD1543" s="22"/>
      <c r="AE1543" s="24"/>
      <c r="AF1543" s="24" t="s">
        <v>2042</v>
      </c>
      <c r="AG1543" s="22"/>
      <c r="AK1543" s="40" t="s">
        <v>620</v>
      </c>
      <c r="AL1543" s="40"/>
      <c r="AX1543" s="27"/>
      <c r="AY1543" s="27"/>
      <c r="BK1543" s="27"/>
      <c r="BL1543" s="27"/>
      <c r="BX1543" s="27"/>
      <c r="BY1543" s="27"/>
      <c r="CH1543" s="29"/>
      <c r="CM1543" s="23" t="s">
        <v>344</v>
      </c>
    </row>
    <row r="1544" spans="1:91" x14ac:dyDescent="0.2">
      <c r="A1544" s="18">
        <v>2001</v>
      </c>
      <c r="B1544" s="19">
        <v>46</v>
      </c>
      <c r="C1544" s="19">
        <f t="shared" si="107"/>
        <v>20010046</v>
      </c>
      <c r="D1544" s="23" t="s">
        <v>602</v>
      </c>
      <c r="E1544" s="20" t="s">
        <v>640</v>
      </c>
      <c r="I1544" s="22" t="s">
        <v>206</v>
      </c>
      <c r="J1544" s="22"/>
      <c r="K1544" s="22"/>
      <c r="L1544" s="22"/>
      <c r="M1544" s="22"/>
      <c r="N1544" s="22" t="s">
        <v>454</v>
      </c>
      <c r="O1544" s="22" t="s">
        <v>454</v>
      </c>
      <c r="P1544" s="22"/>
      <c r="Q1544" s="22" t="s">
        <v>2041</v>
      </c>
      <c r="R1544" s="22"/>
      <c r="S1544" s="22"/>
      <c r="T1544" s="22" t="s">
        <v>3131</v>
      </c>
      <c r="U1544" s="116" t="s">
        <v>3132</v>
      </c>
      <c r="V1544" s="22" t="s">
        <v>454</v>
      </c>
      <c r="W1544" s="22" t="s">
        <v>1</v>
      </c>
      <c r="X1544" s="22"/>
      <c r="Z1544" s="22"/>
      <c r="AA1544" s="22"/>
      <c r="AB1544" s="22"/>
      <c r="AC1544" s="22"/>
      <c r="AD1544" s="22"/>
      <c r="AE1544" s="24"/>
      <c r="AF1544" s="24" t="s">
        <v>2042</v>
      </c>
      <c r="AG1544" s="22"/>
      <c r="AK1544" s="40" t="s">
        <v>621</v>
      </c>
      <c r="AL1544" s="40"/>
      <c r="AX1544" s="27"/>
      <c r="AY1544" s="27"/>
      <c r="BK1544" s="27"/>
      <c r="BL1544" s="27"/>
      <c r="BX1544" s="27"/>
      <c r="BY1544" s="27"/>
      <c r="CH1544" s="29"/>
      <c r="CM1544" s="23" t="s">
        <v>500</v>
      </c>
    </row>
    <row r="1545" spans="1:91" x14ac:dyDescent="0.2">
      <c r="A1545" s="18">
        <v>2001</v>
      </c>
      <c r="B1545" s="19">
        <v>47</v>
      </c>
      <c r="C1545" s="19">
        <f t="shared" si="107"/>
        <v>20010047</v>
      </c>
      <c r="D1545" s="23" t="s">
        <v>602</v>
      </c>
      <c r="E1545" s="20" t="s">
        <v>640</v>
      </c>
      <c r="I1545" s="22" t="s">
        <v>206</v>
      </c>
      <c r="J1545" s="22"/>
      <c r="K1545" s="22"/>
      <c r="L1545" s="22"/>
      <c r="M1545" s="22"/>
      <c r="N1545" s="22" t="s">
        <v>454</v>
      </c>
      <c r="O1545" s="22" t="s">
        <v>454</v>
      </c>
      <c r="P1545" s="22"/>
      <c r="Q1545" s="22" t="s">
        <v>2041</v>
      </c>
      <c r="R1545" s="22"/>
      <c r="S1545" s="22"/>
      <c r="T1545" s="22" t="s">
        <v>3131</v>
      </c>
      <c r="U1545" s="116" t="s">
        <v>3132</v>
      </c>
      <c r="V1545" s="22" t="s">
        <v>454</v>
      </c>
      <c r="W1545" s="22" t="s">
        <v>1</v>
      </c>
      <c r="X1545" s="22"/>
      <c r="Z1545" s="22"/>
      <c r="AA1545" s="22"/>
      <c r="AB1545" s="22"/>
      <c r="AC1545" s="22"/>
      <c r="AD1545" s="22"/>
      <c r="AE1545" s="24"/>
      <c r="AF1545" s="24" t="s">
        <v>2042</v>
      </c>
      <c r="AG1545" s="22"/>
      <c r="AK1545" s="40" t="s">
        <v>621</v>
      </c>
      <c r="AL1545" s="40"/>
      <c r="AX1545" s="27"/>
      <c r="AY1545" s="27"/>
      <c r="BK1545" s="27"/>
      <c r="BL1545" s="27"/>
      <c r="BX1545" s="27"/>
      <c r="BY1545" s="27"/>
      <c r="CH1545" s="29"/>
      <c r="CM1545" s="23" t="s">
        <v>368</v>
      </c>
    </row>
    <row r="1546" spans="1:91" x14ac:dyDescent="0.2">
      <c r="A1546" s="18">
        <v>2001</v>
      </c>
      <c r="B1546" s="19">
        <v>48</v>
      </c>
      <c r="C1546" s="19">
        <f t="shared" si="107"/>
        <v>20010048</v>
      </c>
      <c r="D1546" s="23" t="s">
        <v>602</v>
      </c>
      <c r="E1546" s="20" t="s">
        <v>640</v>
      </c>
      <c r="I1546" s="22" t="s">
        <v>206</v>
      </c>
      <c r="J1546" s="22"/>
      <c r="K1546" s="22"/>
      <c r="L1546" s="22"/>
      <c r="M1546" s="22"/>
      <c r="N1546" s="22" t="s">
        <v>454</v>
      </c>
      <c r="O1546" s="22" t="s">
        <v>454</v>
      </c>
      <c r="P1546" s="22"/>
      <c r="Q1546" s="22" t="s">
        <v>2041</v>
      </c>
      <c r="R1546" s="22"/>
      <c r="S1546" s="22"/>
      <c r="T1546" s="22" t="s">
        <v>3131</v>
      </c>
      <c r="U1546" s="116" t="s">
        <v>3132</v>
      </c>
      <c r="V1546" s="22" t="s">
        <v>454</v>
      </c>
      <c r="W1546" s="22" t="s">
        <v>1</v>
      </c>
      <c r="X1546" s="22"/>
      <c r="Z1546" s="22"/>
      <c r="AA1546" s="22"/>
      <c r="AB1546" s="22"/>
      <c r="AC1546" s="22"/>
      <c r="AD1546" s="22"/>
      <c r="AE1546" s="24"/>
      <c r="AF1546" s="24" t="s">
        <v>2042</v>
      </c>
      <c r="AG1546" s="22"/>
      <c r="AK1546" s="40" t="s">
        <v>621</v>
      </c>
      <c r="AL1546" s="40"/>
      <c r="AX1546" s="27"/>
      <c r="AY1546" s="27"/>
      <c r="BK1546" s="27"/>
      <c r="BL1546" s="27"/>
      <c r="BX1546" s="27"/>
      <c r="BY1546" s="27"/>
      <c r="CH1546" s="29"/>
      <c r="CM1546" s="23" t="s">
        <v>501</v>
      </c>
    </row>
    <row r="1547" spans="1:91" x14ac:dyDescent="0.2">
      <c r="A1547" s="18">
        <v>2001</v>
      </c>
      <c r="B1547" s="19">
        <v>49</v>
      </c>
      <c r="C1547" s="19">
        <f t="shared" si="107"/>
        <v>20010049</v>
      </c>
      <c r="D1547" s="23" t="s">
        <v>602</v>
      </c>
      <c r="E1547" s="20" t="s">
        <v>640</v>
      </c>
      <c r="I1547" s="22" t="s">
        <v>206</v>
      </c>
      <c r="J1547" s="22"/>
      <c r="K1547" s="22"/>
      <c r="L1547" s="22"/>
      <c r="M1547" s="22"/>
      <c r="N1547" s="22" t="s">
        <v>454</v>
      </c>
      <c r="O1547" s="22" t="s">
        <v>454</v>
      </c>
      <c r="P1547" s="22"/>
      <c r="Q1547" s="22" t="s">
        <v>2041</v>
      </c>
      <c r="R1547" s="22"/>
      <c r="S1547" s="22"/>
      <c r="T1547" s="22" t="s">
        <v>3131</v>
      </c>
      <c r="U1547" s="116" t="s">
        <v>3132</v>
      </c>
      <c r="V1547" s="22" t="s">
        <v>454</v>
      </c>
      <c r="W1547" s="22" t="s">
        <v>1</v>
      </c>
      <c r="X1547" s="22"/>
      <c r="Z1547" s="22"/>
      <c r="AA1547" s="22"/>
      <c r="AB1547" s="22"/>
      <c r="AC1547" s="22"/>
      <c r="AD1547" s="22"/>
      <c r="AE1547" s="24"/>
      <c r="AF1547" s="24" t="s">
        <v>2042</v>
      </c>
      <c r="AG1547" s="22"/>
      <c r="AK1547" s="40" t="s">
        <v>621</v>
      </c>
      <c r="AL1547" s="40"/>
      <c r="AX1547" s="27"/>
      <c r="AY1547" s="27"/>
      <c r="BK1547" s="27"/>
      <c r="BL1547" s="27"/>
      <c r="BX1547" s="27"/>
      <c r="BY1547" s="27"/>
      <c r="CH1547" s="29"/>
      <c r="CM1547" s="23" t="s">
        <v>369</v>
      </c>
    </row>
    <row r="1548" spans="1:91" x14ac:dyDescent="0.2">
      <c r="A1548" s="18">
        <v>2001</v>
      </c>
      <c r="B1548" s="19">
        <v>50</v>
      </c>
      <c r="C1548" s="19">
        <f t="shared" si="107"/>
        <v>20010050</v>
      </c>
      <c r="D1548" s="23" t="s">
        <v>602</v>
      </c>
      <c r="E1548" s="20" t="s">
        <v>640</v>
      </c>
      <c r="I1548" s="22" t="s">
        <v>206</v>
      </c>
      <c r="J1548" s="22"/>
      <c r="K1548" s="22"/>
      <c r="L1548" s="22"/>
      <c r="M1548" s="22"/>
      <c r="N1548" s="22" t="s">
        <v>454</v>
      </c>
      <c r="O1548" s="22" t="s">
        <v>454</v>
      </c>
      <c r="P1548" s="22"/>
      <c r="Q1548" s="22" t="s">
        <v>2041</v>
      </c>
      <c r="R1548" s="22"/>
      <c r="S1548" s="22"/>
      <c r="T1548" s="22" t="s">
        <v>3131</v>
      </c>
      <c r="U1548" s="116" t="s">
        <v>3132</v>
      </c>
      <c r="V1548" s="22" t="s">
        <v>454</v>
      </c>
      <c r="W1548" s="22" t="s">
        <v>1</v>
      </c>
      <c r="X1548" s="22"/>
      <c r="Z1548" s="22"/>
      <c r="AA1548" s="22"/>
      <c r="AB1548" s="22"/>
      <c r="AC1548" s="22"/>
      <c r="AD1548" s="22"/>
      <c r="AE1548" s="24"/>
      <c r="AF1548" s="24" t="s">
        <v>2042</v>
      </c>
      <c r="AG1548" s="22"/>
      <c r="AK1548" s="40" t="s">
        <v>621</v>
      </c>
      <c r="AL1548" s="40"/>
      <c r="AX1548" s="27"/>
      <c r="AY1548" s="27"/>
      <c r="BK1548" s="27"/>
      <c r="BL1548" s="27"/>
      <c r="BX1548" s="27"/>
      <c r="BY1548" s="27"/>
      <c r="CH1548" s="29"/>
      <c r="CM1548" s="23" t="s">
        <v>502</v>
      </c>
    </row>
    <row r="1549" spans="1:91" x14ac:dyDescent="0.2">
      <c r="A1549" s="18">
        <v>2001</v>
      </c>
      <c r="B1549" s="19">
        <v>51</v>
      </c>
      <c r="C1549" s="19">
        <f t="shared" si="107"/>
        <v>20010051</v>
      </c>
      <c r="D1549" s="23" t="s">
        <v>603</v>
      </c>
      <c r="E1549" s="20" t="s">
        <v>640</v>
      </c>
      <c r="I1549" s="22" t="s">
        <v>206</v>
      </c>
      <c r="J1549" s="22"/>
      <c r="K1549" s="22"/>
      <c r="L1549" s="22"/>
      <c r="M1549" s="22"/>
      <c r="N1549" s="22" t="s">
        <v>454</v>
      </c>
      <c r="O1549" s="22" t="s">
        <v>454</v>
      </c>
      <c r="P1549" s="22"/>
      <c r="Q1549" s="22" t="s">
        <v>2041</v>
      </c>
      <c r="R1549" s="22"/>
      <c r="S1549" s="22"/>
      <c r="T1549" s="22" t="s">
        <v>3131</v>
      </c>
      <c r="U1549" s="116" t="s">
        <v>3133</v>
      </c>
      <c r="V1549" s="22" t="s">
        <v>454</v>
      </c>
      <c r="W1549" s="22" t="s">
        <v>1</v>
      </c>
      <c r="X1549" s="22"/>
      <c r="Z1549" s="22"/>
      <c r="AA1549" s="22"/>
      <c r="AB1549" s="22"/>
      <c r="AC1549" s="22"/>
      <c r="AD1549" s="22"/>
      <c r="AE1549" s="24"/>
      <c r="AF1549" s="24" t="s">
        <v>2042</v>
      </c>
      <c r="AG1549" s="22"/>
      <c r="AK1549" s="40" t="s">
        <v>622</v>
      </c>
      <c r="AL1549" s="40"/>
      <c r="AX1549" s="27"/>
      <c r="AY1549" s="27"/>
      <c r="BK1549" s="27"/>
      <c r="BL1549" s="27"/>
      <c r="BX1549" s="27"/>
      <c r="BY1549" s="27"/>
      <c r="CH1549" s="29"/>
      <c r="CM1549" s="23" t="s">
        <v>370</v>
      </c>
    </row>
    <row r="1550" spans="1:91" x14ac:dyDescent="0.2">
      <c r="A1550" s="18">
        <v>2001</v>
      </c>
      <c r="B1550" s="19">
        <v>52</v>
      </c>
      <c r="C1550" s="19">
        <f t="shared" si="107"/>
        <v>20010052</v>
      </c>
      <c r="D1550" s="23" t="s">
        <v>603</v>
      </c>
      <c r="E1550" s="20" t="s">
        <v>640</v>
      </c>
      <c r="I1550" s="22" t="s">
        <v>206</v>
      </c>
      <c r="J1550" s="22"/>
      <c r="K1550" s="22"/>
      <c r="L1550" s="22"/>
      <c r="M1550" s="22"/>
      <c r="N1550" s="22" t="s">
        <v>454</v>
      </c>
      <c r="O1550" s="22" t="s">
        <v>454</v>
      </c>
      <c r="P1550" s="22"/>
      <c r="Q1550" s="22" t="s">
        <v>2041</v>
      </c>
      <c r="R1550" s="22"/>
      <c r="S1550" s="22"/>
      <c r="T1550" s="22" t="s">
        <v>3131</v>
      </c>
      <c r="U1550" s="116" t="s">
        <v>3133</v>
      </c>
      <c r="V1550" s="22" t="s">
        <v>454</v>
      </c>
      <c r="W1550" s="22" t="s">
        <v>1</v>
      </c>
      <c r="X1550" s="22"/>
      <c r="Z1550" s="22"/>
      <c r="AA1550" s="22"/>
      <c r="AB1550" s="22"/>
      <c r="AC1550" s="22"/>
      <c r="AD1550" s="22"/>
      <c r="AE1550" s="24"/>
      <c r="AF1550" s="24" t="s">
        <v>2042</v>
      </c>
      <c r="AG1550" s="22"/>
      <c r="AK1550" s="40" t="s">
        <v>622</v>
      </c>
      <c r="AL1550" s="40"/>
      <c r="AX1550" s="27"/>
      <c r="AY1550" s="27"/>
      <c r="BK1550" s="27"/>
      <c r="BL1550" s="27"/>
      <c r="BX1550" s="27"/>
      <c r="BY1550" s="27"/>
      <c r="CH1550" s="29"/>
      <c r="CM1550" s="23" t="s">
        <v>503</v>
      </c>
    </row>
    <row r="1551" spans="1:91" x14ac:dyDescent="0.2">
      <c r="A1551" s="18">
        <v>2001</v>
      </c>
      <c r="B1551" s="19">
        <v>53</v>
      </c>
      <c r="C1551" s="19">
        <f t="shared" si="107"/>
        <v>20010053</v>
      </c>
      <c r="D1551" s="23" t="s">
        <v>603</v>
      </c>
      <c r="E1551" s="20" t="s">
        <v>640</v>
      </c>
      <c r="I1551" s="22" t="s">
        <v>206</v>
      </c>
      <c r="J1551" s="22"/>
      <c r="K1551" s="22"/>
      <c r="L1551" s="22"/>
      <c r="M1551" s="22"/>
      <c r="N1551" s="22" t="s">
        <v>454</v>
      </c>
      <c r="O1551" s="22" t="s">
        <v>454</v>
      </c>
      <c r="P1551" s="22"/>
      <c r="Q1551" s="22" t="s">
        <v>2041</v>
      </c>
      <c r="R1551" s="22"/>
      <c r="S1551" s="22"/>
      <c r="T1551" s="22" t="s">
        <v>3131</v>
      </c>
      <c r="U1551" s="116" t="s">
        <v>3133</v>
      </c>
      <c r="V1551" s="22" t="s">
        <v>454</v>
      </c>
      <c r="W1551" s="22" t="s">
        <v>1</v>
      </c>
      <c r="X1551" s="22"/>
      <c r="Z1551" s="22"/>
      <c r="AA1551" s="22"/>
      <c r="AB1551" s="22"/>
      <c r="AC1551" s="22"/>
      <c r="AD1551" s="22"/>
      <c r="AE1551" s="24"/>
      <c r="AF1551" s="24" t="s">
        <v>2042</v>
      </c>
      <c r="AG1551" s="22"/>
      <c r="AK1551" s="40" t="s">
        <v>622</v>
      </c>
      <c r="AL1551" s="40"/>
      <c r="AX1551" s="27"/>
      <c r="AY1551" s="27"/>
      <c r="BK1551" s="27"/>
      <c r="BL1551" s="27"/>
      <c r="BX1551" s="27"/>
      <c r="BY1551" s="27"/>
      <c r="CH1551" s="29"/>
      <c r="CM1551" s="23" t="s">
        <v>371</v>
      </c>
    </row>
    <row r="1552" spans="1:91" x14ac:dyDescent="0.2">
      <c r="A1552" s="18">
        <v>2001</v>
      </c>
      <c r="B1552" s="19">
        <v>54</v>
      </c>
      <c r="C1552" s="19">
        <f t="shared" si="107"/>
        <v>20010054</v>
      </c>
      <c r="D1552" s="23" t="s">
        <v>603</v>
      </c>
      <c r="E1552" s="20" t="s">
        <v>640</v>
      </c>
      <c r="I1552" s="22" t="s">
        <v>206</v>
      </c>
      <c r="J1552" s="22"/>
      <c r="K1552" s="22"/>
      <c r="L1552" s="22"/>
      <c r="M1552" s="22"/>
      <c r="N1552" s="22" t="s">
        <v>454</v>
      </c>
      <c r="O1552" s="22" t="s">
        <v>454</v>
      </c>
      <c r="P1552" s="22"/>
      <c r="Q1552" s="22" t="s">
        <v>2041</v>
      </c>
      <c r="R1552" s="22"/>
      <c r="S1552" s="22"/>
      <c r="T1552" s="22" t="s">
        <v>3131</v>
      </c>
      <c r="U1552" s="116" t="s">
        <v>3133</v>
      </c>
      <c r="V1552" s="22" t="s">
        <v>454</v>
      </c>
      <c r="W1552" s="22" t="s">
        <v>1</v>
      </c>
      <c r="X1552" s="22"/>
      <c r="Z1552" s="22"/>
      <c r="AA1552" s="22"/>
      <c r="AB1552" s="22"/>
      <c r="AC1552" s="22"/>
      <c r="AD1552" s="22"/>
      <c r="AE1552" s="24"/>
      <c r="AF1552" s="24" t="s">
        <v>2042</v>
      </c>
      <c r="AG1552" s="22"/>
      <c r="AK1552" s="40" t="s">
        <v>622</v>
      </c>
      <c r="AL1552" s="40"/>
      <c r="AX1552" s="27"/>
      <c r="AY1552" s="27"/>
      <c r="BK1552" s="27"/>
      <c r="BL1552" s="27"/>
      <c r="BX1552" s="27"/>
      <c r="BY1552" s="27"/>
      <c r="CH1552" s="29"/>
      <c r="CM1552" s="23" t="s">
        <v>504</v>
      </c>
    </row>
    <row r="1553" spans="1:91" x14ac:dyDescent="0.2">
      <c r="A1553" s="18">
        <v>2001</v>
      </c>
      <c r="B1553" s="19">
        <v>55</v>
      </c>
      <c r="C1553" s="19">
        <f t="shared" si="107"/>
        <v>20010055</v>
      </c>
      <c r="D1553" s="23" t="s">
        <v>603</v>
      </c>
      <c r="E1553" s="20" t="s">
        <v>640</v>
      </c>
      <c r="I1553" s="22" t="s">
        <v>206</v>
      </c>
      <c r="J1553" s="22"/>
      <c r="K1553" s="22"/>
      <c r="L1553" s="22"/>
      <c r="M1553" s="22"/>
      <c r="N1553" s="22" t="s">
        <v>454</v>
      </c>
      <c r="O1553" s="22" t="s">
        <v>454</v>
      </c>
      <c r="P1553" s="22"/>
      <c r="Q1553" s="22" t="s">
        <v>2041</v>
      </c>
      <c r="R1553" s="22"/>
      <c r="S1553" s="22"/>
      <c r="T1553" s="22" t="s">
        <v>3131</v>
      </c>
      <c r="U1553" s="116" t="s">
        <v>3133</v>
      </c>
      <c r="V1553" s="22" t="s">
        <v>454</v>
      </c>
      <c r="W1553" s="22" t="s">
        <v>1</v>
      </c>
      <c r="X1553" s="22"/>
      <c r="Z1553" s="22"/>
      <c r="AA1553" s="22"/>
      <c r="AB1553" s="22"/>
      <c r="AC1553" s="22"/>
      <c r="AD1553" s="22"/>
      <c r="AE1553" s="24"/>
      <c r="AF1553" s="24" t="s">
        <v>2042</v>
      </c>
      <c r="AG1553" s="22"/>
      <c r="AK1553" s="40" t="s">
        <v>622</v>
      </c>
      <c r="AL1553" s="40"/>
      <c r="AX1553" s="27"/>
      <c r="AY1553" s="27"/>
      <c r="BK1553" s="27"/>
      <c r="BL1553" s="27"/>
      <c r="BX1553" s="27"/>
      <c r="BY1553" s="27"/>
      <c r="CH1553" s="29"/>
      <c r="CM1553" s="23" t="s">
        <v>372</v>
      </c>
    </row>
    <row r="1554" spans="1:91" x14ac:dyDescent="0.2">
      <c r="A1554" s="18">
        <v>2001</v>
      </c>
      <c r="B1554" s="19">
        <v>56</v>
      </c>
      <c r="C1554" s="19">
        <f t="shared" si="107"/>
        <v>20010056</v>
      </c>
      <c r="D1554" s="23" t="s">
        <v>604</v>
      </c>
      <c r="E1554" s="20" t="s">
        <v>640</v>
      </c>
      <c r="I1554" s="22" t="s">
        <v>206</v>
      </c>
      <c r="J1554" s="22"/>
      <c r="K1554" s="22"/>
      <c r="L1554" s="22"/>
      <c r="M1554" s="22"/>
      <c r="N1554" s="22" t="s">
        <v>454</v>
      </c>
      <c r="O1554" s="22" t="s">
        <v>454</v>
      </c>
      <c r="P1554" s="22"/>
      <c r="Q1554" s="22" t="s">
        <v>2041</v>
      </c>
      <c r="R1554" s="22"/>
      <c r="S1554" s="22"/>
      <c r="T1554" s="22" t="s">
        <v>3131</v>
      </c>
      <c r="U1554" s="116" t="s">
        <v>3134</v>
      </c>
      <c r="V1554" s="22" t="s">
        <v>454</v>
      </c>
      <c r="W1554" s="22" t="s">
        <v>1</v>
      </c>
      <c r="X1554" s="22"/>
      <c r="Z1554" s="22"/>
      <c r="AA1554" s="22"/>
      <c r="AB1554" s="22"/>
      <c r="AC1554" s="22"/>
      <c r="AD1554" s="22"/>
      <c r="AE1554" s="24"/>
      <c r="AF1554" s="24" t="s">
        <v>2042</v>
      </c>
      <c r="AG1554" s="22"/>
      <c r="AK1554" s="40" t="s">
        <v>623</v>
      </c>
      <c r="AL1554" s="40"/>
      <c r="AX1554" s="27"/>
      <c r="AY1554" s="27"/>
      <c r="BK1554" s="27"/>
      <c r="BL1554" s="27"/>
      <c r="BX1554" s="27"/>
      <c r="BY1554" s="27"/>
      <c r="CH1554" s="29"/>
      <c r="CM1554" s="23" t="s">
        <v>505</v>
      </c>
    </row>
    <row r="1555" spans="1:91" x14ac:dyDescent="0.2">
      <c r="A1555" s="18">
        <v>2001</v>
      </c>
      <c r="B1555" s="19">
        <v>57</v>
      </c>
      <c r="C1555" s="19">
        <f t="shared" si="107"/>
        <v>20010057</v>
      </c>
      <c r="D1555" s="23" t="s">
        <v>604</v>
      </c>
      <c r="E1555" s="20" t="s">
        <v>640</v>
      </c>
      <c r="I1555" s="22" t="s">
        <v>206</v>
      </c>
      <c r="J1555" s="22"/>
      <c r="K1555" s="22"/>
      <c r="L1555" s="22"/>
      <c r="M1555" s="22"/>
      <c r="N1555" s="22" t="s">
        <v>454</v>
      </c>
      <c r="O1555" s="22" t="s">
        <v>454</v>
      </c>
      <c r="P1555" s="22"/>
      <c r="Q1555" s="22" t="s">
        <v>2041</v>
      </c>
      <c r="R1555" s="22"/>
      <c r="S1555" s="22"/>
      <c r="T1555" s="22" t="s">
        <v>3131</v>
      </c>
      <c r="U1555" s="116" t="s">
        <v>3134</v>
      </c>
      <c r="V1555" s="22" t="s">
        <v>454</v>
      </c>
      <c r="W1555" s="22" t="s">
        <v>1</v>
      </c>
      <c r="X1555" s="22"/>
      <c r="Z1555" s="22"/>
      <c r="AA1555" s="22"/>
      <c r="AB1555" s="22"/>
      <c r="AC1555" s="22"/>
      <c r="AD1555" s="22"/>
      <c r="AE1555" s="24"/>
      <c r="AF1555" s="24" t="s">
        <v>2042</v>
      </c>
      <c r="AG1555" s="22"/>
      <c r="AK1555" s="40" t="s">
        <v>623</v>
      </c>
      <c r="AL1555" s="40"/>
      <c r="AX1555" s="27"/>
      <c r="AY1555" s="27"/>
      <c r="BK1555" s="27"/>
      <c r="BL1555" s="27"/>
      <c r="BX1555" s="27"/>
      <c r="BY1555" s="27"/>
      <c r="CH1555" s="29"/>
      <c r="CM1555" s="23" t="s">
        <v>506</v>
      </c>
    </row>
    <row r="1556" spans="1:91" x14ac:dyDescent="0.2">
      <c r="A1556" s="18">
        <v>2001</v>
      </c>
      <c r="B1556" s="19">
        <v>58</v>
      </c>
      <c r="C1556" s="19">
        <f t="shared" si="107"/>
        <v>20010058</v>
      </c>
      <c r="D1556" s="23" t="s">
        <v>604</v>
      </c>
      <c r="E1556" s="20" t="s">
        <v>640</v>
      </c>
      <c r="I1556" s="22" t="s">
        <v>206</v>
      </c>
      <c r="J1556" s="22"/>
      <c r="K1556" s="22"/>
      <c r="L1556" s="22"/>
      <c r="M1556" s="22"/>
      <c r="N1556" s="22" t="s">
        <v>454</v>
      </c>
      <c r="O1556" s="22" t="s">
        <v>454</v>
      </c>
      <c r="P1556" s="22"/>
      <c r="Q1556" s="22" t="s">
        <v>2041</v>
      </c>
      <c r="R1556" s="22"/>
      <c r="S1556" s="22"/>
      <c r="T1556" s="22" t="s">
        <v>3131</v>
      </c>
      <c r="U1556" s="116" t="s">
        <v>3134</v>
      </c>
      <c r="V1556" s="22" t="s">
        <v>454</v>
      </c>
      <c r="W1556" s="22" t="s">
        <v>1</v>
      </c>
      <c r="X1556" s="22"/>
      <c r="Z1556" s="22"/>
      <c r="AA1556" s="22"/>
      <c r="AB1556" s="22"/>
      <c r="AC1556" s="22"/>
      <c r="AD1556" s="22"/>
      <c r="AE1556" s="24"/>
      <c r="AF1556" s="24" t="s">
        <v>2042</v>
      </c>
      <c r="AG1556" s="22"/>
      <c r="AK1556" s="40" t="s">
        <v>623</v>
      </c>
      <c r="AL1556" s="40"/>
      <c r="AX1556" s="27"/>
      <c r="AY1556" s="27"/>
      <c r="BK1556" s="27"/>
      <c r="BL1556" s="27"/>
      <c r="BX1556" s="27"/>
      <c r="BY1556" s="27"/>
      <c r="CH1556" s="29"/>
      <c r="CM1556" s="23" t="s">
        <v>507</v>
      </c>
    </row>
    <row r="1557" spans="1:91" x14ac:dyDescent="0.2">
      <c r="A1557" s="18">
        <v>2001</v>
      </c>
      <c r="B1557" s="19">
        <v>59</v>
      </c>
      <c r="C1557" s="19">
        <f t="shared" si="107"/>
        <v>20010059</v>
      </c>
      <c r="D1557" s="23" t="s">
        <v>604</v>
      </c>
      <c r="E1557" s="20" t="s">
        <v>640</v>
      </c>
      <c r="I1557" s="22" t="s">
        <v>206</v>
      </c>
      <c r="J1557" s="22"/>
      <c r="K1557" s="22"/>
      <c r="L1557" s="22"/>
      <c r="M1557" s="22"/>
      <c r="N1557" s="22" t="s">
        <v>454</v>
      </c>
      <c r="O1557" s="22" t="s">
        <v>454</v>
      </c>
      <c r="P1557" s="22"/>
      <c r="Q1557" s="22" t="s">
        <v>2041</v>
      </c>
      <c r="R1557" s="22"/>
      <c r="S1557" s="22"/>
      <c r="T1557" s="22" t="s">
        <v>3131</v>
      </c>
      <c r="U1557" s="116" t="s">
        <v>3134</v>
      </c>
      <c r="V1557" s="22" t="s">
        <v>454</v>
      </c>
      <c r="W1557" s="22" t="s">
        <v>1</v>
      </c>
      <c r="X1557" s="22"/>
      <c r="Z1557" s="22"/>
      <c r="AA1557" s="22"/>
      <c r="AB1557" s="22"/>
      <c r="AC1557" s="22"/>
      <c r="AD1557" s="22"/>
      <c r="AE1557" s="24"/>
      <c r="AF1557" s="24" t="s">
        <v>2042</v>
      </c>
      <c r="AG1557" s="22"/>
      <c r="AK1557" s="40" t="s">
        <v>623</v>
      </c>
      <c r="AL1557" s="40"/>
      <c r="AX1557" s="27"/>
      <c r="AY1557" s="27"/>
      <c r="BK1557" s="27"/>
      <c r="BL1557" s="27"/>
      <c r="BX1557" s="27"/>
      <c r="BY1557" s="27"/>
      <c r="CH1557" s="29"/>
      <c r="CM1557" s="23" t="s">
        <v>508</v>
      </c>
    </row>
    <row r="1558" spans="1:91" x14ac:dyDescent="0.2">
      <c r="A1558" s="18">
        <v>2001</v>
      </c>
      <c r="B1558" s="19">
        <v>60</v>
      </c>
      <c r="C1558" s="19">
        <f t="shared" si="107"/>
        <v>20010060</v>
      </c>
      <c r="D1558" s="23" t="s">
        <v>604</v>
      </c>
      <c r="E1558" s="20" t="s">
        <v>640</v>
      </c>
      <c r="I1558" s="22" t="s">
        <v>206</v>
      </c>
      <c r="J1558" s="22"/>
      <c r="K1558" s="22"/>
      <c r="L1558" s="22"/>
      <c r="M1558" s="22"/>
      <c r="N1558" s="22" t="s">
        <v>454</v>
      </c>
      <c r="O1558" s="22" t="s">
        <v>454</v>
      </c>
      <c r="P1558" s="22"/>
      <c r="Q1558" s="22" t="s">
        <v>2041</v>
      </c>
      <c r="R1558" s="22"/>
      <c r="S1558" s="22"/>
      <c r="T1558" s="22" t="s">
        <v>3131</v>
      </c>
      <c r="U1558" s="116" t="s">
        <v>3134</v>
      </c>
      <c r="V1558" s="22" t="s">
        <v>454</v>
      </c>
      <c r="W1558" s="22" t="s">
        <v>1</v>
      </c>
      <c r="X1558" s="22"/>
      <c r="Z1558" s="22"/>
      <c r="AA1558" s="22"/>
      <c r="AB1558" s="22"/>
      <c r="AC1558" s="22"/>
      <c r="AD1558" s="22"/>
      <c r="AE1558" s="24"/>
      <c r="AF1558" s="24" t="s">
        <v>2042</v>
      </c>
      <c r="AG1558" s="22"/>
      <c r="AK1558" s="40" t="s">
        <v>623</v>
      </c>
      <c r="AL1558" s="40"/>
      <c r="AX1558" s="27"/>
      <c r="AY1558" s="27"/>
      <c r="BK1558" s="27"/>
      <c r="BL1558" s="27"/>
      <c r="BX1558" s="27"/>
      <c r="BY1558" s="27"/>
      <c r="CH1558" s="29"/>
      <c r="CM1558" s="23" t="s">
        <v>509</v>
      </c>
    </row>
    <row r="1559" spans="1:91" x14ac:dyDescent="0.2">
      <c r="A1559" s="18">
        <v>2001</v>
      </c>
      <c r="B1559" s="19">
        <v>61</v>
      </c>
      <c r="C1559" s="19">
        <f t="shared" si="107"/>
        <v>20010061</v>
      </c>
      <c r="D1559" s="23" t="s">
        <v>605</v>
      </c>
      <c r="E1559" s="20" t="s">
        <v>640</v>
      </c>
      <c r="I1559" s="22" t="s">
        <v>206</v>
      </c>
      <c r="J1559" s="22"/>
      <c r="K1559" s="22"/>
      <c r="L1559" s="22"/>
      <c r="M1559" s="22"/>
      <c r="N1559" s="22" t="s">
        <v>454</v>
      </c>
      <c r="O1559" s="22" t="s">
        <v>454</v>
      </c>
      <c r="P1559" s="22"/>
      <c r="Q1559" s="22" t="s">
        <v>2041</v>
      </c>
      <c r="R1559" s="22"/>
      <c r="S1559" s="22"/>
      <c r="T1559" s="22" t="s">
        <v>3131</v>
      </c>
      <c r="U1559" s="116" t="s">
        <v>3135</v>
      </c>
      <c r="V1559" s="22" t="s">
        <v>454</v>
      </c>
      <c r="W1559" s="22" t="s">
        <v>1</v>
      </c>
      <c r="X1559" s="22"/>
      <c r="Z1559" s="22"/>
      <c r="AA1559" s="22"/>
      <c r="AB1559" s="22"/>
      <c r="AC1559" s="22"/>
      <c r="AD1559" s="22"/>
      <c r="AE1559" s="24"/>
      <c r="AF1559" s="24" t="s">
        <v>2042</v>
      </c>
      <c r="AG1559" s="22"/>
      <c r="AK1559" s="40" t="s">
        <v>624</v>
      </c>
      <c r="AL1559" s="40"/>
      <c r="AX1559" s="27"/>
      <c r="AY1559" s="27"/>
      <c r="BK1559" s="27"/>
      <c r="BL1559" s="27"/>
      <c r="BX1559" s="27"/>
      <c r="BY1559" s="27"/>
      <c r="CH1559" s="29"/>
      <c r="CM1559" s="23" t="s">
        <v>510</v>
      </c>
    </row>
    <row r="1560" spans="1:91" x14ac:dyDescent="0.2">
      <c r="A1560" s="18">
        <v>2001</v>
      </c>
      <c r="B1560" s="19">
        <v>62</v>
      </c>
      <c r="C1560" s="19">
        <f t="shared" si="107"/>
        <v>20010062</v>
      </c>
      <c r="D1560" s="23" t="s">
        <v>605</v>
      </c>
      <c r="E1560" s="20" t="s">
        <v>640</v>
      </c>
      <c r="I1560" s="22" t="s">
        <v>206</v>
      </c>
      <c r="J1560" s="22"/>
      <c r="K1560" s="22"/>
      <c r="L1560" s="22"/>
      <c r="M1560" s="22"/>
      <c r="N1560" s="22" t="s">
        <v>454</v>
      </c>
      <c r="O1560" s="22" t="s">
        <v>454</v>
      </c>
      <c r="P1560" s="22"/>
      <c r="Q1560" s="22" t="s">
        <v>2041</v>
      </c>
      <c r="R1560" s="22"/>
      <c r="S1560" s="22"/>
      <c r="T1560" s="22" t="s">
        <v>3131</v>
      </c>
      <c r="U1560" s="116" t="s">
        <v>3135</v>
      </c>
      <c r="V1560" s="22" t="s">
        <v>454</v>
      </c>
      <c r="W1560" s="22" t="s">
        <v>1</v>
      </c>
      <c r="X1560" s="22"/>
      <c r="Z1560" s="22"/>
      <c r="AA1560" s="22"/>
      <c r="AB1560" s="22"/>
      <c r="AC1560" s="22"/>
      <c r="AD1560" s="22"/>
      <c r="AE1560" s="24"/>
      <c r="AF1560" s="24" t="s">
        <v>2042</v>
      </c>
      <c r="AG1560" s="22"/>
      <c r="AK1560" s="40" t="s">
        <v>624</v>
      </c>
      <c r="AL1560" s="40"/>
      <c r="AX1560" s="27"/>
      <c r="AY1560" s="27"/>
      <c r="BK1560" s="27"/>
      <c r="BL1560" s="27"/>
      <c r="BX1560" s="27"/>
      <c r="BY1560" s="27"/>
      <c r="CH1560" s="29"/>
      <c r="CM1560" s="23" t="s">
        <v>511</v>
      </c>
    </row>
    <row r="1561" spans="1:91" x14ac:dyDescent="0.2">
      <c r="A1561" s="18">
        <v>2001</v>
      </c>
      <c r="B1561" s="19">
        <v>63</v>
      </c>
      <c r="C1561" s="19">
        <f t="shared" si="107"/>
        <v>20010063</v>
      </c>
      <c r="D1561" s="23" t="s">
        <v>605</v>
      </c>
      <c r="E1561" s="20" t="s">
        <v>640</v>
      </c>
      <c r="I1561" s="22" t="s">
        <v>206</v>
      </c>
      <c r="J1561" s="22"/>
      <c r="K1561" s="22"/>
      <c r="L1561" s="22"/>
      <c r="M1561" s="22"/>
      <c r="N1561" s="22" t="s">
        <v>454</v>
      </c>
      <c r="O1561" s="22" t="s">
        <v>454</v>
      </c>
      <c r="P1561" s="22"/>
      <c r="Q1561" s="22" t="s">
        <v>2041</v>
      </c>
      <c r="R1561" s="22"/>
      <c r="S1561" s="22"/>
      <c r="T1561" s="22" t="s">
        <v>3131</v>
      </c>
      <c r="U1561" s="116" t="s">
        <v>3135</v>
      </c>
      <c r="V1561" s="22" t="s">
        <v>454</v>
      </c>
      <c r="W1561" s="22" t="s">
        <v>1</v>
      </c>
      <c r="X1561" s="22"/>
      <c r="Z1561" s="22"/>
      <c r="AA1561" s="22"/>
      <c r="AB1561" s="22"/>
      <c r="AC1561" s="22"/>
      <c r="AD1561" s="22"/>
      <c r="AE1561" s="24"/>
      <c r="AF1561" s="24" t="s">
        <v>2042</v>
      </c>
      <c r="AG1561" s="22"/>
      <c r="AK1561" s="40" t="s">
        <v>624</v>
      </c>
      <c r="AL1561" s="40"/>
      <c r="AX1561" s="27"/>
      <c r="AY1561" s="27"/>
      <c r="BK1561" s="27"/>
      <c r="BL1561" s="27"/>
      <c r="BX1561" s="27"/>
      <c r="BY1561" s="27"/>
      <c r="CH1561" s="29"/>
      <c r="CM1561" s="23" t="s">
        <v>512</v>
      </c>
    </row>
    <row r="1562" spans="1:91" x14ac:dyDescent="0.2">
      <c r="A1562" s="18">
        <v>2001</v>
      </c>
      <c r="B1562" s="19">
        <v>64</v>
      </c>
      <c r="C1562" s="19">
        <f t="shared" si="107"/>
        <v>20010064</v>
      </c>
      <c r="D1562" s="23" t="s">
        <v>605</v>
      </c>
      <c r="E1562" s="20" t="s">
        <v>640</v>
      </c>
      <c r="I1562" s="22" t="s">
        <v>206</v>
      </c>
      <c r="J1562" s="22"/>
      <c r="K1562" s="22"/>
      <c r="L1562" s="22"/>
      <c r="M1562" s="22"/>
      <c r="N1562" s="22" t="s">
        <v>454</v>
      </c>
      <c r="O1562" s="22" t="s">
        <v>454</v>
      </c>
      <c r="P1562" s="22"/>
      <c r="Q1562" s="22" t="s">
        <v>2041</v>
      </c>
      <c r="R1562" s="22"/>
      <c r="S1562" s="22"/>
      <c r="T1562" s="22" t="s">
        <v>3131</v>
      </c>
      <c r="U1562" s="116" t="s">
        <v>3135</v>
      </c>
      <c r="V1562" s="22" t="s">
        <v>454</v>
      </c>
      <c r="W1562" s="22" t="s">
        <v>1</v>
      </c>
      <c r="X1562" s="22"/>
      <c r="Z1562" s="22"/>
      <c r="AA1562" s="22"/>
      <c r="AB1562" s="22"/>
      <c r="AC1562" s="22"/>
      <c r="AD1562" s="22"/>
      <c r="AE1562" s="24"/>
      <c r="AF1562" s="24" t="s">
        <v>2042</v>
      </c>
      <c r="AG1562" s="22"/>
      <c r="AK1562" s="40" t="s">
        <v>624</v>
      </c>
      <c r="AL1562" s="40"/>
      <c r="AX1562" s="27"/>
      <c r="AY1562" s="27"/>
      <c r="BK1562" s="27"/>
      <c r="BL1562" s="27"/>
      <c r="BX1562" s="27"/>
      <c r="BY1562" s="27"/>
      <c r="CH1562" s="29"/>
      <c r="CM1562" s="23" t="s">
        <v>513</v>
      </c>
    </row>
    <row r="1563" spans="1:91" x14ac:dyDescent="0.2">
      <c r="A1563" s="18">
        <v>2001</v>
      </c>
      <c r="B1563" s="19">
        <v>65</v>
      </c>
      <c r="C1563" s="19">
        <f t="shared" si="107"/>
        <v>20010065</v>
      </c>
      <c r="D1563" s="23" t="s">
        <v>605</v>
      </c>
      <c r="E1563" s="20" t="s">
        <v>640</v>
      </c>
      <c r="I1563" s="22" t="s">
        <v>206</v>
      </c>
      <c r="J1563" s="22"/>
      <c r="K1563" s="22"/>
      <c r="L1563" s="22"/>
      <c r="M1563" s="22"/>
      <c r="N1563" s="22" t="s">
        <v>454</v>
      </c>
      <c r="O1563" s="22" t="s">
        <v>454</v>
      </c>
      <c r="P1563" s="22"/>
      <c r="Q1563" s="22" t="s">
        <v>2041</v>
      </c>
      <c r="R1563" s="22"/>
      <c r="S1563" s="22"/>
      <c r="T1563" s="22" t="s">
        <v>3131</v>
      </c>
      <c r="U1563" s="116" t="s">
        <v>3135</v>
      </c>
      <c r="V1563" s="22" t="s">
        <v>454</v>
      </c>
      <c r="W1563" s="22" t="s">
        <v>1</v>
      </c>
      <c r="X1563" s="22"/>
      <c r="Z1563" s="22"/>
      <c r="AA1563" s="22"/>
      <c r="AB1563" s="22"/>
      <c r="AC1563" s="22"/>
      <c r="AD1563" s="22"/>
      <c r="AE1563" s="24"/>
      <c r="AF1563" s="24" t="s">
        <v>2042</v>
      </c>
      <c r="AG1563" s="22"/>
      <c r="AK1563" s="40" t="s">
        <v>624</v>
      </c>
      <c r="AL1563" s="40"/>
      <c r="AX1563" s="27"/>
      <c r="AY1563" s="27"/>
      <c r="BK1563" s="27"/>
      <c r="BL1563" s="27"/>
      <c r="BX1563" s="27"/>
      <c r="BY1563" s="27"/>
      <c r="CH1563" s="29"/>
      <c r="CM1563" s="23" t="s">
        <v>514</v>
      </c>
    </row>
    <row r="1564" spans="1:91" x14ac:dyDescent="0.2">
      <c r="A1564" s="18">
        <v>2001</v>
      </c>
      <c r="B1564" s="19">
        <v>66</v>
      </c>
      <c r="C1564" s="19">
        <f t="shared" si="107"/>
        <v>20010066</v>
      </c>
      <c r="D1564" s="23" t="s">
        <v>606</v>
      </c>
      <c r="E1564" s="20" t="s">
        <v>640</v>
      </c>
      <c r="I1564" s="22" t="s">
        <v>206</v>
      </c>
      <c r="J1564" s="22"/>
      <c r="K1564" s="22"/>
      <c r="L1564" s="22"/>
      <c r="M1564" s="22"/>
      <c r="N1564" s="22" t="s">
        <v>454</v>
      </c>
      <c r="O1564" s="22" t="s">
        <v>454</v>
      </c>
      <c r="P1564" s="22"/>
      <c r="Q1564" s="22" t="s">
        <v>2041</v>
      </c>
      <c r="R1564" s="22"/>
      <c r="S1564" s="22"/>
      <c r="T1564" s="22" t="s">
        <v>3131</v>
      </c>
      <c r="U1564" s="116" t="s">
        <v>3136</v>
      </c>
      <c r="V1564" s="22" t="s">
        <v>454</v>
      </c>
      <c r="W1564" s="22" t="s">
        <v>1</v>
      </c>
      <c r="X1564" s="22"/>
      <c r="Z1564" s="22"/>
      <c r="AA1564" s="22"/>
      <c r="AB1564" s="22"/>
      <c r="AC1564" s="22"/>
      <c r="AD1564" s="22"/>
      <c r="AE1564" s="24"/>
      <c r="AF1564" s="24" t="s">
        <v>2042</v>
      </c>
      <c r="AG1564" s="22"/>
      <c r="AK1564" s="40" t="s">
        <v>625</v>
      </c>
      <c r="AL1564" s="40"/>
      <c r="AX1564" s="27"/>
      <c r="AY1564" s="27"/>
      <c r="BK1564" s="27"/>
      <c r="BL1564" s="27"/>
      <c r="BX1564" s="27"/>
      <c r="BY1564" s="27"/>
      <c r="CH1564" s="29"/>
      <c r="CM1564" s="23" t="s">
        <v>579</v>
      </c>
    </row>
    <row r="1565" spans="1:91" x14ac:dyDescent="0.2">
      <c r="A1565" s="18">
        <v>2001</v>
      </c>
      <c r="B1565" s="19">
        <v>67</v>
      </c>
      <c r="C1565" s="19">
        <f t="shared" si="107"/>
        <v>20010067</v>
      </c>
      <c r="D1565" s="23" t="s">
        <v>606</v>
      </c>
      <c r="E1565" s="20" t="s">
        <v>640</v>
      </c>
      <c r="I1565" s="22" t="s">
        <v>206</v>
      </c>
      <c r="J1565" s="22"/>
      <c r="K1565" s="22"/>
      <c r="L1565" s="22"/>
      <c r="M1565" s="22"/>
      <c r="N1565" s="22" t="s">
        <v>454</v>
      </c>
      <c r="O1565" s="22" t="s">
        <v>454</v>
      </c>
      <c r="P1565" s="22"/>
      <c r="Q1565" s="22" t="s">
        <v>2041</v>
      </c>
      <c r="R1565" s="22"/>
      <c r="S1565" s="22"/>
      <c r="T1565" s="22" t="s">
        <v>3131</v>
      </c>
      <c r="U1565" s="116" t="s">
        <v>3136</v>
      </c>
      <c r="V1565" s="22" t="s">
        <v>454</v>
      </c>
      <c r="W1565" s="22" t="s">
        <v>1</v>
      </c>
      <c r="X1565" s="22"/>
      <c r="Z1565" s="22"/>
      <c r="AA1565" s="22"/>
      <c r="AB1565" s="22"/>
      <c r="AC1565" s="22"/>
      <c r="AD1565" s="22"/>
      <c r="AE1565" s="24"/>
      <c r="AF1565" s="24" t="s">
        <v>2042</v>
      </c>
      <c r="AG1565" s="22"/>
      <c r="AK1565" s="40" t="s">
        <v>625</v>
      </c>
      <c r="AL1565" s="40"/>
      <c r="AX1565" s="27"/>
      <c r="AY1565" s="27"/>
      <c r="BK1565" s="27"/>
      <c r="BL1565" s="27"/>
      <c r="BX1565" s="27"/>
      <c r="BY1565" s="27"/>
      <c r="CH1565" s="29"/>
      <c r="CM1565" s="23" t="s">
        <v>580</v>
      </c>
    </row>
    <row r="1566" spans="1:91" x14ac:dyDescent="0.2">
      <c r="A1566" s="18">
        <v>2001</v>
      </c>
      <c r="B1566" s="19">
        <v>68</v>
      </c>
      <c r="C1566" s="19">
        <f t="shared" si="107"/>
        <v>20010068</v>
      </c>
      <c r="D1566" s="23" t="s">
        <v>606</v>
      </c>
      <c r="E1566" s="20" t="s">
        <v>640</v>
      </c>
      <c r="I1566" s="22" t="s">
        <v>206</v>
      </c>
      <c r="J1566" s="22"/>
      <c r="K1566" s="22"/>
      <c r="L1566" s="22"/>
      <c r="M1566" s="22"/>
      <c r="N1566" s="22" t="s">
        <v>454</v>
      </c>
      <c r="O1566" s="22" t="s">
        <v>454</v>
      </c>
      <c r="P1566" s="22"/>
      <c r="Q1566" s="22" t="s">
        <v>2041</v>
      </c>
      <c r="R1566" s="22"/>
      <c r="S1566" s="22"/>
      <c r="T1566" s="22" t="s">
        <v>3131</v>
      </c>
      <c r="U1566" s="116" t="s">
        <v>3136</v>
      </c>
      <c r="V1566" s="22" t="s">
        <v>454</v>
      </c>
      <c r="W1566" s="22" t="s">
        <v>1</v>
      </c>
      <c r="X1566" s="22"/>
      <c r="Z1566" s="22"/>
      <c r="AA1566" s="22"/>
      <c r="AB1566" s="22"/>
      <c r="AC1566" s="22"/>
      <c r="AD1566" s="22"/>
      <c r="AE1566" s="24"/>
      <c r="AF1566" s="24" t="s">
        <v>2042</v>
      </c>
      <c r="AG1566" s="22"/>
      <c r="AK1566" s="40" t="s">
        <v>625</v>
      </c>
      <c r="AL1566" s="40"/>
      <c r="AX1566" s="27"/>
      <c r="AY1566" s="27"/>
      <c r="BK1566" s="27"/>
      <c r="BL1566" s="27"/>
      <c r="BX1566" s="27"/>
      <c r="BY1566" s="27"/>
      <c r="CH1566" s="29"/>
      <c r="CM1566" s="23" t="s">
        <v>581</v>
      </c>
    </row>
    <row r="1567" spans="1:91" x14ac:dyDescent="0.2">
      <c r="A1567" s="18">
        <v>2001</v>
      </c>
      <c r="B1567" s="19">
        <v>69</v>
      </c>
      <c r="C1567" s="19">
        <f t="shared" si="107"/>
        <v>20010069</v>
      </c>
      <c r="D1567" s="23" t="s">
        <v>606</v>
      </c>
      <c r="E1567" s="20" t="s">
        <v>640</v>
      </c>
      <c r="I1567" s="22" t="s">
        <v>206</v>
      </c>
      <c r="J1567" s="22"/>
      <c r="K1567" s="22"/>
      <c r="L1567" s="22"/>
      <c r="M1567" s="22"/>
      <c r="N1567" s="22" t="s">
        <v>454</v>
      </c>
      <c r="O1567" s="22" t="s">
        <v>454</v>
      </c>
      <c r="P1567" s="22"/>
      <c r="Q1567" s="22" t="s">
        <v>2041</v>
      </c>
      <c r="R1567" s="22"/>
      <c r="S1567" s="22"/>
      <c r="T1567" s="22" t="s">
        <v>3131</v>
      </c>
      <c r="U1567" s="116" t="s">
        <v>3136</v>
      </c>
      <c r="V1567" s="22" t="s">
        <v>454</v>
      </c>
      <c r="W1567" s="22" t="s">
        <v>1</v>
      </c>
      <c r="X1567" s="22"/>
      <c r="Z1567" s="22"/>
      <c r="AA1567" s="22"/>
      <c r="AB1567" s="22"/>
      <c r="AC1567" s="22"/>
      <c r="AD1567" s="22"/>
      <c r="AE1567" s="24"/>
      <c r="AF1567" s="24" t="s">
        <v>2042</v>
      </c>
      <c r="AG1567" s="22"/>
      <c r="AK1567" s="40" t="s">
        <v>625</v>
      </c>
      <c r="AL1567" s="40"/>
      <c r="AX1567" s="27"/>
      <c r="AY1567" s="27"/>
      <c r="BK1567" s="27"/>
      <c r="BL1567" s="27"/>
      <c r="BX1567" s="27"/>
      <c r="BY1567" s="27"/>
      <c r="CH1567" s="29"/>
      <c r="CM1567" s="23" t="s">
        <v>582</v>
      </c>
    </row>
    <row r="1568" spans="1:91" x14ac:dyDescent="0.2">
      <c r="A1568" s="18">
        <v>2001</v>
      </c>
      <c r="B1568" s="19">
        <v>70</v>
      </c>
      <c r="C1568" s="19">
        <f t="shared" si="107"/>
        <v>20010070</v>
      </c>
      <c r="D1568" s="23" t="s">
        <v>606</v>
      </c>
      <c r="E1568" s="20" t="s">
        <v>640</v>
      </c>
      <c r="I1568" s="22" t="s">
        <v>206</v>
      </c>
      <c r="J1568" s="22"/>
      <c r="K1568" s="22"/>
      <c r="L1568" s="22"/>
      <c r="M1568" s="22"/>
      <c r="N1568" s="22" t="s">
        <v>454</v>
      </c>
      <c r="O1568" s="22" t="s">
        <v>454</v>
      </c>
      <c r="P1568" s="22"/>
      <c r="Q1568" s="22" t="s">
        <v>2041</v>
      </c>
      <c r="R1568" s="22"/>
      <c r="S1568" s="22"/>
      <c r="T1568" s="22" t="s">
        <v>3131</v>
      </c>
      <c r="U1568" s="116" t="s">
        <v>3136</v>
      </c>
      <c r="V1568" s="22" t="s">
        <v>454</v>
      </c>
      <c r="W1568" s="22" t="s">
        <v>1</v>
      </c>
      <c r="X1568" s="22"/>
      <c r="Z1568" s="22"/>
      <c r="AA1568" s="22"/>
      <c r="AB1568" s="22"/>
      <c r="AC1568" s="22"/>
      <c r="AD1568" s="22"/>
      <c r="AE1568" s="24"/>
      <c r="AF1568" s="24" t="s">
        <v>2042</v>
      </c>
      <c r="AG1568" s="22"/>
      <c r="AK1568" s="40" t="s">
        <v>625</v>
      </c>
      <c r="AL1568" s="40"/>
      <c r="AX1568" s="27"/>
      <c r="AY1568" s="27"/>
      <c r="BK1568" s="27"/>
      <c r="BL1568" s="27"/>
      <c r="BX1568" s="27"/>
      <c r="BY1568" s="27"/>
      <c r="CH1568" s="29"/>
      <c r="CM1568" s="23" t="s">
        <v>240</v>
      </c>
    </row>
    <row r="1569" spans="1:91" x14ac:dyDescent="0.2">
      <c r="A1569" s="18">
        <v>2001</v>
      </c>
      <c r="B1569" s="19">
        <v>71</v>
      </c>
      <c r="C1569" s="19">
        <f t="shared" si="107"/>
        <v>20010071</v>
      </c>
      <c r="D1569" s="23" t="s">
        <v>607</v>
      </c>
      <c r="E1569" s="20" t="s">
        <v>640</v>
      </c>
      <c r="I1569" s="22" t="s">
        <v>206</v>
      </c>
      <c r="J1569" s="22"/>
      <c r="K1569" s="22"/>
      <c r="L1569" s="22"/>
      <c r="M1569" s="22"/>
      <c r="N1569" s="22" t="s">
        <v>454</v>
      </c>
      <c r="O1569" s="22" t="s">
        <v>454</v>
      </c>
      <c r="P1569" s="22"/>
      <c r="Q1569" s="22" t="s">
        <v>2041</v>
      </c>
      <c r="R1569" s="22"/>
      <c r="S1569" s="22"/>
      <c r="T1569" s="22" t="s">
        <v>3131</v>
      </c>
      <c r="U1569" s="116" t="s">
        <v>3137</v>
      </c>
      <c r="V1569" s="22" t="s">
        <v>454</v>
      </c>
      <c r="W1569" s="22" t="s">
        <v>1</v>
      </c>
      <c r="X1569" s="22"/>
      <c r="Z1569" s="22"/>
      <c r="AA1569" s="22"/>
      <c r="AB1569" s="22"/>
      <c r="AC1569" s="22"/>
      <c r="AD1569" s="22"/>
      <c r="AE1569" s="24"/>
      <c r="AF1569" s="24" t="s">
        <v>2042</v>
      </c>
      <c r="AG1569" s="22"/>
      <c r="AK1569" s="40" t="s">
        <v>626</v>
      </c>
      <c r="AL1569" s="40"/>
      <c r="AX1569" s="27"/>
      <c r="AY1569" s="27"/>
      <c r="BK1569" s="27"/>
      <c r="BL1569" s="27"/>
      <c r="BX1569" s="27"/>
      <c r="BY1569" s="27"/>
      <c r="CH1569" s="29"/>
      <c r="CM1569" s="23" t="s">
        <v>583</v>
      </c>
    </row>
    <row r="1570" spans="1:91" x14ac:dyDescent="0.2">
      <c r="A1570" s="18">
        <v>2001</v>
      </c>
      <c r="B1570" s="19">
        <v>72</v>
      </c>
      <c r="C1570" s="19">
        <f t="shared" si="107"/>
        <v>20010072</v>
      </c>
      <c r="D1570" s="23" t="s">
        <v>607</v>
      </c>
      <c r="E1570" s="20" t="s">
        <v>640</v>
      </c>
      <c r="I1570" s="22" t="s">
        <v>206</v>
      </c>
      <c r="J1570" s="22"/>
      <c r="K1570" s="22"/>
      <c r="L1570" s="22"/>
      <c r="M1570" s="22"/>
      <c r="N1570" s="22" t="s">
        <v>454</v>
      </c>
      <c r="O1570" s="22" t="s">
        <v>454</v>
      </c>
      <c r="P1570" s="22"/>
      <c r="Q1570" s="22" t="s">
        <v>2041</v>
      </c>
      <c r="R1570" s="22"/>
      <c r="S1570" s="22"/>
      <c r="T1570" s="22" t="s">
        <v>3131</v>
      </c>
      <c r="U1570" s="116" t="s">
        <v>3137</v>
      </c>
      <c r="V1570" s="22" t="s">
        <v>454</v>
      </c>
      <c r="W1570" s="22" t="s">
        <v>1</v>
      </c>
      <c r="X1570" s="22"/>
      <c r="Z1570" s="22"/>
      <c r="AA1570" s="22"/>
      <c r="AB1570" s="22"/>
      <c r="AC1570" s="22"/>
      <c r="AD1570" s="22"/>
      <c r="AE1570" s="24"/>
      <c r="AF1570" s="24" t="s">
        <v>2042</v>
      </c>
      <c r="AG1570" s="22"/>
      <c r="AK1570" s="40" t="s">
        <v>626</v>
      </c>
      <c r="AL1570" s="40"/>
      <c r="AX1570" s="27"/>
      <c r="AY1570" s="27"/>
      <c r="BK1570" s="27"/>
      <c r="BL1570" s="27"/>
      <c r="BX1570" s="27"/>
      <c r="BY1570" s="27"/>
      <c r="CH1570" s="29"/>
      <c r="CM1570" s="23" t="s">
        <v>584</v>
      </c>
    </row>
    <row r="1571" spans="1:91" x14ac:dyDescent="0.2">
      <c r="A1571" s="18">
        <v>2001</v>
      </c>
      <c r="B1571" s="19">
        <v>73</v>
      </c>
      <c r="C1571" s="19">
        <f t="shared" si="107"/>
        <v>20010073</v>
      </c>
      <c r="D1571" s="23" t="s">
        <v>607</v>
      </c>
      <c r="E1571" s="20" t="s">
        <v>640</v>
      </c>
      <c r="I1571" s="22" t="s">
        <v>206</v>
      </c>
      <c r="J1571" s="22"/>
      <c r="K1571" s="22"/>
      <c r="L1571" s="22"/>
      <c r="M1571" s="22"/>
      <c r="N1571" s="22" t="s">
        <v>454</v>
      </c>
      <c r="O1571" s="22" t="s">
        <v>454</v>
      </c>
      <c r="P1571" s="22"/>
      <c r="Q1571" s="22" t="s">
        <v>2041</v>
      </c>
      <c r="R1571" s="22"/>
      <c r="S1571" s="22"/>
      <c r="T1571" s="22" t="s">
        <v>3131</v>
      </c>
      <c r="U1571" s="116" t="s">
        <v>3137</v>
      </c>
      <c r="V1571" s="22" t="s">
        <v>454</v>
      </c>
      <c r="W1571" s="22" t="s">
        <v>1</v>
      </c>
      <c r="X1571" s="22"/>
      <c r="Z1571" s="22"/>
      <c r="AA1571" s="22"/>
      <c r="AB1571" s="22"/>
      <c r="AC1571" s="22"/>
      <c r="AD1571" s="22"/>
      <c r="AE1571" s="24"/>
      <c r="AF1571" s="24" t="s">
        <v>2042</v>
      </c>
      <c r="AG1571" s="22"/>
      <c r="AK1571" s="40" t="s">
        <v>626</v>
      </c>
      <c r="AL1571" s="40"/>
      <c r="AX1571" s="27"/>
      <c r="AY1571" s="27"/>
      <c r="BK1571" s="27"/>
      <c r="BL1571" s="27"/>
      <c r="BX1571" s="27"/>
      <c r="BY1571" s="27"/>
      <c r="CH1571" s="29"/>
      <c r="CM1571" s="23" t="s">
        <v>585</v>
      </c>
    </row>
    <row r="1572" spans="1:91" x14ac:dyDescent="0.2">
      <c r="A1572" s="18">
        <v>2001</v>
      </c>
      <c r="B1572" s="19">
        <v>74</v>
      </c>
      <c r="C1572" s="19">
        <f t="shared" si="107"/>
        <v>20010074</v>
      </c>
      <c r="D1572" s="23" t="s">
        <v>607</v>
      </c>
      <c r="E1572" s="20" t="s">
        <v>640</v>
      </c>
      <c r="I1572" s="22" t="s">
        <v>206</v>
      </c>
      <c r="J1572" s="22"/>
      <c r="K1572" s="22"/>
      <c r="L1572" s="22"/>
      <c r="M1572" s="22"/>
      <c r="N1572" s="22" t="s">
        <v>454</v>
      </c>
      <c r="O1572" s="22" t="s">
        <v>454</v>
      </c>
      <c r="P1572" s="22"/>
      <c r="Q1572" s="22" t="s">
        <v>2041</v>
      </c>
      <c r="R1572" s="22"/>
      <c r="S1572" s="22"/>
      <c r="T1572" s="22" t="s">
        <v>3131</v>
      </c>
      <c r="U1572" s="116" t="s">
        <v>3137</v>
      </c>
      <c r="V1572" s="22" t="s">
        <v>454</v>
      </c>
      <c r="W1572" s="22" t="s">
        <v>1</v>
      </c>
      <c r="X1572" s="22"/>
      <c r="Z1572" s="22"/>
      <c r="AA1572" s="22"/>
      <c r="AB1572" s="22"/>
      <c r="AC1572" s="22"/>
      <c r="AD1572" s="22"/>
      <c r="AE1572" s="24"/>
      <c r="AF1572" s="24" t="s">
        <v>2042</v>
      </c>
      <c r="AG1572" s="22"/>
      <c r="AK1572" s="40" t="s">
        <v>626</v>
      </c>
      <c r="AL1572" s="40"/>
      <c r="AX1572" s="27"/>
      <c r="AY1572" s="27"/>
      <c r="BK1572" s="27"/>
      <c r="BL1572" s="27"/>
      <c r="BX1572" s="27"/>
      <c r="BY1572" s="27"/>
      <c r="CH1572" s="29"/>
      <c r="CM1572" s="23" t="s">
        <v>586</v>
      </c>
    </row>
    <row r="1573" spans="1:91" x14ac:dyDescent="0.2">
      <c r="A1573" s="18">
        <v>2001</v>
      </c>
      <c r="B1573" s="19">
        <v>75</v>
      </c>
      <c r="C1573" s="19">
        <f t="shared" si="107"/>
        <v>20010075</v>
      </c>
      <c r="D1573" s="23" t="s">
        <v>607</v>
      </c>
      <c r="E1573" s="20" t="s">
        <v>640</v>
      </c>
      <c r="I1573" s="22" t="s">
        <v>206</v>
      </c>
      <c r="J1573" s="22"/>
      <c r="K1573" s="22"/>
      <c r="L1573" s="22"/>
      <c r="M1573" s="22"/>
      <c r="N1573" s="22" t="s">
        <v>454</v>
      </c>
      <c r="O1573" s="22" t="s">
        <v>454</v>
      </c>
      <c r="P1573" s="22"/>
      <c r="Q1573" s="22" t="s">
        <v>2041</v>
      </c>
      <c r="R1573" s="22"/>
      <c r="S1573" s="22"/>
      <c r="T1573" s="22" t="s">
        <v>3131</v>
      </c>
      <c r="U1573" s="116" t="s">
        <v>3137</v>
      </c>
      <c r="V1573" s="22" t="s">
        <v>454</v>
      </c>
      <c r="W1573" s="22" t="s">
        <v>1</v>
      </c>
      <c r="X1573" s="22"/>
      <c r="Z1573" s="22"/>
      <c r="AA1573" s="22"/>
      <c r="AB1573" s="22"/>
      <c r="AC1573" s="22"/>
      <c r="AD1573" s="22"/>
      <c r="AE1573" s="24"/>
      <c r="AF1573" s="24" t="s">
        <v>2042</v>
      </c>
      <c r="AG1573" s="22"/>
      <c r="AK1573" s="40" t="s">
        <v>626</v>
      </c>
      <c r="AL1573" s="40"/>
      <c r="AX1573" s="27"/>
      <c r="AY1573" s="27"/>
      <c r="BK1573" s="27"/>
      <c r="BL1573" s="27"/>
      <c r="BX1573" s="27"/>
      <c r="BY1573" s="27"/>
      <c r="CH1573" s="29"/>
      <c r="CM1573" s="23" t="s">
        <v>587</v>
      </c>
    </row>
    <row r="1574" spans="1:91" x14ac:dyDescent="0.2">
      <c r="A1574" s="18">
        <v>2001</v>
      </c>
      <c r="B1574" s="19">
        <v>76</v>
      </c>
      <c r="C1574" s="19">
        <f t="shared" si="107"/>
        <v>20010076</v>
      </c>
      <c r="D1574" s="23" t="s">
        <v>608</v>
      </c>
      <c r="E1574" s="20" t="s">
        <v>640</v>
      </c>
      <c r="I1574" s="22" t="s">
        <v>206</v>
      </c>
      <c r="J1574" s="22"/>
      <c r="K1574" s="22"/>
      <c r="L1574" s="22"/>
      <c r="M1574" s="22"/>
      <c r="N1574" s="22" t="s">
        <v>454</v>
      </c>
      <c r="O1574" s="22" t="s">
        <v>454</v>
      </c>
      <c r="P1574" s="22"/>
      <c r="Q1574" s="22" t="s">
        <v>2041</v>
      </c>
      <c r="R1574" s="22"/>
      <c r="S1574" s="22"/>
      <c r="T1574" s="22" t="s">
        <v>3131</v>
      </c>
      <c r="U1574" s="116" t="s">
        <v>3138</v>
      </c>
      <c r="V1574" s="22" t="s">
        <v>454</v>
      </c>
      <c r="W1574" s="22" t="s">
        <v>1</v>
      </c>
      <c r="X1574" s="22"/>
      <c r="Z1574" s="22"/>
      <c r="AA1574" s="22"/>
      <c r="AB1574" s="22"/>
      <c r="AC1574" s="22"/>
      <c r="AD1574" s="22"/>
      <c r="AE1574" s="24"/>
      <c r="AF1574" s="24" t="s">
        <v>2042</v>
      </c>
      <c r="AG1574" s="22"/>
      <c r="AK1574" s="40" t="s">
        <v>627</v>
      </c>
      <c r="AL1574" s="40"/>
      <c r="AX1574" s="27"/>
      <c r="AY1574" s="27"/>
      <c r="BK1574" s="27"/>
      <c r="BL1574" s="27"/>
      <c r="BX1574" s="27"/>
      <c r="BY1574" s="27"/>
      <c r="CH1574" s="29"/>
      <c r="CM1574" s="23" t="s">
        <v>735</v>
      </c>
    </row>
    <row r="1575" spans="1:91" x14ac:dyDescent="0.2">
      <c r="A1575" s="18">
        <v>2001</v>
      </c>
      <c r="B1575" s="19">
        <v>77</v>
      </c>
      <c r="C1575" s="19">
        <f t="shared" si="107"/>
        <v>20010077</v>
      </c>
      <c r="D1575" s="23" t="s">
        <v>608</v>
      </c>
      <c r="E1575" s="20" t="s">
        <v>640</v>
      </c>
      <c r="I1575" s="22" t="s">
        <v>206</v>
      </c>
      <c r="J1575" s="22"/>
      <c r="K1575" s="22"/>
      <c r="L1575" s="22"/>
      <c r="M1575" s="22"/>
      <c r="N1575" s="22" t="s">
        <v>454</v>
      </c>
      <c r="O1575" s="22" t="s">
        <v>454</v>
      </c>
      <c r="P1575" s="22"/>
      <c r="Q1575" s="22" t="s">
        <v>2041</v>
      </c>
      <c r="R1575" s="22"/>
      <c r="S1575" s="22"/>
      <c r="T1575" s="22" t="s">
        <v>3131</v>
      </c>
      <c r="U1575" s="116" t="s">
        <v>3138</v>
      </c>
      <c r="V1575" s="22" t="s">
        <v>454</v>
      </c>
      <c r="W1575" s="22" t="s">
        <v>1</v>
      </c>
      <c r="X1575" s="22"/>
      <c r="Z1575" s="22"/>
      <c r="AA1575" s="22"/>
      <c r="AB1575" s="22"/>
      <c r="AC1575" s="22"/>
      <c r="AD1575" s="22"/>
      <c r="AE1575" s="24"/>
      <c r="AF1575" s="24" t="s">
        <v>2042</v>
      </c>
      <c r="AG1575" s="22"/>
      <c r="AK1575" s="40" t="s">
        <v>627</v>
      </c>
      <c r="AL1575" s="40"/>
      <c r="AX1575" s="27"/>
      <c r="AY1575" s="27"/>
      <c r="BK1575" s="27"/>
      <c r="BL1575" s="27"/>
      <c r="BX1575" s="27"/>
      <c r="BY1575" s="27"/>
      <c r="CH1575" s="29"/>
      <c r="CM1575" s="23" t="s">
        <v>736</v>
      </c>
    </row>
    <row r="1576" spans="1:91" x14ac:dyDescent="0.2">
      <c r="A1576" s="18">
        <v>2001</v>
      </c>
      <c r="B1576" s="19">
        <v>78</v>
      </c>
      <c r="C1576" s="19">
        <f t="shared" si="107"/>
        <v>20010078</v>
      </c>
      <c r="D1576" s="23" t="s">
        <v>608</v>
      </c>
      <c r="E1576" s="20" t="s">
        <v>640</v>
      </c>
      <c r="I1576" s="22" t="s">
        <v>206</v>
      </c>
      <c r="J1576" s="22"/>
      <c r="K1576" s="22"/>
      <c r="L1576" s="22"/>
      <c r="M1576" s="22"/>
      <c r="N1576" s="22" t="s">
        <v>454</v>
      </c>
      <c r="O1576" s="22" t="s">
        <v>454</v>
      </c>
      <c r="P1576" s="22"/>
      <c r="Q1576" s="22" t="s">
        <v>2041</v>
      </c>
      <c r="R1576" s="22"/>
      <c r="S1576" s="22"/>
      <c r="T1576" s="22" t="s">
        <v>3131</v>
      </c>
      <c r="U1576" s="116" t="s">
        <v>3138</v>
      </c>
      <c r="V1576" s="22" t="s">
        <v>454</v>
      </c>
      <c r="W1576" s="22" t="s">
        <v>1</v>
      </c>
      <c r="X1576" s="22"/>
      <c r="Z1576" s="22"/>
      <c r="AA1576" s="22"/>
      <c r="AB1576" s="22"/>
      <c r="AC1576" s="22"/>
      <c r="AD1576" s="22"/>
      <c r="AE1576" s="24"/>
      <c r="AF1576" s="24" t="s">
        <v>2042</v>
      </c>
      <c r="AG1576" s="22"/>
      <c r="AK1576" s="40" t="s">
        <v>627</v>
      </c>
      <c r="AL1576" s="40"/>
      <c r="AX1576" s="27"/>
      <c r="AY1576" s="27"/>
      <c r="BK1576" s="27"/>
      <c r="BL1576" s="27"/>
      <c r="BX1576" s="27"/>
      <c r="BY1576" s="27"/>
      <c r="CH1576" s="29"/>
      <c r="CM1576" s="23" t="s">
        <v>726</v>
      </c>
    </row>
    <row r="1577" spans="1:91" x14ac:dyDescent="0.2">
      <c r="A1577" s="18">
        <v>2001</v>
      </c>
      <c r="B1577" s="19">
        <v>79</v>
      </c>
      <c r="C1577" s="19">
        <f t="shared" si="107"/>
        <v>20010079</v>
      </c>
      <c r="D1577" s="23" t="s">
        <v>608</v>
      </c>
      <c r="E1577" s="20" t="s">
        <v>640</v>
      </c>
      <c r="I1577" s="22" t="s">
        <v>206</v>
      </c>
      <c r="J1577" s="22"/>
      <c r="K1577" s="22"/>
      <c r="L1577" s="22"/>
      <c r="M1577" s="22"/>
      <c r="N1577" s="22" t="s">
        <v>454</v>
      </c>
      <c r="O1577" s="22" t="s">
        <v>454</v>
      </c>
      <c r="P1577" s="22"/>
      <c r="Q1577" s="22" t="s">
        <v>2041</v>
      </c>
      <c r="R1577" s="22"/>
      <c r="S1577" s="22"/>
      <c r="T1577" s="22" t="s">
        <v>3131</v>
      </c>
      <c r="U1577" s="116" t="s">
        <v>3138</v>
      </c>
      <c r="V1577" s="22" t="s">
        <v>454</v>
      </c>
      <c r="W1577" s="22" t="s">
        <v>1</v>
      </c>
      <c r="X1577" s="22"/>
      <c r="Z1577" s="22"/>
      <c r="AA1577" s="22"/>
      <c r="AB1577" s="22"/>
      <c r="AC1577" s="22"/>
      <c r="AD1577" s="22"/>
      <c r="AE1577" s="24"/>
      <c r="AF1577" s="24" t="s">
        <v>2042</v>
      </c>
      <c r="AG1577" s="22"/>
      <c r="AK1577" s="40" t="s">
        <v>627</v>
      </c>
      <c r="AL1577" s="40"/>
      <c r="AX1577" s="27"/>
      <c r="AY1577" s="27"/>
      <c r="BK1577" s="27"/>
      <c r="BL1577" s="27"/>
      <c r="BX1577" s="27"/>
      <c r="BY1577" s="27"/>
      <c r="CH1577" s="29"/>
      <c r="CM1577" s="23" t="s">
        <v>727</v>
      </c>
    </row>
    <row r="1578" spans="1:91" x14ac:dyDescent="0.2">
      <c r="A1578" s="18">
        <v>2001</v>
      </c>
      <c r="B1578" s="19">
        <v>80</v>
      </c>
      <c r="C1578" s="19">
        <f t="shared" si="107"/>
        <v>20010080</v>
      </c>
      <c r="D1578" s="23" t="s">
        <v>608</v>
      </c>
      <c r="E1578" s="20" t="s">
        <v>640</v>
      </c>
      <c r="I1578" s="22" t="s">
        <v>206</v>
      </c>
      <c r="J1578" s="22"/>
      <c r="K1578" s="22"/>
      <c r="L1578" s="22"/>
      <c r="M1578" s="22"/>
      <c r="N1578" s="22" t="s">
        <v>454</v>
      </c>
      <c r="O1578" s="22" t="s">
        <v>454</v>
      </c>
      <c r="P1578" s="22"/>
      <c r="Q1578" s="22" t="s">
        <v>2041</v>
      </c>
      <c r="R1578" s="22"/>
      <c r="S1578" s="22"/>
      <c r="T1578" s="22" t="s">
        <v>3131</v>
      </c>
      <c r="U1578" s="116" t="s">
        <v>3138</v>
      </c>
      <c r="V1578" s="22" t="s">
        <v>454</v>
      </c>
      <c r="W1578" s="22" t="s">
        <v>1</v>
      </c>
      <c r="X1578" s="22"/>
      <c r="Z1578" s="22"/>
      <c r="AA1578" s="22"/>
      <c r="AB1578" s="22"/>
      <c r="AC1578" s="22"/>
      <c r="AD1578" s="22"/>
      <c r="AE1578" s="24"/>
      <c r="AF1578" s="24" t="s">
        <v>2042</v>
      </c>
      <c r="AG1578" s="22"/>
      <c r="AK1578" s="40" t="s">
        <v>627</v>
      </c>
      <c r="AL1578" s="40"/>
      <c r="AX1578" s="27"/>
      <c r="AY1578" s="27"/>
      <c r="BK1578" s="27"/>
      <c r="BL1578" s="27"/>
      <c r="BX1578" s="27"/>
      <c r="BY1578" s="27"/>
      <c r="CH1578" s="29"/>
      <c r="CM1578" s="23" t="s">
        <v>351</v>
      </c>
    </row>
    <row r="1579" spans="1:91" x14ac:dyDescent="0.2">
      <c r="A1579" s="18">
        <v>2001</v>
      </c>
      <c r="B1579" s="19">
        <v>81</v>
      </c>
      <c r="C1579" s="19">
        <f t="shared" si="107"/>
        <v>20010081</v>
      </c>
      <c r="D1579" s="23" t="s">
        <v>609</v>
      </c>
      <c r="E1579" s="20" t="s">
        <v>640</v>
      </c>
      <c r="I1579" s="22" t="s">
        <v>206</v>
      </c>
      <c r="J1579" s="22"/>
      <c r="K1579" s="22"/>
      <c r="L1579" s="22"/>
      <c r="M1579" s="22"/>
      <c r="N1579" s="22" t="s">
        <v>454</v>
      </c>
      <c r="O1579" s="22" t="s">
        <v>454</v>
      </c>
      <c r="P1579" s="22"/>
      <c r="Q1579" s="22" t="s">
        <v>2041</v>
      </c>
      <c r="R1579" s="22"/>
      <c r="S1579" s="22"/>
      <c r="T1579" s="22" t="s">
        <v>3131</v>
      </c>
      <c r="U1579" s="116" t="s">
        <v>3139</v>
      </c>
      <c r="V1579" s="22" t="s">
        <v>454</v>
      </c>
      <c r="W1579" s="22" t="s">
        <v>1</v>
      </c>
      <c r="X1579" s="22"/>
      <c r="Z1579" s="22"/>
      <c r="AA1579" s="22"/>
      <c r="AB1579" s="22"/>
      <c r="AC1579" s="22"/>
      <c r="AD1579" s="22"/>
      <c r="AE1579" s="24"/>
      <c r="AF1579" s="24" t="s">
        <v>2042</v>
      </c>
      <c r="AG1579" s="22"/>
      <c r="AK1579" s="40" t="s">
        <v>628</v>
      </c>
      <c r="AL1579" s="40"/>
      <c r="AX1579" s="27"/>
      <c r="AY1579" s="27"/>
      <c r="BK1579" s="27"/>
      <c r="BL1579" s="27"/>
      <c r="BX1579" s="27"/>
      <c r="BY1579" s="27"/>
      <c r="CH1579" s="29"/>
      <c r="CM1579" s="23" t="s">
        <v>737</v>
      </c>
    </row>
    <row r="1580" spans="1:91" x14ac:dyDescent="0.2">
      <c r="A1580" s="18">
        <v>2001</v>
      </c>
      <c r="B1580" s="19">
        <v>82</v>
      </c>
      <c r="C1580" s="19">
        <f t="shared" si="107"/>
        <v>20010082</v>
      </c>
      <c r="D1580" s="23" t="s">
        <v>609</v>
      </c>
      <c r="E1580" s="20" t="s">
        <v>640</v>
      </c>
      <c r="I1580" s="22" t="s">
        <v>206</v>
      </c>
      <c r="J1580" s="22"/>
      <c r="K1580" s="22"/>
      <c r="L1580" s="22"/>
      <c r="M1580" s="22"/>
      <c r="N1580" s="22" t="s">
        <v>454</v>
      </c>
      <c r="O1580" s="22" t="s">
        <v>454</v>
      </c>
      <c r="P1580" s="22"/>
      <c r="Q1580" s="22" t="s">
        <v>2041</v>
      </c>
      <c r="R1580" s="22"/>
      <c r="S1580" s="22"/>
      <c r="T1580" s="22" t="s">
        <v>3131</v>
      </c>
      <c r="U1580" s="116" t="s">
        <v>3139</v>
      </c>
      <c r="V1580" s="22" t="s">
        <v>454</v>
      </c>
      <c r="W1580" s="22" t="s">
        <v>1</v>
      </c>
      <c r="X1580" s="22"/>
      <c r="Z1580" s="22"/>
      <c r="AA1580" s="22"/>
      <c r="AB1580" s="22"/>
      <c r="AC1580" s="22"/>
      <c r="AD1580" s="22"/>
      <c r="AE1580" s="24"/>
      <c r="AF1580" s="24" t="s">
        <v>2042</v>
      </c>
      <c r="AG1580" s="22"/>
      <c r="AK1580" s="40" t="s">
        <v>628</v>
      </c>
      <c r="AL1580" s="40"/>
      <c r="AX1580" s="27"/>
      <c r="AY1580" s="27"/>
      <c r="BK1580" s="27"/>
      <c r="BL1580" s="27"/>
      <c r="BX1580" s="27"/>
      <c r="BY1580" s="27"/>
      <c r="CH1580" s="29"/>
      <c r="CM1580" s="23" t="s">
        <v>738</v>
      </c>
    </row>
    <row r="1581" spans="1:91" x14ac:dyDescent="0.2">
      <c r="A1581" s="18">
        <v>2001</v>
      </c>
      <c r="B1581" s="19">
        <v>83</v>
      </c>
      <c r="C1581" s="19">
        <f t="shared" si="107"/>
        <v>20010083</v>
      </c>
      <c r="D1581" s="23" t="s">
        <v>609</v>
      </c>
      <c r="E1581" s="20" t="s">
        <v>640</v>
      </c>
      <c r="I1581" s="22" t="s">
        <v>206</v>
      </c>
      <c r="J1581" s="22"/>
      <c r="K1581" s="22"/>
      <c r="L1581" s="22"/>
      <c r="M1581" s="22"/>
      <c r="N1581" s="22" t="s">
        <v>454</v>
      </c>
      <c r="O1581" s="22" t="s">
        <v>454</v>
      </c>
      <c r="P1581" s="22"/>
      <c r="Q1581" s="22" t="s">
        <v>2041</v>
      </c>
      <c r="R1581" s="22"/>
      <c r="S1581" s="22"/>
      <c r="T1581" s="22" t="s">
        <v>3131</v>
      </c>
      <c r="U1581" s="116" t="s">
        <v>3139</v>
      </c>
      <c r="V1581" s="22" t="s">
        <v>454</v>
      </c>
      <c r="W1581" s="22" t="s">
        <v>1</v>
      </c>
      <c r="X1581" s="22"/>
      <c r="Z1581" s="22"/>
      <c r="AA1581" s="22"/>
      <c r="AB1581" s="22"/>
      <c r="AC1581" s="22"/>
      <c r="AD1581" s="22"/>
      <c r="AE1581" s="24"/>
      <c r="AF1581" s="24" t="s">
        <v>2042</v>
      </c>
      <c r="AG1581" s="22"/>
      <c r="AK1581" s="40" t="s">
        <v>628</v>
      </c>
      <c r="AL1581" s="40"/>
      <c r="AX1581" s="27"/>
      <c r="AY1581" s="27"/>
      <c r="BK1581" s="27"/>
      <c r="BL1581" s="27"/>
      <c r="BX1581" s="27"/>
      <c r="BY1581" s="27"/>
      <c r="CH1581" s="29"/>
      <c r="CM1581" s="23" t="s">
        <v>739</v>
      </c>
    </row>
    <row r="1582" spans="1:91" x14ac:dyDescent="0.2">
      <c r="A1582" s="18">
        <v>2001</v>
      </c>
      <c r="B1582" s="19">
        <v>84</v>
      </c>
      <c r="C1582" s="19">
        <f t="shared" si="107"/>
        <v>20010084</v>
      </c>
      <c r="D1582" s="23" t="s">
        <v>609</v>
      </c>
      <c r="E1582" s="20" t="s">
        <v>640</v>
      </c>
      <c r="I1582" s="22" t="s">
        <v>206</v>
      </c>
      <c r="J1582" s="22"/>
      <c r="K1582" s="22"/>
      <c r="L1582" s="22"/>
      <c r="M1582" s="22"/>
      <c r="N1582" s="22" t="s">
        <v>454</v>
      </c>
      <c r="O1582" s="22" t="s">
        <v>454</v>
      </c>
      <c r="P1582" s="22"/>
      <c r="Q1582" s="22" t="s">
        <v>2041</v>
      </c>
      <c r="R1582" s="22"/>
      <c r="S1582" s="22"/>
      <c r="T1582" s="22" t="s">
        <v>3131</v>
      </c>
      <c r="U1582" s="116" t="s">
        <v>3139</v>
      </c>
      <c r="V1582" s="22" t="s">
        <v>454</v>
      </c>
      <c r="W1582" s="22" t="s">
        <v>1</v>
      </c>
      <c r="X1582" s="22"/>
      <c r="Z1582" s="22"/>
      <c r="AA1582" s="22"/>
      <c r="AB1582" s="22"/>
      <c r="AC1582" s="22"/>
      <c r="AD1582" s="22"/>
      <c r="AE1582" s="24"/>
      <c r="AF1582" s="24" t="s">
        <v>2042</v>
      </c>
      <c r="AG1582" s="22"/>
      <c r="AK1582" s="40" t="s">
        <v>628</v>
      </c>
      <c r="AL1582" s="40"/>
      <c r="AX1582" s="27"/>
      <c r="AY1582" s="27"/>
      <c r="BK1582" s="27"/>
      <c r="BL1582" s="27"/>
      <c r="BX1582" s="27"/>
      <c r="BY1582" s="27"/>
      <c r="CH1582" s="29"/>
      <c r="CM1582" s="23" t="s">
        <v>740</v>
      </c>
    </row>
    <row r="1583" spans="1:91" x14ac:dyDescent="0.2">
      <c r="A1583" s="18">
        <v>2001</v>
      </c>
      <c r="B1583" s="19">
        <v>85</v>
      </c>
      <c r="C1583" s="19">
        <f t="shared" si="107"/>
        <v>20010085</v>
      </c>
      <c r="D1583" s="23" t="s">
        <v>609</v>
      </c>
      <c r="E1583" s="20" t="s">
        <v>640</v>
      </c>
      <c r="I1583" s="22" t="s">
        <v>206</v>
      </c>
      <c r="J1583" s="22"/>
      <c r="K1583" s="22"/>
      <c r="L1583" s="22"/>
      <c r="M1583" s="22"/>
      <c r="N1583" s="22" t="s">
        <v>454</v>
      </c>
      <c r="O1583" s="22" t="s">
        <v>454</v>
      </c>
      <c r="P1583" s="22"/>
      <c r="Q1583" s="22" t="s">
        <v>2041</v>
      </c>
      <c r="R1583" s="22"/>
      <c r="S1583" s="22"/>
      <c r="T1583" s="22" t="s">
        <v>3131</v>
      </c>
      <c r="U1583" s="116" t="s">
        <v>3139</v>
      </c>
      <c r="V1583" s="22" t="s">
        <v>454</v>
      </c>
      <c r="W1583" s="22" t="s">
        <v>1</v>
      </c>
      <c r="X1583" s="22"/>
      <c r="Z1583" s="22"/>
      <c r="AA1583" s="22"/>
      <c r="AB1583" s="22"/>
      <c r="AC1583" s="22"/>
      <c r="AD1583" s="22"/>
      <c r="AE1583" s="24"/>
      <c r="AF1583" s="24" t="s">
        <v>2042</v>
      </c>
      <c r="AG1583" s="22"/>
      <c r="AK1583" s="40" t="s">
        <v>628</v>
      </c>
      <c r="AL1583" s="40"/>
      <c r="AX1583" s="27"/>
      <c r="AY1583" s="27"/>
      <c r="BK1583" s="27"/>
      <c r="BL1583" s="27"/>
      <c r="BX1583" s="27"/>
      <c r="BY1583" s="27"/>
      <c r="CH1583" s="29"/>
      <c r="CM1583" s="23" t="s">
        <v>741</v>
      </c>
    </row>
    <row r="1584" spans="1:91" x14ac:dyDescent="0.2">
      <c r="A1584" s="18">
        <v>2001</v>
      </c>
      <c r="B1584" s="19">
        <v>86</v>
      </c>
      <c r="C1584" s="19">
        <f t="shared" ref="C1584:C1647" si="108">A1584*10000+B1584</f>
        <v>20010086</v>
      </c>
      <c r="D1584" s="23" t="s">
        <v>610</v>
      </c>
      <c r="E1584" s="20" t="s">
        <v>640</v>
      </c>
      <c r="I1584" s="22" t="s">
        <v>206</v>
      </c>
      <c r="J1584" s="22"/>
      <c r="K1584" s="22"/>
      <c r="L1584" s="22"/>
      <c r="M1584" s="22"/>
      <c r="N1584" s="22" t="s">
        <v>454</v>
      </c>
      <c r="O1584" s="22" t="s">
        <v>454</v>
      </c>
      <c r="P1584" s="22"/>
      <c r="Q1584" s="22" t="s">
        <v>2041</v>
      </c>
      <c r="R1584" s="22"/>
      <c r="S1584" s="22"/>
      <c r="T1584" s="22" t="s">
        <v>3131</v>
      </c>
      <c r="U1584" s="116" t="s">
        <v>3140</v>
      </c>
      <c r="V1584" s="22" t="s">
        <v>454</v>
      </c>
      <c r="W1584" s="22" t="s">
        <v>1</v>
      </c>
      <c r="X1584" s="22"/>
      <c r="Z1584" s="22"/>
      <c r="AA1584" s="22"/>
      <c r="AB1584" s="22"/>
      <c r="AC1584" s="22"/>
      <c r="AD1584" s="22"/>
      <c r="AE1584" s="24"/>
      <c r="AF1584" s="24" t="s">
        <v>2042</v>
      </c>
      <c r="AG1584" s="22"/>
      <c r="AK1584" s="40" t="s">
        <v>629</v>
      </c>
      <c r="AL1584" s="40"/>
      <c r="AX1584" s="27"/>
      <c r="AY1584" s="27"/>
      <c r="BK1584" s="27"/>
      <c r="BL1584" s="27"/>
      <c r="BX1584" s="27"/>
      <c r="BY1584" s="27"/>
      <c r="CH1584" s="29"/>
      <c r="CM1584" s="23" t="s">
        <v>742</v>
      </c>
    </row>
    <row r="1585" spans="1:91" x14ac:dyDescent="0.2">
      <c r="A1585" s="18">
        <v>2001</v>
      </c>
      <c r="B1585" s="19">
        <v>87</v>
      </c>
      <c r="C1585" s="19">
        <f t="shared" si="108"/>
        <v>20010087</v>
      </c>
      <c r="D1585" s="23" t="s">
        <v>610</v>
      </c>
      <c r="E1585" s="20" t="s">
        <v>640</v>
      </c>
      <c r="I1585" s="22" t="s">
        <v>206</v>
      </c>
      <c r="J1585" s="22"/>
      <c r="K1585" s="22"/>
      <c r="L1585" s="22"/>
      <c r="M1585" s="22"/>
      <c r="N1585" s="22" t="s">
        <v>454</v>
      </c>
      <c r="O1585" s="22" t="s">
        <v>454</v>
      </c>
      <c r="P1585" s="22"/>
      <c r="Q1585" s="22" t="s">
        <v>2041</v>
      </c>
      <c r="R1585" s="22"/>
      <c r="S1585" s="22"/>
      <c r="T1585" s="22" t="s">
        <v>3131</v>
      </c>
      <c r="U1585" s="116" t="s">
        <v>3140</v>
      </c>
      <c r="V1585" s="22" t="s">
        <v>454</v>
      </c>
      <c r="W1585" s="22" t="s">
        <v>1</v>
      </c>
      <c r="X1585" s="22"/>
      <c r="Z1585" s="22"/>
      <c r="AA1585" s="22"/>
      <c r="AB1585" s="22"/>
      <c r="AC1585" s="22"/>
      <c r="AD1585" s="22"/>
      <c r="AE1585" s="24"/>
      <c r="AF1585" s="24" t="s">
        <v>2042</v>
      </c>
      <c r="AG1585" s="22"/>
      <c r="AK1585" s="40" t="s">
        <v>629</v>
      </c>
      <c r="AL1585" s="40"/>
      <c r="AX1585" s="27"/>
      <c r="AY1585" s="27"/>
      <c r="BK1585" s="27"/>
      <c r="BL1585" s="27"/>
      <c r="BX1585" s="27"/>
      <c r="BY1585" s="27"/>
      <c r="CH1585" s="29"/>
      <c r="CM1585" s="23" t="s">
        <v>743</v>
      </c>
    </row>
    <row r="1586" spans="1:91" x14ac:dyDescent="0.2">
      <c r="A1586" s="18">
        <v>2001</v>
      </c>
      <c r="B1586" s="19">
        <v>88</v>
      </c>
      <c r="C1586" s="19">
        <f t="shared" si="108"/>
        <v>20010088</v>
      </c>
      <c r="D1586" s="23" t="s">
        <v>610</v>
      </c>
      <c r="E1586" s="20" t="s">
        <v>640</v>
      </c>
      <c r="I1586" s="22" t="s">
        <v>206</v>
      </c>
      <c r="J1586" s="22"/>
      <c r="K1586" s="22"/>
      <c r="L1586" s="22"/>
      <c r="M1586" s="22"/>
      <c r="N1586" s="22" t="s">
        <v>454</v>
      </c>
      <c r="O1586" s="22" t="s">
        <v>454</v>
      </c>
      <c r="P1586" s="22"/>
      <c r="Q1586" s="22" t="s">
        <v>2041</v>
      </c>
      <c r="R1586" s="22"/>
      <c r="S1586" s="22"/>
      <c r="T1586" s="22" t="s">
        <v>3131</v>
      </c>
      <c r="U1586" s="116" t="s">
        <v>3140</v>
      </c>
      <c r="V1586" s="22" t="s">
        <v>454</v>
      </c>
      <c r="W1586" s="22" t="s">
        <v>1</v>
      </c>
      <c r="X1586" s="22"/>
      <c r="Z1586" s="22"/>
      <c r="AA1586" s="22"/>
      <c r="AB1586" s="22"/>
      <c r="AC1586" s="22"/>
      <c r="AD1586" s="22"/>
      <c r="AE1586" s="24"/>
      <c r="AF1586" s="24" t="s">
        <v>2042</v>
      </c>
      <c r="AG1586" s="22"/>
      <c r="AK1586" s="40" t="s">
        <v>629</v>
      </c>
      <c r="AL1586" s="40"/>
      <c r="AX1586" s="27"/>
      <c r="AY1586" s="27"/>
      <c r="BK1586" s="27"/>
      <c r="BL1586" s="27"/>
      <c r="BX1586" s="27"/>
      <c r="BY1586" s="27"/>
      <c r="CH1586" s="29"/>
      <c r="CM1586" s="23" t="s">
        <v>744</v>
      </c>
    </row>
    <row r="1587" spans="1:91" x14ac:dyDescent="0.2">
      <c r="A1587" s="18">
        <v>2001</v>
      </c>
      <c r="B1587" s="19">
        <v>89</v>
      </c>
      <c r="C1587" s="19">
        <f t="shared" si="108"/>
        <v>20010089</v>
      </c>
      <c r="D1587" s="23" t="s">
        <v>610</v>
      </c>
      <c r="E1587" s="20" t="s">
        <v>640</v>
      </c>
      <c r="I1587" s="22" t="s">
        <v>206</v>
      </c>
      <c r="J1587" s="22"/>
      <c r="K1587" s="22"/>
      <c r="L1587" s="22"/>
      <c r="M1587" s="22"/>
      <c r="N1587" s="22" t="s">
        <v>454</v>
      </c>
      <c r="O1587" s="22" t="s">
        <v>454</v>
      </c>
      <c r="P1587" s="22"/>
      <c r="Q1587" s="22" t="s">
        <v>2041</v>
      </c>
      <c r="R1587" s="22"/>
      <c r="S1587" s="22"/>
      <c r="T1587" s="22" t="s">
        <v>3131</v>
      </c>
      <c r="U1587" s="116" t="s">
        <v>3140</v>
      </c>
      <c r="V1587" s="22" t="s">
        <v>454</v>
      </c>
      <c r="W1587" s="22" t="s">
        <v>1</v>
      </c>
      <c r="X1587" s="22"/>
      <c r="Z1587" s="22"/>
      <c r="AA1587" s="22"/>
      <c r="AB1587" s="22"/>
      <c r="AC1587" s="22"/>
      <c r="AD1587" s="22"/>
      <c r="AE1587" s="24"/>
      <c r="AF1587" s="24" t="s">
        <v>2042</v>
      </c>
      <c r="AG1587" s="22"/>
      <c r="AK1587" s="40" t="s">
        <v>629</v>
      </c>
      <c r="AL1587" s="40"/>
      <c r="AX1587" s="27"/>
      <c r="AY1587" s="27"/>
      <c r="BK1587" s="27"/>
      <c r="BL1587" s="27"/>
      <c r="BX1587" s="27"/>
      <c r="BY1587" s="27"/>
      <c r="CH1587" s="29"/>
      <c r="CM1587" s="23" t="s">
        <v>745</v>
      </c>
    </row>
    <row r="1588" spans="1:91" x14ac:dyDescent="0.2">
      <c r="A1588" s="18">
        <v>2001</v>
      </c>
      <c r="B1588" s="19">
        <v>90</v>
      </c>
      <c r="C1588" s="19">
        <f t="shared" si="108"/>
        <v>20010090</v>
      </c>
      <c r="D1588" s="23" t="s">
        <v>610</v>
      </c>
      <c r="E1588" s="20" t="s">
        <v>640</v>
      </c>
      <c r="I1588" s="22" t="s">
        <v>206</v>
      </c>
      <c r="J1588" s="22"/>
      <c r="K1588" s="22"/>
      <c r="L1588" s="22"/>
      <c r="M1588" s="22"/>
      <c r="N1588" s="22" t="s">
        <v>454</v>
      </c>
      <c r="O1588" s="22" t="s">
        <v>454</v>
      </c>
      <c r="P1588" s="22"/>
      <c r="Q1588" s="22" t="s">
        <v>2041</v>
      </c>
      <c r="R1588" s="22"/>
      <c r="S1588" s="22"/>
      <c r="T1588" s="22" t="s">
        <v>3131</v>
      </c>
      <c r="U1588" s="116" t="s">
        <v>3140</v>
      </c>
      <c r="V1588" s="22" t="s">
        <v>454</v>
      </c>
      <c r="W1588" s="22" t="s">
        <v>1</v>
      </c>
      <c r="X1588" s="22"/>
      <c r="Z1588" s="22"/>
      <c r="AA1588" s="22"/>
      <c r="AB1588" s="22"/>
      <c r="AC1588" s="22"/>
      <c r="AD1588" s="22"/>
      <c r="AE1588" s="24"/>
      <c r="AF1588" s="24" t="s">
        <v>2042</v>
      </c>
      <c r="AG1588" s="22"/>
      <c r="AK1588" s="40" t="s">
        <v>629</v>
      </c>
      <c r="AL1588" s="40"/>
      <c r="AX1588" s="27"/>
      <c r="AY1588" s="27"/>
      <c r="BK1588" s="27"/>
      <c r="BL1588" s="27"/>
      <c r="BX1588" s="27"/>
      <c r="BY1588" s="27"/>
      <c r="CH1588" s="29"/>
      <c r="CM1588" s="23" t="s">
        <v>352</v>
      </c>
    </row>
    <row r="1589" spans="1:91" x14ac:dyDescent="0.2">
      <c r="A1589" s="18">
        <v>2001</v>
      </c>
      <c r="B1589" s="19">
        <v>91</v>
      </c>
      <c r="C1589" s="19">
        <f t="shared" si="108"/>
        <v>20010091</v>
      </c>
      <c r="D1589" s="23" t="s">
        <v>611</v>
      </c>
      <c r="E1589" s="20" t="s">
        <v>640</v>
      </c>
      <c r="I1589" s="22" t="s">
        <v>206</v>
      </c>
      <c r="J1589" s="22"/>
      <c r="K1589" s="22"/>
      <c r="L1589" s="22"/>
      <c r="M1589" s="22"/>
      <c r="N1589" s="22" t="s">
        <v>454</v>
      </c>
      <c r="O1589" s="22" t="s">
        <v>454</v>
      </c>
      <c r="P1589" s="22"/>
      <c r="Q1589" s="22" t="s">
        <v>2041</v>
      </c>
      <c r="R1589" s="22"/>
      <c r="S1589" s="22"/>
      <c r="T1589" s="22" t="s">
        <v>3131</v>
      </c>
      <c r="U1589" s="116" t="s">
        <v>3141</v>
      </c>
      <c r="V1589" s="22" t="s">
        <v>454</v>
      </c>
      <c r="W1589" s="22" t="s">
        <v>1</v>
      </c>
      <c r="X1589" s="22"/>
      <c r="Z1589" s="22"/>
      <c r="AA1589" s="22"/>
      <c r="AB1589" s="22"/>
      <c r="AC1589" s="22"/>
      <c r="AD1589" s="22"/>
      <c r="AE1589" s="24"/>
      <c r="AF1589" s="24" t="s">
        <v>2042</v>
      </c>
      <c r="AG1589" s="22"/>
      <c r="AK1589" s="40" t="s">
        <v>630</v>
      </c>
      <c r="AL1589" s="40"/>
      <c r="AX1589" s="27"/>
      <c r="AY1589" s="27"/>
      <c r="BK1589" s="27"/>
      <c r="BL1589" s="27"/>
      <c r="BX1589" s="27"/>
      <c r="BY1589" s="27"/>
      <c r="CH1589" s="29"/>
      <c r="CM1589" s="23" t="s">
        <v>746</v>
      </c>
    </row>
    <row r="1590" spans="1:91" x14ac:dyDescent="0.2">
      <c r="A1590" s="18">
        <v>2001</v>
      </c>
      <c r="B1590" s="19">
        <v>92</v>
      </c>
      <c r="C1590" s="19">
        <f t="shared" si="108"/>
        <v>20010092</v>
      </c>
      <c r="D1590" s="23" t="s">
        <v>611</v>
      </c>
      <c r="E1590" s="20" t="s">
        <v>640</v>
      </c>
      <c r="I1590" s="22" t="s">
        <v>206</v>
      </c>
      <c r="J1590" s="22"/>
      <c r="K1590" s="22"/>
      <c r="L1590" s="22"/>
      <c r="M1590" s="22"/>
      <c r="N1590" s="22" t="s">
        <v>454</v>
      </c>
      <c r="O1590" s="22" t="s">
        <v>454</v>
      </c>
      <c r="P1590" s="22"/>
      <c r="Q1590" s="22" t="s">
        <v>2041</v>
      </c>
      <c r="R1590" s="22"/>
      <c r="S1590" s="22"/>
      <c r="T1590" s="22" t="s">
        <v>3131</v>
      </c>
      <c r="U1590" s="116" t="s">
        <v>3141</v>
      </c>
      <c r="V1590" s="22" t="s">
        <v>454</v>
      </c>
      <c r="W1590" s="22" t="s">
        <v>1</v>
      </c>
      <c r="X1590" s="22"/>
      <c r="Z1590" s="22"/>
      <c r="AA1590" s="22"/>
      <c r="AB1590" s="22"/>
      <c r="AC1590" s="22"/>
      <c r="AD1590" s="22"/>
      <c r="AE1590" s="24"/>
      <c r="AF1590" s="24" t="s">
        <v>2042</v>
      </c>
      <c r="AG1590" s="22"/>
      <c r="AK1590" s="40" t="s">
        <v>630</v>
      </c>
      <c r="AL1590" s="40"/>
      <c r="AX1590" s="27"/>
      <c r="AY1590" s="27"/>
      <c r="BK1590" s="27"/>
      <c r="BL1590" s="27"/>
      <c r="BX1590" s="27"/>
      <c r="BY1590" s="27"/>
      <c r="CH1590" s="29"/>
      <c r="CM1590" s="23" t="s">
        <v>747</v>
      </c>
    </row>
    <row r="1591" spans="1:91" x14ac:dyDescent="0.2">
      <c r="A1591" s="18">
        <v>2001</v>
      </c>
      <c r="B1591" s="19">
        <v>93</v>
      </c>
      <c r="C1591" s="19">
        <f t="shared" si="108"/>
        <v>20010093</v>
      </c>
      <c r="D1591" s="23" t="s">
        <v>611</v>
      </c>
      <c r="E1591" s="20" t="s">
        <v>640</v>
      </c>
      <c r="I1591" s="22" t="s">
        <v>206</v>
      </c>
      <c r="J1591" s="22"/>
      <c r="K1591" s="22"/>
      <c r="L1591" s="22"/>
      <c r="M1591" s="22"/>
      <c r="N1591" s="22" t="s">
        <v>454</v>
      </c>
      <c r="O1591" s="22" t="s">
        <v>454</v>
      </c>
      <c r="P1591" s="22"/>
      <c r="Q1591" s="22" t="s">
        <v>2041</v>
      </c>
      <c r="R1591" s="22"/>
      <c r="S1591" s="22"/>
      <c r="T1591" s="22" t="s">
        <v>3131</v>
      </c>
      <c r="U1591" s="116" t="s">
        <v>3141</v>
      </c>
      <c r="V1591" s="22" t="s">
        <v>454</v>
      </c>
      <c r="W1591" s="22" t="s">
        <v>1</v>
      </c>
      <c r="X1591" s="22"/>
      <c r="Z1591" s="22"/>
      <c r="AA1591" s="22"/>
      <c r="AB1591" s="22"/>
      <c r="AC1591" s="22"/>
      <c r="AD1591" s="22"/>
      <c r="AE1591" s="24"/>
      <c r="AF1591" s="24" t="s">
        <v>2042</v>
      </c>
      <c r="AG1591" s="22"/>
      <c r="AK1591" s="40" t="s">
        <v>630</v>
      </c>
      <c r="AL1591" s="40"/>
      <c r="AX1591" s="27"/>
      <c r="AY1591" s="27"/>
      <c r="BK1591" s="27"/>
      <c r="BL1591" s="27"/>
      <c r="BX1591" s="27"/>
      <c r="BY1591" s="27"/>
      <c r="CH1591" s="29"/>
      <c r="CM1591" s="23" t="s">
        <v>748</v>
      </c>
    </row>
    <row r="1592" spans="1:91" x14ac:dyDescent="0.2">
      <c r="A1592" s="18">
        <v>2001</v>
      </c>
      <c r="B1592" s="19">
        <v>94</v>
      </c>
      <c r="C1592" s="19">
        <f t="shared" si="108"/>
        <v>20010094</v>
      </c>
      <c r="D1592" s="23" t="s">
        <v>611</v>
      </c>
      <c r="E1592" s="20" t="s">
        <v>640</v>
      </c>
      <c r="I1592" s="22" t="s">
        <v>206</v>
      </c>
      <c r="J1592" s="22"/>
      <c r="K1592" s="22"/>
      <c r="L1592" s="22"/>
      <c r="M1592" s="22"/>
      <c r="N1592" s="22" t="s">
        <v>454</v>
      </c>
      <c r="O1592" s="22" t="s">
        <v>454</v>
      </c>
      <c r="P1592" s="22"/>
      <c r="Q1592" s="22" t="s">
        <v>2041</v>
      </c>
      <c r="R1592" s="22"/>
      <c r="S1592" s="22"/>
      <c r="T1592" s="22" t="s">
        <v>3131</v>
      </c>
      <c r="U1592" s="116" t="s">
        <v>3141</v>
      </c>
      <c r="V1592" s="22" t="s">
        <v>454</v>
      </c>
      <c r="W1592" s="22" t="s">
        <v>1</v>
      </c>
      <c r="X1592" s="22"/>
      <c r="Z1592" s="22"/>
      <c r="AA1592" s="22"/>
      <c r="AB1592" s="22"/>
      <c r="AC1592" s="22"/>
      <c r="AD1592" s="22"/>
      <c r="AE1592" s="24"/>
      <c r="AF1592" s="24" t="s">
        <v>2042</v>
      </c>
      <c r="AG1592" s="22"/>
      <c r="AK1592" s="40" t="s">
        <v>630</v>
      </c>
      <c r="AL1592" s="40"/>
      <c r="AX1592" s="27"/>
      <c r="AY1592" s="27"/>
      <c r="BK1592" s="27"/>
      <c r="BL1592" s="27"/>
      <c r="BX1592" s="27"/>
      <c r="BY1592" s="27"/>
      <c r="CH1592" s="29"/>
      <c r="CM1592" s="23" t="s">
        <v>749</v>
      </c>
    </row>
    <row r="1593" spans="1:91" x14ac:dyDescent="0.2">
      <c r="A1593" s="18">
        <v>2001</v>
      </c>
      <c r="B1593" s="19">
        <v>95</v>
      </c>
      <c r="C1593" s="19">
        <f t="shared" si="108"/>
        <v>20010095</v>
      </c>
      <c r="D1593" s="23" t="s">
        <v>611</v>
      </c>
      <c r="E1593" s="20" t="s">
        <v>640</v>
      </c>
      <c r="I1593" s="22" t="s">
        <v>206</v>
      </c>
      <c r="J1593" s="22"/>
      <c r="K1593" s="22"/>
      <c r="L1593" s="22"/>
      <c r="M1593" s="22"/>
      <c r="N1593" s="22" t="s">
        <v>454</v>
      </c>
      <c r="O1593" s="22" t="s">
        <v>454</v>
      </c>
      <c r="P1593" s="22"/>
      <c r="Q1593" s="22" t="s">
        <v>2041</v>
      </c>
      <c r="R1593" s="22"/>
      <c r="S1593" s="22"/>
      <c r="T1593" s="22" t="s">
        <v>3131</v>
      </c>
      <c r="U1593" s="116" t="s">
        <v>3141</v>
      </c>
      <c r="V1593" s="22" t="s">
        <v>454</v>
      </c>
      <c r="W1593" s="22" t="s">
        <v>1</v>
      </c>
      <c r="X1593" s="22"/>
      <c r="Z1593" s="22"/>
      <c r="AA1593" s="22"/>
      <c r="AB1593" s="22"/>
      <c r="AC1593" s="22"/>
      <c r="AD1593" s="22"/>
      <c r="AE1593" s="24"/>
      <c r="AF1593" s="24" t="s">
        <v>2042</v>
      </c>
      <c r="AG1593" s="22"/>
      <c r="AK1593" s="40" t="s">
        <v>630</v>
      </c>
      <c r="AL1593" s="40"/>
      <c r="AX1593" s="27"/>
      <c r="AY1593" s="27"/>
      <c r="BK1593" s="27"/>
      <c r="BL1593" s="27"/>
      <c r="BX1593" s="27"/>
      <c r="BY1593" s="27"/>
      <c r="CH1593" s="29"/>
      <c r="CM1593" s="23" t="s">
        <v>750</v>
      </c>
    </row>
    <row r="1594" spans="1:91" x14ac:dyDescent="0.2">
      <c r="A1594" s="18">
        <v>2001</v>
      </c>
      <c r="B1594" s="19">
        <v>96</v>
      </c>
      <c r="C1594" s="19">
        <f t="shared" si="108"/>
        <v>20010096</v>
      </c>
      <c r="D1594" s="23" t="s">
        <v>612</v>
      </c>
      <c r="E1594" s="20" t="s">
        <v>640</v>
      </c>
      <c r="I1594" s="22" t="s">
        <v>206</v>
      </c>
      <c r="J1594" s="22"/>
      <c r="K1594" s="22"/>
      <c r="L1594" s="22"/>
      <c r="M1594" s="22"/>
      <c r="N1594" s="22" t="s">
        <v>454</v>
      </c>
      <c r="O1594" s="22" t="s">
        <v>454</v>
      </c>
      <c r="P1594" s="22"/>
      <c r="Q1594" s="22" t="s">
        <v>2041</v>
      </c>
      <c r="R1594" s="22"/>
      <c r="S1594" s="22"/>
      <c r="T1594" s="22" t="s">
        <v>3131</v>
      </c>
      <c r="U1594" s="116" t="s">
        <v>3142</v>
      </c>
      <c r="V1594" s="22" t="s">
        <v>454</v>
      </c>
      <c r="W1594" s="22" t="s">
        <v>1</v>
      </c>
      <c r="X1594" s="22"/>
      <c r="Z1594" s="22"/>
      <c r="AA1594" s="22"/>
      <c r="AB1594" s="22"/>
      <c r="AC1594" s="22"/>
      <c r="AD1594" s="22"/>
      <c r="AE1594" s="24"/>
      <c r="AF1594" s="24" t="s">
        <v>2042</v>
      </c>
      <c r="AG1594" s="22"/>
      <c r="AK1594" s="40" t="s">
        <v>631</v>
      </c>
      <c r="AL1594" s="40"/>
      <c r="AX1594" s="27"/>
      <c r="AY1594" s="27"/>
      <c r="BK1594" s="27"/>
      <c r="BL1594" s="27"/>
      <c r="BX1594" s="27"/>
      <c r="BY1594" s="27"/>
      <c r="CH1594" s="29"/>
      <c r="CM1594" s="23" t="s">
        <v>756</v>
      </c>
    </row>
    <row r="1595" spans="1:91" x14ac:dyDescent="0.2">
      <c r="A1595" s="18">
        <v>2001</v>
      </c>
      <c r="B1595" s="19">
        <v>97</v>
      </c>
      <c r="C1595" s="19">
        <f t="shared" si="108"/>
        <v>20010097</v>
      </c>
      <c r="D1595" s="23" t="s">
        <v>612</v>
      </c>
      <c r="E1595" s="20" t="s">
        <v>640</v>
      </c>
      <c r="I1595" s="22" t="s">
        <v>206</v>
      </c>
      <c r="J1595" s="22"/>
      <c r="K1595" s="22"/>
      <c r="L1595" s="22"/>
      <c r="M1595" s="22"/>
      <c r="N1595" s="22" t="s">
        <v>454</v>
      </c>
      <c r="O1595" s="22" t="s">
        <v>454</v>
      </c>
      <c r="P1595" s="22"/>
      <c r="Q1595" s="22" t="s">
        <v>2041</v>
      </c>
      <c r="R1595" s="22"/>
      <c r="S1595" s="22"/>
      <c r="T1595" s="22" t="s">
        <v>3131</v>
      </c>
      <c r="U1595" s="116" t="s">
        <v>3142</v>
      </c>
      <c r="V1595" s="22" t="s">
        <v>454</v>
      </c>
      <c r="W1595" s="22" t="s">
        <v>1</v>
      </c>
      <c r="X1595" s="22"/>
      <c r="Z1595" s="22"/>
      <c r="AA1595" s="22"/>
      <c r="AB1595" s="22"/>
      <c r="AC1595" s="22"/>
      <c r="AD1595" s="22"/>
      <c r="AE1595" s="24"/>
      <c r="AF1595" s="24" t="s">
        <v>2042</v>
      </c>
      <c r="AG1595" s="22"/>
      <c r="AK1595" s="40" t="s">
        <v>631</v>
      </c>
      <c r="AL1595" s="40"/>
      <c r="AX1595" s="27"/>
      <c r="AY1595" s="27"/>
      <c r="BK1595" s="27"/>
      <c r="BL1595" s="27"/>
      <c r="BX1595" s="27"/>
      <c r="BY1595" s="27"/>
      <c r="CH1595" s="29"/>
      <c r="CM1595" s="23" t="s">
        <v>757</v>
      </c>
    </row>
    <row r="1596" spans="1:91" x14ac:dyDescent="0.2">
      <c r="A1596" s="18">
        <v>2001</v>
      </c>
      <c r="B1596" s="19">
        <v>98</v>
      </c>
      <c r="C1596" s="19">
        <f t="shared" si="108"/>
        <v>20010098</v>
      </c>
      <c r="D1596" s="23" t="s">
        <v>612</v>
      </c>
      <c r="E1596" s="20" t="s">
        <v>640</v>
      </c>
      <c r="I1596" s="22" t="s">
        <v>206</v>
      </c>
      <c r="J1596" s="22"/>
      <c r="K1596" s="22"/>
      <c r="L1596" s="22"/>
      <c r="M1596" s="22"/>
      <c r="N1596" s="22" t="s">
        <v>454</v>
      </c>
      <c r="O1596" s="22" t="s">
        <v>454</v>
      </c>
      <c r="P1596" s="22"/>
      <c r="Q1596" s="22" t="s">
        <v>2041</v>
      </c>
      <c r="R1596" s="22"/>
      <c r="S1596" s="22"/>
      <c r="T1596" s="22" t="s">
        <v>3131</v>
      </c>
      <c r="U1596" s="116" t="s">
        <v>3142</v>
      </c>
      <c r="V1596" s="22" t="s">
        <v>454</v>
      </c>
      <c r="W1596" s="22" t="s">
        <v>1</v>
      </c>
      <c r="X1596" s="22"/>
      <c r="Z1596" s="22"/>
      <c r="AA1596" s="22"/>
      <c r="AB1596" s="22"/>
      <c r="AC1596" s="22"/>
      <c r="AD1596" s="22"/>
      <c r="AE1596" s="24"/>
      <c r="AF1596" s="24" t="s">
        <v>2042</v>
      </c>
      <c r="AG1596" s="22"/>
      <c r="AK1596" s="40" t="s">
        <v>631</v>
      </c>
      <c r="AL1596" s="40"/>
      <c r="AX1596" s="27"/>
      <c r="AY1596" s="27"/>
      <c r="BK1596" s="27"/>
      <c r="BL1596" s="27"/>
      <c r="BX1596" s="27"/>
      <c r="BY1596" s="27"/>
      <c r="CH1596" s="29"/>
      <c r="CM1596" s="23" t="s">
        <v>758</v>
      </c>
    </row>
    <row r="1597" spans="1:91" x14ac:dyDescent="0.2">
      <c r="A1597" s="18">
        <v>2001</v>
      </c>
      <c r="B1597" s="19">
        <v>99</v>
      </c>
      <c r="C1597" s="19">
        <f t="shared" si="108"/>
        <v>20010099</v>
      </c>
      <c r="D1597" s="23" t="s">
        <v>612</v>
      </c>
      <c r="E1597" s="20" t="s">
        <v>640</v>
      </c>
      <c r="I1597" s="22" t="s">
        <v>206</v>
      </c>
      <c r="J1597" s="22"/>
      <c r="K1597" s="22"/>
      <c r="L1597" s="22"/>
      <c r="M1597" s="22"/>
      <c r="N1597" s="22" t="s">
        <v>454</v>
      </c>
      <c r="O1597" s="22" t="s">
        <v>454</v>
      </c>
      <c r="P1597" s="22"/>
      <c r="Q1597" s="22" t="s">
        <v>2041</v>
      </c>
      <c r="R1597" s="22"/>
      <c r="S1597" s="22"/>
      <c r="T1597" s="22" t="s">
        <v>3131</v>
      </c>
      <c r="U1597" s="116" t="s">
        <v>3142</v>
      </c>
      <c r="V1597" s="22" t="s">
        <v>454</v>
      </c>
      <c r="W1597" s="22" t="s">
        <v>1</v>
      </c>
      <c r="X1597" s="22"/>
      <c r="Z1597" s="22"/>
      <c r="AA1597" s="22"/>
      <c r="AB1597" s="22"/>
      <c r="AC1597" s="22"/>
      <c r="AD1597" s="22"/>
      <c r="AE1597" s="24"/>
      <c r="AF1597" s="24" t="s">
        <v>2042</v>
      </c>
      <c r="AG1597" s="22"/>
      <c r="AK1597" s="40" t="s">
        <v>631</v>
      </c>
      <c r="AL1597" s="40"/>
      <c r="AX1597" s="27"/>
      <c r="AY1597" s="27"/>
      <c r="BK1597" s="27"/>
      <c r="BL1597" s="27"/>
      <c r="BX1597" s="27"/>
      <c r="BY1597" s="27"/>
      <c r="CH1597" s="29"/>
      <c r="CM1597" s="23" t="s">
        <v>759</v>
      </c>
    </row>
    <row r="1598" spans="1:91" x14ac:dyDescent="0.2">
      <c r="A1598" s="18">
        <v>2001</v>
      </c>
      <c r="B1598" s="19">
        <v>100</v>
      </c>
      <c r="C1598" s="19">
        <f t="shared" si="108"/>
        <v>20010100</v>
      </c>
      <c r="D1598" s="23" t="s">
        <v>612</v>
      </c>
      <c r="E1598" s="20" t="s">
        <v>640</v>
      </c>
      <c r="I1598" s="22" t="s">
        <v>206</v>
      </c>
      <c r="J1598" s="22"/>
      <c r="K1598" s="22"/>
      <c r="L1598" s="22"/>
      <c r="M1598" s="22"/>
      <c r="N1598" s="22" t="s">
        <v>454</v>
      </c>
      <c r="O1598" s="22" t="s">
        <v>454</v>
      </c>
      <c r="P1598" s="22"/>
      <c r="Q1598" s="22" t="s">
        <v>2041</v>
      </c>
      <c r="R1598" s="22"/>
      <c r="S1598" s="22"/>
      <c r="T1598" s="22" t="s">
        <v>3131</v>
      </c>
      <c r="U1598" s="116" t="s">
        <v>3142</v>
      </c>
      <c r="V1598" s="22" t="s">
        <v>454</v>
      </c>
      <c r="W1598" s="22" t="s">
        <v>1</v>
      </c>
      <c r="X1598" s="22"/>
      <c r="Z1598" s="22"/>
      <c r="AA1598" s="22"/>
      <c r="AB1598" s="22"/>
      <c r="AC1598" s="22"/>
      <c r="AD1598" s="22"/>
      <c r="AE1598" s="24"/>
      <c r="AF1598" s="24" t="s">
        <v>2042</v>
      </c>
      <c r="AG1598" s="22"/>
      <c r="AK1598" s="40" t="s">
        <v>631</v>
      </c>
      <c r="AL1598" s="40"/>
      <c r="AX1598" s="27"/>
      <c r="AY1598" s="27"/>
      <c r="BK1598" s="27"/>
      <c r="BL1598" s="27"/>
      <c r="BX1598" s="27"/>
      <c r="BY1598" s="27"/>
      <c r="CH1598" s="29"/>
      <c r="CM1598" s="23" t="s">
        <v>353</v>
      </c>
    </row>
    <row r="1599" spans="1:91" x14ac:dyDescent="0.2">
      <c r="A1599" s="18">
        <v>2001</v>
      </c>
      <c r="B1599" s="19">
        <v>101</v>
      </c>
      <c r="C1599" s="19">
        <f t="shared" si="108"/>
        <v>20010101</v>
      </c>
      <c r="D1599" s="23" t="s">
        <v>714</v>
      </c>
      <c r="E1599" s="20" t="s">
        <v>640</v>
      </c>
      <c r="I1599" s="22" t="s">
        <v>206</v>
      </c>
      <c r="J1599" s="22"/>
      <c r="K1599" s="22"/>
      <c r="L1599" s="22"/>
      <c r="M1599" s="22"/>
      <c r="N1599" s="22" t="s">
        <v>454</v>
      </c>
      <c r="O1599" s="22" t="s">
        <v>454</v>
      </c>
      <c r="P1599" s="22"/>
      <c r="Q1599" s="22" t="s">
        <v>2041</v>
      </c>
      <c r="R1599" s="22"/>
      <c r="S1599" s="22"/>
      <c r="T1599" s="22" t="s">
        <v>3131</v>
      </c>
      <c r="U1599" s="116" t="s">
        <v>3143</v>
      </c>
      <c r="V1599" s="22" t="s">
        <v>454</v>
      </c>
      <c r="W1599" s="22" t="s">
        <v>1</v>
      </c>
      <c r="X1599" s="22"/>
      <c r="Z1599" s="22"/>
      <c r="AA1599" s="22"/>
      <c r="AB1599" s="22"/>
      <c r="AC1599" s="22"/>
      <c r="AD1599" s="22"/>
      <c r="AE1599" s="24"/>
      <c r="AF1599" s="24" t="s">
        <v>2042</v>
      </c>
      <c r="AG1599" s="22"/>
      <c r="AK1599" s="40">
        <v>6180</v>
      </c>
      <c r="AL1599" s="40"/>
      <c r="AX1599" s="27"/>
      <c r="AY1599" s="27"/>
      <c r="BK1599" s="27"/>
      <c r="BL1599" s="27"/>
      <c r="BX1599" s="27"/>
      <c r="BY1599" s="27"/>
      <c r="CH1599" s="29"/>
      <c r="CM1599" s="23" t="s">
        <v>760</v>
      </c>
    </row>
    <row r="1600" spans="1:91" x14ac:dyDescent="0.2">
      <c r="A1600" s="18">
        <v>2001</v>
      </c>
      <c r="B1600" s="19">
        <v>102</v>
      </c>
      <c r="C1600" s="19">
        <f t="shared" si="108"/>
        <v>20010102</v>
      </c>
      <c r="D1600" s="23" t="s">
        <v>714</v>
      </c>
      <c r="E1600" s="20" t="s">
        <v>640</v>
      </c>
      <c r="I1600" s="22" t="s">
        <v>206</v>
      </c>
      <c r="J1600" s="22"/>
      <c r="K1600" s="22"/>
      <c r="L1600" s="22"/>
      <c r="M1600" s="22"/>
      <c r="N1600" s="22" t="s">
        <v>454</v>
      </c>
      <c r="O1600" s="22" t="s">
        <v>454</v>
      </c>
      <c r="P1600" s="22"/>
      <c r="Q1600" s="22" t="s">
        <v>2041</v>
      </c>
      <c r="R1600" s="22"/>
      <c r="S1600" s="22"/>
      <c r="T1600" s="22" t="s">
        <v>3131</v>
      </c>
      <c r="U1600" s="116" t="s">
        <v>3143</v>
      </c>
      <c r="V1600" s="22" t="s">
        <v>454</v>
      </c>
      <c r="W1600" s="22" t="s">
        <v>1</v>
      </c>
      <c r="X1600" s="22"/>
      <c r="Z1600" s="22"/>
      <c r="AA1600" s="22"/>
      <c r="AB1600" s="22"/>
      <c r="AC1600" s="22"/>
      <c r="AD1600" s="22"/>
      <c r="AE1600" s="24"/>
      <c r="AF1600" s="24" t="s">
        <v>2042</v>
      </c>
      <c r="AG1600" s="22"/>
      <c r="AK1600" s="40">
        <v>6180</v>
      </c>
      <c r="AL1600" s="40"/>
      <c r="AX1600" s="27"/>
      <c r="AY1600" s="27"/>
      <c r="BK1600" s="27"/>
      <c r="BL1600" s="27"/>
      <c r="BX1600" s="27"/>
      <c r="BY1600" s="27"/>
      <c r="CH1600" s="29"/>
      <c r="CM1600" s="23" t="s">
        <v>761</v>
      </c>
    </row>
    <row r="1601" spans="1:91" x14ac:dyDescent="0.2">
      <c r="A1601" s="18">
        <v>2001</v>
      </c>
      <c r="B1601" s="19">
        <v>103</v>
      </c>
      <c r="C1601" s="19">
        <f t="shared" si="108"/>
        <v>20010103</v>
      </c>
      <c r="D1601" s="23" t="s">
        <v>714</v>
      </c>
      <c r="E1601" s="20" t="s">
        <v>640</v>
      </c>
      <c r="I1601" s="22" t="s">
        <v>206</v>
      </c>
      <c r="J1601" s="22"/>
      <c r="K1601" s="22"/>
      <c r="L1601" s="22"/>
      <c r="M1601" s="22"/>
      <c r="N1601" s="22" t="s">
        <v>454</v>
      </c>
      <c r="O1601" s="22" t="s">
        <v>454</v>
      </c>
      <c r="P1601" s="22"/>
      <c r="Q1601" s="22" t="s">
        <v>2041</v>
      </c>
      <c r="R1601" s="22"/>
      <c r="S1601" s="22"/>
      <c r="T1601" s="22" t="s">
        <v>3131</v>
      </c>
      <c r="U1601" s="116" t="s">
        <v>3143</v>
      </c>
      <c r="V1601" s="22" t="s">
        <v>454</v>
      </c>
      <c r="W1601" s="22" t="s">
        <v>1</v>
      </c>
      <c r="X1601" s="22"/>
      <c r="Z1601" s="22"/>
      <c r="AA1601" s="22"/>
      <c r="AB1601" s="22"/>
      <c r="AC1601" s="22"/>
      <c r="AD1601" s="22"/>
      <c r="AE1601" s="24"/>
      <c r="AF1601" s="24" t="s">
        <v>2042</v>
      </c>
      <c r="AG1601" s="22"/>
      <c r="AK1601" s="40">
        <v>6180</v>
      </c>
      <c r="AL1601" s="40"/>
      <c r="AX1601" s="27"/>
      <c r="AY1601" s="27"/>
      <c r="BK1601" s="27"/>
      <c r="BL1601" s="27"/>
      <c r="BX1601" s="27"/>
      <c r="BY1601" s="27"/>
      <c r="CH1601" s="29"/>
      <c r="CM1601" s="23" t="s">
        <v>762</v>
      </c>
    </row>
    <row r="1602" spans="1:91" x14ac:dyDescent="0.2">
      <c r="A1602" s="18">
        <v>2001</v>
      </c>
      <c r="B1602" s="19">
        <v>104</v>
      </c>
      <c r="C1602" s="19">
        <f t="shared" si="108"/>
        <v>20010104</v>
      </c>
      <c r="D1602" s="23" t="s">
        <v>714</v>
      </c>
      <c r="E1602" s="20" t="s">
        <v>640</v>
      </c>
      <c r="I1602" s="22" t="s">
        <v>206</v>
      </c>
      <c r="J1602" s="22"/>
      <c r="K1602" s="22"/>
      <c r="L1602" s="22"/>
      <c r="M1602" s="22"/>
      <c r="N1602" s="22" t="s">
        <v>454</v>
      </c>
      <c r="O1602" s="22" t="s">
        <v>454</v>
      </c>
      <c r="P1602" s="22"/>
      <c r="Q1602" s="22" t="s">
        <v>2041</v>
      </c>
      <c r="R1602" s="22"/>
      <c r="S1602" s="22"/>
      <c r="T1602" s="22" t="s">
        <v>3131</v>
      </c>
      <c r="U1602" s="116" t="s">
        <v>3143</v>
      </c>
      <c r="V1602" s="22" t="s">
        <v>454</v>
      </c>
      <c r="W1602" s="22" t="s">
        <v>1</v>
      </c>
      <c r="X1602" s="22"/>
      <c r="Z1602" s="22"/>
      <c r="AA1602" s="22"/>
      <c r="AB1602" s="22"/>
      <c r="AC1602" s="22"/>
      <c r="AD1602" s="22"/>
      <c r="AE1602" s="24"/>
      <c r="AF1602" s="24" t="s">
        <v>2042</v>
      </c>
      <c r="AG1602" s="22"/>
      <c r="AK1602" s="40">
        <v>6180</v>
      </c>
      <c r="AL1602" s="40"/>
      <c r="AX1602" s="27"/>
      <c r="AY1602" s="27"/>
      <c r="BK1602" s="27"/>
      <c r="BL1602" s="27"/>
      <c r="BX1602" s="27"/>
      <c r="BY1602" s="27"/>
      <c r="CH1602" s="29"/>
      <c r="CM1602" s="23" t="s">
        <v>763</v>
      </c>
    </row>
    <row r="1603" spans="1:91" x14ac:dyDescent="0.2">
      <c r="A1603" s="18">
        <v>2001</v>
      </c>
      <c r="B1603" s="19">
        <v>105</v>
      </c>
      <c r="C1603" s="19">
        <f t="shared" si="108"/>
        <v>20010105</v>
      </c>
      <c r="D1603" s="23" t="s">
        <v>714</v>
      </c>
      <c r="E1603" s="20" t="s">
        <v>640</v>
      </c>
      <c r="I1603" s="22" t="s">
        <v>206</v>
      </c>
      <c r="J1603" s="22"/>
      <c r="K1603" s="22"/>
      <c r="L1603" s="22"/>
      <c r="M1603" s="22"/>
      <c r="N1603" s="22" t="s">
        <v>454</v>
      </c>
      <c r="O1603" s="22" t="s">
        <v>454</v>
      </c>
      <c r="P1603" s="22"/>
      <c r="Q1603" s="22" t="s">
        <v>2041</v>
      </c>
      <c r="R1603" s="22"/>
      <c r="S1603" s="22"/>
      <c r="T1603" s="22" t="s">
        <v>3131</v>
      </c>
      <c r="U1603" s="116" t="s">
        <v>3143</v>
      </c>
      <c r="V1603" s="22" t="s">
        <v>454</v>
      </c>
      <c r="W1603" s="22" t="s">
        <v>1</v>
      </c>
      <c r="X1603" s="22"/>
      <c r="Z1603" s="22"/>
      <c r="AA1603" s="22"/>
      <c r="AB1603" s="22"/>
      <c r="AC1603" s="22"/>
      <c r="AD1603" s="22"/>
      <c r="AE1603" s="24"/>
      <c r="AF1603" s="24" t="s">
        <v>2042</v>
      </c>
      <c r="AG1603" s="22"/>
      <c r="AK1603" s="40">
        <v>6180</v>
      </c>
      <c r="AL1603" s="40"/>
      <c r="AX1603" s="27"/>
      <c r="AY1603" s="27"/>
      <c r="BK1603" s="27"/>
      <c r="BL1603" s="27"/>
      <c r="BX1603" s="27"/>
      <c r="BY1603" s="27"/>
      <c r="CH1603" s="29"/>
      <c r="CM1603" s="23" t="s">
        <v>764</v>
      </c>
    </row>
    <row r="1604" spans="1:91" x14ac:dyDescent="0.2">
      <c r="A1604" s="18">
        <v>2001</v>
      </c>
      <c r="B1604" s="19">
        <v>106</v>
      </c>
      <c r="C1604" s="19">
        <f t="shared" si="108"/>
        <v>20010106</v>
      </c>
      <c r="D1604" s="23" t="s">
        <v>715</v>
      </c>
      <c r="E1604" s="20" t="s">
        <v>640</v>
      </c>
      <c r="I1604" s="22" t="s">
        <v>206</v>
      </c>
      <c r="J1604" s="22"/>
      <c r="K1604" s="22"/>
      <c r="L1604" s="22"/>
      <c r="M1604" s="22"/>
      <c r="N1604" s="22" t="s">
        <v>454</v>
      </c>
      <c r="O1604" s="22" t="s">
        <v>454</v>
      </c>
      <c r="P1604" s="22"/>
      <c r="Q1604" s="22" t="s">
        <v>2041</v>
      </c>
      <c r="R1604" s="22"/>
      <c r="S1604" s="22"/>
      <c r="T1604" s="22" t="s">
        <v>3131</v>
      </c>
      <c r="U1604" s="116" t="s">
        <v>3144</v>
      </c>
      <c r="V1604" s="22" t="s">
        <v>454</v>
      </c>
      <c r="W1604" s="22" t="s">
        <v>1</v>
      </c>
      <c r="X1604" s="22"/>
      <c r="Z1604" s="22"/>
      <c r="AA1604" s="22"/>
      <c r="AB1604" s="22"/>
      <c r="AC1604" s="22"/>
      <c r="AD1604" s="22"/>
      <c r="AE1604" s="24"/>
      <c r="AF1604" s="24" t="s">
        <v>2042</v>
      </c>
      <c r="AG1604" s="22"/>
      <c r="AK1604" s="40">
        <v>6340</v>
      </c>
      <c r="AL1604" s="40"/>
      <c r="AX1604" s="27"/>
      <c r="AY1604" s="27"/>
      <c r="BK1604" s="27"/>
      <c r="BL1604" s="27"/>
      <c r="BX1604" s="27"/>
      <c r="BY1604" s="27"/>
      <c r="CH1604" s="29"/>
      <c r="CM1604" s="23" t="s">
        <v>765</v>
      </c>
    </row>
    <row r="1605" spans="1:91" x14ac:dyDescent="0.2">
      <c r="A1605" s="18">
        <v>2001</v>
      </c>
      <c r="B1605" s="19">
        <v>107</v>
      </c>
      <c r="C1605" s="19">
        <f t="shared" si="108"/>
        <v>20010107</v>
      </c>
      <c r="D1605" s="23" t="s">
        <v>715</v>
      </c>
      <c r="E1605" s="20" t="s">
        <v>640</v>
      </c>
      <c r="I1605" s="22" t="s">
        <v>206</v>
      </c>
      <c r="J1605" s="22"/>
      <c r="K1605" s="22"/>
      <c r="L1605" s="22"/>
      <c r="M1605" s="22"/>
      <c r="N1605" s="22" t="s">
        <v>454</v>
      </c>
      <c r="O1605" s="22" t="s">
        <v>454</v>
      </c>
      <c r="P1605" s="22"/>
      <c r="Q1605" s="22" t="s">
        <v>2041</v>
      </c>
      <c r="R1605" s="22"/>
      <c r="S1605" s="22"/>
      <c r="T1605" s="22" t="s">
        <v>3131</v>
      </c>
      <c r="U1605" s="116" t="s">
        <v>3144</v>
      </c>
      <c r="V1605" s="22" t="s">
        <v>454</v>
      </c>
      <c r="W1605" s="22" t="s">
        <v>1</v>
      </c>
      <c r="X1605" s="22"/>
      <c r="Z1605" s="22"/>
      <c r="AA1605" s="22"/>
      <c r="AB1605" s="22"/>
      <c r="AC1605" s="22"/>
      <c r="AD1605" s="22"/>
      <c r="AE1605" s="24"/>
      <c r="AF1605" s="24" t="s">
        <v>2042</v>
      </c>
      <c r="AG1605" s="22"/>
      <c r="AK1605" s="40">
        <v>6340</v>
      </c>
      <c r="AL1605" s="40"/>
      <c r="AX1605" s="27"/>
      <c r="AY1605" s="27"/>
      <c r="BK1605" s="27"/>
      <c r="BL1605" s="27"/>
      <c r="BX1605" s="27"/>
      <c r="BY1605" s="27"/>
      <c r="CH1605" s="29"/>
      <c r="CM1605" s="23" t="s">
        <v>766</v>
      </c>
    </row>
    <row r="1606" spans="1:91" x14ac:dyDescent="0.2">
      <c r="A1606" s="18">
        <v>2001</v>
      </c>
      <c r="B1606" s="19">
        <v>108</v>
      </c>
      <c r="C1606" s="19">
        <f t="shared" si="108"/>
        <v>20010108</v>
      </c>
      <c r="D1606" s="23" t="s">
        <v>715</v>
      </c>
      <c r="E1606" s="20" t="s">
        <v>640</v>
      </c>
      <c r="I1606" s="22" t="s">
        <v>206</v>
      </c>
      <c r="J1606" s="22"/>
      <c r="K1606" s="22"/>
      <c r="L1606" s="22"/>
      <c r="M1606" s="22"/>
      <c r="N1606" s="22" t="s">
        <v>454</v>
      </c>
      <c r="O1606" s="22" t="s">
        <v>454</v>
      </c>
      <c r="P1606" s="22"/>
      <c r="Q1606" s="22" t="s">
        <v>2041</v>
      </c>
      <c r="R1606" s="22"/>
      <c r="S1606" s="22"/>
      <c r="T1606" s="22" t="s">
        <v>3131</v>
      </c>
      <c r="U1606" s="116" t="s">
        <v>3144</v>
      </c>
      <c r="V1606" s="22" t="s">
        <v>454</v>
      </c>
      <c r="W1606" s="22" t="s">
        <v>1</v>
      </c>
      <c r="X1606" s="22"/>
      <c r="Z1606" s="22"/>
      <c r="AA1606" s="22"/>
      <c r="AB1606" s="22"/>
      <c r="AC1606" s="22"/>
      <c r="AD1606" s="22"/>
      <c r="AE1606" s="24"/>
      <c r="AF1606" s="24" t="s">
        <v>2042</v>
      </c>
      <c r="AG1606" s="22"/>
      <c r="AK1606" s="40">
        <v>6340</v>
      </c>
      <c r="AL1606" s="40"/>
      <c r="AX1606" s="27"/>
      <c r="AY1606" s="27"/>
      <c r="BK1606" s="27"/>
      <c r="BL1606" s="27"/>
      <c r="BX1606" s="27"/>
      <c r="BY1606" s="27"/>
      <c r="CH1606" s="29"/>
      <c r="CM1606" s="23" t="s">
        <v>767</v>
      </c>
    </row>
    <row r="1607" spans="1:91" x14ac:dyDescent="0.2">
      <c r="A1607" s="18">
        <v>2001</v>
      </c>
      <c r="B1607" s="19">
        <v>109</v>
      </c>
      <c r="C1607" s="19">
        <f t="shared" si="108"/>
        <v>20010109</v>
      </c>
      <c r="D1607" s="23" t="s">
        <v>715</v>
      </c>
      <c r="E1607" s="20" t="s">
        <v>640</v>
      </c>
      <c r="I1607" s="22" t="s">
        <v>206</v>
      </c>
      <c r="J1607" s="22"/>
      <c r="K1607" s="22"/>
      <c r="L1607" s="22"/>
      <c r="M1607" s="22"/>
      <c r="N1607" s="22" t="s">
        <v>454</v>
      </c>
      <c r="O1607" s="22" t="s">
        <v>454</v>
      </c>
      <c r="P1607" s="22"/>
      <c r="Q1607" s="22" t="s">
        <v>2041</v>
      </c>
      <c r="R1607" s="22"/>
      <c r="S1607" s="22"/>
      <c r="T1607" s="22" t="s">
        <v>3131</v>
      </c>
      <c r="U1607" s="116" t="s">
        <v>3144</v>
      </c>
      <c r="V1607" s="22" t="s">
        <v>454</v>
      </c>
      <c r="W1607" s="22" t="s">
        <v>1</v>
      </c>
      <c r="X1607" s="22"/>
      <c r="Z1607" s="22"/>
      <c r="AA1607" s="22"/>
      <c r="AB1607" s="22"/>
      <c r="AC1607" s="22"/>
      <c r="AD1607" s="22"/>
      <c r="AE1607" s="24"/>
      <c r="AF1607" s="24" t="s">
        <v>2042</v>
      </c>
      <c r="AG1607" s="22"/>
      <c r="AK1607" s="40">
        <v>6340</v>
      </c>
      <c r="AL1607" s="40"/>
      <c r="AX1607" s="27"/>
      <c r="AY1607" s="27"/>
      <c r="BK1607" s="27"/>
      <c r="BL1607" s="27"/>
      <c r="BX1607" s="27"/>
      <c r="BY1607" s="27"/>
      <c r="CH1607" s="29"/>
      <c r="CM1607" s="23" t="s">
        <v>768</v>
      </c>
    </row>
    <row r="1608" spans="1:91" x14ac:dyDescent="0.2">
      <c r="A1608" s="18">
        <v>2001</v>
      </c>
      <c r="B1608" s="19">
        <v>110</v>
      </c>
      <c r="C1608" s="19">
        <f t="shared" si="108"/>
        <v>20010110</v>
      </c>
      <c r="D1608" s="23" t="s">
        <v>715</v>
      </c>
      <c r="E1608" s="20" t="s">
        <v>640</v>
      </c>
      <c r="I1608" s="22" t="s">
        <v>206</v>
      </c>
      <c r="J1608" s="22"/>
      <c r="K1608" s="22"/>
      <c r="L1608" s="22"/>
      <c r="M1608" s="22"/>
      <c r="N1608" s="22" t="s">
        <v>454</v>
      </c>
      <c r="O1608" s="22" t="s">
        <v>454</v>
      </c>
      <c r="P1608" s="22"/>
      <c r="Q1608" s="22" t="s">
        <v>2041</v>
      </c>
      <c r="R1608" s="22"/>
      <c r="S1608" s="22"/>
      <c r="T1608" s="22" t="s">
        <v>3131</v>
      </c>
      <c r="U1608" s="116" t="s">
        <v>3144</v>
      </c>
      <c r="V1608" s="22" t="s">
        <v>454</v>
      </c>
      <c r="W1608" s="22" t="s">
        <v>1</v>
      </c>
      <c r="X1608" s="22"/>
      <c r="Z1608" s="22"/>
      <c r="AA1608" s="22"/>
      <c r="AB1608" s="22"/>
      <c r="AC1608" s="22"/>
      <c r="AD1608" s="22"/>
      <c r="AE1608" s="24"/>
      <c r="AF1608" s="24" t="s">
        <v>2042</v>
      </c>
      <c r="AG1608" s="22"/>
      <c r="AK1608" s="40">
        <v>6340</v>
      </c>
      <c r="AL1608" s="40"/>
      <c r="AX1608" s="27"/>
      <c r="AY1608" s="27"/>
      <c r="BK1608" s="27"/>
      <c r="BL1608" s="27"/>
      <c r="BX1608" s="27"/>
      <c r="BY1608" s="27"/>
      <c r="CH1608" s="29"/>
      <c r="CM1608" s="23" t="s">
        <v>354</v>
      </c>
    </row>
    <row r="1609" spans="1:91" x14ac:dyDescent="0.2">
      <c r="A1609" s="18">
        <v>2001</v>
      </c>
      <c r="B1609" s="19">
        <v>111</v>
      </c>
      <c r="C1609" s="19">
        <f t="shared" si="108"/>
        <v>20010111</v>
      </c>
      <c r="D1609" s="23" t="s">
        <v>716</v>
      </c>
      <c r="E1609" s="20" t="s">
        <v>640</v>
      </c>
      <c r="I1609" s="22" t="s">
        <v>206</v>
      </c>
      <c r="J1609" s="22"/>
      <c r="K1609" s="22"/>
      <c r="L1609" s="22"/>
      <c r="M1609" s="22"/>
      <c r="N1609" s="22" t="s">
        <v>454</v>
      </c>
      <c r="O1609" s="22" t="s">
        <v>454</v>
      </c>
      <c r="P1609" s="22"/>
      <c r="Q1609" s="22" t="s">
        <v>2041</v>
      </c>
      <c r="R1609" s="22"/>
      <c r="S1609" s="22"/>
      <c r="T1609" s="22" t="s">
        <v>3131</v>
      </c>
      <c r="U1609" s="116" t="s">
        <v>3145</v>
      </c>
      <c r="V1609" s="22" t="s">
        <v>454</v>
      </c>
      <c r="W1609" s="22" t="s">
        <v>1</v>
      </c>
      <c r="X1609" s="22"/>
      <c r="Z1609" s="22"/>
      <c r="AA1609" s="22"/>
      <c r="AB1609" s="22"/>
      <c r="AC1609" s="22"/>
      <c r="AD1609" s="22"/>
      <c r="AE1609" s="24"/>
      <c r="AF1609" s="24" t="s">
        <v>2042</v>
      </c>
      <c r="AG1609" s="22"/>
      <c r="AK1609" s="40">
        <v>6500</v>
      </c>
      <c r="AL1609" s="40"/>
      <c r="AX1609" s="27"/>
      <c r="AY1609" s="27"/>
      <c r="BK1609" s="27"/>
      <c r="BL1609" s="27"/>
      <c r="BX1609" s="27"/>
      <c r="BY1609" s="27"/>
      <c r="CH1609" s="29"/>
      <c r="CM1609" s="23" t="s">
        <v>769</v>
      </c>
    </row>
    <row r="1610" spans="1:91" x14ac:dyDescent="0.2">
      <c r="A1610" s="18">
        <v>2001</v>
      </c>
      <c r="B1610" s="19">
        <v>112</v>
      </c>
      <c r="C1610" s="19">
        <f t="shared" si="108"/>
        <v>20010112</v>
      </c>
      <c r="D1610" s="23" t="s">
        <v>716</v>
      </c>
      <c r="E1610" s="20" t="s">
        <v>640</v>
      </c>
      <c r="I1610" s="22" t="s">
        <v>206</v>
      </c>
      <c r="J1610" s="22"/>
      <c r="K1610" s="22"/>
      <c r="L1610" s="22"/>
      <c r="M1610" s="22"/>
      <c r="N1610" s="22" t="s">
        <v>454</v>
      </c>
      <c r="O1610" s="22" t="s">
        <v>454</v>
      </c>
      <c r="P1610" s="22"/>
      <c r="Q1610" s="22" t="s">
        <v>2041</v>
      </c>
      <c r="R1610" s="22"/>
      <c r="S1610" s="22"/>
      <c r="T1610" s="22" t="s">
        <v>3131</v>
      </c>
      <c r="U1610" s="116" t="s">
        <v>3145</v>
      </c>
      <c r="V1610" s="22" t="s">
        <v>454</v>
      </c>
      <c r="W1610" s="22" t="s">
        <v>1</v>
      </c>
      <c r="X1610" s="22"/>
      <c r="Z1610" s="22"/>
      <c r="AA1610" s="22"/>
      <c r="AB1610" s="22"/>
      <c r="AC1610" s="22"/>
      <c r="AD1610" s="22"/>
      <c r="AE1610" s="24"/>
      <c r="AF1610" s="24" t="s">
        <v>2042</v>
      </c>
      <c r="AG1610" s="22"/>
      <c r="AK1610" s="40">
        <v>6500</v>
      </c>
      <c r="AL1610" s="40"/>
      <c r="AX1610" s="27"/>
      <c r="AY1610" s="27"/>
      <c r="BK1610" s="27"/>
      <c r="BL1610" s="27"/>
      <c r="BX1610" s="27"/>
      <c r="BY1610" s="27"/>
      <c r="CH1610" s="29"/>
      <c r="CM1610" s="23" t="s">
        <v>770</v>
      </c>
    </row>
    <row r="1611" spans="1:91" x14ac:dyDescent="0.2">
      <c r="A1611" s="18">
        <v>2001</v>
      </c>
      <c r="B1611" s="19">
        <v>113</v>
      </c>
      <c r="C1611" s="19">
        <f t="shared" si="108"/>
        <v>20010113</v>
      </c>
      <c r="D1611" s="23" t="s">
        <v>716</v>
      </c>
      <c r="E1611" s="20" t="s">
        <v>640</v>
      </c>
      <c r="I1611" s="22" t="s">
        <v>206</v>
      </c>
      <c r="J1611" s="22"/>
      <c r="K1611" s="22"/>
      <c r="L1611" s="22"/>
      <c r="M1611" s="22"/>
      <c r="N1611" s="22" t="s">
        <v>454</v>
      </c>
      <c r="O1611" s="22" t="s">
        <v>454</v>
      </c>
      <c r="P1611" s="22"/>
      <c r="Q1611" s="22" t="s">
        <v>2041</v>
      </c>
      <c r="R1611" s="22"/>
      <c r="S1611" s="22"/>
      <c r="T1611" s="22" t="s">
        <v>3131</v>
      </c>
      <c r="U1611" s="116" t="s">
        <v>3145</v>
      </c>
      <c r="V1611" s="22" t="s">
        <v>454</v>
      </c>
      <c r="W1611" s="22" t="s">
        <v>1</v>
      </c>
      <c r="X1611" s="22"/>
      <c r="Z1611" s="22"/>
      <c r="AA1611" s="22"/>
      <c r="AB1611" s="22"/>
      <c r="AC1611" s="22"/>
      <c r="AD1611" s="22"/>
      <c r="AE1611" s="24"/>
      <c r="AF1611" s="24" t="s">
        <v>2042</v>
      </c>
      <c r="AG1611" s="22"/>
      <c r="AK1611" s="40">
        <v>6500</v>
      </c>
      <c r="AL1611" s="40"/>
      <c r="AX1611" s="27"/>
      <c r="AY1611" s="27"/>
      <c r="BK1611" s="27"/>
      <c r="BL1611" s="27"/>
      <c r="BX1611" s="27"/>
      <c r="BY1611" s="27"/>
      <c r="CH1611" s="29"/>
      <c r="CM1611" s="23" t="s">
        <v>771</v>
      </c>
    </row>
    <row r="1612" spans="1:91" x14ac:dyDescent="0.2">
      <c r="A1612" s="18">
        <v>2001</v>
      </c>
      <c r="B1612" s="19">
        <v>114</v>
      </c>
      <c r="C1612" s="19">
        <f t="shared" si="108"/>
        <v>20010114</v>
      </c>
      <c r="D1612" s="23" t="s">
        <v>716</v>
      </c>
      <c r="E1612" s="20" t="s">
        <v>640</v>
      </c>
      <c r="I1612" s="22" t="s">
        <v>206</v>
      </c>
      <c r="J1612" s="22"/>
      <c r="K1612" s="22"/>
      <c r="L1612" s="22"/>
      <c r="M1612" s="22"/>
      <c r="N1612" s="22" t="s">
        <v>454</v>
      </c>
      <c r="O1612" s="22" t="s">
        <v>454</v>
      </c>
      <c r="P1612" s="22"/>
      <c r="Q1612" s="22" t="s">
        <v>2041</v>
      </c>
      <c r="R1612" s="22"/>
      <c r="S1612" s="22"/>
      <c r="T1612" s="22" t="s">
        <v>3131</v>
      </c>
      <c r="U1612" s="116" t="s">
        <v>3145</v>
      </c>
      <c r="V1612" s="22" t="s">
        <v>454</v>
      </c>
      <c r="W1612" s="22" t="s">
        <v>1</v>
      </c>
      <c r="X1612" s="22"/>
      <c r="Z1612" s="22"/>
      <c r="AA1612" s="22"/>
      <c r="AB1612" s="22"/>
      <c r="AC1612" s="22"/>
      <c r="AD1612" s="22"/>
      <c r="AE1612" s="24"/>
      <c r="AF1612" s="24" t="s">
        <v>2042</v>
      </c>
      <c r="AG1612" s="22"/>
      <c r="AK1612" s="40">
        <v>6500</v>
      </c>
      <c r="AL1612" s="40"/>
      <c r="AX1612" s="27"/>
      <c r="AY1612" s="27"/>
      <c r="BK1612" s="27"/>
      <c r="BL1612" s="27"/>
      <c r="BX1612" s="27"/>
      <c r="BY1612" s="27"/>
      <c r="CH1612" s="29"/>
      <c r="CM1612" s="23" t="s">
        <v>772</v>
      </c>
    </row>
    <row r="1613" spans="1:91" x14ac:dyDescent="0.2">
      <c r="A1613" s="18">
        <v>2001</v>
      </c>
      <c r="B1613" s="19">
        <v>115</v>
      </c>
      <c r="C1613" s="19">
        <f t="shared" si="108"/>
        <v>20010115</v>
      </c>
      <c r="D1613" s="23" t="s">
        <v>716</v>
      </c>
      <c r="E1613" s="20" t="s">
        <v>640</v>
      </c>
      <c r="I1613" s="22" t="s">
        <v>206</v>
      </c>
      <c r="J1613" s="22"/>
      <c r="K1613" s="22"/>
      <c r="L1613" s="22"/>
      <c r="M1613" s="22"/>
      <c r="N1613" s="22" t="s">
        <v>454</v>
      </c>
      <c r="O1613" s="22" t="s">
        <v>454</v>
      </c>
      <c r="P1613" s="22"/>
      <c r="Q1613" s="22" t="s">
        <v>2041</v>
      </c>
      <c r="R1613" s="22"/>
      <c r="S1613" s="22"/>
      <c r="T1613" s="22" t="s">
        <v>3131</v>
      </c>
      <c r="U1613" s="116" t="s">
        <v>3145</v>
      </c>
      <c r="V1613" s="22" t="s">
        <v>454</v>
      </c>
      <c r="W1613" s="22" t="s">
        <v>1</v>
      </c>
      <c r="X1613" s="22"/>
      <c r="Z1613" s="22"/>
      <c r="AA1613" s="22"/>
      <c r="AB1613" s="22"/>
      <c r="AC1613" s="22"/>
      <c r="AD1613" s="22"/>
      <c r="AE1613" s="24"/>
      <c r="AF1613" s="24" t="s">
        <v>2042</v>
      </c>
      <c r="AG1613" s="22"/>
      <c r="AK1613" s="40">
        <v>6500</v>
      </c>
      <c r="AL1613" s="40"/>
      <c r="AX1613" s="27"/>
      <c r="AY1613" s="27"/>
      <c r="BK1613" s="27"/>
      <c r="BL1613" s="27"/>
      <c r="BX1613" s="27"/>
      <c r="BY1613" s="27"/>
      <c r="CH1613" s="29"/>
      <c r="CM1613" s="23" t="s">
        <v>773</v>
      </c>
    </row>
    <row r="1614" spans="1:91" x14ac:dyDescent="0.2">
      <c r="A1614" s="18">
        <v>2001</v>
      </c>
      <c r="B1614" s="19">
        <v>116</v>
      </c>
      <c r="C1614" s="19">
        <f t="shared" si="108"/>
        <v>20010116</v>
      </c>
      <c r="D1614" s="23" t="s">
        <v>717</v>
      </c>
      <c r="E1614" s="20" t="s">
        <v>640</v>
      </c>
      <c r="I1614" s="22" t="s">
        <v>206</v>
      </c>
      <c r="J1614" s="22"/>
      <c r="K1614" s="22"/>
      <c r="L1614" s="22"/>
      <c r="M1614" s="22"/>
      <c r="N1614" s="22" t="s">
        <v>454</v>
      </c>
      <c r="O1614" s="22" t="s">
        <v>454</v>
      </c>
      <c r="P1614" s="22"/>
      <c r="Q1614" s="22" t="s">
        <v>2041</v>
      </c>
      <c r="R1614" s="22"/>
      <c r="S1614" s="22"/>
      <c r="T1614" s="22" t="s">
        <v>3131</v>
      </c>
      <c r="U1614" s="116" t="s">
        <v>3146</v>
      </c>
      <c r="V1614" s="22" t="s">
        <v>454</v>
      </c>
      <c r="W1614" s="22" t="s">
        <v>1</v>
      </c>
      <c r="X1614" s="22"/>
      <c r="Z1614" s="22"/>
      <c r="AA1614" s="22"/>
      <c r="AB1614" s="22"/>
      <c r="AC1614" s="22"/>
      <c r="AD1614" s="22"/>
      <c r="AE1614" s="24"/>
      <c r="AF1614" s="24" t="s">
        <v>2042</v>
      </c>
      <c r="AG1614" s="22"/>
      <c r="AK1614" s="40">
        <v>6660</v>
      </c>
      <c r="AL1614" s="40"/>
      <c r="AX1614" s="27"/>
      <c r="AY1614" s="27"/>
      <c r="BK1614" s="27"/>
      <c r="BL1614" s="27"/>
      <c r="BX1614" s="27"/>
      <c r="BY1614" s="27"/>
      <c r="CH1614" s="29"/>
      <c r="CM1614" s="23" t="s">
        <v>774</v>
      </c>
    </row>
    <row r="1615" spans="1:91" x14ac:dyDescent="0.2">
      <c r="A1615" s="18">
        <v>2001</v>
      </c>
      <c r="B1615" s="19">
        <v>117</v>
      </c>
      <c r="C1615" s="19">
        <f t="shared" si="108"/>
        <v>20010117</v>
      </c>
      <c r="D1615" s="23" t="s">
        <v>717</v>
      </c>
      <c r="E1615" s="20" t="s">
        <v>640</v>
      </c>
      <c r="I1615" s="22" t="s">
        <v>206</v>
      </c>
      <c r="J1615" s="22"/>
      <c r="K1615" s="22"/>
      <c r="L1615" s="22"/>
      <c r="M1615" s="22"/>
      <c r="N1615" s="22" t="s">
        <v>454</v>
      </c>
      <c r="O1615" s="22" t="s">
        <v>454</v>
      </c>
      <c r="P1615" s="22"/>
      <c r="Q1615" s="22" t="s">
        <v>2041</v>
      </c>
      <c r="R1615" s="22"/>
      <c r="S1615" s="22"/>
      <c r="T1615" s="22" t="s">
        <v>3131</v>
      </c>
      <c r="U1615" s="116" t="s">
        <v>3146</v>
      </c>
      <c r="V1615" s="22" t="s">
        <v>454</v>
      </c>
      <c r="W1615" s="22" t="s">
        <v>1</v>
      </c>
      <c r="X1615" s="22"/>
      <c r="Z1615" s="22"/>
      <c r="AA1615" s="22"/>
      <c r="AB1615" s="22"/>
      <c r="AC1615" s="22"/>
      <c r="AD1615" s="22"/>
      <c r="AE1615" s="24"/>
      <c r="AF1615" s="24" t="s">
        <v>2042</v>
      </c>
      <c r="AG1615" s="22"/>
      <c r="AK1615" s="40">
        <v>6660</v>
      </c>
      <c r="AL1615" s="40"/>
      <c r="AX1615" s="27"/>
      <c r="AY1615" s="27"/>
      <c r="BK1615" s="27"/>
      <c r="BL1615" s="27"/>
      <c r="BX1615" s="27"/>
      <c r="BY1615" s="27"/>
      <c r="CH1615" s="29"/>
      <c r="CM1615" s="23" t="s">
        <v>775</v>
      </c>
    </row>
    <row r="1616" spans="1:91" x14ac:dyDescent="0.2">
      <c r="A1616" s="18">
        <v>2001</v>
      </c>
      <c r="B1616" s="19">
        <v>118</v>
      </c>
      <c r="C1616" s="19">
        <f t="shared" si="108"/>
        <v>20010118</v>
      </c>
      <c r="D1616" s="23" t="s">
        <v>717</v>
      </c>
      <c r="E1616" s="20" t="s">
        <v>640</v>
      </c>
      <c r="I1616" s="22" t="s">
        <v>206</v>
      </c>
      <c r="J1616" s="22"/>
      <c r="K1616" s="22"/>
      <c r="L1616" s="22"/>
      <c r="M1616" s="22"/>
      <c r="N1616" s="22" t="s">
        <v>454</v>
      </c>
      <c r="O1616" s="22" t="s">
        <v>454</v>
      </c>
      <c r="P1616" s="22"/>
      <c r="Q1616" s="22" t="s">
        <v>2041</v>
      </c>
      <c r="R1616" s="22"/>
      <c r="S1616" s="22"/>
      <c r="T1616" s="22" t="s">
        <v>3131</v>
      </c>
      <c r="U1616" s="116" t="s">
        <v>3146</v>
      </c>
      <c r="V1616" s="22" t="s">
        <v>454</v>
      </c>
      <c r="W1616" s="22" t="s">
        <v>1</v>
      </c>
      <c r="X1616" s="22"/>
      <c r="Z1616" s="22"/>
      <c r="AA1616" s="22"/>
      <c r="AB1616" s="22"/>
      <c r="AC1616" s="22"/>
      <c r="AD1616" s="22"/>
      <c r="AE1616" s="24"/>
      <c r="AF1616" s="24" t="s">
        <v>2042</v>
      </c>
      <c r="AG1616" s="22"/>
      <c r="AK1616" s="40">
        <v>6660</v>
      </c>
      <c r="AL1616" s="40"/>
      <c r="AX1616" s="27"/>
      <c r="AY1616" s="27"/>
      <c r="BK1616" s="27"/>
      <c r="BL1616" s="27"/>
      <c r="BX1616" s="27"/>
      <c r="BY1616" s="27"/>
      <c r="CH1616" s="29"/>
      <c r="CM1616" s="23" t="s">
        <v>776</v>
      </c>
    </row>
    <row r="1617" spans="1:107" x14ac:dyDescent="0.2">
      <c r="A1617" s="18">
        <v>2001</v>
      </c>
      <c r="B1617" s="19">
        <v>119</v>
      </c>
      <c r="C1617" s="19">
        <f t="shared" si="108"/>
        <v>20010119</v>
      </c>
      <c r="D1617" s="23" t="s">
        <v>717</v>
      </c>
      <c r="E1617" s="20" t="s">
        <v>640</v>
      </c>
      <c r="I1617" s="22" t="s">
        <v>206</v>
      </c>
      <c r="J1617" s="22"/>
      <c r="K1617" s="22"/>
      <c r="L1617" s="22"/>
      <c r="M1617" s="22"/>
      <c r="N1617" s="22" t="s">
        <v>454</v>
      </c>
      <c r="O1617" s="22" t="s">
        <v>454</v>
      </c>
      <c r="P1617" s="22"/>
      <c r="Q1617" s="22" t="s">
        <v>2041</v>
      </c>
      <c r="R1617" s="22"/>
      <c r="S1617" s="22"/>
      <c r="T1617" s="22" t="s">
        <v>3131</v>
      </c>
      <c r="U1617" s="116" t="s">
        <v>3146</v>
      </c>
      <c r="V1617" s="22" t="s">
        <v>454</v>
      </c>
      <c r="W1617" s="22" t="s">
        <v>1</v>
      </c>
      <c r="X1617" s="22"/>
      <c r="Z1617" s="22"/>
      <c r="AA1617" s="22"/>
      <c r="AB1617" s="22"/>
      <c r="AC1617" s="22"/>
      <c r="AD1617" s="22"/>
      <c r="AE1617" s="24"/>
      <c r="AF1617" s="24" t="s">
        <v>2042</v>
      </c>
      <c r="AG1617" s="22"/>
      <c r="AK1617" s="40">
        <v>6660</v>
      </c>
      <c r="AL1617" s="40"/>
      <c r="AX1617" s="27"/>
      <c r="AY1617" s="27"/>
      <c r="BK1617" s="27"/>
      <c r="BL1617" s="27"/>
      <c r="BX1617" s="27"/>
      <c r="BY1617" s="27"/>
      <c r="CH1617" s="29"/>
      <c r="CM1617" s="23" t="s">
        <v>777</v>
      </c>
    </row>
    <row r="1618" spans="1:107" x14ac:dyDescent="0.2">
      <c r="A1618" s="18">
        <v>2001</v>
      </c>
      <c r="B1618" s="19">
        <v>120</v>
      </c>
      <c r="C1618" s="19">
        <f t="shared" si="108"/>
        <v>20010120</v>
      </c>
      <c r="D1618" s="23" t="s">
        <v>717</v>
      </c>
      <c r="E1618" s="20" t="s">
        <v>640</v>
      </c>
      <c r="I1618" s="22" t="s">
        <v>206</v>
      </c>
      <c r="J1618" s="22"/>
      <c r="K1618" s="22"/>
      <c r="L1618" s="22"/>
      <c r="M1618" s="22"/>
      <c r="N1618" s="22" t="s">
        <v>454</v>
      </c>
      <c r="O1618" s="22" t="s">
        <v>454</v>
      </c>
      <c r="P1618" s="22"/>
      <c r="Q1618" s="22" t="s">
        <v>2041</v>
      </c>
      <c r="R1618" s="22"/>
      <c r="S1618" s="22"/>
      <c r="T1618" s="22" t="s">
        <v>3131</v>
      </c>
      <c r="U1618" s="116" t="s">
        <v>3146</v>
      </c>
      <c r="V1618" s="22" t="s">
        <v>454</v>
      </c>
      <c r="W1618" s="22" t="s">
        <v>1</v>
      </c>
      <c r="X1618" s="22"/>
      <c r="Z1618" s="22"/>
      <c r="AA1618" s="22"/>
      <c r="AB1618" s="22"/>
      <c r="AC1618" s="22"/>
      <c r="AD1618" s="22"/>
      <c r="AE1618" s="24"/>
      <c r="AF1618" s="24" t="s">
        <v>2042</v>
      </c>
      <c r="AG1618" s="22"/>
      <c r="AK1618" s="40">
        <v>6660</v>
      </c>
      <c r="AL1618" s="40"/>
      <c r="AX1618" s="27"/>
      <c r="AY1618" s="27"/>
      <c r="BK1618" s="27"/>
      <c r="BL1618" s="27"/>
      <c r="BX1618" s="27"/>
      <c r="BY1618" s="27"/>
      <c r="CH1618" s="29"/>
      <c r="CM1618" s="23" t="s">
        <v>241</v>
      </c>
    </row>
    <row r="1619" spans="1:107" x14ac:dyDescent="0.2">
      <c r="A1619" s="18">
        <v>2001</v>
      </c>
      <c r="B1619" s="19">
        <v>121</v>
      </c>
      <c r="C1619" s="19">
        <f t="shared" si="108"/>
        <v>20010121</v>
      </c>
      <c r="D1619" s="23" t="s">
        <v>718</v>
      </c>
      <c r="E1619" s="20" t="s">
        <v>640</v>
      </c>
      <c r="I1619" s="22" t="s">
        <v>206</v>
      </c>
      <c r="J1619" s="22"/>
      <c r="K1619" s="22"/>
      <c r="L1619" s="22"/>
      <c r="M1619" s="22"/>
      <c r="N1619" s="22" t="s">
        <v>454</v>
      </c>
      <c r="O1619" s="22" t="s">
        <v>454</v>
      </c>
      <c r="P1619" s="22"/>
      <c r="Q1619" s="22" t="s">
        <v>2041</v>
      </c>
      <c r="R1619" s="22"/>
      <c r="S1619" s="22"/>
      <c r="T1619" s="22" t="s">
        <v>3131</v>
      </c>
      <c r="U1619" s="116" t="s">
        <v>3147</v>
      </c>
      <c r="V1619" s="22" t="s">
        <v>454</v>
      </c>
      <c r="W1619" s="22" t="s">
        <v>1</v>
      </c>
      <c r="X1619" s="22"/>
      <c r="Z1619" s="22"/>
      <c r="AA1619" s="22"/>
      <c r="AB1619" s="22"/>
      <c r="AC1619" s="22"/>
      <c r="AD1619" s="22"/>
      <c r="AE1619" s="24"/>
      <c r="AF1619" s="24" t="s">
        <v>2042</v>
      </c>
      <c r="AG1619" s="22"/>
      <c r="AK1619" s="40">
        <v>6980</v>
      </c>
      <c r="AL1619" s="40"/>
      <c r="AX1619" s="27"/>
      <c r="AY1619" s="27"/>
      <c r="BK1619" s="27"/>
      <c r="BL1619" s="27"/>
      <c r="BX1619" s="27"/>
      <c r="BY1619" s="27"/>
      <c r="CH1619" s="29"/>
    </row>
    <row r="1620" spans="1:107" x14ac:dyDescent="0.2">
      <c r="A1620" s="18">
        <v>2001</v>
      </c>
      <c r="B1620" s="19">
        <v>122</v>
      </c>
      <c r="C1620" s="19">
        <f t="shared" si="108"/>
        <v>20010122</v>
      </c>
      <c r="D1620" s="23" t="s">
        <v>718</v>
      </c>
      <c r="E1620" s="20" t="s">
        <v>640</v>
      </c>
      <c r="I1620" s="22" t="s">
        <v>206</v>
      </c>
      <c r="J1620" s="22"/>
      <c r="K1620" s="22"/>
      <c r="L1620" s="22"/>
      <c r="M1620" s="22"/>
      <c r="N1620" s="22" t="s">
        <v>454</v>
      </c>
      <c r="O1620" s="22" t="s">
        <v>454</v>
      </c>
      <c r="P1620" s="22"/>
      <c r="Q1620" s="22" t="s">
        <v>2041</v>
      </c>
      <c r="R1620" s="22"/>
      <c r="S1620" s="22"/>
      <c r="T1620" s="22" t="s">
        <v>3131</v>
      </c>
      <c r="U1620" s="116" t="s">
        <v>3147</v>
      </c>
      <c r="V1620" s="22" t="s">
        <v>454</v>
      </c>
      <c r="W1620" s="22" t="s">
        <v>1</v>
      </c>
      <c r="X1620" s="22"/>
      <c r="Z1620" s="22"/>
      <c r="AA1620" s="22"/>
      <c r="AB1620" s="22"/>
      <c r="AC1620" s="22"/>
      <c r="AD1620" s="22"/>
      <c r="AE1620" s="24"/>
      <c r="AF1620" s="24" t="s">
        <v>2042</v>
      </c>
      <c r="AG1620" s="22"/>
      <c r="AK1620" s="40">
        <v>6980</v>
      </c>
      <c r="AL1620" s="40"/>
      <c r="AX1620" s="27"/>
      <c r="AY1620" s="27"/>
      <c r="BK1620" s="27"/>
      <c r="BL1620" s="27"/>
      <c r="BX1620" s="27"/>
      <c r="BY1620" s="27"/>
      <c r="CH1620" s="29"/>
    </row>
    <row r="1621" spans="1:107" x14ac:dyDescent="0.2">
      <c r="A1621" s="18">
        <v>2001</v>
      </c>
      <c r="B1621" s="19">
        <v>123</v>
      </c>
      <c r="C1621" s="19">
        <f t="shared" si="108"/>
        <v>20010123</v>
      </c>
      <c r="D1621" s="23" t="s">
        <v>718</v>
      </c>
      <c r="E1621" s="20" t="s">
        <v>640</v>
      </c>
      <c r="I1621" s="22" t="s">
        <v>206</v>
      </c>
      <c r="J1621" s="22"/>
      <c r="K1621" s="22"/>
      <c r="L1621" s="22"/>
      <c r="M1621" s="22"/>
      <c r="N1621" s="22" t="s">
        <v>454</v>
      </c>
      <c r="O1621" s="22" t="s">
        <v>454</v>
      </c>
      <c r="P1621" s="22"/>
      <c r="Q1621" s="22" t="s">
        <v>2041</v>
      </c>
      <c r="R1621" s="22"/>
      <c r="S1621" s="22"/>
      <c r="T1621" s="22" t="s">
        <v>3131</v>
      </c>
      <c r="U1621" s="116" t="s">
        <v>3147</v>
      </c>
      <c r="V1621" s="22" t="s">
        <v>454</v>
      </c>
      <c r="W1621" s="22" t="s">
        <v>1</v>
      </c>
      <c r="X1621" s="22"/>
      <c r="Z1621" s="22"/>
      <c r="AA1621" s="22"/>
      <c r="AB1621" s="22"/>
      <c r="AC1621" s="22"/>
      <c r="AD1621" s="22"/>
      <c r="AE1621" s="24"/>
      <c r="AF1621" s="24" t="s">
        <v>2042</v>
      </c>
      <c r="AG1621" s="22"/>
      <c r="AK1621" s="40">
        <v>6980</v>
      </c>
      <c r="AL1621" s="40"/>
      <c r="AX1621" s="27"/>
      <c r="AY1621" s="27"/>
      <c r="BK1621" s="27"/>
      <c r="BL1621" s="27"/>
      <c r="BX1621" s="27"/>
      <c r="BY1621" s="27"/>
      <c r="CH1621" s="29"/>
    </row>
    <row r="1622" spans="1:107" x14ac:dyDescent="0.2">
      <c r="A1622" s="18">
        <v>2001</v>
      </c>
      <c r="B1622" s="19">
        <v>124</v>
      </c>
      <c r="C1622" s="19">
        <f t="shared" si="108"/>
        <v>20010124</v>
      </c>
      <c r="D1622" s="23" t="s">
        <v>718</v>
      </c>
      <c r="E1622" s="20" t="s">
        <v>640</v>
      </c>
      <c r="I1622" s="22" t="s">
        <v>206</v>
      </c>
      <c r="J1622" s="22"/>
      <c r="K1622" s="22"/>
      <c r="L1622" s="22"/>
      <c r="M1622" s="22"/>
      <c r="N1622" s="22" t="s">
        <v>454</v>
      </c>
      <c r="O1622" s="22" t="s">
        <v>454</v>
      </c>
      <c r="P1622" s="22"/>
      <c r="Q1622" s="22" t="s">
        <v>2041</v>
      </c>
      <c r="R1622" s="22"/>
      <c r="S1622" s="22"/>
      <c r="T1622" s="22" t="s">
        <v>3131</v>
      </c>
      <c r="U1622" s="116" t="s">
        <v>3147</v>
      </c>
      <c r="V1622" s="22" t="s">
        <v>454</v>
      </c>
      <c r="W1622" s="22" t="s">
        <v>1</v>
      </c>
      <c r="X1622" s="22"/>
      <c r="Z1622" s="22"/>
      <c r="AA1622" s="22"/>
      <c r="AB1622" s="22"/>
      <c r="AC1622" s="22"/>
      <c r="AD1622" s="22"/>
      <c r="AE1622" s="24"/>
      <c r="AF1622" s="24" t="s">
        <v>2042</v>
      </c>
      <c r="AG1622" s="22"/>
      <c r="AK1622" s="40">
        <v>6980</v>
      </c>
      <c r="AL1622" s="40"/>
      <c r="AX1622" s="27"/>
      <c r="AY1622" s="27"/>
      <c r="BK1622" s="27"/>
      <c r="BL1622" s="27"/>
      <c r="BX1622" s="27"/>
      <c r="BY1622" s="27"/>
      <c r="CH1622" s="29"/>
    </row>
    <row r="1623" spans="1:107" x14ac:dyDescent="0.2">
      <c r="A1623" s="18">
        <v>2001</v>
      </c>
      <c r="B1623" s="19">
        <v>125</v>
      </c>
      <c r="C1623" s="19">
        <f t="shared" si="108"/>
        <v>20010125</v>
      </c>
      <c r="D1623" s="23" t="s">
        <v>718</v>
      </c>
      <c r="E1623" s="20" t="s">
        <v>640</v>
      </c>
      <c r="I1623" s="22" t="s">
        <v>206</v>
      </c>
      <c r="J1623" s="22"/>
      <c r="K1623" s="22"/>
      <c r="L1623" s="22"/>
      <c r="M1623" s="22"/>
      <c r="N1623" s="22" t="s">
        <v>454</v>
      </c>
      <c r="O1623" s="22" t="s">
        <v>454</v>
      </c>
      <c r="P1623" s="22"/>
      <c r="Q1623" s="22" t="s">
        <v>2041</v>
      </c>
      <c r="R1623" s="22"/>
      <c r="S1623" s="22"/>
      <c r="T1623" s="22" t="s">
        <v>3131</v>
      </c>
      <c r="U1623" s="116" t="s">
        <v>3147</v>
      </c>
      <c r="V1623" s="22" t="s">
        <v>454</v>
      </c>
      <c r="W1623" s="22" t="s">
        <v>1</v>
      </c>
      <c r="X1623" s="22"/>
      <c r="Z1623" s="22"/>
      <c r="AA1623" s="22"/>
      <c r="AB1623" s="22"/>
      <c r="AC1623" s="22"/>
      <c r="AD1623" s="22"/>
      <c r="AE1623" s="24"/>
      <c r="AF1623" s="24" t="s">
        <v>2042</v>
      </c>
      <c r="AG1623" s="22"/>
      <c r="AK1623" s="40">
        <v>6980</v>
      </c>
      <c r="AL1623" s="40"/>
      <c r="AX1623" s="27"/>
      <c r="AY1623" s="27"/>
      <c r="BK1623" s="27"/>
      <c r="BL1623" s="27"/>
      <c r="BX1623" s="27"/>
      <c r="BY1623" s="27"/>
      <c r="CH1623" s="29"/>
    </row>
    <row r="1624" spans="1:107" s="14" customFormat="1" ht="17.25" x14ac:dyDescent="0.3">
      <c r="A1624" s="8"/>
      <c r="B1624" s="8"/>
      <c r="C1624" s="8">
        <f t="shared" si="108"/>
        <v>0</v>
      </c>
      <c r="D1624" s="8"/>
      <c r="E1624" s="9" t="s">
        <v>210</v>
      </c>
      <c r="F1624" s="9"/>
      <c r="G1624" s="9"/>
      <c r="H1624" s="9"/>
      <c r="I1624" s="10"/>
      <c r="J1624" s="10"/>
      <c r="K1624" s="10"/>
      <c r="L1624" s="10"/>
      <c r="M1624" s="10"/>
      <c r="N1624" s="10"/>
      <c r="O1624" s="10"/>
      <c r="P1624" s="10"/>
      <c r="Q1624" s="10"/>
      <c r="R1624" s="10"/>
      <c r="S1624" s="10"/>
      <c r="T1624" s="10"/>
      <c r="U1624" s="10"/>
      <c r="V1624" s="10"/>
      <c r="W1624" s="10"/>
      <c r="X1624" s="10"/>
      <c r="Y1624" s="11"/>
      <c r="Z1624" s="10"/>
      <c r="AA1624" s="10"/>
      <c r="AB1624" s="10"/>
      <c r="AC1624" s="10"/>
      <c r="AD1624" s="10"/>
      <c r="AE1624" s="12"/>
      <c r="AF1624" s="12" t="s">
        <v>2042</v>
      </c>
      <c r="AG1624" s="10"/>
      <c r="AH1624" s="13"/>
      <c r="AI1624" s="13"/>
      <c r="AJ1624" s="13"/>
      <c r="AK1624" s="15"/>
      <c r="AL1624" s="15"/>
      <c r="AM1624" s="15"/>
      <c r="AN1624" s="15"/>
      <c r="AO1624" s="15"/>
      <c r="AP1624" s="15"/>
      <c r="AQ1624" s="15"/>
      <c r="AR1624" s="15"/>
      <c r="AS1624" s="15"/>
      <c r="AT1624" s="15"/>
      <c r="AU1624" s="13"/>
      <c r="AV1624" s="13"/>
      <c r="AW1624" s="13"/>
      <c r="AX1624" s="31"/>
      <c r="AY1624" s="31"/>
      <c r="AZ1624" s="15"/>
      <c r="BA1624" s="15"/>
      <c r="BB1624" s="15"/>
      <c r="BC1624" s="15"/>
      <c r="BD1624" s="15"/>
      <c r="BE1624" s="15"/>
      <c r="BF1624" s="15"/>
      <c r="BG1624" s="15"/>
      <c r="BH1624" s="13"/>
      <c r="BI1624" s="13"/>
      <c r="BJ1624" s="13"/>
      <c r="BK1624" s="31"/>
      <c r="BL1624" s="31"/>
      <c r="BM1624" s="15"/>
      <c r="BN1624" s="15"/>
      <c r="BO1624" s="15"/>
      <c r="BP1624" s="15"/>
      <c r="BQ1624" s="15"/>
      <c r="BR1624" s="15"/>
      <c r="BS1624" s="15"/>
      <c r="BT1624" s="15"/>
      <c r="BU1624" s="13"/>
      <c r="BV1624" s="13"/>
      <c r="BW1624" s="13"/>
      <c r="BX1624" s="31"/>
      <c r="BY1624" s="31"/>
      <c r="BZ1624" s="15"/>
      <c r="CA1624" s="15"/>
      <c r="CB1624" s="15"/>
      <c r="CC1624" s="15"/>
      <c r="CD1624" s="15"/>
      <c r="CE1624" s="15"/>
      <c r="CF1624" s="15"/>
      <c r="CG1624" s="15"/>
      <c r="CH1624" s="10"/>
      <c r="CI1624" s="8"/>
      <c r="CJ1624" s="16"/>
      <c r="CK1624" s="8"/>
      <c r="CT1624" s="17"/>
      <c r="CU1624" s="17"/>
      <c r="CV1624" s="17"/>
      <c r="CW1624" s="17"/>
      <c r="CX1624" s="17"/>
      <c r="CY1624" s="17"/>
      <c r="CZ1624" s="17"/>
      <c r="DA1624" s="17"/>
      <c r="DB1624" s="17"/>
      <c r="DC1624" s="15"/>
    </row>
    <row r="1625" spans="1:107" x14ac:dyDescent="0.2">
      <c r="A1625" s="18">
        <v>3003</v>
      </c>
      <c r="B1625" s="19">
        <v>1</v>
      </c>
      <c r="C1625" s="19">
        <f t="shared" si="108"/>
        <v>30030001</v>
      </c>
      <c r="D1625" s="19" t="s">
        <v>1099</v>
      </c>
      <c r="E1625" s="20" t="s">
        <v>104</v>
      </c>
      <c r="I1625" s="21" t="s">
        <v>208</v>
      </c>
      <c r="J1625" s="21"/>
      <c r="K1625" s="21"/>
      <c r="L1625" s="21"/>
      <c r="M1625" s="21"/>
      <c r="N1625" s="22" t="s">
        <v>160</v>
      </c>
      <c r="O1625" s="22" t="s">
        <v>160</v>
      </c>
      <c r="P1625" s="22"/>
      <c r="Q1625" s="22" t="s">
        <v>2041</v>
      </c>
      <c r="R1625" s="22"/>
      <c r="S1625" s="22"/>
      <c r="T1625" s="22"/>
      <c r="U1625" s="116"/>
      <c r="V1625" s="22"/>
      <c r="W1625" s="22" t="s">
        <v>1</v>
      </c>
      <c r="X1625" s="22"/>
      <c r="Z1625" s="22"/>
      <c r="AA1625" s="22"/>
      <c r="AB1625" s="22"/>
      <c r="AC1625" s="22"/>
      <c r="AD1625" s="22"/>
      <c r="AE1625" s="24"/>
      <c r="AF1625" s="24" t="s">
        <v>2042</v>
      </c>
      <c r="AG1625" s="22"/>
      <c r="AK1625" s="40" t="s">
        <v>140</v>
      </c>
      <c r="AL1625" s="40"/>
      <c r="AX1625" s="27"/>
      <c r="AY1625" s="27"/>
      <c r="BK1625" s="27"/>
      <c r="BL1625" s="27"/>
      <c r="BX1625" s="27"/>
      <c r="BY1625" s="27"/>
      <c r="CH1625" s="29"/>
    </row>
    <row r="1626" spans="1:107" x14ac:dyDescent="0.2">
      <c r="A1626" s="18">
        <v>3003</v>
      </c>
      <c r="B1626" s="19">
        <v>2</v>
      </c>
      <c r="C1626" s="19">
        <f t="shared" si="108"/>
        <v>30030002</v>
      </c>
      <c r="D1626" s="19" t="s">
        <v>1100</v>
      </c>
      <c r="E1626" s="20" t="s">
        <v>104</v>
      </c>
      <c r="I1626" s="21" t="s">
        <v>208</v>
      </c>
      <c r="J1626" s="21"/>
      <c r="K1626" s="21"/>
      <c r="L1626" s="21"/>
      <c r="M1626" s="21"/>
      <c r="N1626" s="22" t="s">
        <v>160</v>
      </c>
      <c r="O1626" s="22" t="s">
        <v>160</v>
      </c>
      <c r="P1626" s="22"/>
      <c r="Q1626" s="22" t="s">
        <v>2041</v>
      </c>
      <c r="R1626" s="22"/>
      <c r="S1626" s="22"/>
      <c r="T1626" s="22"/>
      <c r="U1626" s="116"/>
      <c r="V1626" s="22"/>
      <c r="W1626" s="22" t="s">
        <v>1</v>
      </c>
      <c r="X1626" s="22"/>
      <c r="Z1626" s="22"/>
      <c r="AA1626" s="22"/>
      <c r="AB1626" s="22"/>
      <c r="AC1626" s="22"/>
      <c r="AD1626" s="22"/>
      <c r="AE1626" s="24"/>
      <c r="AF1626" s="24" t="s">
        <v>2042</v>
      </c>
      <c r="AG1626" s="22"/>
      <c r="AK1626" s="40" t="s">
        <v>141</v>
      </c>
      <c r="AL1626" s="40"/>
      <c r="AX1626" s="27"/>
      <c r="AY1626" s="27"/>
      <c r="BK1626" s="27"/>
      <c r="BL1626" s="27"/>
      <c r="BX1626" s="27"/>
      <c r="BY1626" s="27"/>
      <c r="CH1626" s="29"/>
    </row>
    <row r="1627" spans="1:107" x14ac:dyDescent="0.2">
      <c r="A1627" s="18">
        <v>3003</v>
      </c>
      <c r="B1627" s="19">
        <v>3</v>
      </c>
      <c r="C1627" s="19">
        <f t="shared" si="108"/>
        <v>30030003</v>
      </c>
      <c r="D1627" s="19" t="s">
        <v>1101</v>
      </c>
      <c r="E1627" s="20" t="s">
        <v>104</v>
      </c>
      <c r="I1627" s="21" t="s">
        <v>208</v>
      </c>
      <c r="J1627" s="21"/>
      <c r="K1627" s="21"/>
      <c r="L1627" s="21"/>
      <c r="M1627" s="21"/>
      <c r="N1627" s="22" t="s">
        <v>160</v>
      </c>
      <c r="O1627" s="22" t="s">
        <v>160</v>
      </c>
      <c r="P1627" s="22"/>
      <c r="Q1627" s="22" t="s">
        <v>2041</v>
      </c>
      <c r="R1627" s="22"/>
      <c r="S1627" s="22"/>
      <c r="T1627" s="22"/>
      <c r="U1627" s="116"/>
      <c r="V1627" s="22"/>
      <c r="W1627" s="22" t="s">
        <v>1</v>
      </c>
      <c r="X1627" s="22"/>
      <c r="Z1627" s="22"/>
      <c r="AA1627" s="22"/>
      <c r="AB1627" s="22"/>
      <c r="AC1627" s="22"/>
      <c r="AD1627" s="22"/>
      <c r="AE1627" s="24"/>
      <c r="AF1627" s="24" t="s">
        <v>2042</v>
      </c>
      <c r="AG1627" s="22"/>
      <c r="AK1627" s="40" t="s">
        <v>142</v>
      </c>
      <c r="AL1627" s="40"/>
      <c r="AX1627" s="27"/>
      <c r="AY1627" s="27"/>
      <c r="BK1627" s="27"/>
      <c r="BL1627" s="27"/>
      <c r="BX1627" s="27"/>
      <c r="BY1627" s="27"/>
      <c r="CH1627" s="29"/>
    </row>
    <row r="1628" spans="1:107" x14ac:dyDescent="0.2">
      <c r="A1628" s="18">
        <v>3003</v>
      </c>
      <c r="B1628" s="19">
        <v>4</v>
      </c>
      <c r="C1628" s="19">
        <f t="shared" si="108"/>
        <v>30030004</v>
      </c>
      <c r="D1628" s="19" t="s">
        <v>1102</v>
      </c>
      <c r="E1628" s="20" t="s">
        <v>104</v>
      </c>
      <c r="I1628" s="21" t="s">
        <v>208</v>
      </c>
      <c r="J1628" s="21"/>
      <c r="K1628" s="21"/>
      <c r="L1628" s="21"/>
      <c r="M1628" s="21"/>
      <c r="N1628" s="22" t="s">
        <v>160</v>
      </c>
      <c r="O1628" s="22" t="s">
        <v>160</v>
      </c>
      <c r="P1628" s="22"/>
      <c r="Q1628" s="22" t="s">
        <v>2041</v>
      </c>
      <c r="R1628" s="22"/>
      <c r="S1628" s="22"/>
      <c r="T1628" s="22"/>
      <c r="U1628" s="116"/>
      <c r="V1628" s="22"/>
      <c r="W1628" s="22" t="s">
        <v>1</v>
      </c>
      <c r="X1628" s="22"/>
      <c r="Z1628" s="22"/>
      <c r="AA1628" s="22"/>
      <c r="AB1628" s="22"/>
      <c r="AC1628" s="22"/>
      <c r="AD1628" s="22"/>
      <c r="AE1628" s="24"/>
      <c r="AF1628" s="24" t="s">
        <v>2042</v>
      </c>
      <c r="AG1628" s="22"/>
      <c r="AK1628" s="40" t="s">
        <v>143</v>
      </c>
      <c r="AL1628" s="40"/>
      <c r="AX1628" s="27"/>
      <c r="AY1628" s="27"/>
      <c r="BK1628" s="27"/>
      <c r="BL1628" s="27"/>
      <c r="BX1628" s="27"/>
      <c r="BY1628" s="27"/>
      <c r="CH1628" s="29"/>
    </row>
    <row r="1629" spans="1:107" x14ac:dyDescent="0.2">
      <c r="A1629" s="18">
        <v>3003</v>
      </c>
      <c r="B1629" s="19">
        <v>5</v>
      </c>
      <c r="C1629" s="19">
        <f t="shared" si="108"/>
        <v>30030005</v>
      </c>
      <c r="D1629" s="19" t="s">
        <v>1103</v>
      </c>
      <c r="E1629" s="20" t="s">
        <v>104</v>
      </c>
      <c r="I1629" s="21" t="s">
        <v>208</v>
      </c>
      <c r="J1629" s="21"/>
      <c r="K1629" s="21"/>
      <c r="L1629" s="21"/>
      <c r="M1629" s="21"/>
      <c r="N1629" s="22" t="s">
        <v>160</v>
      </c>
      <c r="O1629" s="22" t="s">
        <v>160</v>
      </c>
      <c r="P1629" s="22"/>
      <c r="Q1629" s="22" t="s">
        <v>2041</v>
      </c>
      <c r="R1629" s="22"/>
      <c r="S1629" s="22"/>
      <c r="T1629" s="22"/>
      <c r="U1629" s="116"/>
      <c r="V1629" s="22"/>
      <c r="W1629" s="22" t="s">
        <v>1</v>
      </c>
      <c r="X1629" s="22"/>
      <c r="Z1629" s="22"/>
      <c r="AA1629" s="22"/>
      <c r="AB1629" s="22"/>
      <c r="AC1629" s="22"/>
      <c r="AD1629" s="22"/>
      <c r="AE1629" s="24"/>
      <c r="AF1629" s="24" t="s">
        <v>2042</v>
      </c>
      <c r="AG1629" s="22"/>
      <c r="AK1629" s="40" t="s">
        <v>144</v>
      </c>
      <c r="AL1629" s="40"/>
      <c r="AX1629" s="27"/>
      <c r="AY1629" s="27"/>
      <c r="BK1629" s="27"/>
      <c r="BL1629" s="27"/>
      <c r="BX1629" s="27"/>
      <c r="BY1629" s="27"/>
      <c r="CH1629" s="29"/>
    </row>
    <row r="1630" spans="1:107" s="14" customFormat="1" ht="17.25" x14ac:dyDescent="0.3">
      <c r="A1630" s="8"/>
      <c r="B1630" s="8"/>
      <c r="C1630" s="8">
        <f t="shared" si="108"/>
        <v>0</v>
      </c>
      <c r="D1630" s="8"/>
      <c r="E1630" s="9" t="s">
        <v>337</v>
      </c>
      <c r="F1630" s="9"/>
      <c r="G1630" s="9"/>
      <c r="H1630" s="9"/>
      <c r="I1630" s="10"/>
      <c r="J1630" s="10"/>
      <c r="K1630" s="10"/>
      <c r="L1630" s="10"/>
      <c r="M1630" s="10"/>
      <c r="N1630" s="10"/>
      <c r="O1630" s="10"/>
      <c r="P1630" s="10"/>
      <c r="Q1630" s="10"/>
      <c r="R1630" s="10"/>
      <c r="S1630" s="10"/>
      <c r="T1630" s="10"/>
      <c r="U1630" s="10"/>
      <c r="V1630" s="10"/>
      <c r="W1630" s="10"/>
      <c r="X1630" s="10"/>
      <c r="Y1630" s="11"/>
      <c r="Z1630" s="10"/>
      <c r="AA1630" s="10"/>
      <c r="AB1630" s="10"/>
      <c r="AC1630" s="10"/>
      <c r="AD1630" s="10"/>
      <c r="AE1630" s="12"/>
      <c r="AF1630" s="12" t="s">
        <v>2042</v>
      </c>
      <c r="AG1630" s="10"/>
      <c r="AH1630" s="13"/>
      <c r="AI1630" s="13"/>
      <c r="AJ1630" s="13"/>
      <c r="AK1630" s="15"/>
      <c r="AL1630" s="15"/>
      <c r="AM1630" s="15"/>
      <c r="AN1630" s="15"/>
      <c r="AO1630" s="15"/>
      <c r="AP1630" s="15"/>
      <c r="AQ1630" s="15"/>
      <c r="AR1630" s="15"/>
      <c r="AS1630" s="15"/>
      <c r="AT1630" s="15"/>
      <c r="AU1630" s="13"/>
      <c r="AV1630" s="13"/>
      <c r="AW1630" s="13"/>
      <c r="AX1630" s="31"/>
      <c r="AY1630" s="31"/>
      <c r="AZ1630" s="15"/>
      <c r="BA1630" s="15"/>
      <c r="BB1630" s="15"/>
      <c r="BC1630" s="15"/>
      <c r="BD1630" s="15"/>
      <c r="BE1630" s="15"/>
      <c r="BF1630" s="15"/>
      <c r="BG1630" s="15"/>
      <c r="BH1630" s="13"/>
      <c r="BI1630" s="13"/>
      <c r="BJ1630" s="13"/>
      <c r="BK1630" s="31"/>
      <c r="BL1630" s="31"/>
      <c r="BM1630" s="15"/>
      <c r="BN1630" s="15"/>
      <c r="BO1630" s="15"/>
      <c r="BP1630" s="15"/>
      <c r="BQ1630" s="15"/>
      <c r="BR1630" s="15"/>
      <c r="BS1630" s="15"/>
      <c r="BT1630" s="15"/>
      <c r="BU1630" s="13"/>
      <c r="BV1630" s="13"/>
      <c r="BW1630" s="13"/>
      <c r="BX1630" s="31"/>
      <c r="BY1630" s="31"/>
      <c r="BZ1630" s="15"/>
      <c r="CA1630" s="15"/>
      <c r="CB1630" s="15"/>
      <c r="CC1630" s="15"/>
      <c r="CD1630" s="15"/>
      <c r="CE1630" s="15"/>
      <c r="CF1630" s="15"/>
      <c r="CG1630" s="15"/>
      <c r="CH1630" s="10"/>
      <c r="CI1630" s="8"/>
      <c r="CJ1630" s="16"/>
      <c r="CK1630" s="8"/>
      <c r="CT1630" s="17"/>
      <c r="CU1630" s="17"/>
      <c r="CV1630" s="17"/>
      <c r="CW1630" s="17"/>
      <c r="CX1630" s="17"/>
      <c r="CY1630" s="17"/>
      <c r="CZ1630" s="17"/>
      <c r="DA1630" s="17"/>
      <c r="DB1630" s="17"/>
      <c r="DC1630" s="15"/>
    </row>
    <row r="1631" spans="1:107" x14ac:dyDescent="0.2">
      <c r="A1631" s="18">
        <v>4001</v>
      </c>
      <c r="B1631" s="19">
        <v>1</v>
      </c>
      <c r="C1631" s="19">
        <f t="shared" si="108"/>
        <v>40010001</v>
      </c>
      <c r="D1631" s="19" t="s">
        <v>307</v>
      </c>
      <c r="E1631" s="20" t="s">
        <v>1925</v>
      </c>
      <c r="I1631" s="22" t="s">
        <v>98</v>
      </c>
      <c r="J1631" s="22"/>
      <c r="K1631" s="22"/>
      <c r="L1631" s="22"/>
      <c r="M1631" s="22"/>
      <c r="N1631" s="22" t="s">
        <v>161</v>
      </c>
      <c r="O1631" s="22" t="s">
        <v>161</v>
      </c>
      <c r="P1631" s="116"/>
      <c r="Q1631" s="116" t="s">
        <v>2041</v>
      </c>
      <c r="R1631" s="116"/>
      <c r="S1631" s="116"/>
      <c r="T1631" s="116" t="s">
        <v>2218</v>
      </c>
      <c r="U1631" s="116" t="s">
        <v>3158</v>
      </c>
      <c r="V1631" s="22" t="s">
        <v>1830</v>
      </c>
      <c r="W1631" s="22" t="s">
        <v>1</v>
      </c>
      <c r="X1631" s="22"/>
      <c r="Z1631" s="22"/>
      <c r="AA1631" s="22"/>
      <c r="AB1631" s="22"/>
      <c r="AC1631" s="22"/>
      <c r="AD1631" s="22"/>
      <c r="AE1631" s="24"/>
      <c r="AF1631" s="24" t="s">
        <v>2042</v>
      </c>
      <c r="AG1631" s="22"/>
      <c r="AH1631" s="23" t="s">
        <v>843</v>
      </c>
      <c r="AI1631" s="23" t="s">
        <v>356</v>
      </c>
      <c r="AJ1631" s="23"/>
      <c r="AK1631" s="40" t="s">
        <v>266</v>
      </c>
      <c r="AL1631" s="40"/>
      <c r="AX1631" s="27"/>
      <c r="AY1631" s="27"/>
      <c r="BK1631" s="27"/>
      <c r="BL1631" s="27"/>
      <c r="BX1631" s="27"/>
      <c r="BY1631" s="27"/>
      <c r="CH1631" s="29"/>
      <c r="CI1631" s="23" t="s">
        <v>338</v>
      </c>
      <c r="CJ1631" s="28" t="s">
        <v>339</v>
      </c>
      <c r="CM1631" s="23" t="s">
        <v>733</v>
      </c>
    </row>
    <row r="1632" spans="1:107" x14ac:dyDescent="0.2">
      <c r="A1632" s="18">
        <v>4001</v>
      </c>
      <c r="B1632" s="19">
        <v>2</v>
      </c>
      <c r="C1632" s="19">
        <f t="shared" si="108"/>
        <v>40010002</v>
      </c>
      <c r="D1632" s="19" t="s">
        <v>308</v>
      </c>
      <c r="E1632" s="20" t="s">
        <v>1925</v>
      </c>
      <c r="I1632" s="22" t="s">
        <v>98</v>
      </c>
      <c r="J1632" s="22"/>
      <c r="K1632" s="22"/>
      <c r="L1632" s="22"/>
      <c r="M1632" s="22"/>
      <c r="N1632" s="22" t="s">
        <v>161</v>
      </c>
      <c r="O1632" s="22" t="s">
        <v>161</v>
      </c>
      <c r="P1632" s="116"/>
      <c r="Q1632" s="116" t="s">
        <v>2041</v>
      </c>
      <c r="R1632" s="116"/>
      <c r="S1632" s="116"/>
      <c r="T1632" s="116" t="s">
        <v>2218</v>
      </c>
      <c r="U1632" s="116" t="s">
        <v>3159</v>
      </c>
      <c r="V1632" s="22" t="s">
        <v>1830</v>
      </c>
      <c r="W1632" s="22" t="s">
        <v>1</v>
      </c>
      <c r="X1632" s="22"/>
      <c r="Z1632" s="22"/>
      <c r="AA1632" s="22"/>
      <c r="AB1632" s="22"/>
      <c r="AC1632" s="22"/>
      <c r="AD1632" s="22"/>
      <c r="AE1632" s="24"/>
      <c r="AF1632" s="24" t="s">
        <v>2042</v>
      </c>
      <c r="AG1632" s="22"/>
      <c r="AH1632" s="23" t="s">
        <v>211</v>
      </c>
      <c r="AI1632" s="23" t="s">
        <v>357</v>
      </c>
      <c r="AJ1632" s="23"/>
      <c r="AK1632" s="40" t="s">
        <v>268</v>
      </c>
      <c r="AL1632" s="40"/>
      <c r="AX1632" s="27"/>
      <c r="AY1632" s="27"/>
      <c r="BK1632" s="27"/>
      <c r="BL1632" s="27"/>
      <c r="BX1632" s="27"/>
      <c r="BY1632" s="27"/>
      <c r="CH1632" s="29"/>
      <c r="CI1632" s="23" t="s">
        <v>338</v>
      </c>
      <c r="CJ1632" s="28" t="s">
        <v>339</v>
      </c>
      <c r="CM1632" s="23" t="s">
        <v>27</v>
      </c>
    </row>
    <row r="1633" spans="1:91" x14ac:dyDescent="0.2">
      <c r="A1633" s="18">
        <v>4001</v>
      </c>
      <c r="B1633" s="19">
        <v>3</v>
      </c>
      <c r="C1633" s="19">
        <f t="shared" si="108"/>
        <v>40010003</v>
      </c>
      <c r="D1633" s="19" t="s">
        <v>309</v>
      </c>
      <c r="E1633" s="20" t="s">
        <v>1925</v>
      </c>
      <c r="I1633" s="22" t="s">
        <v>98</v>
      </c>
      <c r="J1633" s="22"/>
      <c r="K1633" s="22"/>
      <c r="L1633" s="22"/>
      <c r="M1633" s="22"/>
      <c r="N1633" s="22" t="s">
        <v>161</v>
      </c>
      <c r="O1633" s="22" t="s">
        <v>161</v>
      </c>
      <c r="P1633" s="116"/>
      <c r="Q1633" s="116" t="s">
        <v>2041</v>
      </c>
      <c r="R1633" s="116"/>
      <c r="S1633" s="116"/>
      <c r="T1633" s="116" t="s">
        <v>2218</v>
      </c>
      <c r="U1633" s="116" t="s">
        <v>3150</v>
      </c>
      <c r="V1633" s="22" t="s">
        <v>1830</v>
      </c>
      <c r="W1633" s="22" t="s">
        <v>1</v>
      </c>
      <c r="X1633" s="22"/>
      <c r="Z1633" s="22"/>
      <c r="AA1633" s="22"/>
      <c r="AB1633" s="22"/>
      <c r="AC1633" s="22"/>
      <c r="AD1633" s="22"/>
      <c r="AE1633" s="24"/>
      <c r="AF1633" s="24" t="s">
        <v>2042</v>
      </c>
      <c r="AG1633" s="22"/>
      <c r="AH1633" s="23" t="s">
        <v>212</v>
      </c>
      <c r="AI1633" s="23" t="s">
        <v>3</v>
      </c>
      <c r="AJ1633" s="23"/>
      <c r="AK1633" s="40" t="s">
        <v>240</v>
      </c>
      <c r="AL1633" s="40"/>
      <c r="AX1633" s="27"/>
      <c r="AY1633" s="27"/>
      <c r="BK1633" s="27"/>
      <c r="BL1633" s="27"/>
      <c r="BX1633" s="27"/>
      <c r="BY1633" s="27"/>
      <c r="CH1633" s="29"/>
      <c r="CI1633" s="23" t="s">
        <v>338</v>
      </c>
      <c r="CJ1633" s="28" t="s">
        <v>0</v>
      </c>
      <c r="CM1633" s="23" t="s">
        <v>1</v>
      </c>
    </row>
    <row r="1634" spans="1:91" x14ac:dyDescent="0.2">
      <c r="A1634" s="18">
        <v>4001</v>
      </c>
      <c r="B1634" s="19">
        <v>4</v>
      </c>
      <c r="C1634" s="19">
        <f t="shared" si="108"/>
        <v>40010004</v>
      </c>
      <c r="D1634" s="19" t="s">
        <v>310</v>
      </c>
      <c r="E1634" s="20" t="s">
        <v>1925</v>
      </c>
      <c r="I1634" s="22" t="s">
        <v>98</v>
      </c>
      <c r="J1634" s="22"/>
      <c r="K1634" s="22"/>
      <c r="L1634" s="22"/>
      <c r="M1634" s="22"/>
      <c r="N1634" s="22" t="s">
        <v>161</v>
      </c>
      <c r="O1634" s="22" t="s">
        <v>161</v>
      </c>
      <c r="P1634" s="116"/>
      <c r="Q1634" s="116" t="s">
        <v>2041</v>
      </c>
      <c r="R1634" s="116"/>
      <c r="S1634" s="116"/>
      <c r="T1634" s="116" t="s">
        <v>2218</v>
      </c>
      <c r="U1634" s="116" t="s">
        <v>3151</v>
      </c>
      <c r="V1634" s="22" t="s">
        <v>1830</v>
      </c>
      <c r="W1634" s="22" t="s">
        <v>1</v>
      </c>
      <c r="X1634" s="22"/>
      <c r="Z1634" s="22"/>
      <c r="AA1634" s="22"/>
      <c r="AB1634" s="22"/>
      <c r="AC1634" s="22"/>
      <c r="AD1634" s="22"/>
      <c r="AE1634" s="24"/>
      <c r="AF1634" s="24" t="s">
        <v>2042</v>
      </c>
      <c r="AG1634" s="22"/>
      <c r="AH1634" s="23" t="s">
        <v>213</v>
      </c>
      <c r="AI1634" s="23" t="s">
        <v>5</v>
      </c>
      <c r="AJ1634" s="23"/>
      <c r="AK1634" s="40" t="s">
        <v>351</v>
      </c>
      <c r="AL1634" s="40"/>
      <c r="AX1634" s="27"/>
      <c r="AY1634" s="27"/>
      <c r="BK1634" s="27"/>
      <c r="BL1634" s="27"/>
      <c r="BX1634" s="27"/>
      <c r="BY1634" s="27"/>
      <c r="CH1634" s="29"/>
      <c r="CI1634" s="23" t="s">
        <v>338</v>
      </c>
      <c r="CJ1634" s="28" t="s">
        <v>0</v>
      </c>
      <c r="CM1634" s="23" t="s">
        <v>2</v>
      </c>
    </row>
    <row r="1635" spans="1:91" x14ac:dyDescent="0.2">
      <c r="A1635" s="18">
        <v>4001</v>
      </c>
      <c r="B1635" s="19">
        <v>5</v>
      </c>
      <c r="C1635" s="19">
        <f t="shared" si="108"/>
        <v>40010005</v>
      </c>
      <c r="D1635" s="19" t="s">
        <v>311</v>
      </c>
      <c r="E1635" s="20" t="s">
        <v>1925</v>
      </c>
      <c r="I1635" s="22" t="s">
        <v>98</v>
      </c>
      <c r="J1635" s="22"/>
      <c r="K1635" s="22"/>
      <c r="L1635" s="22"/>
      <c r="M1635" s="22"/>
      <c r="N1635" s="22" t="s">
        <v>161</v>
      </c>
      <c r="O1635" s="22" t="s">
        <v>161</v>
      </c>
      <c r="P1635" s="116"/>
      <c r="Q1635" s="116" t="s">
        <v>2041</v>
      </c>
      <c r="R1635" s="116"/>
      <c r="S1635" s="116"/>
      <c r="T1635" s="116" t="s">
        <v>2218</v>
      </c>
      <c r="U1635" s="116" t="s">
        <v>3152</v>
      </c>
      <c r="V1635" s="22" t="s">
        <v>1830</v>
      </c>
      <c r="W1635" s="22" t="s">
        <v>1</v>
      </c>
      <c r="X1635" s="22"/>
      <c r="Z1635" s="22"/>
      <c r="AA1635" s="22"/>
      <c r="AB1635" s="22"/>
      <c r="AC1635" s="22"/>
      <c r="AD1635" s="22"/>
      <c r="AE1635" s="24"/>
      <c r="AF1635" s="24" t="s">
        <v>2042</v>
      </c>
      <c r="AG1635" s="22"/>
      <c r="AH1635" s="23" t="s">
        <v>214</v>
      </c>
      <c r="AI1635" s="23" t="s">
        <v>7</v>
      </c>
      <c r="AJ1635" s="23"/>
      <c r="AK1635" s="40" t="s">
        <v>352</v>
      </c>
      <c r="AL1635" s="40"/>
      <c r="AX1635" s="27"/>
      <c r="AY1635" s="27"/>
      <c r="BK1635" s="27"/>
      <c r="BL1635" s="27"/>
      <c r="BX1635" s="27"/>
      <c r="BY1635" s="27"/>
      <c r="CH1635" s="29"/>
      <c r="CI1635" s="23" t="s">
        <v>338</v>
      </c>
      <c r="CJ1635" s="28" t="s">
        <v>0</v>
      </c>
      <c r="CM1635" s="23" t="s">
        <v>3</v>
      </c>
    </row>
    <row r="1636" spans="1:91" x14ac:dyDescent="0.2">
      <c r="A1636" s="18">
        <v>4001</v>
      </c>
      <c r="B1636" s="19">
        <v>6</v>
      </c>
      <c r="C1636" s="19">
        <f t="shared" si="108"/>
        <v>40010006</v>
      </c>
      <c r="D1636" s="19" t="s">
        <v>312</v>
      </c>
      <c r="E1636" s="20" t="s">
        <v>1925</v>
      </c>
      <c r="I1636" s="22" t="s">
        <v>98</v>
      </c>
      <c r="J1636" s="22"/>
      <c r="K1636" s="22"/>
      <c r="L1636" s="22"/>
      <c r="M1636" s="22"/>
      <c r="N1636" s="22" t="s">
        <v>161</v>
      </c>
      <c r="O1636" s="22" t="s">
        <v>161</v>
      </c>
      <c r="P1636" s="116"/>
      <c r="Q1636" s="116" t="s">
        <v>2041</v>
      </c>
      <c r="R1636" s="116"/>
      <c r="S1636" s="116"/>
      <c r="T1636" s="116" t="s">
        <v>2218</v>
      </c>
      <c r="U1636" s="116" t="s">
        <v>3153</v>
      </c>
      <c r="V1636" s="22" t="s">
        <v>1830</v>
      </c>
      <c r="W1636" s="22" t="s">
        <v>1</v>
      </c>
      <c r="X1636" s="22"/>
      <c r="Z1636" s="22"/>
      <c r="AA1636" s="22"/>
      <c r="AB1636" s="22"/>
      <c r="AC1636" s="22"/>
      <c r="AD1636" s="22"/>
      <c r="AE1636" s="24"/>
      <c r="AF1636" s="24" t="s">
        <v>2042</v>
      </c>
      <c r="AG1636" s="22"/>
      <c r="AH1636" s="23" t="s">
        <v>215</v>
      </c>
      <c r="AI1636" s="23" t="s">
        <v>9</v>
      </c>
      <c r="AJ1636" s="23"/>
      <c r="AK1636" s="40" t="s">
        <v>353</v>
      </c>
      <c r="AL1636" s="40"/>
      <c r="AX1636" s="27"/>
      <c r="AY1636" s="27"/>
      <c r="BK1636" s="27"/>
      <c r="BL1636" s="27"/>
      <c r="BX1636" s="27"/>
      <c r="BY1636" s="27"/>
      <c r="CH1636" s="29"/>
      <c r="CI1636" s="23" t="s">
        <v>338</v>
      </c>
      <c r="CJ1636" s="28" t="s">
        <v>0</v>
      </c>
      <c r="CM1636" s="23" t="s">
        <v>4</v>
      </c>
    </row>
    <row r="1637" spans="1:91" x14ac:dyDescent="0.2">
      <c r="A1637" s="18">
        <v>4001</v>
      </c>
      <c r="B1637" s="19">
        <v>7</v>
      </c>
      <c r="C1637" s="19">
        <f t="shared" si="108"/>
        <v>40010007</v>
      </c>
      <c r="D1637" s="19" t="s">
        <v>313</v>
      </c>
      <c r="E1637" s="20" t="s">
        <v>1925</v>
      </c>
      <c r="I1637" s="22" t="s">
        <v>98</v>
      </c>
      <c r="J1637" s="22"/>
      <c r="K1637" s="22"/>
      <c r="L1637" s="22"/>
      <c r="M1637" s="22"/>
      <c r="N1637" s="22" t="s">
        <v>161</v>
      </c>
      <c r="O1637" s="22" t="s">
        <v>161</v>
      </c>
      <c r="P1637" s="116"/>
      <c r="Q1637" s="116" t="s">
        <v>2041</v>
      </c>
      <c r="R1637" s="116"/>
      <c r="S1637" s="116"/>
      <c r="T1637" s="116" t="s">
        <v>2218</v>
      </c>
      <c r="U1637" s="116" t="s">
        <v>3154</v>
      </c>
      <c r="V1637" s="22" t="s">
        <v>1830</v>
      </c>
      <c r="W1637" s="22" t="s">
        <v>1</v>
      </c>
      <c r="X1637" s="22"/>
      <c r="Z1637" s="22"/>
      <c r="AA1637" s="22"/>
      <c r="AB1637" s="22"/>
      <c r="AC1637" s="22"/>
      <c r="AD1637" s="22"/>
      <c r="AE1637" s="24"/>
      <c r="AF1637" s="24" t="s">
        <v>2042</v>
      </c>
      <c r="AG1637" s="22"/>
      <c r="AH1637" s="23" t="s">
        <v>216</v>
      </c>
      <c r="AI1637" s="23" t="s">
        <v>11</v>
      </c>
      <c r="AJ1637" s="23"/>
      <c r="AK1637" s="40" t="s">
        <v>354</v>
      </c>
      <c r="AL1637" s="40"/>
      <c r="AX1637" s="27"/>
      <c r="AY1637" s="27"/>
      <c r="BK1637" s="27"/>
      <c r="BL1637" s="27"/>
      <c r="BX1637" s="27"/>
      <c r="BY1637" s="27"/>
      <c r="CH1637" s="29"/>
      <c r="CI1637" s="23" t="s">
        <v>338</v>
      </c>
      <c r="CJ1637" s="28" t="s">
        <v>0</v>
      </c>
      <c r="CM1637" s="23" t="s">
        <v>5</v>
      </c>
    </row>
    <row r="1638" spans="1:91" x14ac:dyDescent="0.2">
      <c r="A1638" s="18">
        <v>4001</v>
      </c>
      <c r="B1638" s="19">
        <v>8</v>
      </c>
      <c r="C1638" s="19">
        <f t="shared" si="108"/>
        <v>40010008</v>
      </c>
      <c r="D1638" s="19" t="s">
        <v>314</v>
      </c>
      <c r="E1638" s="20" t="s">
        <v>1925</v>
      </c>
      <c r="I1638" s="22" t="s">
        <v>98</v>
      </c>
      <c r="J1638" s="22"/>
      <c r="K1638" s="22"/>
      <c r="L1638" s="22"/>
      <c r="M1638" s="22"/>
      <c r="N1638" s="22" t="s">
        <v>161</v>
      </c>
      <c r="O1638" s="22" t="s">
        <v>161</v>
      </c>
      <c r="P1638" s="116"/>
      <c r="Q1638" s="116" t="s">
        <v>2041</v>
      </c>
      <c r="R1638" s="116"/>
      <c r="S1638" s="116"/>
      <c r="T1638" s="116" t="s">
        <v>2218</v>
      </c>
      <c r="U1638" s="116" t="s">
        <v>3155</v>
      </c>
      <c r="V1638" s="22" t="s">
        <v>1830</v>
      </c>
      <c r="W1638" s="22" t="s">
        <v>1</v>
      </c>
      <c r="X1638" s="22"/>
      <c r="Z1638" s="22"/>
      <c r="AA1638" s="22"/>
      <c r="AB1638" s="22"/>
      <c r="AC1638" s="22"/>
      <c r="AD1638" s="22"/>
      <c r="AE1638" s="24"/>
      <c r="AF1638" s="24" t="s">
        <v>2042</v>
      </c>
      <c r="AG1638" s="22"/>
      <c r="AH1638" s="23" t="s">
        <v>217</v>
      </c>
      <c r="AI1638" s="23" t="s">
        <v>13</v>
      </c>
      <c r="AJ1638" s="23"/>
      <c r="AK1638" s="40" t="s">
        <v>241</v>
      </c>
      <c r="AL1638" s="40"/>
      <c r="AX1638" s="27"/>
      <c r="AY1638" s="27"/>
      <c r="BK1638" s="27"/>
      <c r="BL1638" s="27"/>
      <c r="BX1638" s="27"/>
      <c r="BY1638" s="27"/>
      <c r="CH1638" s="29"/>
      <c r="CI1638" s="23" t="s">
        <v>338</v>
      </c>
      <c r="CJ1638" s="28" t="s">
        <v>0</v>
      </c>
      <c r="CM1638" s="23" t="s">
        <v>6</v>
      </c>
    </row>
    <row r="1639" spans="1:91" x14ac:dyDescent="0.2">
      <c r="A1639" s="18">
        <v>4001</v>
      </c>
      <c r="B1639" s="19">
        <v>9</v>
      </c>
      <c r="C1639" s="19">
        <f t="shared" si="108"/>
        <v>40010009</v>
      </c>
      <c r="D1639" s="19" t="s">
        <v>315</v>
      </c>
      <c r="E1639" s="20" t="s">
        <v>1925</v>
      </c>
      <c r="I1639" s="22" t="s">
        <v>98</v>
      </c>
      <c r="J1639" s="22"/>
      <c r="K1639" s="22"/>
      <c r="L1639" s="22"/>
      <c r="M1639" s="22"/>
      <c r="N1639" s="22" t="s">
        <v>161</v>
      </c>
      <c r="O1639" s="22" t="s">
        <v>161</v>
      </c>
      <c r="P1639" s="116"/>
      <c r="Q1639" s="116" t="s">
        <v>2041</v>
      </c>
      <c r="R1639" s="116"/>
      <c r="S1639" s="116"/>
      <c r="T1639" s="116" t="s">
        <v>2218</v>
      </c>
      <c r="U1639" s="116" t="s">
        <v>3156</v>
      </c>
      <c r="V1639" s="22" t="s">
        <v>1830</v>
      </c>
      <c r="W1639" s="22" t="s">
        <v>1</v>
      </c>
      <c r="X1639" s="22"/>
      <c r="Z1639" s="22"/>
      <c r="AA1639" s="22"/>
      <c r="AB1639" s="22"/>
      <c r="AC1639" s="22"/>
      <c r="AD1639" s="22"/>
      <c r="AE1639" s="24"/>
      <c r="AF1639" s="24" t="s">
        <v>2042</v>
      </c>
      <c r="AG1639" s="22"/>
      <c r="AH1639" s="23" t="s">
        <v>218</v>
      </c>
      <c r="AI1639" s="23" t="s">
        <v>15</v>
      </c>
      <c r="AJ1639" s="23"/>
      <c r="AK1639" s="40" t="s">
        <v>355</v>
      </c>
      <c r="AL1639" s="40"/>
      <c r="AX1639" s="27"/>
      <c r="AY1639" s="27"/>
      <c r="BK1639" s="27"/>
      <c r="BL1639" s="27"/>
      <c r="BX1639" s="27"/>
      <c r="BY1639" s="27"/>
      <c r="CH1639" s="29"/>
      <c r="CI1639" s="23" t="s">
        <v>338</v>
      </c>
      <c r="CJ1639" s="28" t="s">
        <v>0</v>
      </c>
      <c r="CM1639" s="23" t="s">
        <v>7</v>
      </c>
    </row>
    <row r="1640" spans="1:91" x14ac:dyDescent="0.2">
      <c r="A1640" s="18">
        <v>4001</v>
      </c>
      <c r="B1640" s="19">
        <v>10</v>
      </c>
      <c r="C1640" s="19">
        <f t="shared" si="108"/>
        <v>40010010</v>
      </c>
      <c r="D1640" s="19" t="s">
        <v>316</v>
      </c>
      <c r="E1640" s="20" t="s">
        <v>1925</v>
      </c>
      <c r="I1640" s="22" t="s">
        <v>98</v>
      </c>
      <c r="J1640" s="22"/>
      <c r="K1640" s="22"/>
      <c r="L1640" s="22"/>
      <c r="M1640" s="22"/>
      <c r="N1640" s="22" t="s">
        <v>161</v>
      </c>
      <c r="O1640" s="22" t="s">
        <v>161</v>
      </c>
      <c r="P1640" s="116"/>
      <c r="Q1640" s="116" t="s">
        <v>2041</v>
      </c>
      <c r="R1640" s="116"/>
      <c r="S1640" s="116"/>
      <c r="T1640" s="116" t="s">
        <v>2218</v>
      </c>
      <c r="U1640" s="116" t="s">
        <v>3132</v>
      </c>
      <c r="V1640" s="22" t="s">
        <v>1830</v>
      </c>
      <c r="W1640" s="22" t="s">
        <v>1</v>
      </c>
      <c r="X1640" s="22"/>
      <c r="Z1640" s="22"/>
      <c r="AA1640" s="22"/>
      <c r="AB1640" s="22"/>
      <c r="AC1640" s="22"/>
      <c r="AD1640" s="22"/>
      <c r="AE1640" s="24"/>
      <c r="AF1640" s="24" t="s">
        <v>2042</v>
      </c>
      <c r="AG1640" s="22"/>
      <c r="AH1640" s="23" t="s">
        <v>219</v>
      </c>
      <c r="AI1640" s="23" t="s">
        <v>17</v>
      </c>
      <c r="AJ1640" s="23"/>
      <c r="AK1640" s="40" t="s">
        <v>378</v>
      </c>
      <c r="AL1640" s="40"/>
      <c r="AX1640" s="27"/>
      <c r="AY1640" s="27"/>
      <c r="BK1640" s="27"/>
      <c r="BL1640" s="27"/>
      <c r="BX1640" s="27"/>
      <c r="BY1640" s="27"/>
      <c r="CH1640" s="29"/>
      <c r="CI1640" s="23" t="s">
        <v>338</v>
      </c>
      <c r="CJ1640" s="28" t="s">
        <v>0</v>
      </c>
      <c r="CM1640" s="23" t="s">
        <v>8</v>
      </c>
    </row>
    <row r="1641" spans="1:91" x14ac:dyDescent="0.2">
      <c r="A1641" s="18">
        <v>4001</v>
      </c>
      <c r="B1641" s="19">
        <v>11</v>
      </c>
      <c r="C1641" s="19">
        <f t="shared" si="108"/>
        <v>40010011</v>
      </c>
      <c r="D1641" s="19" t="s">
        <v>317</v>
      </c>
      <c r="E1641" s="20" t="s">
        <v>1925</v>
      </c>
      <c r="I1641" s="22" t="s">
        <v>98</v>
      </c>
      <c r="J1641" s="22"/>
      <c r="K1641" s="22"/>
      <c r="L1641" s="22"/>
      <c r="M1641" s="22"/>
      <c r="N1641" s="22" t="s">
        <v>161</v>
      </c>
      <c r="O1641" s="22" t="s">
        <v>161</v>
      </c>
      <c r="P1641" s="116"/>
      <c r="Q1641" s="116" t="s">
        <v>2041</v>
      </c>
      <c r="R1641" s="116"/>
      <c r="S1641" s="116"/>
      <c r="T1641" s="116" t="s">
        <v>2218</v>
      </c>
      <c r="U1641" s="116" t="s">
        <v>3133</v>
      </c>
      <c r="V1641" s="22" t="s">
        <v>1830</v>
      </c>
      <c r="W1641" s="22" t="s">
        <v>1</v>
      </c>
      <c r="X1641" s="22"/>
      <c r="Z1641" s="22"/>
      <c r="AA1641" s="22"/>
      <c r="AB1641" s="22"/>
      <c r="AC1641" s="22"/>
      <c r="AD1641" s="22"/>
      <c r="AE1641" s="24"/>
      <c r="AF1641" s="24" t="s">
        <v>2042</v>
      </c>
      <c r="AG1641" s="22"/>
      <c r="AH1641" s="23" t="s">
        <v>220</v>
      </c>
      <c r="AI1641" s="23" t="s">
        <v>19</v>
      </c>
      <c r="AJ1641" s="23"/>
      <c r="AK1641" s="40" t="s">
        <v>376</v>
      </c>
      <c r="AL1641" s="40"/>
      <c r="AX1641" s="27"/>
      <c r="AY1641" s="27"/>
      <c r="BK1641" s="27"/>
      <c r="BL1641" s="27"/>
      <c r="BX1641" s="27"/>
      <c r="BY1641" s="27"/>
      <c r="CH1641" s="29"/>
      <c r="CI1641" s="23" t="s">
        <v>338</v>
      </c>
      <c r="CJ1641" s="28" t="s">
        <v>0</v>
      </c>
      <c r="CM1641" s="23" t="s">
        <v>9</v>
      </c>
    </row>
    <row r="1642" spans="1:91" x14ac:dyDescent="0.2">
      <c r="A1642" s="18">
        <v>4001</v>
      </c>
      <c r="B1642" s="19">
        <v>12</v>
      </c>
      <c r="C1642" s="19">
        <f t="shared" si="108"/>
        <v>40010012</v>
      </c>
      <c r="D1642" s="19" t="s">
        <v>318</v>
      </c>
      <c r="E1642" s="20" t="s">
        <v>1925</v>
      </c>
      <c r="I1642" s="22" t="s">
        <v>98</v>
      </c>
      <c r="J1642" s="22"/>
      <c r="K1642" s="22"/>
      <c r="L1642" s="22"/>
      <c r="M1642" s="22"/>
      <c r="N1642" s="22" t="s">
        <v>161</v>
      </c>
      <c r="O1642" s="22" t="s">
        <v>161</v>
      </c>
      <c r="P1642" s="116"/>
      <c r="Q1642" s="116" t="s">
        <v>2041</v>
      </c>
      <c r="R1642" s="116"/>
      <c r="S1642" s="116"/>
      <c r="T1642" s="116" t="s">
        <v>2218</v>
      </c>
      <c r="U1642" s="116" t="s">
        <v>3134</v>
      </c>
      <c r="V1642" s="22" t="s">
        <v>1830</v>
      </c>
      <c r="W1642" s="22" t="s">
        <v>1</v>
      </c>
      <c r="X1642" s="22"/>
      <c r="Z1642" s="22"/>
      <c r="AA1642" s="22"/>
      <c r="AB1642" s="22"/>
      <c r="AC1642" s="22"/>
      <c r="AD1642" s="22"/>
      <c r="AE1642" s="24"/>
      <c r="AF1642" s="24" t="s">
        <v>2042</v>
      </c>
      <c r="AG1642" s="22"/>
      <c r="AH1642" s="23" t="s">
        <v>221</v>
      </c>
      <c r="AI1642" s="23" t="s">
        <v>21</v>
      </c>
      <c r="AJ1642" s="23"/>
      <c r="AK1642" s="40" t="s">
        <v>379</v>
      </c>
      <c r="AL1642" s="40"/>
      <c r="AX1642" s="27"/>
      <c r="AY1642" s="27"/>
      <c r="BK1642" s="27"/>
      <c r="BL1642" s="27"/>
      <c r="BX1642" s="27"/>
      <c r="BY1642" s="27"/>
      <c r="CH1642" s="29"/>
      <c r="CI1642" s="23" t="s">
        <v>338</v>
      </c>
      <c r="CJ1642" s="28" t="s">
        <v>0</v>
      </c>
      <c r="CM1642" s="23" t="s">
        <v>10</v>
      </c>
    </row>
    <row r="1643" spans="1:91" x14ac:dyDescent="0.2">
      <c r="A1643" s="18">
        <v>4001</v>
      </c>
      <c r="B1643" s="19">
        <v>13</v>
      </c>
      <c r="C1643" s="19">
        <f t="shared" si="108"/>
        <v>40010013</v>
      </c>
      <c r="D1643" s="19" t="s">
        <v>319</v>
      </c>
      <c r="E1643" s="20" t="s">
        <v>1925</v>
      </c>
      <c r="I1643" s="22" t="s">
        <v>98</v>
      </c>
      <c r="J1643" s="22"/>
      <c r="K1643" s="22"/>
      <c r="L1643" s="22"/>
      <c r="M1643" s="22"/>
      <c r="N1643" s="22" t="s">
        <v>161</v>
      </c>
      <c r="O1643" s="22" t="s">
        <v>161</v>
      </c>
      <c r="P1643" s="116"/>
      <c r="Q1643" s="116" t="s">
        <v>2041</v>
      </c>
      <c r="R1643" s="116"/>
      <c r="S1643" s="116"/>
      <c r="T1643" s="116" t="s">
        <v>2218</v>
      </c>
      <c r="U1643" s="116" t="s">
        <v>3135</v>
      </c>
      <c r="V1643" s="22" t="s">
        <v>1830</v>
      </c>
      <c r="W1643" s="22" t="s">
        <v>1</v>
      </c>
      <c r="X1643" s="22"/>
      <c r="Z1643" s="22"/>
      <c r="AA1643" s="22"/>
      <c r="AB1643" s="22"/>
      <c r="AC1643" s="22"/>
      <c r="AD1643" s="22"/>
      <c r="AE1643" s="24"/>
      <c r="AF1643" s="24" t="s">
        <v>2042</v>
      </c>
      <c r="AG1643" s="22"/>
      <c r="AH1643" s="23" t="s">
        <v>222</v>
      </c>
      <c r="AI1643" s="23" t="s">
        <v>358</v>
      </c>
      <c r="AJ1643" s="23"/>
      <c r="AK1643" s="40" t="s">
        <v>380</v>
      </c>
      <c r="AL1643" s="40"/>
      <c r="AX1643" s="27"/>
      <c r="AY1643" s="27"/>
      <c r="BK1643" s="27"/>
      <c r="BL1643" s="27"/>
      <c r="BX1643" s="27"/>
      <c r="BY1643" s="27"/>
      <c r="CH1643" s="29"/>
      <c r="CI1643" s="23" t="s">
        <v>338</v>
      </c>
      <c r="CJ1643" s="28" t="s">
        <v>0</v>
      </c>
      <c r="CM1643" s="23" t="s">
        <v>11</v>
      </c>
    </row>
    <row r="1644" spans="1:91" x14ac:dyDescent="0.2">
      <c r="A1644" s="18">
        <v>4001</v>
      </c>
      <c r="B1644" s="19">
        <v>14</v>
      </c>
      <c r="C1644" s="19">
        <f t="shared" si="108"/>
        <v>40010014</v>
      </c>
      <c r="D1644" s="19" t="s">
        <v>320</v>
      </c>
      <c r="E1644" s="20" t="s">
        <v>1925</v>
      </c>
      <c r="I1644" s="22" t="s">
        <v>98</v>
      </c>
      <c r="J1644" s="22"/>
      <c r="K1644" s="22"/>
      <c r="L1644" s="22"/>
      <c r="M1644" s="22"/>
      <c r="N1644" s="22" t="s">
        <v>161</v>
      </c>
      <c r="O1644" s="22" t="s">
        <v>161</v>
      </c>
      <c r="P1644" s="116"/>
      <c r="Q1644" s="116" t="s">
        <v>2041</v>
      </c>
      <c r="R1644" s="116"/>
      <c r="S1644" s="116"/>
      <c r="T1644" s="116" t="s">
        <v>2218</v>
      </c>
      <c r="U1644" s="116" t="s">
        <v>3136</v>
      </c>
      <c r="V1644" s="22" t="s">
        <v>1830</v>
      </c>
      <c r="W1644" s="22" t="s">
        <v>1</v>
      </c>
      <c r="X1644" s="22"/>
      <c r="Z1644" s="22"/>
      <c r="AA1644" s="22"/>
      <c r="AB1644" s="22"/>
      <c r="AC1644" s="22"/>
      <c r="AD1644" s="22"/>
      <c r="AE1644" s="24"/>
      <c r="AF1644" s="24" t="s">
        <v>2042</v>
      </c>
      <c r="AG1644" s="22"/>
      <c r="AH1644" s="23" t="s">
        <v>223</v>
      </c>
      <c r="AI1644" s="23" t="s">
        <v>359</v>
      </c>
      <c r="AJ1644" s="23"/>
      <c r="AK1644" s="40" t="s">
        <v>381</v>
      </c>
      <c r="AL1644" s="40"/>
      <c r="AX1644" s="27"/>
      <c r="AY1644" s="27"/>
      <c r="BK1644" s="27"/>
      <c r="BL1644" s="27"/>
      <c r="BX1644" s="27"/>
      <c r="BY1644" s="27"/>
      <c r="CH1644" s="29"/>
      <c r="CI1644" s="23" t="s">
        <v>338</v>
      </c>
      <c r="CJ1644" s="28" t="s">
        <v>0</v>
      </c>
      <c r="CM1644" s="23" t="s">
        <v>12</v>
      </c>
    </row>
    <row r="1645" spans="1:91" x14ac:dyDescent="0.2">
      <c r="A1645" s="18">
        <v>4001</v>
      </c>
      <c r="B1645" s="19">
        <v>15</v>
      </c>
      <c r="C1645" s="19">
        <f t="shared" si="108"/>
        <v>40010015</v>
      </c>
      <c r="D1645" s="19" t="s">
        <v>321</v>
      </c>
      <c r="E1645" s="20" t="s">
        <v>1925</v>
      </c>
      <c r="I1645" s="22" t="s">
        <v>98</v>
      </c>
      <c r="J1645" s="22"/>
      <c r="K1645" s="22"/>
      <c r="L1645" s="22"/>
      <c r="M1645" s="22"/>
      <c r="N1645" s="22" t="s">
        <v>161</v>
      </c>
      <c r="O1645" s="22" t="s">
        <v>161</v>
      </c>
      <c r="P1645" s="116"/>
      <c r="Q1645" s="116" t="s">
        <v>2041</v>
      </c>
      <c r="R1645" s="116"/>
      <c r="S1645" s="116"/>
      <c r="T1645" s="116" t="s">
        <v>2218</v>
      </c>
      <c r="U1645" s="116" t="s">
        <v>3137</v>
      </c>
      <c r="V1645" s="22" t="s">
        <v>1830</v>
      </c>
      <c r="W1645" s="22" t="s">
        <v>1</v>
      </c>
      <c r="X1645" s="22"/>
      <c r="Z1645" s="22"/>
      <c r="AA1645" s="22"/>
      <c r="AB1645" s="22"/>
      <c r="AC1645" s="22"/>
      <c r="AD1645" s="22"/>
      <c r="AE1645" s="24"/>
      <c r="AF1645" s="24" t="s">
        <v>2042</v>
      </c>
      <c r="AG1645" s="22"/>
      <c r="AH1645" s="23" t="s">
        <v>224</v>
      </c>
      <c r="AI1645" s="23" t="s">
        <v>342</v>
      </c>
      <c r="AJ1645" s="23"/>
      <c r="AK1645" s="40" t="s">
        <v>377</v>
      </c>
      <c r="AL1645" s="40"/>
      <c r="AX1645" s="27"/>
      <c r="AY1645" s="27"/>
      <c r="BK1645" s="27"/>
      <c r="BL1645" s="27"/>
      <c r="BX1645" s="27"/>
      <c r="BY1645" s="27"/>
      <c r="CH1645" s="29"/>
      <c r="CI1645" s="23" t="s">
        <v>338</v>
      </c>
      <c r="CJ1645" s="28" t="s">
        <v>0</v>
      </c>
      <c r="CM1645" s="23" t="s">
        <v>13</v>
      </c>
    </row>
    <row r="1646" spans="1:91" x14ac:dyDescent="0.2">
      <c r="A1646" s="18">
        <v>4001</v>
      </c>
      <c r="B1646" s="19">
        <v>16</v>
      </c>
      <c r="C1646" s="19">
        <f t="shared" si="108"/>
        <v>40010016</v>
      </c>
      <c r="D1646" s="19" t="s">
        <v>322</v>
      </c>
      <c r="E1646" s="20" t="s">
        <v>1925</v>
      </c>
      <c r="I1646" s="22" t="s">
        <v>98</v>
      </c>
      <c r="J1646" s="22"/>
      <c r="K1646" s="22"/>
      <c r="L1646" s="22"/>
      <c r="M1646" s="22"/>
      <c r="N1646" s="22" t="s">
        <v>161</v>
      </c>
      <c r="O1646" s="22" t="s">
        <v>161</v>
      </c>
      <c r="P1646" s="116"/>
      <c r="Q1646" s="116" t="s">
        <v>2041</v>
      </c>
      <c r="R1646" s="116"/>
      <c r="S1646" s="116"/>
      <c r="T1646" s="116" t="s">
        <v>2218</v>
      </c>
      <c r="U1646" s="116" t="s">
        <v>3138</v>
      </c>
      <c r="V1646" s="22" t="s">
        <v>1830</v>
      </c>
      <c r="W1646" s="22" t="s">
        <v>1</v>
      </c>
      <c r="X1646" s="22"/>
      <c r="Z1646" s="22"/>
      <c r="AA1646" s="22"/>
      <c r="AB1646" s="22"/>
      <c r="AC1646" s="22"/>
      <c r="AD1646" s="22"/>
      <c r="AE1646" s="24"/>
      <c r="AF1646" s="24" t="s">
        <v>2042</v>
      </c>
      <c r="AG1646" s="22"/>
      <c r="AH1646" s="23" t="s">
        <v>225</v>
      </c>
      <c r="AI1646" s="23" t="s">
        <v>360</v>
      </c>
      <c r="AJ1646" s="23"/>
      <c r="AK1646" s="40" t="s">
        <v>382</v>
      </c>
      <c r="AL1646" s="40"/>
      <c r="AX1646" s="27"/>
      <c r="AY1646" s="27"/>
      <c r="BK1646" s="27"/>
      <c r="BL1646" s="27"/>
      <c r="BX1646" s="27"/>
      <c r="BY1646" s="27"/>
      <c r="CH1646" s="29"/>
      <c r="CI1646" s="23" t="s">
        <v>338</v>
      </c>
      <c r="CJ1646" s="28" t="s">
        <v>0</v>
      </c>
      <c r="CM1646" s="23" t="s">
        <v>14</v>
      </c>
    </row>
    <row r="1647" spans="1:91" x14ac:dyDescent="0.2">
      <c r="A1647" s="18">
        <v>4001</v>
      </c>
      <c r="B1647" s="19">
        <v>17</v>
      </c>
      <c r="C1647" s="19">
        <f t="shared" si="108"/>
        <v>40010017</v>
      </c>
      <c r="D1647" s="19" t="s">
        <v>323</v>
      </c>
      <c r="E1647" s="20" t="s">
        <v>1925</v>
      </c>
      <c r="I1647" s="22" t="s">
        <v>98</v>
      </c>
      <c r="J1647" s="22"/>
      <c r="K1647" s="22"/>
      <c r="L1647" s="22"/>
      <c r="M1647" s="22"/>
      <c r="N1647" s="22" t="s">
        <v>161</v>
      </c>
      <c r="O1647" s="22" t="s">
        <v>161</v>
      </c>
      <c r="P1647" s="116"/>
      <c r="Q1647" s="116" t="s">
        <v>2041</v>
      </c>
      <c r="R1647" s="116"/>
      <c r="S1647" s="116"/>
      <c r="T1647" s="116" t="s">
        <v>2218</v>
      </c>
      <c r="U1647" s="116" t="s">
        <v>3139</v>
      </c>
      <c r="V1647" s="22" t="s">
        <v>1830</v>
      </c>
      <c r="W1647" s="22" t="s">
        <v>1</v>
      </c>
      <c r="X1647" s="22"/>
      <c r="Z1647" s="22"/>
      <c r="AA1647" s="22"/>
      <c r="AB1647" s="22"/>
      <c r="AC1647" s="22"/>
      <c r="AD1647" s="22"/>
      <c r="AE1647" s="24"/>
      <c r="AF1647" s="24" t="s">
        <v>2042</v>
      </c>
      <c r="AG1647" s="22"/>
      <c r="AH1647" s="23" t="s">
        <v>226</v>
      </c>
      <c r="AI1647" s="23" t="s">
        <v>361</v>
      </c>
      <c r="AJ1647" s="23"/>
      <c r="AK1647" s="40" t="s">
        <v>383</v>
      </c>
      <c r="AL1647" s="40"/>
      <c r="AX1647" s="27"/>
      <c r="AY1647" s="27"/>
      <c r="BK1647" s="27"/>
      <c r="BL1647" s="27"/>
      <c r="BX1647" s="27"/>
      <c r="BY1647" s="27"/>
      <c r="CH1647" s="29"/>
      <c r="CI1647" s="23" t="s">
        <v>338</v>
      </c>
      <c r="CJ1647" s="28" t="s">
        <v>0</v>
      </c>
      <c r="CM1647" s="23" t="s">
        <v>15</v>
      </c>
    </row>
    <row r="1648" spans="1:91" x14ac:dyDescent="0.2">
      <c r="A1648" s="18">
        <v>4001</v>
      </c>
      <c r="B1648" s="19">
        <v>18</v>
      </c>
      <c r="C1648" s="19">
        <f t="shared" ref="C1648:C1711" si="109">A1648*10000+B1648</f>
        <v>40010018</v>
      </c>
      <c r="D1648" s="19" t="s">
        <v>324</v>
      </c>
      <c r="E1648" s="20" t="s">
        <v>1925</v>
      </c>
      <c r="I1648" s="22" t="s">
        <v>98</v>
      </c>
      <c r="J1648" s="22"/>
      <c r="K1648" s="22"/>
      <c r="L1648" s="22"/>
      <c r="M1648" s="22"/>
      <c r="N1648" s="22" t="s">
        <v>161</v>
      </c>
      <c r="O1648" s="22" t="s">
        <v>161</v>
      </c>
      <c r="P1648" s="116"/>
      <c r="Q1648" s="116" t="s">
        <v>2041</v>
      </c>
      <c r="R1648" s="116"/>
      <c r="S1648" s="116"/>
      <c r="T1648" s="116" t="s">
        <v>2218</v>
      </c>
      <c r="U1648" s="116" t="s">
        <v>3140</v>
      </c>
      <c r="V1648" s="22" t="s">
        <v>1830</v>
      </c>
      <c r="W1648" s="22" t="s">
        <v>1</v>
      </c>
      <c r="X1648" s="22"/>
      <c r="Z1648" s="22"/>
      <c r="AA1648" s="22"/>
      <c r="AB1648" s="22"/>
      <c r="AC1648" s="22"/>
      <c r="AD1648" s="22"/>
      <c r="AE1648" s="24"/>
      <c r="AF1648" s="24" t="s">
        <v>2042</v>
      </c>
      <c r="AG1648" s="22"/>
      <c r="AH1648" s="23" t="s">
        <v>227</v>
      </c>
      <c r="AI1648" s="23" t="s">
        <v>362</v>
      </c>
      <c r="AJ1648" s="23"/>
      <c r="AK1648" s="40" t="s">
        <v>384</v>
      </c>
      <c r="AL1648" s="40"/>
      <c r="AX1648" s="27"/>
      <c r="AY1648" s="27"/>
      <c r="BK1648" s="27"/>
      <c r="BL1648" s="27"/>
      <c r="BX1648" s="27"/>
      <c r="BY1648" s="27"/>
      <c r="CH1648" s="29"/>
      <c r="CI1648" s="23" t="s">
        <v>338</v>
      </c>
      <c r="CJ1648" s="28" t="s">
        <v>0</v>
      </c>
      <c r="CM1648" s="23" t="s">
        <v>16</v>
      </c>
    </row>
    <row r="1649" spans="1:91" x14ac:dyDescent="0.2">
      <c r="A1649" s="18">
        <v>4001</v>
      </c>
      <c r="B1649" s="19">
        <v>19</v>
      </c>
      <c r="C1649" s="19">
        <f t="shared" si="109"/>
        <v>40010019</v>
      </c>
      <c r="D1649" s="19" t="s">
        <v>325</v>
      </c>
      <c r="E1649" s="20" t="s">
        <v>1925</v>
      </c>
      <c r="I1649" s="22" t="s">
        <v>98</v>
      </c>
      <c r="J1649" s="22"/>
      <c r="K1649" s="22"/>
      <c r="L1649" s="22"/>
      <c r="M1649" s="22"/>
      <c r="N1649" s="22" t="s">
        <v>161</v>
      </c>
      <c r="O1649" s="22" t="s">
        <v>161</v>
      </c>
      <c r="P1649" s="116"/>
      <c r="Q1649" s="116" t="s">
        <v>2041</v>
      </c>
      <c r="R1649" s="116"/>
      <c r="S1649" s="116"/>
      <c r="T1649" s="116" t="s">
        <v>2218</v>
      </c>
      <c r="U1649" s="116" t="s">
        <v>3141</v>
      </c>
      <c r="V1649" s="22" t="s">
        <v>1830</v>
      </c>
      <c r="W1649" s="22" t="s">
        <v>1</v>
      </c>
      <c r="X1649" s="22"/>
      <c r="Z1649" s="22"/>
      <c r="AA1649" s="22"/>
      <c r="AB1649" s="22"/>
      <c r="AC1649" s="22"/>
      <c r="AD1649" s="22"/>
      <c r="AE1649" s="24"/>
      <c r="AF1649" s="24" t="s">
        <v>2042</v>
      </c>
      <c r="AG1649" s="22"/>
      <c r="AH1649" s="23" t="s">
        <v>228</v>
      </c>
      <c r="AI1649" s="23" t="s">
        <v>363</v>
      </c>
      <c r="AJ1649" s="23"/>
      <c r="AK1649" s="40" t="s">
        <v>385</v>
      </c>
      <c r="AL1649" s="40"/>
      <c r="AX1649" s="27"/>
      <c r="AY1649" s="27"/>
      <c r="BK1649" s="27"/>
      <c r="BL1649" s="27"/>
      <c r="BX1649" s="27"/>
      <c r="BY1649" s="27"/>
      <c r="CH1649" s="29"/>
      <c r="CI1649" s="23" t="s">
        <v>338</v>
      </c>
      <c r="CJ1649" s="28" t="s">
        <v>0</v>
      </c>
      <c r="CM1649" s="23" t="s">
        <v>17</v>
      </c>
    </row>
    <row r="1650" spans="1:91" x14ac:dyDescent="0.2">
      <c r="A1650" s="18">
        <v>4001</v>
      </c>
      <c r="B1650" s="19">
        <v>20</v>
      </c>
      <c r="C1650" s="19">
        <f t="shared" si="109"/>
        <v>40010020</v>
      </c>
      <c r="D1650" s="19" t="s">
        <v>326</v>
      </c>
      <c r="E1650" s="20" t="s">
        <v>1925</v>
      </c>
      <c r="I1650" s="22" t="s">
        <v>98</v>
      </c>
      <c r="J1650" s="22"/>
      <c r="K1650" s="22"/>
      <c r="L1650" s="22"/>
      <c r="M1650" s="22"/>
      <c r="N1650" s="22" t="s">
        <v>161</v>
      </c>
      <c r="O1650" s="22" t="s">
        <v>161</v>
      </c>
      <c r="P1650" s="116"/>
      <c r="Q1650" s="116" t="s">
        <v>2041</v>
      </c>
      <c r="R1650" s="116"/>
      <c r="S1650" s="116"/>
      <c r="T1650" s="116" t="s">
        <v>2218</v>
      </c>
      <c r="U1650" s="116" t="s">
        <v>3142</v>
      </c>
      <c r="V1650" s="22" t="s">
        <v>1830</v>
      </c>
      <c r="W1650" s="22" t="s">
        <v>1</v>
      </c>
      <c r="X1650" s="22"/>
      <c r="Z1650" s="22"/>
      <c r="AA1650" s="22"/>
      <c r="AB1650" s="22"/>
      <c r="AC1650" s="22"/>
      <c r="AD1650" s="22"/>
      <c r="AE1650" s="24"/>
      <c r="AF1650" s="24" t="s">
        <v>2042</v>
      </c>
      <c r="AG1650" s="22"/>
      <c r="AH1650" s="23" t="s">
        <v>229</v>
      </c>
      <c r="AI1650" s="23" t="s">
        <v>348</v>
      </c>
      <c r="AJ1650" s="23"/>
      <c r="AK1650" s="40" t="s">
        <v>386</v>
      </c>
      <c r="AL1650" s="40"/>
      <c r="AX1650" s="27"/>
      <c r="AY1650" s="27"/>
      <c r="BK1650" s="27"/>
      <c r="BL1650" s="27"/>
      <c r="BX1650" s="27"/>
      <c r="BY1650" s="27"/>
      <c r="CH1650" s="29"/>
      <c r="CI1650" s="23" t="s">
        <v>338</v>
      </c>
      <c r="CJ1650" s="28" t="s">
        <v>0</v>
      </c>
      <c r="CM1650" s="23" t="s">
        <v>18</v>
      </c>
    </row>
    <row r="1651" spans="1:91" x14ac:dyDescent="0.2">
      <c r="A1651" s="18">
        <v>4001</v>
      </c>
      <c r="B1651" s="19">
        <v>21</v>
      </c>
      <c r="C1651" s="19">
        <f t="shared" si="109"/>
        <v>40010021</v>
      </c>
      <c r="D1651" s="19" t="s">
        <v>327</v>
      </c>
      <c r="E1651" s="20" t="s">
        <v>1925</v>
      </c>
      <c r="I1651" s="22" t="s">
        <v>98</v>
      </c>
      <c r="J1651" s="22"/>
      <c r="K1651" s="22"/>
      <c r="L1651" s="22"/>
      <c r="M1651" s="22"/>
      <c r="N1651" s="22" t="s">
        <v>161</v>
      </c>
      <c r="O1651" s="22" t="s">
        <v>161</v>
      </c>
      <c r="P1651" s="116"/>
      <c r="Q1651" s="116" t="s">
        <v>2041</v>
      </c>
      <c r="R1651" s="116"/>
      <c r="S1651" s="116"/>
      <c r="T1651" s="116" t="s">
        <v>2218</v>
      </c>
      <c r="U1651" s="116" t="s">
        <v>3143</v>
      </c>
      <c r="V1651" s="22" t="s">
        <v>1830</v>
      </c>
      <c r="W1651" s="22" t="s">
        <v>1</v>
      </c>
      <c r="X1651" s="22"/>
      <c r="Z1651" s="22"/>
      <c r="AA1651" s="22"/>
      <c r="AB1651" s="22"/>
      <c r="AC1651" s="22"/>
      <c r="AD1651" s="22"/>
      <c r="AE1651" s="24"/>
      <c r="AF1651" s="24" t="s">
        <v>2042</v>
      </c>
      <c r="AG1651" s="22"/>
      <c r="AH1651" s="23" t="s">
        <v>230</v>
      </c>
      <c r="AI1651" s="23" t="s">
        <v>364</v>
      </c>
      <c r="AJ1651" s="23"/>
      <c r="AK1651" s="40" t="s">
        <v>387</v>
      </c>
      <c r="AL1651" s="40"/>
      <c r="AX1651" s="27"/>
      <c r="AY1651" s="27"/>
      <c r="BK1651" s="27"/>
      <c r="BL1651" s="27"/>
      <c r="BX1651" s="27"/>
      <c r="BY1651" s="27"/>
      <c r="CH1651" s="29"/>
      <c r="CI1651" s="23" t="s">
        <v>338</v>
      </c>
      <c r="CJ1651" s="28" t="s">
        <v>0</v>
      </c>
      <c r="CM1651" s="23" t="s">
        <v>19</v>
      </c>
    </row>
    <row r="1652" spans="1:91" x14ac:dyDescent="0.2">
      <c r="A1652" s="18">
        <v>4001</v>
      </c>
      <c r="B1652" s="19">
        <v>22</v>
      </c>
      <c r="C1652" s="19">
        <f t="shared" si="109"/>
        <v>40010022</v>
      </c>
      <c r="D1652" s="19" t="s">
        <v>328</v>
      </c>
      <c r="E1652" s="20" t="s">
        <v>1925</v>
      </c>
      <c r="I1652" s="22" t="s">
        <v>98</v>
      </c>
      <c r="J1652" s="22"/>
      <c r="K1652" s="22"/>
      <c r="L1652" s="22"/>
      <c r="M1652" s="22"/>
      <c r="N1652" s="22" t="s">
        <v>161</v>
      </c>
      <c r="O1652" s="22" t="s">
        <v>161</v>
      </c>
      <c r="P1652" s="116"/>
      <c r="Q1652" s="116" t="s">
        <v>2041</v>
      </c>
      <c r="R1652" s="116"/>
      <c r="S1652" s="116"/>
      <c r="T1652" s="116" t="s">
        <v>2218</v>
      </c>
      <c r="U1652" s="116" t="s">
        <v>3144</v>
      </c>
      <c r="V1652" s="22" t="s">
        <v>1830</v>
      </c>
      <c r="W1652" s="22" t="s">
        <v>1</v>
      </c>
      <c r="X1652" s="22"/>
      <c r="Z1652" s="22"/>
      <c r="AA1652" s="22"/>
      <c r="AB1652" s="22"/>
      <c r="AC1652" s="22"/>
      <c r="AD1652" s="22"/>
      <c r="AE1652" s="24"/>
      <c r="AF1652" s="24" t="s">
        <v>2042</v>
      </c>
      <c r="AG1652" s="22"/>
      <c r="AH1652" s="23" t="s">
        <v>231</v>
      </c>
      <c r="AI1652" s="23" t="s">
        <v>365</v>
      </c>
      <c r="AJ1652" s="23"/>
      <c r="AK1652" s="40" t="s">
        <v>388</v>
      </c>
      <c r="AL1652" s="40"/>
      <c r="AX1652" s="27"/>
      <c r="AY1652" s="27"/>
      <c r="BK1652" s="27"/>
      <c r="BL1652" s="27"/>
      <c r="BX1652" s="27"/>
      <c r="BY1652" s="27"/>
      <c r="CH1652" s="29"/>
      <c r="CI1652" s="23" t="s">
        <v>338</v>
      </c>
      <c r="CJ1652" s="28" t="s">
        <v>0</v>
      </c>
      <c r="CM1652" s="23" t="s">
        <v>20</v>
      </c>
    </row>
    <row r="1653" spans="1:91" x14ac:dyDescent="0.2">
      <c r="A1653" s="18">
        <v>4001</v>
      </c>
      <c r="B1653" s="19">
        <v>23</v>
      </c>
      <c r="C1653" s="19">
        <f t="shared" si="109"/>
        <v>40010023</v>
      </c>
      <c r="D1653" s="19" t="s">
        <v>329</v>
      </c>
      <c r="E1653" s="20" t="s">
        <v>1925</v>
      </c>
      <c r="I1653" s="22" t="s">
        <v>98</v>
      </c>
      <c r="J1653" s="22"/>
      <c r="K1653" s="22"/>
      <c r="L1653" s="22"/>
      <c r="M1653" s="22"/>
      <c r="N1653" s="22" t="s">
        <v>161</v>
      </c>
      <c r="O1653" s="22" t="s">
        <v>161</v>
      </c>
      <c r="P1653" s="116"/>
      <c r="Q1653" s="116" t="s">
        <v>2041</v>
      </c>
      <c r="R1653" s="116"/>
      <c r="S1653" s="116"/>
      <c r="T1653" s="116" t="s">
        <v>2218</v>
      </c>
      <c r="U1653" s="116" t="s">
        <v>3145</v>
      </c>
      <c r="V1653" s="22" t="s">
        <v>1830</v>
      </c>
      <c r="W1653" s="22" t="s">
        <v>1</v>
      </c>
      <c r="X1653" s="22"/>
      <c r="Z1653" s="22"/>
      <c r="AA1653" s="22"/>
      <c r="AB1653" s="22"/>
      <c r="AC1653" s="22"/>
      <c r="AD1653" s="22"/>
      <c r="AE1653" s="24"/>
      <c r="AF1653" s="24" t="s">
        <v>2042</v>
      </c>
      <c r="AG1653" s="22"/>
      <c r="AH1653" s="23" t="s">
        <v>232</v>
      </c>
      <c r="AI1653" s="23" t="s">
        <v>366</v>
      </c>
      <c r="AJ1653" s="23"/>
      <c r="AK1653" s="40" t="s">
        <v>389</v>
      </c>
      <c r="AL1653" s="40"/>
      <c r="AX1653" s="27"/>
      <c r="AY1653" s="27"/>
      <c r="BK1653" s="27"/>
      <c r="BL1653" s="27"/>
      <c r="BX1653" s="27"/>
      <c r="BY1653" s="27"/>
      <c r="CH1653" s="29"/>
      <c r="CI1653" s="23" t="s">
        <v>338</v>
      </c>
      <c r="CJ1653" s="28" t="s">
        <v>0</v>
      </c>
      <c r="CM1653" s="23" t="s">
        <v>21</v>
      </c>
    </row>
    <row r="1654" spans="1:91" x14ac:dyDescent="0.2">
      <c r="A1654" s="18">
        <v>4001</v>
      </c>
      <c r="B1654" s="19">
        <v>24</v>
      </c>
      <c r="C1654" s="19">
        <f t="shared" si="109"/>
        <v>40010024</v>
      </c>
      <c r="D1654" s="19" t="s">
        <v>330</v>
      </c>
      <c r="E1654" s="20" t="s">
        <v>1925</v>
      </c>
      <c r="I1654" s="22" t="s">
        <v>98</v>
      </c>
      <c r="J1654" s="22"/>
      <c r="K1654" s="22"/>
      <c r="L1654" s="22"/>
      <c r="M1654" s="22"/>
      <c r="N1654" s="22" t="s">
        <v>161</v>
      </c>
      <c r="O1654" s="22" t="s">
        <v>161</v>
      </c>
      <c r="P1654" s="116"/>
      <c r="Q1654" s="116" t="s">
        <v>2041</v>
      </c>
      <c r="R1654" s="116"/>
      <c r="S1654" s="116"/>
      <c r="T1654" s="116" t="s">
        <v>2218</v>
      </c>
      <c r="U1654" s="116" t="s">
        <v>3146</v>
      </c>
      <c r="V1654" s="22" t="s">
        <v>1830</v>
      </c>
      <c r="W1654" s="22" t="s">
        <v>1</v>
      </c>
      <c r="X1654" s="22"/>
      <c r="Z1654" s="22"/>
      <c r="AA1654" s="22"/>
      <c r="AB1654" s="22"/>
      <c r="AC1654" s="22"/>
      <c r="AD1654" s="22"/>
      <c r="AE1654" s="24"/>
      <c r="AF1654" s="24" t="s">
        <v>2042</v>
      </c>
      <c r="AG1654" s="22"/>
      <c r="AH1654" s="23" t="s">
        <v>233</v>
      </c>
      <c r="AI1654" s="23" t="s">
        <v>367</v>
      </c>
      <c r="AJ1654" s="23"/>
      <c r="AK1654" s="40" t="s">
        <v>390</v>
      </c>
      <c r="AL1654" s="40"/>
      <c r="AX1654" s="27"/>
      <c r="AY1654" s="27"/>
      <c r="BK1654" s="27"/>
      <c r="BL1654" s="27"/>
      <c r="BX1654" s="27"/>
      <c r="BY1654" s="27"/>
      <c r="CH1654" s="29"/>
      <c r="CI1654" s="23" t="s">
        <v>338</v>
      </c>
      <c r="CJ1654" s="28" t="s">
        <v>0</v>
      </c>
      <c r="CM1654" s="23" t="s">
        <v>487</v>
      </c>
    </row>
    <row r="1655" spans="1:91" x14ac:dyDescent="0.2">
      <c r="A1655" s="18">
        <v>4001</v>
      </c>
      <c r="B1655" s="19">
        <v>25</v>
      </c>
      <c r="C1655" s="19">
        <f t="shared" si="109"/>
        <v>40010025</v>
      </c>
      <c r="D1655" s="19" t="s">
        <v>331</v>
      </c>
      <c r="E1655" s="20" t="s">
        <v>1925</v>
      </c>
      <c r="I1655" s="22" t="s">
        <v>98</v>
      </c>
      <c r="J1655" s="22"/>
      <c r="K1655" s="22"/>
      <c r="L1655" s="22"/>
      <c r="M1655" s="22"/>
      <c r="N1655" s="22" t="s">
        <v>161</v>
      </c>
      <c r="O1655" s="22" t="s">
        <v>161</v>
      </c>
      <c r="P1655" s="116"/>
      <c r="Q1655" s="116" t="s">
        <v>2041</v>
      </c>
      <c r="R1655" s="116"/>
      <c r="S1655" s="116"/>
      <c r="T1655" s="116" t="s">
        <v>2218</v>
      </c>
      <c r="U1655" s="116" t="s">
        <v>3147</v>
      </c>
      <c r="V1655" s="22" t="s">
        <v>1830</v>
      </c>
      <c r="W1655" s="22" t="s">
        <v>1</v>
      </c>
      <c r="X1655" s="22"/>
      <c r="Z1655" s="22"/>
      <c r="AA1655" s="22"/>
      <c r="AB1655" s="22"/>
      <c r="AC1655" s="22"/>
      <c r="AD1655" s="22"/>
      <c r="AE1655" s="24"/>
      <c r="AF1655" s="24" t="s">
        <v>2042</v>
      </c>
      <c r="AG1655" s="22"/>
      <c r="AH1655" s="23" t="s">
        <v>234</v>
      </c>
      <c r="AI1655" s="23" t="s">
        <v>344</v>
      </c>
      <c r="AJ1655" s="23"/>
      <c r="AK1655" s="40" t="s">
        <v>391</v>
      </c>
      <c r="AL1655" s="40"/>
      <c r="AX1655" s="27"/>
      <c r="AY1655" s="27"/>
      <c r="BK1655" s="27"/>
      <c r="BL1655" s="27"/>
      <c r="BX1655" s="27"/>
      <c r="BY1655" s="27"/>
      <c r="CH1655" s="29"/>
      <c r="CI1655" s="23" t="s">
        <v>338</v>
      </c>
      <c r="CJ1655" s="28" t="s">
        <v>0</v>
      </c>
      <c r="CM1655" s="23" t="s">
        <v>358</v>
      </c>
    </row>
    <row r="1656" spans="1:91" x14ac:dyDescent="0.2">
      <c r="A1656" s="18">
        <v>4001</v>
      </c>
      <c r="B1656" s="19">
        <v>26</v>
      </c>
      <c r="C1656" s="19">
        <f t="shared" si="109"/>
        <v>40010026</v>
      </c>
      <c r="D1656" s="19" t="s">
        <v>332</v>
      </c>
      <c r="E1656" s="20" t="s">
        <v>1925</v>
      </c>
      <c r="I1656" s="22" t="s">
        <v>98</v>
      </c>
      <c r="J1656" s="22"/>
      <c r="K1656" s="22"/>
      <c r="L1656" s="22"/>
      <c r="M1656" s="22"/>
      <c r="N1656" s="22" t="s">
        <v>161</v>
      </c>
      <c r="O1656" s="22" t="s">
        <v>161</v>
      </c>
      <c r="P1656" s="116"/>
      <c r="Q1656" s="116" t="s">
        <v>2041</v>
      </c>
      <c r="R1656" s="116"/>
      <c r="S1656" s="116"/>
      <c r="T1656" s="116" t="s">
        <v>2218</v>
      </c>
      <c r="U1656" s="116" t="s">
        <v>3160</v>
      </c>
      <c r="V1656" s="22" t="s">
        <v>1830</v>
      </c>
      <c r="W1656" s="22" t="s">
        <v>1</v>
      </c>
      <c r="X1656" s="22"/>
      <c r="Z1656" s="22"/>
      <c r="AA1656" s="22"/>
      <c r="AB1656" s="22"/>
      <c r="AC1656" s="22"/>
      <c r="AD1656" s="22"/>
      <c r="AE1656" s="24"/>
      <c r="AF1656" s="24" t="s">
        <v>2042</v>
      </c>
      <c r="AG1656" s="22"/>
      <c r="AH1656" s="23" t="s">
        <v>235</v>
      </c>
      <c r="AI1656" s="23" t="s">
        <v>368</v>
      </c>
      <c r="AJ1656" s="23"/>
      <c r="AK1656" s="40" t="s">
        <v>392</v>
      </c>
      <c r="AL1656" s="40"/>
      <c r="AX1656" s="27"/>
      <c r="AY1656" s="27"/>
      <c r="BK1656" s="27"/>
      <c r="BL1656" s="27"/>
      <c r="BX1656" s="27"/>
      <c r="BY1656" s="27"/>
      <c r="CH1656" s="29"/>
      <c r="CI1656" s="23" t="s">
        <v>338</v>
      </c>
      <c r="CJ1656" s="28" t="s">
        <v>0</v>
      </c>
      <c r="CM1656" s="23" t="s">
        <v>488</v>
      </c>
    </row>
    <row r="1657" spans="1:91" x14ac:dyDescent="0.2">
      <c r="A1657" s="18">
        <v>4001</v>
      </c>
      <c r="B1657" s="19">
        <v>27</v>
      </c>
      <c r="C1657" s="19">
        <f t="shared" si="109"/>
        <v>40010027</v>
      </c>
      <c r="D1657" s="19" t="s">
        <v>333</v>
      </c>
      <c r="E1657" s="20" t="s">
        <v>1925</v>
      </c>
      <c r="I1657" s="22" t="s">
        <v>98</v>
      </c>
      <c r="J1657" s="22"/>
      <c r="K1657" s="22"/>
      <c r="L1657" s="22"/>
      <c r="M1657" s="22"/>
      <c r="N1657" s="22" t="s">
        <v>161</v>
      </c>
      <c r="O1657" s="22" t="s">
        <v>161</v>
      </c>
      <c r="P1657" s="116"/>
      <c r="Q1657" s="116" t="s">
        <v>2041</v>
      </c>
      <c r="R1657" s="116"/>
      <c r="S1657" s="116"/>
      <c r="T1657" s="116" t="s">
        <v>2218</v>
      </c>
      <c r="U1657" s="116" t="s">
        <v>3161</v>
      </c>
      <c r="V1657" s="22" t="s">
        <v>1830</v>
      </c>
      <c r="W1657" s="22" t="s">
        <v>1</v>
      </c>
      <c r="X1657" s="22"/>
      <c r="Z1657" s="22"/>
      <c r="AA1657" s="22"/>
      <c r="AB1657" s="22"/>
      <c r="AC1657" s="22"/>
      <c r="AD1657" s="22"/>
      <c r="AE1657" s="24"/>
      <c r="AF1657" s="24" t="s">
        <v>2042</v>
      </c>
      <c r="AG1657" s="22"/>
      <c r="AH1657" s="23" t="s">
        <v>236</v>
      </c>
      <c r="AI1657" s="23" t="s">
        <v>369</v>
      </c>
      <c r="AJ1657" s="23"/>
      <c r="AK1657" s="40" t="s">
        <v>393</v>
      </c>
      <c r="AL1657" s="40"/>
      <c r="AX1657" s="27"/>
      <c r="AY1657" s="27"/>
      <c r="BK1657" s="27"/>
      <c r="BL1657" s="27"/>
      <c r="BX1657" s="27"/>
      <c r="BY1657" s="27"/>
      <c r="CH1657" s="29"/>
      <c r="CI1657" s="23" t="s">
        <v>338</v>
      </c>
      <c r="CJ1657" s="28" t="s">
        <v>0</v>
      </c>
      <c r="CM1657" s="23" t="s">
        <v>359</v>
      </c>
    </row>
    <row r="1658" spans="1:91" x14ac:dyDescent="0.2">
      <c r="A1658" s="18">
        <v>4001</v>
      </c>
      <c r="B1658" s="19">
        <v>28</v>
      </c>
      <c r="C1658" s="19">
        <f t="shared" si="109"/>
        <v>40010028</v>
      </c>
      <c r="D1658" s="19" t="s">
        <v>334</v>
      </c>
      <c r="E1658" s="20" t="s">
        <v>1925</v>
      </c>
      <c r="I1658" s="22" t="s">
        <v>98</v>
      </c>
      <c r="J1658" s="22"/>
      <c r="K1658" s="22"/>
      <c r="L1658" s="22"/>
      <c r="M1658" s="22"/>
      <c r="N1658" s="22" t="s">
        <v>161</v>
      </c>
      <c r="O1658" s="22" t="s">
        <v>161</v>
      </c>
      <c r="P1658" s="116"/>
      <c r="Q1658" s="116" t="s">
        <v>2041</v>
      </c>
      <c r="R1658" s="116"/>
      <c r="S1658" s="116"/>
      <c r="T1658" s="116" t="s">
        <v>2218</v>
      </c>
      <c r="U1658" s="116" t="s">
        <v>3162</v>
      </c>
      <c r="V1658" s="22" t="s">
        <v>1830</v>
      </c>
      <c r="W1658" s="22" t="s">
        <v>1</v>
      </c>
      <c r="X1658" s="22"/>
      <c r="Z1658" s="22"/>
      <c r="AA1658" s="22"/>
      <c r="AB1658" s="22"/>
      <c r="AC1658" s="22"/>
      <c r="AD1658" s="22"/>
      <c r="AE1658" s="24"/>
      <c r="AF1658" s="24" t="s">
        <v>2042</v>
      </c>
      <c r="AG1658" s="22"/>
      <c r="AH1658" s="23" t="s">
        <v>237</v>
      </c>
      <c r="AI1658" s="23" t="s">
        <v>370</v>
      </c>
      <c r="AJ1658" s="23"/>
      <c r="AK1658" s="40" t="s">
        <v>394</v>
      </c>
      <c r="AL1658" s="40"/>
      <c r="AX1658" s="27"/>
      <c r="AY1658" s="27"/>
      <c r="BK1658" s="27"/>
      <c r="BL1658" s="27"/>
      <c r="BX1658" s="27"/>
      <c r="BY1658" s="27"/>
      <c r="CH1658" s="29"/>
      <c r="CI1658" s="23" t="s">
        <v>338</v>
      </c>
      <c r="CJ1658" s="28" t="s">
        <v>0</v>
      </c>
      <c r="CM1658" s="23" t="s">
        <v>489</v>
      </c>
    </row>
    <row r="1659" spans="1:91" x14ac:dyDescent="0.2">
      <c r="A1659" s="18">
        <v>4001</v>
      </c>
      <c r="B1659" s="19">
        <v>29</v>
      </c>
      <c r="C1659" s="19">
        <f t="shared" si="109"/>
        <v>40010029</v>
      </c>
      <c r="D1659" s="19" t="s">
        <v>335</v>
      </c>
      <c r="E1659" s="20" t="s">
        <v>1925</v>
      </c>
      <c r="I1659" s="22" t="s">
        <v>98</v>
      </c>
      <c r="J1659" s="22"/>
      <c r="K1659" s="22"/>
      <c r="L1659" s="22"/>
      <c r="M1659" s="22"/>
      <c r="N1659" s="22" t="s">
        <v>161</v>
      </c>
      <c r="O1659" s="22" t="s">
        <v>161</v>
      </c>
      <c r="P1659" s="116"/>
      <c r="Q1659" s="116" t="s">
        <v>2041</v>
      </c>
      <c r="R1659" s="116"/>
      <c r="S1659" s="116"/>
      <c r="T1659" s="116" t="s">
        <v>2218</v>
      </c>
      <c r="U1659" s="116" t="s">
        <v>3163</v>
      </c>
      <c r="V1659" s="22" t="s">
        <v>1830</v>
      </c>
      <c r="W1659" s="22" t="s">
        <v>1</v>
      </c>
      <c r="X1659" s="22"/>
      <c r="Z1659" s="22"/>
      <c r="AA1659" s="22"/>
      <c r="AB1659" s="22"/>
      <c r="AC1659" s="22"/>
      <c r="AD1659" s="22"/>
      <c r="AE1659" s="24"/>
      <c r="AF1659" s="24" t="s">
        <v>2042</v>
      </c>
      <c r="AG1659" s="22"/>
      <c r="AH1659" s="23" t="s">
        <v>238</v>
      </c>
      <c r="AI1659" s="23" t="s">
        <v>371</v>
      </c>
      <c r="AJ1659" s="23"/>
      <c r="AK1659" s="40" t="s">
        <v>395</v>
      </c>
      <c r="AL1659" s="40"/>
      <c r="AX1659" s="27"/>
      <c r="AY1659" s="27"/>
      <c r="BK1659" s="27"/>
      <c r="BL1659" s="27"/>
      <c r="BX1659" s="27"/>
      <c r="BY1659" s="27"/>
      <c r="CH1659" s="29"/>
      <c r="CI1659" s="23" t="s">
        <v>338</v>
      </c>
      <c r="CJ1659" s="28" t="s">
        <v>0</v>
      </c>
      <c r="CM1659" s="23" t="s">
        <v>342</v>
      </c>
    </row>
    <row r="1660" spans="1:91" x14ac:dyDescent="0.2">
      <c r="A1660" s="18">
        <v>4001</v>
      </c>
      <c r="B1660" s="19">
        <v>30</v>
      </c>
      <c r="C1660" s="19">
        <f t="shared" si="109"/>
        <v>40010030</v>
      </c>
      <c r="D1660" s="19" t="s">
        <v>336</v>
      </c>
      <c r="E1660" s="20" t="s">
        <v>1925</v>
      </c>
      <c r="I1660" s="22" t="s">
        <v>98</v>
      </c>
      <c r="J1660" s="22"/>
      <c r="K1660" s="22"/>
      <c r="L1660" s="22"/>
      <c r="M1660" s="22"/>
      <c r="N1660" s="22" t="s">
        <v>161</v>
      </c>
      <c r="O1660" s="22" t="s">
        <v>161</v>
      </c>
      <c r="P1660" s="116"/>
      <c r="Q1660" s="116" t="s">
        <v>2041</v>
      </c>
      <c r="R1660" s="116"/>
      <c r="S1660" s="116"/>
      <c r="T1660" s="116" t="s">
        <v>2218</v>
      </c>
      <c r="U1660" s="116" t="s">
        <v>3164</v>
      </c>
      <c r="V1660" s="22" t="s">
        <v>1830</v>
      </c>
      <c r="W1660" s="22" t="s">
        <v>1</v>
      </c>
      <c r="X1660" s="22"/>
      <c r="Z1660" s="22"/>
      <c r="AA1660" s="22"/>
      <c r="AB1660" s="22"/>
      <c r="AC1660" s="22"/>
      <c r="AD1660" s="22"/>
      <c r="AE1660" s="24"/>
      <c r="AF1660" s="24" t="s">
        <v>2042</v>
      </c>
      <c r="AG1660" s="22"/>
      <c r="AH1660" s="23" t="s">
        <v>239</v>
      </c>
      <c r="AI1660" s="23" t="s">
        <v>372</v>
      </c>
      <c r="AJ1660" s="23"/>
      <c r="AK1660" s="40" t="s">
        <v>396</v>
      </c>
      <c r="AL1660" s="40"/>
      <c r="AX1660" s="27"/>
      <c r="AY1660" s="27"/>
      <c r="BK1660" s="27"/>
      <c r="BL1660" s="27"/>
      <c r="BX1660" s="27"/>
      <c r="BY1660" s="27"/>
      <c r="CH1660" s="29"/>
      <c r="CI1660" s="23" t="s">
        <v>338</v>
      </c>
      <c r="CJ1660" s="28" t="s">
        <v>0</v>
      </c>
      <c r="CM1660" s="23" t="s">
        <v>490</v>
      </c>
    </row>
    <row r="1661" spans="1:91" x14ac:dyDescent="0.2">
      <c r="A1661" s="18">
        <v>4001</v>
      </c>
      <c r="B1661" s="19">
        <v>31</v>
      </c>
      <c r="C1661" s="19">
        <f t="shared" si="109"/>
        <v>40010031</v>
      </c>
      <c r="D1661" s="19" t="s">
        <v>552</v>
      </c>
      <c r="E1661" s="20" t="s">
        <v>1925</v>
      </c>
      <c r="I1661" s="22" t="s">
        <v>98</v>
      </c>
      <c r="J1661" s="22"/>
      <c r="K1661" s="22"/>
      <c r="L1661" s="22"/>
      <c r="M1661" s="22"/>
      <c r="N1661" s="22" t="s">
        <v>161</v>
      </c>
      <c r="O1661" s="22" t="s">
        <v>161</v>
      </c>
      <c r="P1661" s="116"/>
      <c r="Q1661" s="116" t="s">
        <v>2041</v>
      </c>
      <c r="R1661" s="116"/>
      <c r="S1661" s="116"/>
      <c r="T1661" s="116" t="s">
        <v>2218</v>
      </c>
      <c r="U1661" s="116" t="s">
        <v>3165</v>
      </c>
      <c r="V1661" s="22" t="s">
        <v>1830</v>
      </c>
      <c r="W1661" s="22" t="s">
        <v>1</v>
      </c>
      <c r="X1661" s="22"/>
      <c r="Z1661" s="22"/>
      <c r="AA1661" s="22"/>
      <c r="AB1661" s="22"/>
      <c r="AC1661" s="22"/>
      <c r="AD1661" s="22"/>
      <c r="AE1661" s="24"/>
      <c r="AF1661" s="24" t="s">
        <v>2042</v>
      </c>
      <c r="AG1661" s="22"/>
      <c r="AH1661" s="23" t="s">
        <v>557</v>
      </c>
      <c r="AI1661" s="23" t="s">
        <v>506</v>
      </c>
      <c r="AJ1661" s="23"/>
      <c r="AK1661" s="40" t="s">
        <v>563</v>
      </c>
      <c r="AL1661" s="40"/>
      <c r="AX1661" s="27"/>
      <c r="AY1661" s="27"/>
      <c r="BK1661" s="27"/>
      <c r="BL1661" s="27"/>
      <c r="BX1661" s="27"/>
      <c r="BY1661" s="27"/>
      <c r="CH1661" s="29"/>
      <c r="CI1661" s="23" t="s">
        <v>338</v>
      </c>
      <c r="CJ1661" s="28" t="s">
        <v>0</v>
      </c>
      <c r="CM1661" s="23" t="s">
        <v>360</v>
      </c>
    </row>
    <row r="1662" spans="1:91" x14ac:dyDescent="0.2">
      <c r="A1662" s="18">
        <v>4001</v>
      </c>
      <c r="B1662" s="19">
        <v>32</v>
      </c>
      <c r="C1662" s="19">
        <f t="shared" si="109"/>
        <v>40010032</v>
      </c>
      <c r="D1662" s="19" t="s">
        <v>553</v>
      </c>
      <c r="E1662" s="20" t="s">
        <v>1925</v>
      </c>
      <c r="I1662" s="22" t="s">
        <v>98</v>
      </c>
      <c r="J1662" s="22"/>
      <c r="K1662" s="22"/>
      <c r="L1662" s="22"/>
      <c r="M1662" s="22"/>
      <c r="N1662" s="22" t="s">
        <v>161</v>
      </c>
      <c r="O1662" s="22" t="s">
        <v>161</v>
      </c>
      <c r="P1662" s="116"/>
      <c r="Q1662" s="116" t="s">
        <v>2041</v>
      </c>
      <c r="R1662" s="116"/>
      <c r="S1662" s="116"/>
      <c r="T1662" s="116" t="s">
        <v>2218</v>
      </c>
      <c r="U1662" s="116" t="s">
        <v>3166</v>
      </c>
      <c r="V1662" s="22" t="s">
        <v>1830</v>
      </c>
      <c r="W1662" s="22" t="s">
        <v>1</v>
      </c>
      <c r="X1662" s="22"/>
      <c r="Z1662" s="22"/>
      <c r="AA1662" s="22"/>
      <c r="AB1662" s="22"/>
      <c r="AC1662" s="22"/>
      <c r="AD1662" s="22"/>
      <c r="AE1662" s="24"/>
      <c r="AF1662" s="24" t="s">
        <v>2042</v>
      </c>
      <c r="AG1662" s="22"/>
      <c r="AH1662" s="23" t="s">
        <v>558</v>
      </c>
      <c r="AI1662" s="23" t="s">
        <v>508</v>
      </c>
      <c r="AJ1662" s="23"/>
      <c r="AK1662" s="40" t="s">
        <v>565</v>
      </c>
      <c r="AL1662" s="40"/>
      <c r="AX1662" s="27"/>
      <c r="AY1662" s="27"/>
      <c r="BK1662" s="27"/>
      <c r="BL1662" s="27"/>
      <c r="BX1662" s="27"/>
      <c r="BY1662" s="27"/>
      <c r="CH1662" s="29"/>
      <c r="CI1662" s="23" t="s">
        <v>338</v>
      </c>
      <c r="CJ1662" s="28" t="s">
        <v>0</v>
      </c>
      <c r="CM1662" s="23" t="s">
        <v>491</v>
      </c>
    </row>
    <row r="1663" spans="1:91" x14ac:dyDescent="0.2">
      <c r="A1663" s="18">
        <v>4001</v>
      </c>
      <c r="B1663" s="19">
        <v>33</v>
      </c>
      <c r="C1663" s="19">
        <f t="shared" si="109"/>
        <v>40010033</v>
      </c>
      <c r="D1663" s="19" t="s">
        <v>554</v>
      </c>
      <c r="E1663" s="20" t="s">
        <v>1925</v>
      </c>
      <c r="I1663" s="22" t="s">
        <v>98</v>
      </c>
      <c r="J1663" s="22"/>
      <c r="K1663" s="22"/>
      <c r="L1663" s="22"/>
      <c r="M1663" s="22"/>
      <c r="N1663" s="22" t="s">
        <v>161</v>
      </c>
      <c r="O1663" s="22" t="s">
        <v>161</v>
      </c>
      <c r="P1663" s="116"/>
      <c r="Q1663" s="116" t="s">
        <v>2041</v>
      </c>
      <c r="R1663" s="116"/>
      <c r="S1663" s="116"/>
      <c r="T1663" s="116" t="s">
        <v>2218</v>
      </c>
      <c r="U1663" s="116" t="s">
        <v>3167</v>
      </c>
      <c r="V1663" s="22" t="s">
        <v>1830</v>
      </c>
      <c r="W1663" s="22" t="s">
        <v>1</v>
      </c>
      <c r="X1663" s="22"/>
      <c r="Z1663" s="22"/>
      <c r="AA1663" s="22"/>
      <c r="AB1663" s="22"/>
      <c r="AC1663" s="22"/>
      <c r="AD1663" s="22"/>
      <c r="AE1663" s="24"/>
      <c r="AF1663" s="24" t="s">
        <v>2042</v>
      </c>
      <c r="AG1663" s="22"/>
      <c r="AH1663" s="23" t="s">
        <v>559</v>
      </c>
      <c r="AI1663" s="23" t="s">
        <v>510</v>
      </c>
      <c r="AJ1663" s="23"/>
      <c r="AK1663" s="40" t="s">
        <v>566</v>
      </c>
      <c r="AL1663" s="40"/>
      <c r="AX1663" s="27"/>
      <c r="AY1663" s="27"/>
      <c r="BK1663" s="27"/>
      <c r="BL1663" s="27"/>
      <c r="BX1663" s="27"/>
      <c r="BY1663" s="27"/>
      <c r="CH1663" s="29"/>
      <c r="CI1663" s="23" t="s">
        <v>338</v>
      </c>
      <c r="CJ1663" s="28" t="s">
        <v>0</v>
      </c>
      <c r="CM1663" s="23" t="s">
        <v>361</v>
      </c>
    </row>
    <row r="1664" spans="1:91" x14ac:dyDescent="0.2">
      <c r="A1664" s="18">
        <v>4001</v>
      </c>
      <c r="B1664" s="19">
        <v>34</v>
      </c>
      <c r="C1664" s="19">
        <f t="shared" si="109"/>
        <v>40010034</v>
      </c>
      <c r="D1664" s="19" t="s">
        <v>555</v>
      </c>
      <c r="E1664" s="20" t="s">
        <v>1925</v>
      </c>
      <c r="I1664" s="22" t="s">
        <v>98</v>
      </c>
      <c r="J1664" s="22"/>
      <c r="K1664" s="22"/>
      <c r="L1664" s="22"/>
      <c r="M1664" s="22"/>
      <c r="N1664" s="22" t="s">
        <v>161</v>
      </c>
      <c r="O1664" s="22" t="s">
        <v>161</v>
      </c>
      <c r="P1664" s="116"/>
      <c r="Q1664" s="116" t="s">
        <v>2041</v>
      </c>
      <c r="R1664" s="116"/>
      <c r="S1664" s="116"/>
      <c r="T1664" s="116" t="s">
        <v>2218</v>
      </c>
      <c r="U1664" s="116" t="s">
        <v>3168</v>
      </c>
      <c r="V1664" s="22" t="s">
        <v>1830</v>
      </c>
      <c r="W1664" s="22" t="s">
        <v>1</v>
      </c>
      <c r="X1664" s="22"/>
      <c r="Z1664" s="22"/>
      <c r="AA1664" s="22"/>
      <c r="AB1664" s="22"/>
      <c r="AC1664" s="22"/>
      <c r="AD1664" s="22"/>
      <c r="AE1664" s="24"/>
      <c r="AF1664" s="24" t="s">
        <v>2042</v>
      </c>
      <c r="AG1664" s="22"/>
      <c r="AH1664" s="23" t="s">
        <v>560</v>
      </c>
      <c r="AI1664" s="23" t="s">
        <v>512</v>
      </c>
      <c r="AJ1664" s="23"/>
      <c r="AK1664" s="40" t="s">
        <v>567</v>
      </c>
      <c r="AL1664" s="40"/>
      <c r="AX1664" s="27"/>
      <c r="AY1664" s="27"/>
      <c r="BK1664" s="27"/>
      <c r="BL1664" s="27"/>
      <c r="BX1664" s="27"/>
      <c r="BY1664" s="27"/>
      <c r="CH1664" s="29"/>
      <c r="CI1664" s="23" t="s">
        <v>338</v>
      </c>
      <c r="CJ1664" s="28" t="s">
        <v>0</v>
      </c>
      <c r="CM1664" s="23" t="s">
        <v>492</v>
      </c>
    </row>
    <row r="1665" spans="1:91" x14ac:dyDescent="0.2">
      <c r="A1665" s="18">
        <v>4001</v>
      </c>
      <c r="B1665" s="19">
        <v>35</v>
      </c>
      <c r="C1665" s="19">
        <f t="shared" si="109"/>
        <v>40010035</v>
      </c>
      <c r="D1665" s="19" t="s">
        <v>556</v>
      </c>
      <c r="E1665" s="20" t="s">
        <v>1925</v>
      </c>
      <c r="I1665" s="22" t="s">
        <v>98</v>
      </c>
      <c r="J1665" s="22"/>
      <c r="K1665" s="22"/>
      <c r="L1665" s="22"/>
      <c r="M1665" s="22"/>
      <c r="N1665" s="22" t="s">
        <v>161</v>
      </c>
      <c r="O1665" s="22" t="s">
        <v>161</v>
      </c>
      <c r="P1665" s="116"/>
      <c r="Q1665" s="116" t="s">
        <v>2041</v>
      </c>
      <c r="R1665" s="116"/>
      <c r="S1665" s="116"/>
      <c r="T1665" s="116" t="s">
        <v>2218</v>
      </c>
      <c r="U1665" s="116" t="s">
        <v>3169</v>
      </c>
      <c r="V1665" s="22" t="s">
        <v>1830</v>
      </c>
      <c r="W1665" s="22" t="s">
        <v>1</v>
      </c>
      <c r="X1665" s="22"/>
      <c r="Z1665" s="22"/>
      <c r="AA1665" s="22"/>
      <c r="AB1665" s="22"/>
      <c r="AC1665" s="22"/>
      <c r="AD1665" s="22"/>
      <c r="AE1665" s="24"/>
      <c r="AF1665" s="24" t="s">
        <v>2042</v>
      </c>
      <c r="AG1665" s="22"/>
      <c r="AH1665" s="23" t="s">
        <v>561</v>
      </c>
      <c r="AI1665" s="23" t="s">
        <v>514</v>
      </c>
      <c r="AJ1665" s="23"/>
      <c r="AK1665" s="40" t="s">
        <v>568</v>
      </c>
      <c r="AL1665" s="40"/>
      <c r="AX1665" s="27"/>
      <c r="AY1665" s="27"/>
      <c r="BK1665" s="27"/>
      <c r="BL1665" s="27"/>
      <c r="BX1665" s="27"/>
      <c r="BY1665" s="27"/>
      <c r="CH1665" s="29"/>
      <c r="CI1665" s="23" t="s">
        <v>338</v>
      </c>
      <c r="CJ1665" s="28" t="s">
        <v>0</v>
      </c>
      <c r="CM1665" s="23" t="s">
        <v>362</v>
      </c>
    </row>
    <row r="1666" spans="1:91" x14ac:dyDescent="0.2">
      <c r="A1666" s="18">
        <v>4001</v>
      </c>
      <c r="B1666" s="19">
        <v>36</v>
      </c>
      <c r="C1666" s="19">
        <f t="shared" si="109"/>
        <v>40010036</v>
      </c>
      <c r="D1666" s="19" t="s">
        <v>678</v>
      </c>
      <c r="E1666" s="20" t="s">
        <v>1925</v>
      </c>
      <c r="I1666" s="22" t="s">
        <v>98</v>
      </c>
      <c r="J1666" s="22"/>
      <c r="K1666" s="22"/>
      <c r="L1666" s="22"/>
      <c r="M1666" s="22"/>
      <c r="N1666" s="22" t="s">
        <v>161</v>
      </c>
      <c r="O1666" s="22" t="s">
        <v>161</v>
      </c>
      <c r="P1666" s="116"/>
      <c r="Q1666" s="116" t="s">
        <v>2041</v>
      </c>
      <c r="R1666" s="116"/>
      <c r="S1666" s="116"/>
      <c r="T1666" s="116" t="s">
        <v>2218</v>
      </c>
      <c r="U1666" s="116" t="s">
        <v>3170</v>
      </c>
      <c r="V1666" s="22" t="s">
        <v>1830</v>
      </c>
      <c r="W1666" s="22" t="s">
        <v>1</v>
      </c>
      <c r="X1666" s="22"/>
      <c r="Z1666" s="22"/>
      <c r="AA1666" s="22"/>
      <c r="AB1666" s="22"/>
      <c r="AC1666" s="22"/>
      <c r="AD1666" s="22"/>
      <c r="AE1666" s="24"/>
      <c r="AF1666" s="24" t="s">
        <v>2042</v>
      </c>
      <c r="AG1666" s="22"/>
      <c r="AH1666" s="23" t="s">
        <v>688</v>
      </c>
      <c r="AI1666" s="23" t="s">
        <v>683</v>
      </c>
      <c r="AJ1666" s="23"/>
      <c r="AK1666" s="40">
        <v>4870</v>
      </c>
      <c r="AL1666" s="40"/>
      <c r="AX1666" s="27"/>
      <c r="AY1666" s="27"/>
      <c r="BK1666" s="27"/>
      <c r="BL1666" s="27"/>
      <c r="BX1666" s="27"/>
      <c r="BY1666" s="27"/>
      <c r="CH1666" s="29"/>
      <c r="CI1666" s="23" t="s">
        <v>338</v>
      </c>
      <c r="CJ1666" s="28" t="s">
        <v>0</v>
      </c>
      <c r="CM1666" s="23" t="s">
        <v>493</v>
      </c>
    </row>
    <row r="1667" spans="1:91" x14ac:dyDescent="0.2">
      <c r="A1667" s="18">
        <v>4001</v>
      </c>
      <c r="B1667" s="19">
        <v>37</v>
      </c>
      <c r="C1667" s="19">
        <f t="shared" si="109"/>
        <v>40010037</v>
      </c>
      <c r="D1667" s="19" t="s">
        <v>679</v>
      </c>
      <c r="E1667" s="20" t="s">
        <v>1925</v>
      </c>
      <c r="I1667" s="22" t="s">
        <v>98</v>
      </c>
      <c r="J1667" s="22"/>
      <c r="K1667" s="22"/>
      <c r="L1667" s="22"/>
      <c r="M1667" s="22"/>
      <c r="N1667" s="22" t="s">
        <v>161</v>
      </c>
      <c r="O1667" s="22" t="s">
        <v>161</v>
      </c>
      <c r="P1667" s="116"/>
      <c r="Q1667" s="116" t="s">
        <v>2041</v>
      </c>
      <c r="R1667" s="116"/>
      <c r="S1667" s="116"/>
      <c r="T1667" s="116" t="s">
        <v>2218</v>
      </c>
      <c r="U1667" s="116" t="s">
        <v>3171</v>
      </c>
      <c r="V1667" s="22" t="s">
        <v>1830</v>
      </c>
      <c r="W1667" s="22" t="s">
        <v>1</v>
      </c>
      <c r="X1667" s="22"/>
      <c r="Z1667" s="22"/>
      <c r="AA1667" s="22"/>
      <c r="AB1667" s="22"/>
      <c r="AC1667" s="22"/>
      <c r="AD1667" s="22"/>
      <c r="AE1667" s="24"/>
      <c r="AF1667" s="24" t="s">
        <v>2042</v>
      </c>
      <c r="AG1667" s="22"/>
      <c r="AH1667" s="23" t="s">
        <v>689</v>
      </c>
      <c r="AI1667" s="23" t="s">
        <v>684</v>
      </c>
      <c r="AJ1667" s="23"/>
      <c r="AK1667" s="40">
        <v>6870</v>
      </c>
      <c r="AL1667" s="40"/>
      <c r="AX1667" s="27"/>
      <c r="AY1667" s="27"/>
      <c r="BK1667" s="27"/>
      <c r="BL1667" s="27"/>
      <c r="BX1667" s="27"/>
      <c r="BY1667" s="27"/>
      <c r="CH1667" s="29"/>
      <c r="CI1667" s="23" t="s">
        <v>338</v>
      </c>
      <c r="CJ1667" s="28" t="s">
        <v>0</v>
      </c>
      <c r="CM1667" s="23" t="s">
        <v>363</v>
      </c>
    </row>
    <row r="1668" spans="1:91" x14ac:dyDescent="0.2">
      <c r="A1668" s="18">
        <v>4001</v>
      </c>
      <c r="B1668" s="19">
        <v>38</v>
      </c>
      <c r="C1668" s="19">
        <f t="shared" si="109"/>
        <v>40010038</v>
      </c>
      <c r="D1668" s="19" t="s">
        <v>680</v>
      </c>
      <c r="E1668" s="20" t="s">
        <v>1925</v>
      </c>
      <c r="I1668" s="22" t="s">
        <v>98</v>
      </c>
      <c r="J1668" s="22"/>
      <c r="K1668" s="22"/>
      <c r="L1668" s="22"/>
      <c r="M1668" s="22"/>
      <c r="N1668" s="22" t="s">
        <v>161</v>
      </c>
      <c r="O1668" s="22" t="s">
        <v>161</v>
      </c>
      <c r="P1668" s="116"/>
      <c r="Q1668" s="116" t="s">
        <v>2041</v>
      </c>
      <c r="R1668" s="116"/>
      <c r="S1668" s="116"/>
      <c r="T1668" s="116" t="s">
        <v>2218</v>
      </c>
      <c r="U1668" s="116" t="s">
        <v>3172</v>
      </c>
      <c r="V1668" s="22" t="s">
        <v>1830</v>
      </c>
      <c r="W1668" s="22" t="s">
        <v>1</v>
      </c>
      <c r="X1668" s="22"/>
      <c r="Z1668" s="22"/>
      <c r="AA1668" s="22"/>
      <c r="AB1668" s="22"/>
      <c r="AC1668" s="22"/>
      <c r="AD1668" s="22"/>
      <c r="AE1668" s="24"/>
      <c r="AF1668" s="24" t="s">
        <v>2042</v>
      </c>
      <c r="AG1668" s="22"/>
      <c r="AH1668" s="23" t="s">
        <v>690</v>
      </c>
      <c r="AI1668" s="23" t="s">
        <v>685</v>
      </c>
      <c r="AJ1668" s="23"/>
      <c r="AK1668" s="40">
        <v>8870</v>
      </c>
      <c r="AL1668" s="40"/>
      <c r="AX1668" s="27"/>
      <c r="AY1668" s="27"/>
      <c r="BK1668" s="27"/>
      <c r="BL1668" s="27"/>
      <c r="BX1668" s="27"/>
      <c r="BY1668" s="27"/>
      <c r="CH1668" s="29"/>
      <c r="CI1668" s="23" t="s">
        <v>338</v>
      </c>
      <c r="CJ1668" s="28" t="s">
        <v>0</v>
      </c>
      <c r="CM1668" s="23" t="s">
        <v>494</v>
      </c>
    </row>
    <row r="1669" spans="1:91" x14ac:dyDescent="0.2">
      <c r="A1669" s="18">
        <v>4001</v>
      </c>
      <c r="B1669" s="19">
        <v>39</v>
      </c>
      <c r="C1669" s="19">
        <f t="shared" si="109"/>
        <v>40010039</v>
      </c>
      <c r="D1669" s="19" t="s">
        <v>681</v>
      </c>
      <c r="E1669" s="20" t="s">
        <v>1925</v>
      </c>
      <c r="I1669" s="22" t="s">
        <v>98</v>
      </c>
      <c r="J1669" s="22"/>
      <c r="K1669" s="22"/>
      <c r="L1669" s="22"/>
      <c r="M1669" s="22"/>
      <c r="N1669" s="22" t="s">
        <v>161</v>
      </c>
      <c r="O1669" s="22" t="s">
        <v>161</v>
      </c>
      <c r="P1669" s="116"/>
      <c r="Q1669" s="116" t="s">
        <v>2041</v>
      </c>
      <c r="R1669" s="116"/>
      <c r="S1669" s="116"/>
      <c r="T1669" s="116" t="s">
        <v>2218</v>
      </c>
      <c r="U1669" s="116" t="s">
        <v>3173</v>
      </c>
      <c r="V1669" s="22" t="s">
        <v>1830</v>
      </c>
      <c r="W1669" s="22" t="s">
        <v>1</v>
      </c>
      <c r="X1669" s="22"/>
      <c r="Z1669" s="22"/>
      <c r="AA1669" s="22"/>
      <c r="AB1669" s="22"/>
      <c r="AC1669" s="22"/>
      <c r="AD1669" s="22"/>
      <c r="AE1669" s="24"/>
      <c r="AF1669" s="24" t="s">
        <v>2042</v>
      </c>
      <c r="AG1669" s="22"/>
      <c r="AH1669" s="23" t="s">
        <v>691</v>
      </c>
      <c r="AI1669" s="23" t="s">
        <v>686</v>
      </c>
      <c r="AJ1669" s="23"/>
      <c r="AK1669" s="40">
        <v>10870</v>
      </c>
      <c r="AL1669" s="40"/>
      <c r="AX1669" s="27"/>
      <c r="AY1669" s="27"/>
      <c r="BK1669" s="27"/>
      <c r="BL1669" s="27"/>
      <c r="BX1669" s="27"/>
      <c r="BY1669" s="27"/>
      <c r="CH1669" s="29"/>
      <c r="CI1669" s="23" t="s">
        <v>338</v>
      </c>
      <c r="CJ1669" s="28" t="s">
        <v>0</v>
      </c>
      <c r="CM1669" s="23" t="s">
        <v>348</v>
      </c>
    </row>
    <row r="1670" spans="1:91" x14ac:dyDescent="0.2">
      <c r="A1670" s="18">
        <v>4001</v>
      </c>
      <c r="B1670" s="19">
        <v>40</v>
      </c>
      <c r="C1670" s="19">
        <f t="shared" si="109"/>
        <v>40010040</v>
      </c>
      <c r="D1670" s="19" t="s">
        <v>682</v>
      </c>
      <c r="E1670" s="20" t="s">
        <v>1925</v>
      </c>
      <c r="I1670" s="22" t="s">
        <v>98</v>
      </c>
      <c r="J1670" s="22"/>
      <c r="K1670" s="22"/>
      <c r="L1670" s="22"/>
      <c r="M1670" s="22"/>
      <c r="N1670" s="22" t="s">
        <v>161</v>
      </c>
      <c r="O1670" s="22" t="s">
        <v>161</v>
      </c>
      <c r="P1670" s="116"/>
      <c r="Q1670" s="116" t="s">
        <v>2041</v>
      </c>
      <c r="R1670" s="116"/>
      <c r="S1670" s="116"/>
      <c r="T1670" s="116" t="s">
        <v>2218</v>
      </c>
      <c r="U1670" s="116" t="s">
        <v>3174</v>
      </c>
      <c r="V1670" s="22" t="s">
        <v>1830</v>
      </c>
      <c r="W1670" s="22" t="s">
        <v>1</v>
      </c>
      <c r="X1670" s="22"/>
      <c r="Z1670" s="22"/>
      <c r="AA1670" s="22"/>
      <c r="AB1670" s="22"/>
      <c r="AC1670" s="22"/>
      <c r="AD1670" s="22"/>
      <c r="AE1670" s="24"/>
      <c r="AF1670" s="24" t="s">
        <v>2042</v>
      </c>
      <c r="AG1670" s="22"/>
      <c r="AH1670" s="23" t="s">
        <v>844</v>
      </c>
      <c r="AI1670" s="23" t="s">
        <v>687</v>
      </c>
      <c r="AJ1670" s="23"/>
      <c r="AK1670" s="40">
        <v>12870</v>
      </c>
      <c r="AL1670" s="40"/>
      <c r="AX1670" s="27"/>
      <c r="AY1670" s="27"/>
      <c r="BK1670" s="27"/>
      <c r="BL1670" s="27"/>
      <c r="BX1670" s="27"/>
      <c r="BY1670" s="27"/>
      <c r="CH1670" s="29"/>
      <c r="CI1670" s="23" t="s">
        <v>338</v>
      </c>
      <c r="CJ1670" s="28" t="s">
        <v>0</v>
      </c>
      <c r="CM1670" s="23" t="s">
        <v>495</v>
      </c>
    </row>
    <row r="1671" spans="1:91" x14ac:dyDescent="0.2">
      <c r="A1671" s="18">
        <v>4001</v>
      </c>
      <c r="B1671" s="19">
        <v>41</v>
      </c>
      <c r="C1671" s="19">
        <f t="shared" si="109"/>
        <v>40010041</v>
      </c>
      <c r="D1671" s="19" t="s">
        <v>751</v>
      </c>
      <c r="E1671" s="20" t="s">
        <v>1925</v>
      </c>
      <c r="I1671" s="22" t="s">
        <v>98</v>
      </c>
      <c r="J1671" s="22"/>
      <c r="K1671" s="22"/>
      <c r="L1671" s="22"/>
      <c r="M1671" s="22"/>
      <c r="N1671" s="22" t="s">
        <v>161</v>
      </c>
      <c r="O1671" s="22" t="s">
        <v>161</v>
      </c>
      <c r="P1671" s="116"/>
      <c r="Q1671" s="116" t="s">
        <v>2041</v>
      </c>
      <c r="R1671" s="116"/>
      <c r="S1671" s="116"/>
      <c r="T1671" s="116" t="s">
        <v>2218</v>
      </c>
      <c r="U1671" s="116" t="s">
        <v>3175</v>
      </c>
      <c r="V1671" s="22" t="s">
        <v>1830</v>
      </c>
      <c r="W1671" s="22" t="s">
        <v>1</v>
      </c>
      <c r="X1671" s="22"/>
      <c r="Z1671" s="22"/>
      <c r="AA1671" s="22"/>
      <c r="AB1671" s="22"/>
      <c r="AC1671" s="22"/>
      <c r="AD1671" s="22"/>
      <c r="AE1671" s="24"/>
      <c r="AF1671" s="24" t="s">
        <v>2042</v>
      </c>
      <c r="AG1671" s="22"/>
      <c r="AH1671" s="23" t="s">
        <v>778</v>
      </c>
      <c r="AI1671" s="23" t="s">
        <v>736</v>
      </c>
      <c r="AJ1671" s="23"/>
      <c r="AK1671" s="40">
        <v>14870</v>
      </c>
      <c r="AL1671" s="40"/>
      <c r="AX1671" s="27"/>
      <c r="AY1671" s="27"/>
      <c r="BK1671" s="27"/>
      <c r="BL1671" s="27"/>
      <c r="BX1671" s="27"/>
      <c r="BY1671" s="27"/>
      <c r="CH1671" s="29"/>
      <c r="CI1671" s="23" t="s">
        <v>338</v>
      </c>
      <c r="CJ1671" s="28" t="s">
        <v>0</v>
      </c>
      <c r="CM1671" s="23" t="s">
        <v>364</v>
      </c>
    </row>
    <row r="1672" spans="1:91" x14ac:dyDescent="0.2">
      <c r="A1672" s="18">
        <v>4001</v>
      </c>
      <c r="B1672" s="19">
        <v>42</v>
      </c>
      <c r="C1672" s="19">
        <f t="shared" si="109"/>
        <v>40010042</v>
      </c>
      <c r="D1672" s="19" t="s">
        <v>752</v>
      </c>
      <c r="E1672" s="20" t="s">
        <v>1925</v>
      </c>
      <c r="I1672" s="22" t="s">
        <v>98</v>
      </c>
      <c r="J1672" s="22"/>
      <c r="K1672" s="22"/>
      <c r="L1672" s="22"/>
      <c r="M1672" s="22"/>
      <c r="N1672" s="22" t="s">
        <v>161</v>
      </c>
      <c r="O1672" s="22" t="s">
        <v>161</v>
      </c>
      <c r="P1672" s="116"/>
      <c r="Q1672" s="116" t="s">
        <v>2041</v>
      </c>
      <c r="R1672" s="116"/>
      <c r="S1672" s="116"/>
      <c r="T1672" s="116" t="s">
        <v>2218</v>
      </c>
      <c r="U1672" s="116" t="s">
        <v>3176</v>
      </c>
      <c r="V1672" s="22" t="s">
        <v>1830</v>
      </c>
      <c r="W1672" s="22" t="s">
        <v>1</v>
      </c>
      <c r="X1672" s="22"/>
      <c r="Z1672" s="22"/>
      <c r="AA1672" s="22"/>
      <c r="AB1672" s="22"/>
      <c r="AC1672" s="22"/>
      <c r="AD1672" s="22"/>
      <c r="AE1672" s="24"/>
      <c r="AF1672" s="24" t="s">
        <v>2042</v>
      </c>
      <c r="AG1672" s="22"/>
      <c r="AH1672" s="23" t="s">
        <v>779</v>
      </c>
      <c r="AI1672" s="23" t="s">
        <v>727</v>
      </c>
      <c r="AJ1672" s="23"/>
      <c r="AK1672" s="40">
        <v>16870</v>
      </c>
      <c r="AL1672" s="40"/>
      <c r="AX1672" s="27"/>
      <c r="AY1672" s="27"/>
      <c r="BK1672" s="27"/>
      <c r="BL1672" s="27"/>
      <c r="BX1672" s="27"/>
      <c r="BY1672" s="27"/>
      <c r="CH1672" s="29"/>
      <c r="CI1672" s="23" t="s">
        <v>338</v>
      </c>
      <c r="CJ1672" s="28" t="s">
        <v>0</v>
      </c>
      <c r="CM1672" s="23" t="s">
        <v>496</v>
      </c>
    </row>
    <row r="1673" spans="1:91" x14ac:dyDescent="0.2">
      <c r="A1673" s="18">
        <v>4001</v>
      </c>
      <c r="B1673" s="19">
        <v>43</v>
      </c>
      <c r="C1673" s="19">
        <f t="shared" si="109"/>
        <v>40010043</v>
      </c>
      <c r="D1673" s="19" t="s">
        <v>753</v>
      </c>
      <c r="E1673" s="20" t="s">
        <v>1925</v>
      </c>
      <c r="I1673" s="22" t="s">
        <v>98</v>
      </c>
      <c r="J1673" s="22"/>
      <c r="K1673" s="22"/>
      <c r="L1673" s="22"/>
      <c r="M1673" s="22"/>
      <c r="N1673" s="22" t="s">
        <v>161</v>
      </c>
      <c r="O1673" s="22" t="s">
        <v>161</v>
      </c>
      <c r="P1673" s="116"/>
      <c r="Q1673" s="116" t="s">
        <v>2041</v>
      </c>
      <c r="R1673" s="116"/>
      <c r="S1673" s="116"/>
      <c r="T1673" s="116" t="s">
        <v>2218</v>
      </c>
      <c r="U1673" s="116" t="s">
        <v>3177</v>
      </c>
      <c r="V1673" s="22" t="s">
        <v>1830</v>
      </c>
      <c r="W1673" s="22" t="s">
        <v>1</v>
      </c>
      <c r="X1673" s="22"/>
      <c r="Z1673" s="22"/>
      <c r="AA1673" s="22"/>
      <c r="AB1673" s="22"/>
      <c r="AC1673" s="22"/>
      <c r="AD1673" s="22"/>
      <c r="AE1673" s="24"/>
      <c r="AF1673" s="24" t="s">
        <v>2042</v>
      </c>
      <c r="AG1673" s="22"/>
      <c r="AH1673" s="23" t="s">
        <v>780</v>
      </c>
      <c r="AI1673" s="23" t="s">
        <v>737</v>
      </c>
      <c r="AJ1673" s="23"/>
      <c r="AK1673" s="40">
        <v>18870</v>
      </c>
      <c r="AL1673" s="40"/>
      <c r="AX1673" s="27"/>
      <c r="AY1673" s="27"/>
      <c r="BK1673" s="27"/>
      <c r="BL1673" s="27"/>
      <c r="BX1673" s="27"/>
      <c r="BY1673" s="27"/>
      <c r="CH1673" s="29"/>
      <c r="CI1673" s="23" t="s">
        <v>338</v>
      </c>
      <c r="CJ1673" s="28" t="s">
        <v>0</v>
      </c>
      <c r="CM1673" s="23" t="s">
        <v>365</v>
      </c>
    </row>
    <row r="1674" spans="1:91" x14ac:dyDescent="0.2">
      <c r="A1674" s="18">
        <v>4001</v>
      </c>
      <c r="B1674" s="19">
        <v>44</v>
      </c>
      <c r="C1674" s="19">
        <f t="shared" si="109"/>
        <v>40010044</v>
      </c>
      <c r="D1674" s="19" t="s">
        <v>754</v>
      </c>
      <c r="E1674" s="20" t="s">
        <v>1925</v>
      </c>
      <c r="I1674" s="22" t="s">
        <v>98</v>
      </c>
      <c r="J1674" s="22"/>
      <c r="K1674" s="22"/>
      <c r="L1674" s="22"/>
      <c r="M1674" s="22"/>
      <c r="N1674" s="22" t="s">
        <v>161</v>
      </c>
      <c r="O1674" s="22" t="s">
        <v>161</v>
      </c>
      <c r="P1674" s="116"/>
      <c r="Q1674" s="116" t="s">
        <v>2041</v>
      </c>
      <c r="R1674" s="116"/>
      <c r="S1674" s="116"/>
      <c r="T1674" s="116" t="s">
        <v>2218</v>
      </c>
      <c r="U1674" s="116" t="s">
        <v>3178</v>
      </c>
      <c r="V1674" s="22" t="s">
        <v>1830</v>
      </c>
      <c r="W1674" s="22" t="s">
        <v>1</v>
      </c>
      <c r="X1674" s="22"/>
      <c r="Z1674" s="22"/>
      <c r="AA1674" s="22"/>
      <c r="AB1674" s="22"/>
      <c r="AC1674" s="22"/>
      <c r="AD1674" s="22"/>
      <c r="AE1674" s="24"/>
      <c r="AF1674" s="24" t="s">
        <v>2042</v>
      </c>
      <c r="AG1674" s="22"/>
      <c r="AH1674" s="23" t="s">
        <v>781</v>
      </c>
      <c r="AI1674" s="23" t="s">
        <v>739</v>
      </c>
      <c r="AJ1674" s="23"/>
      <c r="AK1674" s="40">
        <v>20870</v>
      </c>
      <c r="AL1674" s="40"/>
      <c r="AX1674" s="27"/>
      <c r="AY1674" s="27"/>
      <c r="BK1674" s="27"/>
      <c r="BL1674" s="27"/>
      <c r="BX1674" s="27"/>
      <c r="BY1674" s="27"/>
      <c r="CH1674" s="29"/>
      <c r="CI1674" s="23" t="s">
        <v>338</v>
      </c>
      <c r="CJ1674" s="28" t="s">
        <v>0</v>
      </c>
      <c r="CM1674" s="23" t="s">
        <v>497</v>
      </c>
    </row>
    <row r="1675" spans="1:91" x14ac:dyDescent="0.2">
      <c r="A1675" s="18">
        <v>4001</v>
      </c>
      <c r="B1675" s="19">
        <v>45</v>
      </c>
      <c r="C1675" s="19">
        <f t="shared" si="109"/>
        <v>40010045</v>
      </c>
      <c r="D1675" s="19" t="s">
        <v>755</v>
      </c>
      <c r="E1675" s="20" t="s">
        <v>1925</v>
      </c>
      <c r="I1675" s="22" t="s">
        <v>98</v>
      </c>
      <c r="J1675" s="22"/>
      <c r="K1675" s="22"/>
      <c r="L1675" s="22"/>
      <c r="M1675" s="22"/>
      <c r="N1675" s="22" t="s">
        <v>161</v>
      </c>
      <c r="O1675" s="22" t="s">
        <v>161</v>
      </c>
      <c r="P1675" s="116"/>
      <c r="Q1675" s="116" t="s">
        <v>2041</v>
      </c>
      <c r="R1675" s="116"/>
      <c r="S1675" s="116"/>
      <c r="T1675" s="116" t="s">
        <v>2218</v>
      </c>
      <c r="U1675" s="116" t="s">
        <v>3179</v>
      </c>
      <c r="V1675" s="22" t="s">
        <v>1830</v>
      </c>
      <c r="W1675" s="22" t="s">
        <v>1</v>
      </c>
      <c r="X1675" s="22"/>
      <c r="Z1675" s="22"/>
      <c r="AA1675" s="22"/>
      <c r="AB1675" s="22"/>
      <c r="AC1675" s="22"/>
      <c r="AD1675" s="22"/>
      <c r="AE1675" s="24"/>
      <c r="AF1675" s="24" t="s">
        <v>2042</v>
      </c>
      <c r="AG1675" s="22"/>
      <c r="AH1675" s="23" t="s">
        <v>782</v>
      </c>
      <c r="AI1675" s="23" t="s">
        <v>741</v>
      </c>
      <c r="AJ1675" s="23"/>
      <c r="AK1675" s="40">
        <v>22870</v>
      </c>
      <c r="AL1675" s="40"/>
      <c r="AX1675" s="27"/>
      <c r="AY1675" s="27"/>
      <c r="BK1675" s="27"/>
      <c r="BL1675" s="27"/>
      <c r="BX1675" s="27"/>
      <c r="BY1675" s="27"/>
      <c r="CH1675" s="29"/>
      <c r="CI1675" s="23" t="s">
        <v>338</v>
      </c>
      <c r="CJ1675" s="28" t="s">
        <v>0</v>
      </c>
      <c r="CM1675" s="23" t="s">
        <v>366</v>
      </c>
    </row>
    <row r="1676" spans="1:91" x14ac:dyDescent="0.2">
      <c r="A1676" s="18">
        <v>4001</v>
      </c>
      <c r="B1676" s="19">
        <v>46</v>
      </c>
      <c r="C1676" s="19">
        <f t="shared" si="109"/>
        <v>40010046</v>
      </c>
      <c r="D1676" s="19" t="s">
        <v>1478</v>
      </c>
      <c r="E1676" s="20" t="s">
        <v>1925</v>
      </c>
      <c r="I1676" s="22" t="s">
        <v>98</v>
      </c>
      <c r="J1676" s="22"/>
      <c r="K1676" s="22"/>
      <c r="L1676" s="22"/>
      <c r="M1676" s="22"/>
      <c r="N1676" s="22" t="s">
        <v>161</v>
      </c>
      <c r="O1676" s="22" t="s">
        <v>161</v>
      </c>
      <c r="P1676" s="116"/>
      <c r="Q1676" s="116" t="s">
        <v>2041</v>
      </c>
      <c r="R1676" s="116"/>
      <c r="S1676" s="116"/>
      <c r="T1676" s="116" t="s">
        <v>2218</v>
      </c>
      <c r="U1676" s="116" t="s">
        <v>3180</v>
      </c>
      <c r="V1676" s="22" t="s">
        <v>1830</v>
      </c>
      <c r="W1676" s="22" t="s">
        <v>1</v>
      </c>
      <c r="X1676" s="22"/>
      <c r="Z1676" s="22"/>
      <c r="AA1676" s="22"/>
      <c r="AB1676" s="22"/>
      <c r="AC1676" s="22"/>
      <c r="AD1676" s="22"/>
      <c r="AE1676" s="24"/>
      <c r="AF1676" s="24" t="s">
        <v>2042</v>
      </c>
      <c r="AG1676" s="22"/>
      <c r="AH1676" s="23" t="s">
        <v>1483</v>
      </c>
      <c r="AI1676" s="23" t="s">
        <v>1488</v>
      </c>
      <c r="AJ1676" s="23"/>
      <c r="AK1676" s="40">
        <v>24870</v>
      </c>
      <c r="AL1676" s="40"/>
      <c r="AX1676" s="27"/>
      <c r="AY1676" s="27"/>
      <c r="BK1676" s="27"/>
      <c r="BL1676" s="27"/>
      <c r="BX1676" s="27"/>
      <c r="BY1676" s="27"/>
      <c r="CH1676" s="29"/>
      <c r="CI1676" s="23" t="s">
        <v>338</v>
      </c>
      <c r="CJ1676" s="28" t="s">
        <v>0</v>
      </c>
      <c r="CM1676" s="23" t="s">
        <v>498</v>
      </c>
    </row>
    <row r="1677" spans="1:91" x14ac:dyDescent="0.2">
      <c r="A1677" s="18">
        <v>4001</v>
      </c>
      <c r="B1677" s="19">
        <v>47</v>
      </c>
      <c r="C1677" s="19">
        <f t="shared" si="109"/>
        <v>40010047</v>
      </c>
      <c r="D1677" s="19" t="s">
        <v>1479</v>
      </c>
      <c r="E1677" s="20" t="s">
        <v>1925</v>
      </c>
      <c r="I1677" s="22" t="s">
        <v>98</v>
      </c>
      <c r="J1677" s="22"/>
      <c r="K1677" s="22"/>
      <c r="L1677" s="22"/>
      <c r="M1677" s="22"/>
      <c r="N1677" s="22" t="s">
        <v>161</v>
      </c>
      <c r="O1677" s="22" t="s">
        <v>161</v>
      </c>
      <c r="P1677" s="116"/>
      <c r="Q1677" s="116" t="s">
        <v>2041</v>
      </c>
      <c r="R1677" s="116"/>
      <c r="S1677" s="116"/>
      <c r="T1677" s="116" t="s">
        <v>2218</v>
      </c>
      <c r="U1677" s="116" t="s">
        <v>3181</v>
      </c>
      <c r="V1677" s="22" t="s">
        <v>1830</v>
      </c>
      <c r="W1677" s="22" t="s">
        <v>1</v>
      </c>
      <c r="X1677" s="22"/>
      <c r="Z1677" s="22"/>
      <c r="AA1677" s="22"/>
      <c r="AB1677" s="22"/>
      <c r="AC1677" s="22"/>
      <c r="AD1677" s="22"/>
      <c r="AE1677" s="24"/>
      <c r="AF1677" s="24" t="s">
        <v>2042</v>
      </c>
      <c r="AG1677" s="22"/>
      <c r="AH1677" s="23" t="s">
        <v>1484</v>
      </c>
      <c r="AI1677" s="23" t="s">
        <v>1489</v>
      </c>
      <c r="AJ1677" s="23"/>
      <c r="AK1677" s="40">
        <v>26870</v>
      </c>
      <c r="AL1677" s="40"/>
      <c r="AX1677" s="27"/>
      <c r="AY1677" s="27"/>
      <c r="BK1677" s="27"/>
      <c r="BL1677" s="27"/>
      <c r="BX1677" s="27"/>
      <c r="BY1677" s="27"/>
      <c r="CH1677" s="29"/>
      <c r="CI1677" s="23" t="s">
        <v>338</v>
      </c>
      <c r="CJ1677" s="28" t="s">
        <v>0</v>
      </c>
      <c r="CM1677" s="23" t="s">
        <v>367</v>
      </c>
    </row>
    <row r="1678" spans="1:91" x14ac:dyDescent="0.2">
      <c r="A1678" s="18">
        <v>4001</v>
      </c>
      <c r="B1678" s="19">
        <v>48</v>
      </c>
      <c r="C1678" s="19">
        <f t="shared" si="109"/>
        <v>40010048</v>
      </c>
      <c r="D1678" s="19" t="s">
        <v>1480</v>
      </c>
      <c r="E1678" s="20" t="s">
        <v>1925</v>
      </c>
      <c r="I1678" s="22" t="s">
        <v>98</v>
      </c>
      <c r="J1678" s="22"/>
      <c r="K1678" s="22"/>
      <c r="L1678" s="22"/>
      <c r="M1678" s="22"/>
      <c r="N1678" s="22" t="s">
        <v>161</v>
      </c>
      <c r="O1678" s="22" t="s">
        <v>161</v>
      </c>
      <c r="P1678" s="116"/>
      <c r="Q1678" s="116" t="s">
        <v>2041</v>
      </c>
      <c r="R1678" s="116"/>
      <c r="S1678" s="116"/>
      <c r="T1678" s="116" t="s">
        <v>2218</v>
      </c>
      <c r="U1678" s="116" t="s">
        <v>3182</v>
      </c>
      <c r="V1678" s="22" t="s">
        <v>1830</v>
      </c>
      <c r="W1678" s="22" t="s">
        <v>1</v>
      </c>
      <c r="X1678" s="22"/>
      <c r="Z1678" s="22"/>
      <c r="AA1678" s="22"/>
      <c r="AB1678" s="22"/>
      <c r="AC1678" s="22"/>
      <c r="AD1678" s="22"/>
      <c r="AE1678" s="24"/>
      <c r="AF1678" s="24" t="s">
        <v>2042</v>
      </c>
      <c r="AG1678" s="22"/>
      <c r="AH1678" s="23" t="s">
        <v>1485</v>
      </c>
      <c r="AI1678" s="23" t="s">
        <v>1490</v>
      </c>
      <c r="AJ1678" s="23"/>
      <c r="AK1678" s="40">
        <v>28870</v>
      </c>
      <c r="AL1678" s="40"/>
      <c r="AX1678" s="27"/>
      <c r="AY1678" s="27"/>
      <c r="BK1678" s="27"/>
      <c r="BL1678" s="27"/>
      <c r="BX1678" s="27"/>
      <c r="BY1678" s="27"/>
      <c r="CH1678" s="29"/>
      <c r="CI1678" s="23" t="s">
        <v>338</v>
      </c>
      <c r="CJ1678" s="28" t="s">
        <v>0</v>
      </c>
      <c r="CM1678" s="23" t="s">
        <v>499</v>
      </c>
    </row>
    <row r="1679" spans="1:91" x14ac:dyDescent="0.2">
      <c r="A1679" s="18">
        <v>4001</v>
      </c>
      <c r="B1679" s="19">
        <v>49</v>
      </c>
      <c r="C1679" s="19">
        <f t="shared" si="109"/>
        <v>40010049</v>
      </c>
      <c r="D1679" s="19" t="s">
        <v>1481</v>
      </c>
      <c r="E1679" s="20" t="s">
        <v>1925</v>
      </c>
      <c r="I1679" s="22" t="s">
        <v>98</v>
      </c>
      <c r="J1679" s="22"/>
      <c r="K1679" s="22"/>
      <c r="L1679" s="22"/>
      <c r="M1679" s="22"/>
      <c r="N1679" s="22" t="s">
        <v>161</v>
      </c>
      <c r="O1679" s="22" t="s">
        <v>161</v>
      </c>
      <c r="P1679" s="116"/>
      <c r="Q1679" s="116" t="s">
        <v>2041</v>
      </c>
      <c r="R1679" s="116"/>
      <c r="S1679" s="116"/>
      <c r="T1679" s="116" t="s">
        <v>2218</v>
      </c>
      <c r="U1679" s="116" t="s">
        <v>3183</v>
      </c>
      <c r="V1679" s="22" t="s">
        <v>1830</v>
      </c>
      <c r="W1679" s="22" t="s">
        <v>1</v>
      </c>
      <c r="X1679" s="22"/>
      <c r="Z1679" s="22"/>
      <c r="AA1679" s="22"/>
      <c r="AB1679" s="22"/>
      <c r="AC1679" s="22"/>
      <c r="AD1679" s="22"/>
      <c r="AE1679" s="24"/>
      <c r="AF1679" s="24" t="s">
        <v>2042</v>
      </c>
      <c r="AG1679" s="22"/>
      <c r="AH1679" s="23" t="s">
        <v>1486</v>
      </c>
      <c r="AI1679" s="23" t="s">
        <v>1491</v>
      </c>
      <c r="AJ1679" s="23"/>
      <c r="AK1679" s="40">
        <v>30870</v>
      </c>
      <c r="AL1679" s="40"/>
      <c r="AX1679" s="27"/>
      <c r="AY1679" s="27"/>
      <c r="BK1679" s="27"/>
      <c r="BL1679" s="27"/>
      <c r="BX1679" s="27"/>
      <c r="BY1679" s="27"/>
      <c r="CH1679" s="29"/>
      <c r="CI1679" s="23" t="s">
        <v>338</v>
      </c>
      <c r="CJ1679" s="28" t="s">
        <v>0</v>
      </c>
      <c r="CM1679" s="23" t="s">
        <v>344</v>
      </c>
    </row>
    <row r="1680" spans="1:91" x14ac:dyDescent="0.2">
      <c r="A1680" s="18">
        <v>4001</v>
      </c>
      <c r="B1680" s="19">
        <v>50</v>
      </c>
      <c r="C1680" s="19">
        <f t="shared" si="109"/>
        <v>40010050</v>
      </c>
      <c r="D1680" s="19" t="s">
        <v>1482</v>
      </c>
      <c r="E1680" s="20" t="s">
        <v>1925</v>
      </c>
      <c r="I1680" s="22" t="s">
        <v>98</v>
      </c>
      <c r="J1680" s="22"/>
      <c r="K1680" s="22"/>
      <c r="L1680" s="22"/>
      <c r="M1680" s="22"/>
      <c r="N1680" s="22" t="s">
        <v>161</v>
      </c>
      <c r="O1680" s="22" t="s">
        <v>161</v>
      </c>
      <c r="P1680" s="116"/>
      <c r="Q1680" s="116" t="s">
        <v>2041</v>
      </c>
      <c r="R1680" s="116"/>
      <c r="S1680" s="116"/>
      <c r="T1680" s="116" t="s">
        <v>2218</v>
      </c>
      <c r="U1680" s="116" t="s">
        <v>3184</v>
      </c>
      <c r="V1680" s="22" t="s">
        <v>1830</v>
      </c>
      <c r="W1680" s="22" t="s">
        <v>1</v>
      </c>
      <c r="X1680" s="22"/>
      <c r="Z1680" s="22"/>
      <c r="AA1680" s="22"/>
      <c r="AB1680" s="22"/>
      <c r="AC1680" s="22"/>
      <c r="AD1680" s="22"/>
      <c r="AE1680" s="24"/>
      <c r="AF1680" s="24" t="s">
        <v>2042</v>
      </c>
      <c r="AG1680" s="22"/>
      <c r="AH1680" s="23" t="s">
        <v>1487</v>
      </c>
      <c r="AI1680" s="23" t="s">
        <v>1492</v>
      </c>
      <c r="AJ1680" s="23"/>
      <c r="AK1680" s="40">
        <v>32870</v>
      </c>
      <c r="AL1680" s="40"/>
      <c r="AX1680" s="27"/>
      <c r="AY1680" s="27"/>
      <c r="BK1680" s="27"/>
      <c r="BL1680" s="27"/>
      <c r="BX1680" s="27"/>
      <c r="BY1680" s="27"/>
      <c r="CH1680" s="29"/>
      <c r="CI1680" s="23" t="s">
        <v>338</v>
      </c>
      <c r="CJ1680" s="28" t="s">
        <v>0</v>
      </c>
    </row>
    <row r="1681" spans="1:107" s="14" customFormat="1" ht="17.25" x14ac:dyDescent="0.3">
      <c r="A1681" s="8"/>
      <c r="B1681" s="8"/>
      <c r="C1681" s="8">
        <f t="shared" si="109"/>
        <v>0</v>
      </c>
      <c r="D1681" s="8"/>
      <c r="E1681" s="9" t="s">
        <v>401</v>
      </c>
      <c r="F1681" s="9"/>
      <c r="G1681" s="9"/>
      <c r="H1681" s="9"/>
      <c r="I1681" s="10"/>
      <c r="J1681" s="10"/>
      <c r="K1681" s="10"/>
      <c r="L1681" s="10"/>
      <c r="M1681" s="10"/>
      <c r="N1681" s="10"/>
      <c r="O1681" s="10"/>
      <c r="P1681" s="10"/>
      <c r="Q1681" s="10"/>
      <c r="R1681" s="10"/>
      <c r="S1681" s="10"/>
      <c r="T1681" s="10"/>
      <c r="U1681" s="10"/>
      <c r="V1681" s="10"/>
      <c r="W1681" s="10"/>
      <c r="X1681" s="10"/>
      <c r="Y1681" s="11"/>
      <c r="Z1681" s="10"/>
      <c r="AA1681" s="10"/>
      <c r="AB1681" s="10"/>
      <c r="AC1681" s="10"/>
      <c r="AD1681" s="10"/>
      <c r="AE1681" s="12"/>
      <c r="AF1681" s="12" t="s">
        <v>2042</v>
      </c>
      <c r="AG1681" s="10"/>
      <c r="AH1681" s="13"/>
      <c r="AI1681" s="13"/>
      <c r="AJ1681" s="13"/>
      <c r="AK1681" s="15"/>
      <c r="AL1681" s="15"/>
      <c r="AM1681" s="15"/>
      <c r="AN1681" s="15"/>
      <c r="AO1681" s="15"/>
      <c r="AP1681" s="15"/>
      <c r="AQ1681" s="15"/>
      <c r="AR1681" s="15"/>
      <c r="AS1681" s="15"/>
      <c r="AT1681" s="15"/>
      <c r="AU1681" s="13"/>
      <c r="AV1681" s="13"/>
      <c r="AW1681" s="13"/>
      <c r="AX1681" s="31"/>
      <c r="AY1681" s="31"/>
      <c r="AZ1681" s="15"/>
      <c r="BA1681" s="15"/>
      <c r="BB1681" s="15"/>
      <c r="BC1681" s="15"/>
      <c r="BD1681" s="15"/>
      <c r="BE1681" s="15"/>
      <c r="BF1681" s="15"/>
      <c r="BG1681" s="15"/>
      <c r="BH1681" s="13"/>
      <c r="BI1681" s="13"/>
      <c r="BJ1681" s="13"/>
      <c r="BK1681" s="31"/>
      <c r="BL1681" s="31"/>
      <c r="BM1681" s="15"/>
      <c r="BN1681" s="15"/>
      <c r="BO1681" s="15"/>
      <c r="BP1681" s="15"/>
      <c r="BQ1681" s="15"/>
      <c r="BR1681" s="15"/>
      <c r="BS1681" s="15"/>
      <c r="BT1681" s="15"/>
      <c r="BU1681" s="13"/>
      <c r="BV1681" s="13"/>
      <c r="BW1681" s="13"/>
      <c r="BX1681" s="31"/>
      <c r="BY1681" s="31"/>
      <c r="BZ1681" s="15"/>
      <c r="CA1681" s="15"/>
      <c r="CB1681" s="15"/>
      <c r="CC1681" s="15"/>
      <c r="CD1681" s="15"/>
      <c r="CE1681" s="15"/>
      <c r="CF1681" s="15"/>
      <c r="CG1681" s="15"/>
      <c r="CH1681" s="10"/>
      <c r="CI1681" s="8"/>
      <c r="CJ1681" s="16"/>
      <c r="CK1681" s="8"/>
      <c r="CT1681" s="17"/>
      <c r="CU1681" s="17"/>
      <c r="CV1681" s="17"/>
      <c r="CW1681" s="17"/>
      <c r="CX1681" s="17"/>
      <c r="CY1681" s="17"/>
      <c r="CZ1681" s="17"/>
      <c r="DA1681" s="17"/>
      <c r="DB1681" s="17"/>
      <c r="DC1681" s="15"/>
    </row>
    <row r="1682" spans="1:107" x14ac:dyDescent="0.2">
      <c r="A1682" s="18">
        <v>5001</v>
      </c>
      <c r="B1682" s="19">
        <v>1</v>
      </c>
      <c r="C1682" s="19">
        <f t="shared" si="109"/>
        <v>50010001</v>
      </c>
      <c r="D1682" s="19" t="s">
        <v>402</v>
      </c>
      <c r="E1682" s="20" t="s">
        <v>1125</v>
      </c>
      <c r="I1682" s="22" t="s">
        <v>98</v>
      </c>
      <c r="J1682" s="22"/>
      <c r="K1682" s="22"/>
      <c r="L1682" s="22"/>
      <c r="M1682" s="22"/>
      <c r="N1682" s="22" t="s">
        <v>433</v>
      </c>
      <c r="O1682" s="22" t="s">
        <v>433</v>
      </c>
      <c r="P1682" s="116"/>
      <c r="Q1682" s="116" t="s">
        <v>433</v>
      </c>
      <c r="R1682" s="116" t="s">
        <v>181</v>
      </c>
      <c r="S1682" s="116" t="s">
        <v>687</v>
      </c>
      <c r="T1682" s="116" t="s">
        <v>2219</v>
      </c>
      <c r="U1682" s="116" t="s">
        <v>3158</v>
      </c>
      <c r="V1682" s="22" t="s">
        <v>1831</v>
      </c>
      <c r="W1682" s="22" t="s">
        <v>1</v>
      </c>
      <c r="X1682" s="22"/>
      <c r="Z1682" s="22"/>
      <c r="AA1682" s="22"/>
      <c r="AB1682" s="22"/>
      <c r="AC1682" s="22"/>
      <c r="AD1682" s="22"/>
      <c r="AE1682" s="24"/>
      <c r="AF1682" s="24" t="s">
        <v>2042</v>
      </c>
      <c r="AG1682" s="22"/>
      <c r="AH1682" s="23"/>
      <c r="AI1682" s="23" t="s">
        <v>180</v>
      </c>
      <c r="AJ1682" s="23"/>
      <c r="AK1682" s="40" t="s">
        <v>266</v>
      </c>
      <c r="AL1682" s="40"/>
      <c r="AX1682" s="27"/>
      <c r="AY1682" s="27"/>
      <c r="BK1682" s="27"/>
      <c r="BL1682" s="27"/>
      <c r="BX1682" s="27"/>
      <c r="BY1682" s="27"/>
      <c r="CH1682" s="29"/>
      <c r="CI1682" s="23" t="s">
        <v>432</v>
      </c>
      <c r="CJ1682" s="28" t="s">
        <v>339</v>
      </c>
      <c r="CM1682" s="23" t="s">
        <v>732</v>
      </c>
    </row>
    <row r="1683" spans="1:107" x14ac:dyDescent="0.2">
      <c r="A1683" s="18">
        <v>5001</v>
      </c>
      <c r="B1683" s="19">
        <v>2</v>
      </c>
      <c r="C1683" s="19">
        <f t="shared" si="109"/>
        <v>50010002</v>
      </c>
      <c r="D1683" s="19" t="s">
        <v>403</v>
      </c>
      <c r="E1683" s="20" t="s">
        <v>1125</v>
      </c>
      <c r="I1683" s="22" t="s">
        <v>98</v>
      </c>
      <c r="J1683" s="22"/>
      <c r="K1683" s="22"/>
      <c r="L1683" s="22"/>
      <c r="M1683" s="22"/>
      <c r="N1683" s="22" t="s">
        <v>433</v>
      </c>
      <c r="O1683" s="22" t="s">
        <v>433</v>
      </c>
      <c r="P1683" s="116"/>
      <c r="Q1683" s="116" t="s">
        <v>433</v>
      </c>
      <c r="R1683" s="116" t="s">
        <v>181</v>
      </c>
      <c r="S1683" s="116" t="s">
        <v>687</v>
      </c>
      <c r="T1683" s="116" t="s">
        <v>2219</v>
      </c>
      <c r="U1683" s="116" t="s">
        <v>3159</v>
      </c>
      <c r="V1683" s="22" t="s">
        <v>1831</v>
      </c>
      <c r="W1683" s="22" t="s">
        <v>1</v>
      </c>
      <c r="X1683" s="22"/>
      <c r="Z1683" s="22"/>
      <c r="AA1683" s="22"/>
      <c r="AB1683" s="22"/>
      <c r="AC1683" s="22"/>
      <c r="AD1683" s="22"/>
      <c r="AE1683" s="24"/>
      <c r="AF1683" s="24" t="s">
        <v>2042</v>
      </c>
      <c r="AG1683" s="22"/>
      <c r="AH1683" s="23"/>
      <c r="AI1683" s="23" t="s">
        <v>131</v>
      </c>
      <c r="AJ1683" s="23"/>
      <c r="AK1683" s="40" t="s">
        <v>268</v>
      </c>
      <c r="AL1683" s="40"/>
      <c r="AX1683" s="27"/>
      <c r="AY1683" s="27"/>
      <c r="BK1683" s="27"/>
      <c r="BL1683" s="27"/>
      <c r="BX1683" s="27"/>
      <c r="BY1683" s="27"/>
      <c r="CH1683" s="29"/>
      <c r="CI1683" s="23" t="s">
        <v>432</v>
      </c>
      <c r="CJ1683" s="28" t="s">
        <v>339</v>
      </c>
      <c r="CM1683" s="23" t="s">
        <v>27</v>
      </c>
    </row>
    <row r="1684" spans="1:107" x14ac:dyDescent="0.2">
      <c r="A1684" s="18">
        <v>5001</v>
      </c>
      <c r="B1684" s="19">
        <v>3</v>
      </c>
      <c r="C1684" s="19">
        <f t="shared" si="109"/>
        <v>50010003</v>
      </c>
      <c r="D1684" s="19" t="s">
        <v>404</v>
      </c>
      <c r="E1684" s="20" t="s">
        <v>1125</v>
      </c>
      <c r="I1684" s="22" t="s">
        <v>98</v>
      </c>
      <c r="J1684" s="22"/>
      <c r="K1684" s="22"/>
      <c r="L1684" s="22"/>
      <c r="M1684" s="22"/>
      <c r="N1684" s="22" t="s">
        <v>433</v>
      </c>
      <c r="O1684" s="22" t="s">
        <v>433</v>
      </c>
      <c r="P1684" s="116"/>
      <c r="Q1684" s="116" t="s">
        <v>433</v>
      </c>
      <c r="R1684" s="116" t="s">
        <v>181</v>
      </c>
      <c r="S1684" s="116" t="s">
        <v>687</v>
      </c>
      <c r="T1684" s="116" t="s">
        <v>2219</v>
      </c>
      <c r="U1684" s="116" t="s">
        <v>3150</v>
      </c>
      <c r="V1684" s="22" t="s">
        <v>1831</v>
      </c>
      <c r="W1684" s="22" t="s">
        <v>1</v>
      </c>
      <c r="X1684" s="22"/>
      <c r="Z1684" s="22"/>
      <c r="AA1684" s="22"/>
      <c r="AB1684" s="22"/>
      <c r="AC1684" s="22"/>
      <c r="AD1684" s="22"/>
      <c r="AE1684" s="24"/>
      <c r="AF1684" s="24" t="s">
        <v>2042</v>
      </c>
      <c r="AG1684" s="22"/>
      <c r="AH1684" s="23"/>
      <c r="AI1684" s="23" t="s">
        <v>20</v>
      </c>
      <c r="AJ1684" s="23"/>
      <c r="AK1684" s="40" t="s">
        <v>240</v>
      </c>
      <c r="AL1684" s="40"/>
      <c r="AX1684" s="27"/>
      <c r="AY1684" s="27"/>
      <c r="BK1684" s="27"/>
      <c r="BL1684" s="27"/>
      <c r="BX1684" s="27"/>
      <c r="BY1684" s="27"/>
      <c r="CH1684" s="29"/>
      <c r="CI1684" s="23" t="s">
        <v>432</v>
      </c>
      <c r="CJ1684" s="28" t="s">
        <v>0</v>
      </c>
      <c r="CM1684" s="23" t="s">
        <v>1</v>
      </c>
    </row>
    <row r="1685" spans="1:107" x14ac:dyDescent="0.2">
      <c r="A1685" s="18">
        <v>5001</v>
      </c>
      <c r="B1685" s="19">
        <v>4</v>
      </c>
      <c r="C1685" s="19">
        <f t="shared" si="109"/>
        <v>50010004</v>
      </c>
      <c r="D1685" s="19" t="s">
        <v>405</v>
      </c>
      <c r="E1685" s="20" t="s">
        <v>1125</v>
      </c>
      <c r="I1685" s="22" t="s">
        <v>98</v>
      </c>
      <c r="J1685" s="22"/>
      <c r="K1685" s="22"/>
      <c r="L1685" s="22"/>
      <c r="M1685" s="22"/>
      <c r="N1685" s="22" t="s">
        <v>433</v>
      </c>
      <c r="O1685" s="22" t="s">
        <v>433</v>
      </c>
      <c r="P1685" s="116"/>
      <c r="Q1685" s="116" t="s">
        <v>433</v>
      </c>
      <c r="R1685" s="116" t="s">
        <v>181</v>
      </c>
      <c r="S1685" s="116" t="s">
        <v>687</v>
      </c>
      <c r="T1685" s="116" t="s">
        <v>2219</v>
      </c>
      <c r="U1685" s="116" t="s">
        <v>3151</v>
      </c>
      <c r="V1685" s="22" t="s">
        <v>1831</v>
      </c>
      <c r="W1685" s="22" t="s">
        <v>1</v>
      </c>
      <c r="X1685" s="22"/>
      <c r="Z1685" s="22"/>
      <c r="AA1685" s="22"/>
      <c r="AB1685" s="22"/>
      <c r="AC1685" s="22"/>
      <c r="AD1685" s="22"/>
      <c r="AE1685" s="24"/>
      <c r="AF1685" s="24" t="s">
        <v>2042</v>
      </c>
      <c r="AG1685" s="22"/>
      <c r="AH1685" s="23"/>
      <c r="AI1685" s="23" t="s">
        <v>21</v>
      </c>
      <c r="AJ1685" s="23"/>
      <c r="AK1685" s="40" t="s">
        <v>351</v>
      </c>
      <c r="AL1685" s="40"/>
      <c r="AX1685" s="27"/>
      <c r="AY1685" s="27"/>
      <c r="BK1685" s="27"/>
      <c r="BL1685" s="27"/>
      <c r="BX1685" s="27"/>
      <c r="BY1685" s="27"/>
      <c r="CH1685" s="29"/>
      <c r="CI1685" s="23" t="s">
        <v>432</v>
      </c>
      <c r="CJ1685" s="28" t="s">
        <v>0</v>
      </c>
      <c r="CM1685" s="23" t="s">
        <v>2</v>
      </c>
    </row>
    <row r="1686" spans="1:107" x14ac:dyDescent="0.2">
      <c r="A1686" s="18">
        <v>5001</v>
      </c>
      <c r="B1686" s="19">
        <v>5</v>
      </c>
      <c r="C1686" s="19">
        <f t="shared" si="109"/>
        <v>50010005</v>
      </c>
      <c r="D1686" s="19" t="s">
        <v>406</v>
      </c>
      <c r="E1686" s="20" t="s">
        <v>1125</v>
      </c>
      <c r="I1686" s="22" t="s">
        <v>98</v>
      </c>
      <c r="J1686" s="22"/>
      <c r="K1686" s="22"/>
      <c r="L1686" s="22"/>
      <c r="M1686" s="22"/>
      <c r="N1686" s="22" t="s">
        <v>433</v>
      </c>
      <c r="O1686" s="22" t="s">
        <v>433</v>
      </c>
      <c r="P1686" s="116"/>
      <c r="Q1686" s="116" t="s">
        <v>433</v>
      </c>
      <c r="R1686" s="116" t="s">
        <v>181</v>
      </c>
      <c r="S1686" s="116" t="s">
        <v>687</v>
      </c>
      <c r="T1686" s="116" t="s">
        <v>2219</v>
      </c>
      <c r="U1686" s="116" t="s">
        <v>3152</v>
      </c>
      <c r="V1686" s="22" t="s">
        <v>1831</v>
      </c>
      <c r="W1686" s="22" t="s">
        <v>1</v>
      </c>
      <c r="X1686" s="22"/>
      <c r="Z1686" s="22"/>
      <c r="AA1686" s="22"/>
      <c r="AB1686" s="22"/>
      <c r="AC1686" s="22"/>
      <c r="AD1686" s="22"/>
      <c r="AE1686" s="24"/>
      <c r="AF1686" s="24" t="s">
        <v>2042</v>
      </c>
      <c r="AG1686" s="22"/>
      <c r="AH1686" s="23"/>
      <c r="AI1686" s="23" t="s">
        <v>487</v>
      </c>
      <c r="AJ1686" s="23"/>
      <c r="AK1686" s="40" t="s">
        <v>352</v>
      </c>
      <c r="AL1686" s="40"/>
      <c r="AX1686" s="27"/>
      <c r="AY1686" s="27"/>
      <c r="BK1686" s="27"/>
      <c r="BL1686" s="27"/>
      <c r="BX1686" s="27"/>
      <c r="BY1686" s="27"/>
      <c r="CH1686" s="29"/>
      <c r="CI1686" s="23" t="s">
        <v>432</v>
      </c>
      <c r="CJ1686" s="28" t="s">
        <v>0</v>
      </c>
      <c r="CM1686" s="23" t="s">
        <v>3</v>
      </c>
    </row>
    <row r="1687" spans="1:107" x14ac:dyDescent="0.2">
      <c r="A1687" s="18">
        <v>5001</v>
      </c>
      <c r="B1687" s="19">
        <v>6</v>
      </c>
      <c r="C1687" s="19">
        <f t="shared" si="109"/>
        <v>50010006</v>
      </c>
      <c r="D1687" s="19" t="s">
        <v>407</v>
      </c>
      <c r="E1687" s="20" t="s">
        <v>1125</v>
      </c>
      <c r="I1687" s="22" t="s">
        <v>98</v>
      </c>
      <c r="J1687" s="22"/>
      <c r="K1687" s="22"/>
      <c r="L1687" s="22"/>
      <c r="M1687" s="22"/>
      <c r="N1687" s="22" t="s">
        <v>433</v>
      </c>
      <c r="O1687" s="22" t="s">
        <v>433</v>
      </c>
      <c r="P1687" s="116"/>
      <c r="Q1687" s="116" t="s">
        <v>433</v>
      </c>
      <c r="R1687" s="116" t="s">
        <v>181</v>
      </c>
      <c r="S1687" s="116" t="s">
        <v>687</v>
      </c>
      <c r="T1687" s="116" t="s">
        <v>2219</v>
      </c>
      <c r="U1687" s="116" t="s">
        <v>3153</v>
      </c>
      <c r="V1687" s="22" t="s">
        <v>1831</v>
      </c>
      <c r="W1687" s="22" t="s">
        <v>1</v>
      </c>
      <c r="X1687" s="22"/>
      <c r="Z1687" s="22"/>
      <c r="AA1687" s="22"/>
      <c r="AB1687" s="22"/>
      <c r="AC1687" s="22"/>
      <c r="AD1687" s="22"/>
      <c r="AE1687" s="24"/>
      <c r="AF1687" s="24" t="s">
        <v>2042</v>
      </c>
      <c r="AG1687" s="22"/>
      <c r="AH1687" s="23"/>
      <c r="AI1687" s="23" t="s">
        <v>358</v>
      </c>
      <c r="AJ1687" s="23"/>
      <c r="AK1687" s="40" t="s">
        <v>353</v>
      </c>
      <c r="AL1687" s="40"/>
      <c r="AX1687" s="27"/>
      <c r="AY1687" s="27"/>
      <c r="BK1687" s="27"/>
      <c r="BL1687" s="27"/>
      <c r="BX1687" s="27"/>
      <c r="BY1687" s="27"/>
      <c r="CH1687" s="29"/>
      <c r="CI1687" s="23" t="s">
        <v>432</v>
      </c>
      <c r="CJ1687" s="28" t="s">
        <v>0</v>
      </c>
      <c r="CM1687" s="23" t="s">
        <v>4</v>
      </c>
    </row>
    <row r="1688" spans="1:107" x14ac:dyDescent="0.2">
      <c r="A1688" s="18">
        <v>5001</v>
      </c>
      <c r="B1688" s="19">
        <v>7</v>
      </c>
      <c r="C1688" s="19">
        <f t="shared" si="109"/>
        <v>50010007</v>
      </c>
      <c r="D1688" s="19" t="s">
        <v>408</v>
      </c>
      <c r="E1688" s="20" t="s">
        <v>1125</v>
      </c>
      <c r="I1688" s="22" t="s">
        <v>98</v>
      </c>
      <c r="J1688" s="22"/>
      <c r="K1688" s="22"/>
      <c r="L1688" s="22"/>
      <c r="M1688" s="22"/>
      <c r="N1688" s="22" t="s">
        <v>433</v>
      </c>
      <c r="O1688" s="22" t="s">
        <v>433</v>
      </c>
      <c r="P1688" s="116"/>
      <c r="Q1688" s="116" t="s">
        <v>433</v>
      </c>
      <c r="R1688" s="116" t="s">
        <v>181</v>
      </c>
      <c r="S1688" s="116" t="s">
        <v>687</v>
      </c>
      <c r="T1688" s="116" t="s">
        <v>2219</v>
      </c>
      <c r="U1688" s="116" t="s">
        <v>3154</v>
      </c>
      <c r="V1688" s="22" t="s">
        <v>1831</v>
      </c>
      <c r="W1688" s="22" t="s">
        <v>1</v>
      </c>
      <c r="X1688" s="22"/>
      <c r="Z1688" s="22"/>
      <c r="AA1688" s="22"/>
      <c r="AB1688" s="22"/>
      <c r="AC1688" s="22"/>
      <c r="AD1688" s="22"/>
      <c r="AE1688" s="24"/>
      <c r="AF1688" s="24" t="s">
        <v>2042</v>
      </c>
      <c r="AG1688" s="22"/>
      <c r="AH1688" s="23"/>
      <c r="AI1688" s="23" t="s">
        <v>488</v>
      </c>
      <c r="AJ1688" s="23"/>
      <c r="AK1688" s="40" t="s">
        <v>354</v>
      </c>
      <c r="AL1688" s="40"/>
      <c r="AX1688" s="27"/>
      <c r="AY1688" s="27"/>
      <c r="BK1688" s="27"/>
      <c r="BL1688" s="27"/>
      <c r="BX1688" s="27"/>
      <c r="BY1688" s="27"/>
      <c r="CH1688" s="29"/>
      <c r="CI1688" s="23" t="s">
        <v>432</v>
      </c>
      <c r="CJ1688" s="28" t="s">
        <v>0</v>
      </c>
      <c r="CM1688" s="23" t="s">
        <v>5</v>
      </c>
    </row>
    <row r="1689" spans="1:107" x14ac:dyDescent="0.2">
      <c r="A1689" s="18">
        <v>5001</v>
      </c>
      <c r="B1689" s="19">
        <v>8</v>
      </c>
      <c r="C1689" s="19">
        <f t="shared" si="109"/>
        <v>50010008</v>
      </c>
      <c r="D1689" s="19" t="s">
        <v>409</v>
      </c>
      <c r="E1689" s="20" t="s">
        <v>1125</v>
      </c>
      <c r="I1689" s="22" t="s">
        <v>98</v>
      </c>
      <c r="J1689" s="22"/>
      <c r="K1689" s="22"/>
      <c r="L1689" s="22"/>
      <c r="M1689" s="22"/>
      <c r="N1689" s="22" t="s">
        <v>433</v>
      </c>
      <c r="O1689" s="22" t="s">
        <v>433</v>
      </c>
      <c r="P1689" s="116"/>
      <c r="Q1689" s="116" t="s">
        <v>433</v>
      </c>
      <c r="R1689" s="116" t="s">
        <v>181</v>
      </c>
      <c r="S1689" s="116" t="s">
        <v>687</v>
      </c>
      <c r="T1689" s="116" t="s">
        <v>2219</v>
      </c>
      <c r="U1689" s="116" t="s">
        <v>3155</v>
      </c>
      <c r="V1689" s="22" t="s">
        <v>1831</v>
      </c>
      <c r="W1689" s="22" t="s">
        <v>1</v>
      </c>
      <c r="X1689" s="22"/>
      <c r="Z1689" s="22"/>
      <c r="AA1689" s="22"/>
      <c r="AB1689" s="22"/>
      <c r="AC1689" s="22"/>
      <c r="AD1689" s="22"/>
      <c r="AE1689" s="24"/>
      <c r="AF1689" s="24" t="s">
        <v>2042</v>
      </c>
      <c r="AG1689" s="22"/>
      <c r="AH1689" s="23"/>
      <c r="AI1689" s="23" t="s">
        <v>359</v>
      </c>
      <c r="AJ1689" s="23"/>
      <c r="AK1689" s="40" t="s">
        <v>241</v>
      </c>
      <c r="AL1689" s="40"/>
      <c r="AX1689" s="27"/>
      <c r="AY1689" s="27"/>
      <c r="BK1689" s="27"/>
      <c r="BL1689" s="27"/>
      <c r="BX1689" s="27"/>
      <c r="BY1689" s="27"/>
      <c r="CH1689" s="29"/>
      <c r="CI1689" s="23" t="s">
        <v>432</v>
      </c>
      <c r="CJ1689" s="28" t="s">
        <v>0</v>
      </c>
      <c r="CM1689" s="23" t="s">
        <v>6</v>
      </c>
    </row>
    <row r="1690" spans="1:107" x14ac:dyDescent="0.2">
      <c r="A1690" s="18">
        <v>5001</v>
      </c>
      <c r="B1690" s="19">
        <v>9</v>
      </c>
      <c r="C1690" s="19">
        <f t="shared" si="109"/>
        <v>50010009</v>
      </c>
      <c r="D1690" s="19" t="s">
        <v>410</v>
      </c>
      <c r="E1690" s="20" t="s">
        <v>1125</v>
      </c>
      <c r="I1690" s="22" t="s">
        <v>98</v>
      </c>
      <c r="J1690" s="22"/>
      <c r="K1690" s="22"/>
      <c r="L1690" s="22"/>
      <c r="M1690" s="22"/>
      <c r="N1690" s="22" t="s">
        <v>433</v>
      </c>
      <c r="O1690" s="22" t="s">
        <v>433</v>
      </c>
      <c r="P1690" s="116"/>
      <c r="Q1690" s="116" t="s">
        <v>433</v>
      </c>
      <c r="R1690" s="116" t="s">
        <v>181</v>
      </c>
      <c r="S1690" s="116" t="s">
        <v>687</v>
      </c>
      <c r="T1690" s="116" t="s">
        <v>2219</v>
      </c>
      <c r="U1690" s="116" t="s">
        <v>3156</v>
      </c>
      <c r="V1690" s="22" t="s">
        <v>1831</v>
      </c>
      <c r="W1690" s="22" t="s">
        <v>1</v>
      </c>
      <c r="X1690" s="22"/>
      <c r="Z1690" s="22"/>
      <c r="AA1690" s="22"/>
      <c r="AB1690" s="22"/>
      <c r="AC1690" s="22"/>
      <c r="AD1690" s="22"/>
      <c r="AE1690" s="24"/>
      <c r="AF1690" s="24" t="s">
        <v>2042</v>
      </c>
      <c r="AG1690" s="22"/>
      <c r="AH1690" s="23"/>
      <c r="AI1690" s="23" t="s">
        <v>489</v>
      </c>
      <c r="AJ1690" s="23"/>
      <c r="AK1690" s="40" t="s">
        <v>355</v>
      </c>
      <c r="AL1690" s="40"/>
      <c r="AX1690" s="27"/>
      <c r="AY1690" s="27"/>
      <c r="BK1690" s="27"/>
      <c r="BL1690" s="27"/>
      <c r="BX1690" s="27"/>
      <c r="BY1690" s="27"/>
      <c r="CH1690" s="29"/>
      <c r="CI1690" s="23" t="s">
        <v>432</v>
      </c>
      <c r="CJ1690" s="28" t="s">
        <v>0</v>
      </c>
      <c r="CM1690" s="23" t="s">
        <v>7</v>
      </c>
    </row>
    <row r="1691" spans="1:107" x14ac:dyDescent="0.2">
      <c r="A1691" s="18">
        <v>5001</v>
      </c>
      <c r="B1691" s="19">
        <v>10</v>
      </c>
      <c r="C1691" s="19">
        <f t="shared" si="109"/>
        <v>50010010</v>
      </c>
      <c r="D1691" s="19" t="s">
        <v>411</v>
      </c>
      <c r="E1691" s="20" t="s">
        <v>1125</v>
      </c>
      <c r="I1691" s="22" t="s">
        <v>98</v>
      </c>
      <c r="J1691" s="22"/>
      <c r="K1691" s="22"/>
      <c r="L1691" s="22"/>
      <c r="M1691" s="22"/>
      <c r="N1691" s="22" t="s">
        <v>433</v>
      </c>
      <c r="O1691" s="22" t="s">
        <v>433</v>
      </c>
      <c r="P1691" s="116"/>
      <c r="Q1691" s="116" t="s">
        <v>433</v>
      </c>
      <c r="R1691" s="116" t="s">
        <v>181</v>
      </c>
      <c r="S1691" s="116" t="s">
        <v>687</v>
      </c>
      <c r="T1691" s="116" t="s">
        <v>2219</v>
      </c>
      <c r="U1691" s="116" t="s">
        <v>3132</v>
      </c>
      <c r="V1691" s="22" t="s">
        <v>1831</v>
      </c>
      <c r="W1691" s="22" t="s">
        <v>1</v>
      </c>
      <c r="X1691" s="22"/>
      <c r="Z1691" s="22"/>
      <c r="AA1691" s="22"/>
      <c r="AB1691" s="22"/>
      <c r="AC1691" s="22"/>
      <c r="AD1691" s="22"/>
      <c r="AE1691" s="24"/>
      <c r="AF1691" s="24" t="s">
        <v>2042</v>
      </c>
      <c r="AG1691" s="22"/>
      <c r="AH1691" s="23"/>
      <c r="AI1691" s="23" t="s">
        <v>342</v>
      </c>
      <c r="AJ1691" s="23"/>
      <c r="AK1691" s="40" t="s">
        <v>378</v>
      </c>
      <c r="AL1691" s="40"/>
      <c r="AX1691" s="27"/>
      <c r="AY1691" s="27"/>
      <c r="BK1691" s="27"/>
      <c r="BL1691" s="27"/>
      <c r="BX1691" s="27"/>
      <c r="BY1691" s="27"/>
      <c r="CH1691" s="29"/>
      <c r="CI1691" s="23" t="s">
        <v>432</v>
      </c>
      <c r="CJ1691" s="28" t="s">
        <v>0</v>
      </c>
      <c r="CM1691" s="23" t="s">
        <v>8</v>
      </c>
    </row>
    <row r="1692" spans="1:107" x14ac:dyDescent="0.2">
      <c r="A1692" s="18">
        <v>5001</v>
      </c>
      <c r="B1692" s="19">
        <v>11</v>
      </c>
      <c r="C1692" s="19">
        <f t="shared" si="109"/>
        <v>50010011</v>
      </c>
      <c r="D1692" s="19" t="s">
        <v>412</v>
      </c>
      <c r="E1692" s="20" t="s">
        <v>1125</v>
      </c>
      <c r="I1692" s="22" t="s">
        <v>98</v>
      </c>
      <c r="J1692" s="22"/>
      <c r="K1692" s="22"/>
      <c r="L1692" s="22"/>
      <c r="M1692" s="22"/>
      <c r="N1692" s="22" t="s">
        <v>433</v>
      </c>
      <c r="O1692" s="22" t="s">
        <v>433</v>
      </c>
      <c r="P1692" s="116"/>
      <c r="Q1692" s="116" t="s">
        <v>433</v>
      </c>
      <c r="R1692" s="116" t="s">
        <v>181</v>
      </c>
      <c r="S1692" s="116" t="s">
        <v>687</v>
      </c>
      <c r="T1692" s="116" t="s">
        <v>2219</v>
      </c>
      <c r="U1692" s="116" t="s">
        <v>3133</v>
      </c>
      <c r="V1692" s="22" t="s">
        <v>1831</v>
      </c>
      <c r="W1692" s="22" t="s">
        <v>1</v>
      </c>
      <c r="X1692" s="22"/>
      <c r="Z1692" s="22"/>
      <c r="AA1692" s="22"/>
      <c r="AB1692" s="22"/>
      <c r="AC1692" s="22"/>
      <c r="AD1692" s="22"/>
      <c r="AE1692" s="24"/>
      <c r="AF1692" s="24" t="s">
        <v>2042</v>
      </c>
      <c r="AG1692" s="22"/>
      <c r="AH1692" s="23"/>
      <c r="AI1692" s="23" t="s">
        <v>490</v>
      </c>
      <c r="AJ1692" s="23"/>
      <c r="AK1692" s="40" t="s">
        <v>376</v>
      </c>
      <c r="AL1692" s="40"/>
      <c r="AX1692" s="27"/>
      <c r="AY1692" s="27"/>
      <c r="BK1692" s="27"/>
      <c r="BL1692" s="27"/>
      <c r="BX1692" s="27"/>
      <c r="BY1692" s="27"/>
      <c r="CH1692" s="29"/>
      <c r="CI1692" s="23" t="s">
        <v>432</v>
      </c>
      <c r="CJ1692" s="28" t="s">
        <v>0</v>
      </c>
      <c r="CM1692" s="23" t="s">
        <v>9</v>
      </c>
    </row>
    <row r="1693" spans="1:107" x14ac:dyDescent="0.2">
      <c r="A1693" s="18">
        <v>5001</v>
      </c>
      <c r="B1693" s="19">
        <v>12</v>
      </c>
      <c r="C1693" s="19">
        <f t="shared" si="109"/>
        <v>50010012</v>
      </c>
      <c r="D1693" s="19" t="s">
        <v>413</v>
      </c>
      <c r="E1693" s="20" t="s">
        <v>1125</v>
      </c>
      <c r="I1693" s="22" t="s">
        <v>98</v>
      </c>
      <c r="J1693" s="22"/>
      <c r="K1693" s="22"/>
      <c r="L1693" s="22"/>
      <c r="M1693" s="22"/>
      <c r="N1693" s="22" t="s">
        <v>433</v>
      </c>
      <c r="O1693" s="22" t="s">
        <v>433</v>
      </c>
      <c r="P1693" s="116"/>
      <c r="Q1693" s="116" t="s">
        <v>433</v>
      </c>
      <c r="R1693" s="116" t="s">
        <v>181</v>
      </c>
      <c r="S1693" s="116" t="s">
        <v>687</v>
      </c>
      <c r="T1693" s="116" t="s">
        <v>2219</v>
      </c>
      <c r="U1693" s="116" t="s">
        <v>3134</v>
      </c>
      <c r="V1693" s="22" t="s">
        <v>1831</v>
      </c>
      <c r="W1693" s="22" t="s">
        <v>1</v>
      </c>
      <c r="X1693" s="22"/>
      <c r="Z1693" s="22"/>
      <c r="AA1693" s="22"/>
      <c r="AB1693" s="22"/>
      <c r="AC1693" s="22"/>
      <c r="AD1693" s="22"/>
      <c r="AE1693" s="24"/>
      <c r="AF1693" s="24" t="s">
        <v>2042</v>
      </c>
      <c r="AG1693" s="22"/>
      <c r="AH1693" s="23"/>
      <c r="AI1693" s="23" t="s">
        <v>360</v>
      </c>
      <c r="AJ1693" s="23"/>
      <c r="AK1693" s="40" t="s">
        <v>379</v>
      </c>
      <c r="AL1693" s="40"/>
      <c r="AX1693" s="27"/>
      <c r="AY1693" s="27"/>
      <c r="BK1693" s="27"/>
      <c r="BL1693" s="27"/>
      <c r="BX1693" s="27"/>
      <c r="BY1693" s="27"/>
      <c r="CH1693" s="29"/>
      <c r="CI1693" s="23" t="s">
        <v>432</v>
      </c>
      <c r="CJ1693" s="28" t="s">
        <v>0</v>
      </c>
      <c r="CM1693" s="23" t="s">
        <v>10</v>
      </c>
    </row>
    <row r="1694" spans="1:107" x14ac:dyDescent="0.2">
      <c r="A1694" s="18">
        <v>5001</v>
      </c>
      <c r="B1694" s="19">
        <v>13</v>
      </c>
      <c r="C1694" s="19">
        <f t="shared" si="109"/>
        <v>50010013</v>
      </c>
      <c r="D1694" s="19" t="s">
        <v>414</v>
      </c>
      <c r="E1694" s="20" t="s">
        <v>1125</v>
      </c>
      <c r="I1694" s="22" t="s">
        <v>98</v>
      </c>
      <c r="J1694" s="22"/>
      <c r="K1694" s="22"/>
      <c r="L1694" s="22"/>
      <c r="M1694" s="22"/>
      <c r="N1694" s="22" t="s">
        <v>433</v>
      </c>
      <c r="O1694" s="22" t="s">
        <v>433</v>
      </c>
      <c r="P1694" s="116"/>
      <c r="Q1694" s="116" t="s">
        <v>433</v>
      </c>
      <c r="R1694" s="116" t="s">
        <v>181</v>
      </c>
      <c r="S1694" s="116" t="s">
        <v>687</v>
      </c>
      <c r="T1694" s="116" t="s">
        <v>2219</v>
      </c>
      <c r="U1694" s="116" t="s">
        <v>3135</v>
      </c>
      <c r="V1694" s="22" t="s">
        <v>1831</v>
      </c>
      <c r="W1694" s="22" t="s">
        <v>1</v>
      </c>
      <c r="X1694" s="22"/>
      <c r="Z1694" s="22"/>
      <c r="AA1694" s="22"/>
      <c r="AB1694" s="22"/>
      <c r="AC1694" s="22"/>
      <c r="AD1694" s="22"/>
      <c r="AE1694" s="24"/>
      <c r="AF1694" s="24" t="s">
        <v>2042</v>
      </c>
      <c r="AG1694" s="22"/>
      <c r="AH1694" s="23"/>
      <c r="AI1694" s="23" t="s">
        <v>491</v>
      </c>
      <c r="AJ1694" s="23"/>
      <c r="AK1694" s="40" t="s">
        <v>380</v>
      </c>
      <c r="AL1694" s="40"/>
      <c r="AX1694" s="27"/>
      <c r="AY1694" s="27"/>
      <c r="BK1694" s="27"/>
      <c r="BL1694" s="27"/>
      <c r="BX1694" s="27"/>
      <c r="BY1694" s="27"/>
      <c r="CH1694" s="29"/>
      <c r="CI1694" s="23" t="s">
        <v>432</v>
      </c>
      <c r="CJ1694" s="28" t="s">
        <v>0</v>
      </c>
      <c r="CM1694" s="23" t="s">
        <v>11</v>
      </c>
    </row>
    <row r="1695" spans="1:107" x14ac:dyDescent="0.2">
      <c r="A1695" s="18">
        <v>5001</v>
      </c>
      <c r="B1695" s="19">
        <v>14</v>
      </c>
      <c r="C1695" s="19">
        <f t="shared" si="109"/>
        <v>50010014</v>
      </c>
      <c r="D1695" s="19" t="s">
        <v>415</v>
      </c>
      <c r="E1695" s="20" t="s">
        <v>1125</v>
      </c>
      <c r="I1695" s="22" t="s">
        <v>98</v>
      </c>
      <c r="J1695" s="22"/>
      <c r="K1695" s="22"/>
      <c r="L1695" s="22"/>
      <c r="M1695" s="22"/>
      <c r="N1695" s="22" t="s">
        <v>433</v>
      </c>
      <c r="O1695" s="22" t="s">
        <v>433</v>
      </c>
      <c r="P1695" s="116"/>
      <c r="Q1695" s="116" t="s">
        <v>433</v>
      </c>
      <c r="R1695" s="116" t="s">
        <v>181</v>
      </c>
      <c r="S1695" s="116" t="s">
        <v>687</v>
      </c>
      <c r="T1695" s="116" t="s">
        <v>2219</v>
      </c>
      <c r="U1695" s="116" t="s">
        <v>3136</v>
      </c>
      <c r="V1695" s="22" t="s">
        <v>1831</v>
      </c>
      <c r="W1695" s="22" t="s">
        <v>1</v>
      </c>
      <c r="X1695" s="22"/>
      <c r="Z1695" s="22"/>
      <c r="AA1695" s="22"/>
      <c r="AB1695" s="22"/>
      <c r="AC1695" s="22"/>
      <c r="AD1695" s="22"/>
      <c r="AE1695" s="24"/>
      <c r="AF1695" s="24" t="s">
        <v>2042</v>
      </c>
      <c r="AG1695" s="22"/>
      <c r="AH1695" s="23"/>
      <c r="AI1695" s="23" t="s">
        <v>361</v>
      </c>
      <c r="AJ1695" s="23"/>
      <c r="AK1695" s="40" t="s">
        <v>381</v>
      </c>
      <c r="AL1695" s="40"/>
      <c r="AX1695" s="27"/>
      <c r="AY1695" s="27"/>
      <c r="BK1695" s="27"/>
      <c r="BL1695" s="27"/>
      <c r="BX1695" s="27"/>
      <c r="BY1695" s="27"/>
      <c r="CH1695" s="29"/>
      <c r="CI1695" s="23" t="s">
        <v>432</v>
      </c>
      <c r="CJ1695" s="28" t="s">
        <v>0</v>
      </c>
      <c r="CM1695" s="23" t="s">
        <v>12</v>
      </c>
    </row>
    <row r="1696" spans="1:107" x14ac:dyDescent="0.2">
      <c r="A1696" s="18">
        <v>5001</v>
      </c>
      <c r="B1696" s="19">
        <v>15</v>
      </c>
      <c r="C1696" s="19">
        <f t="shared" si="109"/>
        <v>50010015</v>
      </c>
      <c r="D1696" s="19" t="s">
        <v>416</v>
      </c>
      <c r="E1696" s="20" t="s">
        <v>1125</v>
      </c>
      <c r="I1696" s="22" t="s">
        <v>98</v>
      </c>
      <c r="J1696" s="22"/>
      <c r="K1696" s="22"/>
      <c r="L1696" s="22"/>
      <c r="M1696" s="22"/>
      <c r="N1696" s="22" t="s">
        <v>433</v>
      </c>
      <c r="O1696" s="22" t="s">
        <v>433</v>
      </c>
      <c r="P1696" s="116"/>
      <c r="Q1696" s="116" t="s">
        <v>433</v>
      </c>
      <c r="R1696" s="116" t="s">
        <v>181</v>
      </c>
      <c r="S1696" s="116" t="s">
        <v>687</v>
      </c>
      <c r="T1696" s="116" t="s">
        <v>2219</v>
      </c>
      <c r="U1696" s="116" t="s">
        <v>3137</v>
      </c>
      <c r="V1696" s="22" t="s">
        <v>1831</v>
      </c>
      <c r="W1696" s="22" t="s">
        <v>1</v>
      </c>
      <c r="X1696" s="22"/>
      <c r="Z1696" s="22"/>
      <c r="AA1696" s="22"/>
      <c r="AB1696" s="22"/>
      <c r="AC1696" s="22"/>
      <c r="AD1696" s="22"/>
      <c r="AE1696" s="24"/>
      <c r="AF1696" s="24" t="s">
        <v>2042</v>
      </c>
      <c r="AG1696" s="22"/>
      <c r="AH1696" s="23"/>
      <c r="AI1696" s="23" t="s">
        <v>492</v>
      </c>
      <c r="AJ1696" s="23"/>
      <c r="AK1696" s="40" t="s">
        <v>377</v>
      </c>
      <c r="AL1696" s="40"/>
      <c r="AX1696" s="27"/>
      <c r="AY1696" s="27"/>
      <c r="BK1696" s="27"/>
      <c r="BL1696" s="27"/>
      <c r="BX1696" s="27"/>
      <c r="BY1696" s="27"/>
      <c r="CH1696" s="29"/>
      <c r="CI1696" s="23" t="s">
        <v>432</v>
      </c>
      <c r="CJ1696" s="28" t="s">
        <v>0</v>
      </c>
      <c r="CM1696" s="23" t="s">
        <v>13</v>
      </c>
    </row>
    <row r="1697" spans="1:91" x14ac:dyDescent="0.2">
      <c r="A1697" s="18">
        <v>5001</v>
      </c>
      <c r="B1697" s="19">
        <v>16</v>
      </c>
      <c r="C1697" s="19">
        <f t="shared" si="109"/>
        <v>50010016</v>
      </c>
      <c r="D1697" s="19" t="s">
        <v>417</v>
      </c>
      <c r="E1697" s="20" t="s">
        <v>1125</v>
      </c>
      <c r="I1697" s="22" t="s">
        <v>98</v>
      </c>
      <c r="J1697" s="22"/>
      <c r="K1697" s="22"/>
      <c r="L1697" s="22"/>
      <c r="M1697" s="22"/>
      <c r="N1697" s="22" t="s">
        <v>433</v>
      </c>
      <c r="O1697" s="22" t="s">
        <v>433</v>
      </c>
      <c r="P1697" s="116"/>
      <c r="Q1697" s="116" t="s">
        <v>433</v>
      </c>
      <c r="R1697" s="116" t="s">
        <v>181</v>
      </c>
      <c r="S1697" s="116" t="s">
        <v>687</v>
      </c>
      <c r="T1697" s="116" t="s">
        <v>2219</v>
      </c>
      <c r="U1697" s="116" t="s">
        <v>3138</v>
      </c>
      <c r="V1697" s="22" t="s">
        <v>1831</v>
      </c>
      <c r="W1697" s="22" t="s">
        <v>1</v>
      </c>
      <c r="X1697" s="22"/>
      <c r="Z1697" s="22"/>
      <c r="AA1697" s="22"/>
      <c r="AB1697" s="22"/>
      <c r="AC1697" s="22"/>
      <c r="AD1697" s="22"/>
      <c r="AE1697" s="24"/>
      <c r="AF1697" s="24" t="s">
        <v>2042</v>
      </c>
      <c r="AG1697" s="22"/>
      <c r="AH1697" s="23"/>
      <c r="AI1697" s="23" t="s">
        <v>362</v>
      </c>
      <c r="AJ1697" s="23"/>
      <c r="AK1697" s="40" t="s">
        <v>382</v>
      </c>
      <c r="AL1697" s="40"/>
      <c r="AX1697" s="27"/>
      <c r="AY1697" s="27"/>
      <c r="BK1697" s="27"/>
      <c r="BL1697" s="27"/>
      <c r="BX1697" s="27"/>
      <c r="BY1697" s="27"/>
      <c r="CH1697" s="29"/>
      <c r="CI1697" s="23" t="s">
        <v>432</v>
      </c>
      <c r="CJ1697" s="28" t="s">
        <v>0</v>
      </c>
      <c r="CM1697" s="23" t="s">
        <v>14</v>
      </c>
    </row>
    <row r="1698" spans="1:91" x14ac:dyDescent="0.2">
      <c r="A1698" s="18">
        <v>5001</v>
      </c>
      <c r="B1698" s="19">
        <v>17</v>
      </c>
      <c r="C1698" s="19">
        <f t="shared" si="109"/>
        <v>50010017</v>
      </c>
      <c r="D1698" s="19" t="s">
        <v>418</v>
      </c>
      <c r="E1698" s="20" t="s">
        <v>1125</v>
      </c>
      <c r="I1698" s="22" t="s">
        <v>98</v>
      </c>
      <c r="J1698" s="22"/>
      <c r="K1698" s="22"/>
      <c r="L1698" s="22"/>
      <c r="M1698" s="22"/>
      <c r="N1698" s="22" t="s">
        <v>433</v>
      </c>
      <c r="O1698" s="22" t="s">
        <v>433</v>
      </c>
      <c r="P1698" s="116"/>
      <c r="Q1698" s="116" t="s">
        <v>433</v>
      </c>
      <c r="R1698" s="116" t="s">
        <v>181</v>
      </c>
      <c r="S1698" s="116" t="s">
        <v>687</v>
      </c>
      <c r="T1698" s="116" t="s">
        <v>2219</v>
      </c>
      <c r="U1698" s="116" t="s">
        <v>3139</v>
      </c>
      <c r="V1698" s="22" t="s">
        <v>1831</v>
      </c>
      <c r="W1698" s="22" t="s">
        <v>1</v>
      </c>
      <c r="X1698" s="22"/>
      <c r="Z1698" s="22"/>
      <c r="AA1698" s="22"/>
      <c r="AB1698" s="22"/>
      <c r="AC1698" s="22"/>
      <c r="AD1698" s="22"/>
      <c r="AE1698" s="24"/>
      <c r="AF1698" s="24" t="s">
        <v>2042</v>
      </c>
      <c r="AG1698" s="22"/>
      <c r="AH1698" s="23"/>
      <c r="AI1698" s="23" t="s">
        <v>493</v>
      </c>
      <c r="AJ1698" s="23"/>
      <c r="AK1698" s="40" t="s">
        <v>383</v>
      </c>
      <c r="AL1698" s="40"/>
      <c r="AX1698" s="27"/>
      <c r="AY1698" s="27"/>
      <c r="BK1698" s="27"/>
      <c r="BL1698" s="27"/>
      <c r="BX1698" s="27"/>
      <c r="BY1698" s="27"/>
      <c r="CH1698" s="29"/>
      <c r="CI1698" s="23" t="s">
        <v>432</v>
      </c>
      <c r="CJ1698" s="28" t="s">
        <v>0</v>
      </c>
      <c r="CM1698" s="23" t="s">
        <v>15</v>
      </c>
    </row>
    <row r="1699" spans="1:91" x14ac:dyDescent="0.2">
      <c r="A1699" s="18">
        <v>5001</v>
      </c>
      <c r="B1699" s="19">
        <v>18</v>
      </c>
      <c r="C1699" s="19">
        <f t="shared" si="109"/>
        <v>50010018</v>
      </c>
      <c r="D1699" s="19" t="s">
        <v>419</v>
      </c>
      <c r="E1699" s="20" t="s">
        <v>1125</v>
      </c>
      <c r="I1699" s="22" t="s">
        <v>98</v>
      </c>
      <c r="J1699" s="22"/>
      <c r="K1699" s="22"/>
      <c r="L1699" s="22"/>
      <c r="M1699" s="22"/>
      <c r="N1699" s="22" t="s">
        <v>433</v>
      </c>
      <c r="O1699" s="22" t="s">
        <v>433</v>
      </c>
      <c r="P1699" s="116"/>
      <c r="Q1699" s="116" t="s">
        <v>433</v>
      </c>
      <c r="R1699" s="116" t="s">
        <v>181</v>
      </c>
      <c r="S1699" s="116" t="s">
        <v>687</v>
      </c>
      <c r="T1699" s="116" t="s">
        <v>2219</v>
      </c>
      <c r="U1699" s="116" t="s">
        <v>3140</v>
      </c>
      <c r="V1699" s="22" t="s">
        <v>1831</v>
      </c>
      <c r="W1699" s="22" t="s">
        <v>1</v>
      </c>
      <c r="X1699" s="22"/>
      <c r="Z1699" s="22"/>
      <c r="AA1699" s="22"/>
      <c r="AB1699" s="22"/>
      <c r="AC1699" s="22"/>
      <c r="AD1699" s="22"/>
      <c r="AE1699" s="24"/>
      <c r="AF1699" s="24" t="s">
        <v>2042</v>
      </c>
      <c r="AG1699" s="22"/>
      <c r="AH1699" s="23"/>
      <c r="AI1699" s="23" t="s">
        <v>363</v>
      </c>
      <c r="AJ1699" s="23"/>
      <c r="AK1699" s="40" t="s">
        <v>384</v>
      </c>
      <c r="AL1699" s="40"/>
      <c r="AX1699" s="27"/>
      <c r="AY1699" s="27"/>
      <c r="BK1699" s="27"/>
      <c r="BL1699" s="27"/>
      <c r="BX1699" s="27"/>
      <c r="BY1699" s="27"/>
      <c r="CH1699" s="29"/>
      <c r="CI1699" s="23" t="s">
        <v>432</v>
      </c>
      <c r="CJ1699" s="28" t="s">
        <v>0</v>
      </c>
      <c r="CM1699" s="23" t="s">
        <v>16</v>
      </c>
    </row>
    <row r="1700" spans="1:91" x14ac:dyDescent="0.2">
      <c r="A1700" s="18">
        <v>5001</v>
      </c>
      <c r="B1700" s="19">
        <v>19</v>
      </c>
      <c r="C1700" s="19">
        <f t="shared" si="109"/>
        <v>50010019</v>
      </c>
      <c r="D1700" s="19" t="s">
        <v>420</v>
      </c>
      <c r="E1700" s="20" t="s">
        <v>1125</v>
      </c>
      <c r="I1700" s="22" t="s">
        <v>98</v>
      </c>
      <c r="J1700" s="22"/>
      <c r="K1700" s="22"/>
      <c r="L1700" s="22"/>
      <c r="M1700" s="22"/>
      <c r="N1700" s="22" t="s">
        <v>433</v>
      </c>
      <c r="O1700" s="22" t="s">
        <v>433</v>
      </c>
      <c r="P1700" s="116"/>
      <c r="Q1700" s="116" t="s">
        <v>433</v>
      </c>
      <c r="R1700" s="116" t="s">
        <v>181</v>
      </c>
      <c r="S1700" s="116" t="s">
        <v>687</v>
      </c>
      <c r="T1700" s="116" t="s">
        <v>2219</v>
      </c>
      <c r="U1700" s="116" t="s">
        <v>3141</v>
      </c>
      <c r="V1700" s="22" t="s">
        <v>1831</v>
      </c>
      <c r="W1700" s="22" t="s">
        <v>1</v>
      </c>
      <c r="X1700" s="22"/>
      <c r="Z1700" s="22"/>
      <c r="AA1700" s="22"/>
      <c r="AB1700" s="22"/>
      <c r="AC1700" s="22"/>
      <c r="AD1700" s="22"/>
      <c r="AE1700" s="24"/>
      <c r="AF1700" s="24" t="s">
        <v>2042</v>
      </c>
      <c r="AG1700" s="22"/>
      <c r="AH1700" s="23"/>
      <c r="AI1700" s="23" t="s">
        <v>494</v>
      </c>
      <c r="AJ1700" s="23"/>
      <c r="AK1700" s="40" t="s">
        <v>385</v>
      </c>
      <c r="AL1700" s="40"/>
      <c r="AX1700" s="27"/>
      <c r="AY1700" s="27"/>
      <c r="BK1700" s="27"/>
      <c r="BL1700" s="27"/>
      <c r="BX1700" s="27"/>
      <c r="BY1700" s="27"/>
      <c r="CH1700" s="29"/>
      <c r="CI1700" s="23" t="s">
        <v>432</v>
      </c>
      <c r="CJ1700" s="28" t="s">
        <v>0</v>
      </c>
      <c r="CM1700" s="23" t="s">
        <v>17</v>
      </c>
    </row>
    <row r="1701" spans="1:91" x14ac:dyDescent="0.2">
      <c r="A1701" s="18">
        <v>5001</v>
      </c>
      <c r="B1701" s="19">
        <v>20</v>
      </c>
      <c r="C1701" s="19">
        <f t="shared" si="109"/>
        <v>50010020</v>
      </c>
      <c r="D1701" s="19" t="s">
        <v>421</v>
      </c>
      <c r="E1701" s="20" t="s">
        <v>1125</v>
      </c>
      <c r="I1701" s="22" t="s">
        <v>98</v>
      </c>
      <c r="J1701" s="22"/>
      <c r="K1701" s="22"/>
      <c r="L1701" s="22"/>
      <c r="M1701" s="22"/>
      <c r="N1701" s="22" t="s">
        <v>433</v>
      </c>
      <c r="O1701" s="22" t="s">
        <v>433</v>
      </c>
      <c r="P1701" s="116"/>
      <c r="Q1701" s="116" t="s">
        <v>433</v>
      </c>
      <c r="R1701" s="116" t="s">
        <v>181</v>
      </c>
      <c r="S1701" s="116" t="s">
        <v>687</v>
      </c>
      <c r="T1701" s="116" t="s">
        <v>2219</v>
      </c>
      <c r="U1701" s="116" t="s">
        <v>3142</v>
      </c>
      <c r="V1701" s="22" t="s">
        <v>1831</v>
      </c>
      <c r="W1701" s="22" t="s">
        <v>1</v>
      </c>
      <c r="X1701" s="22"/>
      <c r="Z1701" s="22"/>
      <c r="AA1701" s="22"/>
      <c r="AB1701" s="22"/>
      <c r="AC1701" s="22"/>
      <c r="AD1701" s="22"/>
      <c r="AE1701" s="24"/>
      <c r="AF1701" s="24" t="s">
        <v>2042</v>
      </c>
      <c r="AG1701" s="22"/>
      <c r="AH1701" s="23"/>
      <c r="AI1701" s="23" t="s">
        <v>348</v>
      </c>
      <c r="AJ1701" s="23"/>
      <c r="AK1701" s="40" t="s">
        <v>386</v>
      </c>
      <c r="AL1701" s="40"/>
      <c r="AX1701" s="27"/>
      <c r="AY1701" s="27"/>
      <c r="BK1701" s="27"/>
      <c r="BL1701" s="27"/>
      <c r="BX1701" s="27"/>
      <c r="BY1701" s="27"/>
      <c r="CH1701" s="29"/>
      <c r="CI1701" s="23" t="s">
        <v>432</v>
      </c>
      <c r="CJ1701" s="28" t="s">
        <v>0</v>
      </c>
      <c r="CM1701" s="23" t="s">
        <v>18</v>
      </c>
    </row>
    <row r="1702" spans="1:91" x14ac:dyDescent="0.2">
      <c r="A1702" s="18">
        <v>5001</v>
      </c>
      <c r="B1702" s="19">
        <v>21</v>
      </c>
      <c r="C1702" s="19">
        <f t="shared" si="109"/>
        <v>50010021</v>
      </c>
      <c r="D1702" s="19" t="s">
        <v>422</v>
      </c>
      <c r="E1702" s="20" t="s">
        <v>1125</v>
      </c>
      <c r="I1702" s="22" t="s">
        <v>98</v>
      </c>
      <c r="J1702" s="22"/>
      <c r="K1702" s="22"/>
      <c r="L1702" s="22"/>
      <c r="M1702" s="22"/>
      <c r="N1702" s="22" t="s">
        <v>433</v>
      </c>
      <c r="O1702" s="22" t="s">
        <v>433</v>
      </c>
      <c r="P1702" s="116"/>
      <c r="Q1702" s="116" t="s">
        <v>433</v>
      </c>
      <c r="R1702" s="116" t="s">
        <v>181</v>
      </c>
      <c r="S1702" s="116" t="s">
        <v>687</v>
      </c>
      <c r="T1702" s="116" t="s">
        <v>2219</v>
      </c>
      <c r="U1702" s="116" t="s">
        <v>3143</v>
      </c>
      <c r="V1702" s="22" t="s">
        <v>1831</v>
      </c>
      <c r="W1702" s="22" t="s">
        <v>1</v>
      </c>
      <c r="X1702" s="22"/>
      <c r="Z1702" s="22"/>
      <c r="AA1702" s="22"/>
      <c r="AB1702" s="22"/>
      <c r="AC1702" s="22"/>
      <c r="AD1702" s="22"/>
      <c r="AE1702" s="24"/>
      <c r="AF1702" s="24" t="s">
        <v>2042</v>
      </c>
      <c r="AG1702" s="22"/>
      <c r="AH1702" s="23"/>
      <c r="AI1702" s="23" t="s">
        <v>495</v>
      </c>
      <c r="AJ1702" s="23"/>
      <c r="AK1702" s="40" t="s">
        <v>387</v>
      </c>
      <c r="AL1702" s="40"/>
      <c r="AX1702" s="27"/>
      <c r="AY1702" s="27"/>
      <c r="BK1702" s="27"/>
      <c r="BL1702" s="27"/>
      <c r="BX1702" s="27"/>
      <c r="BY1702" s="27"/>
      <c r="CH1702" s="29"/>
      <c r="CI1702" s="23" t="s">
        <v>432</v>
      </c>
      <c r="CJ1702" s="28" t="s">
        <v>0</v>
      </c>
      <c r="CM1702" s="23" t="s">
        <v>19</v>
      </c>
    </row>
    <row r="1703" spans="1:91" x14ac:dyDescent="0.2">
      <c r="A1703" s="18">
        <v>5001</v>
      </c>
      <c r="B1703" s="19">
        <v>22</v>
      </c>
      <c r="C1703" s="19">
        <f t="shared" si="109"/>
        <v>50010022</v>
      </c>
      <c r="D1703" s="19" t="s">
        <v>423</v>
      </c>
      <c r="E1703" s="20" t="s">
        <v>1125</v>
      </c>
      <c r="I1703" s="22" t="s">
        <v>98</v>
      </c>
      <c r="J1703" s="22"/>
      <c r="K1703" s="22"/>
      <c r="L1703" s="22"/>
      <c r="M1703" s="22"/>
      <c r="N1703" s="22" t="s">
        <v>433</v>
      </c>
      <c r="O1703" s="22" t="s">
        <v>433</v>
      </c>
      <c r="P1703" s="116"/>
      <c r="Q1703" s="116" t="s">
        <v>433</v>
      </c>
      <c r="R1703" s="116" t="s">
        <v>181</v>
      </c>
      <c r="S1703" s="116" t="s">
        <v>687</v>
      </c>
      <c r="T1703" s="116" t="s">
        <v>2219</v>
      </c>
      <c r="U1703" s="116" t="s">
        <v>3144</v>
      </c>
      <c r="V1703" s="22" t="s">
        <v>1831</v>
      </c>
      <c r="W1703" s="22" t="s">
        <v>1</v>
      </c>
      <c r="X1703" s="22"/>
      <c r="Z1703" s="22"/>
      <c r="AA1703" s="22"/>
      <c r="AB1703" s="22"/>
      <c r="AC1703" s="22"/>
      <c r="AD1703" s="22"/>
      <c r="AE1703" s="24"/>
      <c r="AF1703" s="24" t="s">
        <v>2042</v>
      </c>
      <c r="AG1703" s="22"/>
      <c r="AH1703" s="23"/>
      <c r="AI1703" s="23" t="s">
        <v>364</v>
      </c>
      <c r="AJ1703" s="23"/>
      <c r="AK1703" s="40" t="s">
        <v>388</v>
      </c>
      <c r="AL1703" s="40"/>
      <c r="AX1703" s="27"/>
      <c r="AY1703" s="27"/>
      <c r="BK1703" s="27"/>
      <c r="BL1703" s="27"/>
      <c r="BX1703" s="27"/>
      <c r="BY1703" s="27"/>
      <c r="CH1703" s="29"/>
      <c r="CI1703" s="23" t="s">
        <v>432</v>
      </c>
      <c r="CJ1703" s="28" t="s">
        <v>0</v>
      </c>
      <c r="CM1703" s="23" t="s">
        <v>20</v>
      </c>
    </row>
    <row r="1704" spans="1:91" x14ac:dyDescent="0.2">
      <c r="A1704" s="18">
        <v>5001</v>
      </c>
      <c r="B1704" s="19">
        <v>23</v>
      </c>
      <c r="C1704" s="19">
        <f t="shared" si="109"/>
        <v>50010023</v>
      </c>
      <c r="D1704" s="19" t="s">
        <v>424</v>
      </c>
      <c r="E1704" s="20" t="s">
        <v>1125</v>
      </c>
      <c r="I1704" s="22" t="s">
        <v>98</v>
      </c>
      <c r="J1704" s="22"/>
      <c r="K1704" s="22"/>
      <c r="L1704" s="22"/>
      <c r="M1704" s="22"/>
      <c r="N1704" s="22" t="s">
        <v>433</v>
      </c>
      <c r="O1704" s="22" t="s">
        <v>433</v>
      </c>
      <c r="P1704" s="116"/>
      <c r="Q1704" s="116" t="s">
        <v>433</v>
      </c>
      <c r="R1704" s="116" t="s">
        <v>181</v>
      </c>
      <c r="S1704" s="116" t="s">
        <v>687</v>
      </c>
      <c r="T1704" s="116" t="s">
        <v>2219</v>
      </c>
      <c r="U1704" s="116" t="s">
        <v>3145</v>
      </c>
      <c r="V1704" s="22" t="s">
        <v>1831</v>
      </c>
      <c r="W1704" s="22" t="s">
        <v>1</v>
      </c>
      <c r="X1704" s="22"/>
      <c r="Z1704" s="22"/>
      <c r="AA1704" s="22"/>
      <c r="AB1704" s="22"/>
      <c r="AC1704" s="22"/>
      <c r="AD1704" s="22"/>
      <c r="AE1704" s="24"/>
      <c r="AF1704" s="24" t="s">
        <v>2042</v>
      </c>
      <c r="AG1704" s="22"/>
      <c r="AH1704" s="23"/>
      <c r="AI1704" s="23" t="s">
        <v>496</v>
      </c>
      <c r="AJ1704" s="23"/>
      <c r="AK1704" s="40" t="s">
        <v>389</v>
      </c>
      <c r="AL1704" s="40"/>
      <c r="AX1704" s="27"/>
      <c r="AY1704" s="27"/>
      <c r="BK1704" s="27"/>
      <c r="BL1704" s="27"/>
      <c r="BX1704" s="27"/>
      <c r="BY1704" s="27"/>
      <c r="CH1704" s="29"/>
      <c r="CI1704" s="23" t="s">
        <v>432</v>
      </c>
      <c r="CJ1704" s="28" t="s">
        <v>0</v>
      </c>
      <c r="CM1704" s="23" t="s">
        <v>21</v>
      </c>
    </row>
    <row r="1705" spans="1:91" x14ac:dyDescent="0.2">
      <c r="A1705" s="18">
        <v>5001</v>
      </c>
      <c r="B1705" s="19">
        <v>24</v>
      </c>
      <c r="C1705" s="19">
        <f t="shared" si="109"/>
        <v>50010024</v>
      </c>
      <c r="D1705" s="19" t="s">
        <v>425</v>
      </c>
      <c r="E1705" s="20" t="s">
        <v>1125</v>
      </c>
      <c r="I1705" s="22" t="s">
        <v>98</v>
      </c>
      <c r="J1705" s="22"/>
      <c r="K1705" s="22"/>
      <c r="L1705" s="22"/>
      <c r="M1705" s="22"/>
      <c r="N1705" s="22" t="s">
        <v>433</v>
      </c>
      <c r="O1705" s="22" t="s">
        <v>433</v>
      </c>
      <c r="P1705" s="116"/>
      <c r="Q1705" s="116" t="s">
        <v>433</v>
      </c>
      <c r="R1705" s="116" t="s">
        <v>181</v>
      </c>
      <c r="S1705" s="116" t="s">
        <v>687</v>
      </c>
      <c r="T1705" s="116" t="s">
        <v>2219</v>
      </c>
      <c r="U1705" s="116" t="s">
        <v>3146</v>
      </c>
      <c r="V1705" s="22" t="s">
        <v>1831</v>
      </c>
      <c r="W1705" s="22" t="s">
        <v>1</v>
      </c>
      <c r="X1705" s="22"/>
      <c r="Z1705" s="22"/>
      <c r="AA1705" s="22"/>
      <c r="AB1705" s="22"/>
      <c r="AC1705" s="22"/>
      <c r="AD1705" s="22"/>
      <c r="AE1705" s="24"/>
      <c r="AF1705" s="24" t="s">
        <v>2042</v>
      </c>
      <c r="AG1705" s="22"/>
      <c r="AH1705" s="23"/>
      <c r="AI1705" s="23" t="s">
        <v>365</v>
      </c>
      <c r="AJ1705" s="23"/>
      <c r="AK1705" s="40" t="s">
        <v>390</v>
      </c>
      <c r="AL1705" s="40"/>
      <c r="AX1705" s="27"/>
      <c r="AY1705" s="27"/>
      <c r="BK1705" s="27"/>
      <c r="BL1705" s="27"/>
      <c r="BX1705" s="27"/>
      <c r="BY1705" s="27"/>
      <c r="CH1705" s="29"/>
      <c r="CI1705" s="23" t="s">
        <v>432</v>
      </c>
      <c r="CJ1705" s="28" t="s">
        <v>0</v>
      </c>
      <c r="CM1705" s="23" t="s">
        <v>487</v>
      </c>
    </row>
    <row r="1706" spans="1:91" x14ac:dyDescent="0.2">
      <c r="A1706" s="18">
        <v>5001</v>
      </c>
      <c r="B1706" s="19">
        <v>25</v>
      </c>
      <c r="C1706" s="19">
        <f t="shared" si="109"/>
        <v>50010025</v>
      </c>
      <c r="D1706" s="19" t="s">
        <v>426</v>
      </c>
      <c r="E1706" s="20" t="s">
        <v>1125</v>
      </c>
      <c r="I1706" s="22" t="s">
        <v>98</v>
      </c>
      <c r="J1706" s="22"/>
      <c r="K1706" s="22"/>
      <c r="L1706" s="22"/>
      <c r="M1706" s="22"/>
      <c r="N1706" s="22" t="s">
        <v>433</v>
      </c>
      <c r="O1706" s="22" t="s">
        <v>433</v>
      </c>
      <c r="P1706" s="116"/>
      <c r="Q1706" s="116" t="s">
        <v>433</v>
      </c>
      <c r="R1706" s="116" t="s">
        <v>181</v>
      </c>
      <c r="S1706" s="116" t="s">
        <v>687</v>
      </c>
      <c r="T1706" s="116" t="s">
        <v>2219</v>
      </c>
      <c r="U1706" s="116" t="s">
        <v>3147</v>
      </c>
      <c r="V1706" s="22" t="s">
        <v>1831</v>
      </c>
      <c r="W1706" s="22" t="s">
        <v>1</v>
      </c>
      <c r="X1706" s="22"/>
      <c r="Z1706" s="22"/>
      <c r="AA1706" s="22"/>
      <c r="AB1706" s="22"/>
      <c r="AC1706" s="22"/>
      <c r="AD1706" s="22"/>
      <c r="AE1706" s="24"/>
      <c r="AF1706" s="24" t="s">
        <v>2042</v>
      </c>
      <c r="AG1706" s="22"/>
      <c r="AH1706" s="23"/>
      <c r="AI1706" s="23" t="s">
        <v>497</v>
      </c>
      <c r="AJ1706" s="23"/>
      <c r="AK1706" s="40" t="s">
        <v>391</v>
      </c>
      <c r="AL1706" s="40"/>
      <c r="AX1706" s="27"/>
      <c r="AY1706" s="27"/>
      <c r="BK1706" s="27"/>
      <c r="BL1706" s="27"/>
      <c r="BX1706" s="27"/>
      <c r="BY1706" s="27"/>
      <c r="CH1706" s="29"/>
      <c r="CI1706" s="23" t="s">
        <v>432</v>
      </c>
      <c r="CJ1706" s="28" t="s">
        <v>0</v>
      </c>
      <c r="CM1706" s="23" t="s">
        <v>358</v>
      </c>
    </row>
    <row r="1707" spans="1:91" x14ac:dyDescent="0.2">
      <c r="A1707" s="18">
        <v>5001</v>
      </c>
      <c r="B1707" s="19">
        <v>26</v>
      </c>
      <c r="C1707" s="19">
        <f t="shared" si="109"/>
        <v>50010026</v>
      </c>
      <c r="D1707" s="19" t="s">
        <v>427</v>
      </c>
      <c r="E1707" s="20" t="s">
        <v>1125</v>
      </c>
      <c r="I1707" s="22" t="s">
        <v>98</v>
      </c>
      <c r="J1707" s="22"/>
      <c r="K1707" s="22"/>
      <c r="L1707" s="22"/>
      <c r="M1707" s="22"/>
      <c r="N1707" s="22" t="s">
        <v>433</v>
      </c>
      <c r="O1707" s="22" t="s">
        <v>433</v>
      </c>
      <c r="P1707" s="116"/>
      <c r="Q1707" s="116" t="s">
        <v>433</v>
      </c>
      <c r="R1707" s="116" t="s">
        <v>181</v>
      </c>
      <c r="S1707" s="116" t="s">
        <v>687</v>
      </c>
      <c r="T1707" s="116" t="s">
        <v>2219</v>
      </c>
      <c r="U1707" s="116" t="s">
        <v>3160</v>
      </c>
      <c r="V1707" s="22" t="s">
        <v>1831</v>
      </c>
      <c r="W1707" s="22" t="s">
        <v>1</v>
      </c>
      <c r="X1707" s="22"/>
      <c r="Z1707" s="22"/>
      <c r="AA1707" s="22"/>
      <c r="AB1707" s="22"/>
      <c r="AC1707" s="22"/>
      <c r="AD1707" s="22"/>
      <c r="AE1707" s="24"/>
      <c r="AF1707" s="24" t="s">
        <v>2042</v>
      </c>
      <c r="AG1707" s="22"/>
      <c r="AH1707" s="23"/>
      <c r="AI1707" s="23" t="s">
        <v>366</v>
      </c>
      <c r="AJ1707" s="23"/>
      <c r="AK1707" s="40" t="s">
        <v>392</v>
      </c>
      <c r="AL1707" s="40"/>
      <c r="AX1707" s="27"/>
      <c r="AY1707" s="27"/>
      <c r="BK1707" s="27"/>
      <c r="BL1707" s="27"/>
      <c r="BX1707" s="27"/>
      <c r="BY1707" s="27"/>
      <c r="CH1707" s="29"/>
      <c r="CI1707" s="23" t="s">
        <v>432</v>
      </c>
      <c r="CJ1707" s="28" t="s">
        <v>0</v>
      </c>
      <c r="CM1707" s="23" t="s">
        <v>488</v>
      </c>
    </row>
    <row r="1708" spans="1:91" x14ac:dyDescent="0.2">
      <c r="A1708" s="18">
        <v>5001</v>
      </c>
      <c r="B1708" s="19">
        <v>27</v>
      </c>
      <c r="C1708" s="19">
        <f t="shared" si="109"/>
        <v>50010027</v>
      </c>
      <c r="D1708" s="19" t="s">
        <v>428</v>
      </c>
      <c r="E1708" s="20" t="s">
        <v>1125</v>
      </c>
      <c r="I1708" s="22" t="s">
        <v>98</v>
      </c>
      <c r="J1708" s="22"/>
      <c r="K1708" s="22"/>
      <c r="L1708" s="22"/>
      <c r="M1708" s="22"/>
      <c r="N1708" s="22" t="s">
        <v>433</v>
      </c>
      <c r="O1708" s="22" t="s">
        <v>433</v>
      </c>
      <c r="P1708" s="116"/>
      <c r="Q1708" s="116" t="s">
        <v>433</v>
      </c>
      <c r="R1708" s="116" t="s">
        <v>181</v>
      </c>
      <c r="S1708" s="116" t="s">
        <v>687</v>
      </c>
      <c r="T1708" s="116" t="s">
        <v>2219</v>
      </c>
      <c r="U1708" s="116" t="s">
        <v>3161</v>
      </c>
      <c r="V1708" s="22" t="s">
        <v>1831</v>
      </c>
      <c r="W1708" s="22" t="s">
        <v>1</v>
      </c>
      <c r="X1708" s="22"/>
      <c r="Z1708" s="22"/>
      <c r="AA1708" s="22"/>
      <c r="AB1708" s="22"/>
      <c r="AC1708" s="22"/>
      <c r="AD1708" s="22"/>
      <c r="AE1708" s="24"/>
      <c r="AF1708" s="24" t="s">
        <v>2042</v>
      </c>
      <c r="AG1708" s="22"/>
      <c r="AH1708" s="23"/>
      <c r="AI1708" s="23" t="s">
        <v>498</v>
      </c>
      <c r="AJ1708" s="23"/>
      <c r="AK1708" s="40" t="s">
        <v>393</v>
      </c>
      <c r="AL1708" s="40"/>
      <c r="AX1708" s="27"/>
      <c r="AY1708" s="27"/>
      <c r="BK1708" s="27"/>
      <c r="BL1708" s="27"/>
      <c r="BX1708" s="27"/>
      <c r="BY1708" s="27"/>
      <c r="CH1708" s="29"/>
      <c r="CI1708" s="23" t="s">
        <v>432</v>
      </c>
      <c r="CJ1708" s="28" t="s">
        <v>0</v>
      </c>
      <c r="CM1708" s="23" t="s">
        <v>359</v>
      </c>
    </row>
    <row r="1709" spans="1:91" x14ac:dyDescent="0.2">
      <c r="A1709" s="18">
        <v>5001</v>
      </c>
      <c r="B1709" s="19">
        <v>28</v>
      </c>
      <c r="C1709" s="19">
        <f t="shared" si="109"/>
        <v>50010028</v>
      </c>
      <c r="D1709" s="19" t="s">
        <v>429</v>
      </c>
      <c r="E1709" s="20" t="s">
        <v>1125</v>
      </c>
      <c r="I1709" s="22" t="s">
        <v>98</v>
      </c>
      <c r="J1709" s="22"/>
      <c r="K1709" s="22"/>
      <c r="L1709" s="22"/>
      <c r="M1709" s="22"/>
      <c r="N1709" s="22" t="s">
        <v>433</v>
      </c>
      <c r="O1709" s="22" t="s">
        <v>433</v>
      </c>
      <c r="P1709" s="116"/>
      <c r="Q1709" s="116" t="s">
        <v>433</v>
      </c>
      <c r="R1709" s="116" t="s">
        <v>181</v>
      </c>
      <c r="S1709" s="116" t="s">
        <v>687</v>
      </c>
      <c r="T1709" s="116" t="s">
        <v>2219</v>
      </c>
      <c r="U1709" s="116" t="s">
        <v>3162</v>
      </c>
      <c r="V1709" s="22" t="s">
        <v>1831</v>
      </c>
      <c r="W1709" s="22" t="s">
        <v>1</v>
      </c>
      <c r="X1709" s="22"/>
      <c r="Z1709" s="22"/>
      <c r="AA1709" s="22"/>
      <c r="AB1709" s="22"/>
      <c r="AC1709" s="22"/>
      <c r="AD1709" s="22"/>
      <c r="AE1709" s="24"/>
      <c r="AF1709" s="24" t="s">
        <v>2042</v>
      </c>
      <c r="AG1709" s="22"/>
      <c r="AH1709" s="23"/>
      <c r="AI1709" s="23" t="s">
        <v>367</v>
      </c>
      <c r="AJ1709" s="23"/>
      <c r="AK1709" s="40" t="s">
        <v>394</v>
      </c>
      <c r="AL1709" s="40"/>
      <c r="AX1709" s="27"/>
      <c r="AY1709" s="27"/>
      <c r="BK1709" s="27"/>
      <c r="BL1709" s="27"/>
      <c r="BX1709" s="27"/>
      <c r="BY1709" s="27"/>
      <c r="CH1709" s="29"/>
      <c r="CI1709" s="23" t="s">
        <v>432</v>
      </c>
      <c r="CJ1709" s="28" t="s">
        <v>0</v>
      </c>
      <c r="CM1709" s="23" t="s">
        <v>489</v>
      </c>
    </row>
    <row r="1710" spans="1:91" x14ac:dyDescent="0.2">
      <c r="A1710" s="18">
        <v>5001</v>
      </c>
      <c r="B1710" s="19">
        <v>29</v>
      </c>
      <c r="C1710" s="19">
        <f t="shared" si="109"/>
        <v>50010029</v>
      </c>
      <c r="D1710" s="19" t="s">
        <v>430</v>
      </c>
      <c r="E1710" s="20" t="s">
        <v>1125</v>
      </c>
      <c r="I1710" s="22" t="s">
        <v>98</v>
      </c>
      <c r="J1710" s="22"/>
      <c r="K1710" s="22"/>
      <c r="L1710" s="22"/>
      <c r="M1710" s="22"/>
      <c r="N1710" s="22" t="s">
        <v>433</v>
      </c>
      <c r="O1710" s="22" t="s">
        <v>433</v>
      </c>
      <c r="P1710" s="116"/>
      <c r="Q1710" s="116" t="s">
        <v>433</v>
      </c>
      <c r="R1710" s="116" t="s">
        <v>181</v>
      </c>
      <c r="S1710" s="116" t="s">
        <v>687</v>
      </c>
      <c r="T1710" s="116" t="s">
        <v>2219</v>
      </c>
      <c r="U1710" s="116" t="s">
        <v>3163</v>
      </c>
      <c r="V1710" s="22" t="s">
        <v>1831</v>
      </c>
      <c r="W1710" s="22" t="s">
        <v>1</v>
      </c>
      <c r="X1710" s="22"/>
      <c r="Z1710" s="22"/>
      <c r="AA1710" s="22"/>
      <c r="AB1710" s="22"/>
      <c r="AC1710" s="22"/>
      <c r="AD1710" s="22"/>
      <c r="AE1710" s="24"/>
      <c r="AF1710" s="24" t="s">
        <v>2042</v>
      </c>
      <c r="AG1710" s="22"/>
      <c r="AH1710" s="23"/>
      <c r="AI1710" s="23" t="s">
        <v>499</v>
      </c>
      <c r="AJ1710" s="23"/>
      <c r="AK1710" s="40" t="s">
        <v>395</v>
      </c>
      <c r="AL1710" s="40"/>
      <c r="AX1710" s="27"/>
      <c r="AY1710" s="27"/>
      <c r="BK1710" s="27"/>
      <c r="BL1710" s="27"/>
      <c r="BX1710" s="27"/>
      <c r="BY1710" s="27"/>
      <c r="CH1710" s="29"/>
      <c r="CI1710" s="23" t="s">
        <v>432</v>
      </c>
      <c r="CJ1710" s="28" t="s">
        <v>0</v>
      </c>
      <c r="CM1710" s="23" t="s">
        <v>342</v>
      </c>
    </row>
    <row r="1711" spans="1:91" x14ac:dyDescent="0.2">
      <c r="A1711" s="18">
        <v>5001</v>
      </c>
      <c r="B1711" s="19">
        <v>30</v>
      </c>
      <c r="C1711" s="19">
        <f t="shared" si="109"/>
        <v>50010030</v>
      </c>
      <c r="D1711" s="19" t="s">
        <v>431</v>
      </c>
      <c r="E1711" s="20" t="s">
        <v>1125</v>
      </c>
      <c r="I1711" s="22" t="s">
        <v>98</v>
      </c>
      <c r="J1711" s="22"/>
      <c r="K1711" s="22"/>
      <c r="L1711" s="22"/>
      <c r="M1711" s="22"/>
      <c r="N1711" s="22" t="s">
        <v>433</v>
      </c>
      <c r="O1711" s="22" t="s">
        <v>433</v>
      </c>
      <c r="P1711" s="116"/>
      <c r="Q1711" s="116" t="s">
        <v>433</v>
      </c>
      <c r="R1711" s="116" t="s">
        <v>181</v>
      </c>
      <c r="S1711" s="116" t="s">
        <v>687</v>
      </c>
      <c r="T1711" s="116" t="s">
        <v>2219</v>
      </c>
      <c r="U1711" s="116" t="s">
        <v>3164</v>
      </c>
      <c r="V1711" s="22" t="s">
        <v>1831</v>
      </c>
      <c r="W1711" s="22" t="s">
        <v>1</v>
      </c>
      <c r="X1711" s="22"/>
      <c r="Z1711" s="22"/>
      <c r="AA1711" s="22"/>
      <c r="AB1711" s="22"/>
      <c r="AC1711" s="22"/>
      <c r="AD1711" s="22"/>
      <c r="AE1711" s="24"/>
      <c r="AF1711" s="24" t="s">
        <v>2042</v>
      </c>
      <c r="AG1711" s="22"/>
      <c r="AH1711" s="23"/>
      <c r="AI1711" s="23" t="s">
        <v>344</v>
      </c>
      <c r="AJ1711" s="23"/>
      <c r="AK1711" s="40" t="s">
        <v>396</v>
      </c>
      <c r="AL1711" s="40"/>
      <c r="AX1711" s="27"/>
      <c r="AY1711" s="27"/>
      <c r="BK1711" s="27"/>
      <c r="BL1711" s="27"/>
      <c r="BX1711" s="27"/>
      <c r="BY1711" s="27"/>
      <c r="CH1711" s="29"/>
      <c r="CI1711" s="23" t="s">
        <v>432</v>
      </c>
      <c r="CJ1711" s="28" t="s">
        <v>0</v>
      </c>
      <c r="CM1711" s="23" t="s">
        <v>490</v>
      </c>
    </row>
    <row r="1712" spans="1:91" x14ac:dyDescent="0.2">
      <c r="A1712" s="18">
        <v>5001</v>
      </c>
      <c r="B1712" s="19">
        <v>31</v>
      </c>
      <c r="C1712" s="19">
        <f t="shared" ref="C1712:C1832" si="110">A1712*10000+B1712</f>
        <v>50010031</v>
      </c>
      <c r="D1712" s="19" t="s">
        <v>434</v>
      </c>
      <c r="E1712" s="20" t="s">
        <v>1125</v>
      </c>
      <c r="I1712" s="22" t="s">
        <v>98</v>
      </c>
      <c r="J1712" s="22"/>
      <c r="K1712" s="22"/>
      <c r="L1712" s="22"/>
      <c r="M1712" s="22"/>
      <c r="N1712" s="22" t="s">
        <v>433</v>
      </c>
      <c r="O1712" s="22" t="s">
        <v>433</v>
      </c>
      <c r="P1712" s="116"/>
      <c r="Q1712" s="116" t="s">
        <v>433</v>
      </c>
      <c r="R1712" s="116" t="s">
        <v>181</v>
      </c>
      <c r="S1712" s="116" t="s">
        <v>687</v>
      </c>
      <c r="T1712" s="116" t="s">
        <v>2219</v>
      </c>
      <c r="U1712" s="116" t="s">
        <v>3165</v>
      </c>
      <c r="V1712" s="22" t="s">
        <v>1831</v>
      </c>
      <c r="W1712" s="22" t="s">
        <v>1</v>
      </c>
      <c r="X1712" s="22"/>
      <c r="Z1712" s="22"/>
      <c r="AA1712" s="22"/>
      <c r="AB1712" s="22"/>
      <c r="AC1712" s="22"/>
      <c r="AD1712" s="22"/>
      <c r="AE1712" s="24"/>
      <c r="AF1712" s="24" t="s">
        <v>2042</v>
      </c>
      <c r="AG1712" s="22"/>
      <c r="AH1712" s="23"/>
      <c r="AI1712" s="23" t="s">
        <v>500</v>
      </c>
      <c r="AJ1712" s="23"/>
      <c r="AK1712" s="40" t="s">
        <v>515</v>
      </c>
      <c r="AL1712" s="40"/>
      <c r="AX1712" s="27"/>
      <c r="AY1712" s="27"/>
      <c r="BK1712" s="27"/>
      <c r="BL1712" s="27"/>
      <c r="BX1712" s="27"/>
      <c r="BY1712" s="27"/>
      <c r="CH1712" s="29"/>
      <c r="CI1712" s="23" t="s">
        <v>432</v>
      </c>
      <c r="CJ1712" s="28" t="s">
        <v>339</v>
      </c>
      <c r="CM1712" s="23" t="s">
        <v>360</v>
      </c>
    </row>
    <row r="1713" spans="1:91" x14ac:dyDescent="0.2">
      <c r="A1713" s="18">
        <v>5001</v>
      </c>
      <c r="B1713" s="19">
        <v>32</v>
      </c>
      <c r="C1713" s="19">
        <f t="shared" si="110"/>
        <v>50010032</v>
      </c>
      <c r="D1713" s="19" t="s">
        <v>435</v>
      </c>
      <c r="E1713" s="20" t="s">
        <v>1125</v>
      </c>
      <c r="I1713" s="22" t="s">
        <v>98</v>
      </c>
      <c r="J1713" s="22"/>
      <c r="K1713" s="22"/>
      <c r="L1713" s="22"/>
      <c r="M1713" s="22"/>
      <c r="N1713" s="22" t="s">
        <v>433</v>
      </c>
      <c r="O1713" s="22" t="s">
        <v>433</v>
      </c>
      <c r="P1713" s="116"/>
      <c r="Q1713" s="116" t="s">
        <v>433</v>
      </c>
      <c r="R1713" s="116" t="s">
        <v>181</v>
      </c>
      <c r="S1713" s="116" t="s">
        <v>687</v>
      </c>
      <c r="T1713" s="116" t="s">
        <v>2219</v>
      </c>
      <c r="U1713" s="116" t="s">
        <v>3166</v>
      </c>
      <c r="V1713" s="22" t="s">
        <v>1831</v>
      </c>
      <c r="W1713" s="22" t="s">
        <v>1</v>
      </c>
      <c r="X1713" s="22"/>
      <c r="Z1713" s="22"/>
      <c r="AA1713" s="22"/>
      <c r="AB1713" s="22"/>
      <c r="AC1713" s="22"/>
      <c r="AD1713" s="22"/>
      <c r="AE1713" s="24"/>
      <c r="AF1713" s="24" t="s">
        <v>2042</v>
      </c>
      <c r="AG1713" s="22"/>
      <c r="AH1713" s="23"/>
      <c r="AI1713" s="23" t="s">
        <v>368</v>
      </c>
      <c r="AJ1713" s="23"/>
      <c r="AK1713" s="40" t="s">
        <v>516</v>
      </c>
      <c r="AL1713" s="40"/>
      <c r="AX1713" s="27"/>
      <c r="AY1713" s="27"/>
      <c r="BK1713" s="27"/>
      <c r="BL1713" s="27"/>
      <c r="BX1713" s="27"/>
      <c r="BY1713" s="27"/>
      <c r="CH1713" s="29"/>
      <c r="CI1713" s="23" t="s">
        <v>432</v>
      </c>
      <c r="CJ1713" s="28" t="s">
        <v>339</v>
      </c>
      <c r="CM1713" s="23" t="s">
        <v>491</v>
      </c>
    </row>
    <row r="1714" spans="1:91" x14ac:dyDescent="0.2">
      <c r="A1714" s="18">
        <v>5001</v>
      </c>
      <c r="B1714" s="19">
        <v>33</v>
      </c>
      <c r="C1714" s="19">
        <f t="shared" si="110"/>
        <v>50010033</v>
      </c>
      <c r="D1714" s="19" t="s">
        <v>436</v>
      </c>
      <c r="E1714" s="20" t="s">
        <v>1125</v>
      </c>
      <c r="I1714" s="22" t="s">
        <v>98</v>
      </c>
      <c r="J1714" s="22"/>
      <c r="K1714" s="22"/>
      <c r="L1714" s="22"/>
      <c r="M1714" s="22"/>
      <c r="N1714" s="22" t="s">
        <v>433</v>
      </c>
      <c r="O1714" s="22" t="s">
        <v>433</v>
      </c>
      <c r="P1714" s="116"/>
      <c r="Q1714" s="116" t="s">
        <v>433</v>
      </c>
      <c r="R1714" s="116" t="s">
        <v>181</v>
      </c>
      <c r="S1714" s="116" t="s">
        <v>687</v>
      </c>
      <c r="T1714" s="116" t="s">
        <v>2219</v>
      </c>
      <c r="U1714" s="116" t="s">
        <v>3167</v>
      </c>
      <c r="V1714" s="22" t="s">
        <v>1831</v>
      </c>
      <c r="W1714" s="22" t="s">
        <v>1</v>
      </c>
      <c r="X1714" s="22"/>
      <c r="Z1714" s="22"/>
      <c r="AA1714" s="22"/>
      <c r="AB1714" s="22"/>
      <c r="AC1714" s="22"/>
      <c r="AD1714" s="22"/>
      <c r="AE1714" s="24"/>
      <c r="AF1714" s="24" t="s">
        <v>2042</v>
      </c>
      <c r="AG1714" s="22"/>
      <c r="AH1714" s="23"/>
      <c r="AI1714" s="23" t="s">
        <v>501</v>
      </c>
      <c r="AJ1714" s="23"/>
      <c r="AK1714" s="40" t="s">
        <v>517</v>
      </c>
      <c r="AL1714" s="40"/>
      <c r="AX1714" s="27"/>
      <c r="AY1714" s="27"/>
      <c r="BK1714" s="27"/>
      <c r="BL1714" s="27"/>
      <c r="BX1714" s="27"/>
      <c r="BY1714" s="27"/>
      <c r="CH1714" s="29"/>
      <c r="CI1714" s="23" t="s">
        <v>432</v>
      </c>
      <c r="CJ1714" s="28" t="s">
        <v>0</v>
      </c>
      <c r="CM1714" s="23" t="s">
        <v>361</v>
      </c>
    </row>
    <row r="1715" spans="1:91" x14ac:dyDescent="0.2">
      <c r="A1715" s="18">
        <v>5001</v>
      </c>
      <c r="B1715" s="19">
        <v>34</v>
      </c>
      <c r="C1715" s="19">
        <f t="shared" si="110"/>
        <v>50010034</v>
      </c>
      <c r="D1715" s="19" t="s">
        <v>437</v>
      </c>
      <c r="E1715" s="20" t="s">
        <v>1125</v>
      </c>
      <c r="I1715" s="22" t="s">
        <v>98</v>
      </c>
      <c r="J1715" s="22"/>
      <c r="K1715" s="22"/>
      <c r="L1715" s="22"/>
      <c r="M1715" s="22"/>
      <c r="N1715" s="22" t="s">
        <v>433</v>
      </c>
      <c r="O1715" s="22" t="s">
        <v>433</v>
      </c>
      <c r="P1715" s="116"/>
      <c r="Q1715" s="116" t="s">
        <v>433</v>
      </c>
      <c r="R1715" s="116" t="s">
        <v>181</v>
      </c>
      <c r="S1715" s="116" t="s">
        <v>687</v>
      </c>
      <c r="T1715" s="116" t="s">
        <v>2219</v>
      </c>
      <c r="U1715" s="116" t="s">
        <v>3168</v>
      </c>
      <c r="V1715" s="22" t="s">
        <v>1831</v>
      </c>
      <c r="W1715" s="22" t="s">
        <v>1</v>
      </c>
      <c r="X1715" s="22"/>
      <c r="Z1715" s="22"/>
      <c r="AA1715" s="22"/>
      <c r="AB1715" s="22"/>
      <c r="AC1715" s="22"/>
      <c r="AD1715" s="22"/>
      <c r="AE1715" s="24"/>
      <c r="AF1715" s="24" t="s">
        <v>2042</v>
      </c>
      <c r="AG1715" s="22"/>
      <c r="AH1715" s="23"/>
      <c r="AI1715" s="23" t="s">
        <v>369</v>
      </c>
      <c r="AJ1715" s="23"/>
      <c r="AK1715" s="40" t="s">
        <v>149</v>
      </c>
      <c r="AL1715" s="40"/>
      <c r="AX1715" s="27"/>
      <c r="AY1715" s="27"/>
      <c r="BK1715" s="27"/>
      <c r="BL1715" s="27"/>
      <c r="BX1715" s="27"/>
      <c r="BY1715" s="27"/>
      <c r="CH1715" s="29"/>
      <c r="CI1715" s="23" t="s">
        <v>432</v>
      </c>
      <c r="CJ1715" s="28" t="s">
        <v>0</v>
      </c>
      <c r="CM1715" s="23" t="s">
        <v>492</v>
      </c>
    </row>
    <row r="1716" spans="1:91" x14ac:dyDescent="0.2">
      <c r="A1716" s="18">
        <v>5001</v>
      </c>
      <c r="B1716" s="19">
        <v>35</v>
      </c>
      <c r="C1716" s="19">
        <f t="shared" si="110"/>
        <v>50010035</v>
      </c>
      <c r="D1716" s="19" t="s">
        <v>438</v>
      </c>
      <c r="E1716" s="20" t="s">
        <v>1125</v>
      </c>
      <c r="I1716" s="22" t="s">
        <v>98</v>
      </c>
      <c r="J1716" s="22"/>
      <c r="K1716" s="22"/>
      <c r="L1716" s="22"/>
      <c r="M1716" s="22"/>
      <c r="N1716" s="22" t="s">
        <v>433</v>
      </c>
      <c r="O1716" s="22" t="s">
        <v>433</v>
      </c>
      <c r="P1716" s="116"/>
      <c r="Q1716" s="116" t="s">
        <v>433</v>
      </c>
      <c r="R1716" s="116" t="s">
        <v>181</v>
      </c>
      <c r="S1716" s="116" t="s">
        <v>687</v>
      </c>
      <c r="T1716" s="116" t="s">
        <v>2219</v>
      </c>
      <c r="U1716" s="116" t="s">
        <v>3169</v>
      </c>
      <c r="V1716" s="22" t="s">
        <v>1831</v>
      </c>
      <c r="W1716" s="22" t="s">
        <v>1</v>
      </c>
      <c r="X1716" s="22"/>
      <c r="Z1716" s="22"/>
      <c r="AA1716" s="22"/>
      <c r="AB1716" s="22"/>
      <c r="AC1716" s="22"/>
      <c r="AD1716" s="22"/>
      <c r="AE1716" s="24"/>
      <c r="AF1716" s="24" t="s">
        <v>2042</v>
      </c>
      <c r="AG1716" s="22"/>
      <c r="AH1716" s="23"/>
      <c r="AI1716" s="23" t="s">
        <v>502</v>
      </c>
      <c r="AJ1716" s="23"/>
      <c r="AK1716" s="40" t="s">
        <v>518</v>
      </c>
      <c r="AL1716" s="40"/>
      <c r="AX1716" s="27"/>
      <c r="AY1716" s="27"/>
      <c r="BK1716" s="27"/>
      <c r="BL1716" s="27"/>
      <c r="BX1716" s="27"/>
      <c r="BY1716" s="27"/>
      <c r="CH1716" s="29"/>
      <c r="CI1716" s="23" t="s">
        <v>432</v>
      </c>
      <c r="CJ1716" s="28" t="s">
        <v>0</v>
      </c>
      <c r="CM1716" s="23" t="s">
        <v>362</v>
      </c>
    </row>
    <row r="1717" spans="1:91" x14ac:dyDescent="0.2">
      <c r="A1717" s="18">
        <v>5001</v>
      </c>
      <c r="B1717" s="19">
        <v>36</v>
      </c>
      <c r="C1717" s="19">
        <f t="shared" si="110"/>
        <v>50010036</v>
      </c>
      <c r="D1717" s="19" t="s">
        <v>439</v>
      </c>
      <c r="E1717" s="20" t="s">
        <v>1125</v>
      </c>
      <c r="I1717" s="22" t="s">
        <v>98</v>
      </c>
      <c r="J1717" s="22"/>
      <c r="K1717" s="22"/>
      <c r="L1717" s="22"/>
      <c r="M1717" s="22"/>
      <c r="N1717" s="22" t="s">
        <v>433</v>
      </c>
      <c r="O1717" s="22" t="s">
        <v>433</v>
      </c>
      <c r="P1717" s="116"/>
      <c r="Q1717" s="116" t="s">
        <v>433</v>
      </c>
      <c r="R1717" s="116" t="s">
        <v>181</v>
      </c>
      <c r="S1717" s="116" t="s">
        <v>687</v>
      </c>
      <c r="T1717" s="116" t="s">
        <v>2219</v>
      </c>
      <c r="U1717" s="116" t="s">
        <v>3170</v>
      </c>
      <c r="V1717" s="22" t="s">
        <v>1831</v>
      </c>
      <c r="W1717" s="22" t="s">
        <v>1</v>
      </c>
      <c r="X1717" s="22"/>
      <c r="Z1717" s="22"/>
      <c r="AA1717" s="22"/>
      <c r="AB1717" s="22"/>
      <c r="AC1717" s="22"/>
      <c r="AD1717" s="22"/>
      <c r="AE1717" s="24"/>
      <c r="AF1717" s="24" t="s">
        <v>2042</v>
      </c>
      <c r="AG1717" s="22"/>
      <c r="AH1717" s="23"/>
      <c r="AI1717" s="23" t="s">
        <v>370</v>
      </c>
      <c r="AJ1717" s="23"/>
      <c r="AK1717" s="40" t="s">
        <v>519</v>
      </c>
      <c r="AL1717" s="40"/>
      <c r="AX1717" s="27"/>
      <c r="AY1717" s="27"/>
      <c r="BK1717" s="27"/>
      <c r="BL1717" s="27"/>
      <c r="BX1717" s="27"/>
      <c r="BY1717" s="27"/>
      <c r="CH1717" s="29"/>
      <c r="CI1717" s="23" t="s">
        <v>432</v>
      </c>
      <c r="CJ1717" s="28" t="s">
        <v>0</v>
      </c>
      <c r="CM1717" s="23" t="s">
        <v>493</v>
      </c>
    </row>
    <row r="1718" spans="1:91" x14ac:dyDescent="0.2">
      <c r="A1718" s="18">
        <v>5001</v>
      </c>
      <c r="B1718" s="19">
        <v>37</v>
      </c>
      <c r="C1718" s="19">
        <f t="shared" si="110"/>
        <v>50010037</v>
      </c>
      <c r="D1718" s="19" t="s">
        <v>440</v>
      </c>
      <c r="E1718" s="20" t="s">
        <v>1125</v>
      </c>
      <c r="I1718" s="22" t="s">
        <v>98</v>
      </c>
      <c r="J1718" s="22"/>
      <c r="K1718" s="22"/>
      <c r="L1718" s="22"/>
      <c r="M1718" s="22"/>
      <c r="N1718" s="22" t="s">
        <v>433</v>
      </c>
      <c r="O1718" s="22" t="s">
        <v>433</v>
      </c>
      <c r="P1718" s="116"/>
      <c r="Q1718" s="116" t="s">
        <v>433</v>
      </c>
      <c r="R1718" s="116" t="s">
        <v>181</v>
      </c>
      <c r="S1718" s="116" t="s">
        <v>687</v>
      </c>
      <c r="T1718" s="116" t="s">
        <v>2219</v>
      </c>
      <c r="U1718" s="116" t="s">
        <v>3171</v>
      </c>
      <c r="V1718" s="22" t="s">
        <v>1831</v>
      </c>
      <c r="W1718" s="22" t="s">
        <v>1</v>
      </c>
      <c r="X1718" s="22"/>
      <c r="Z1718" s="22"/>
      <c r="AA1718" s="22"/>
      <c r="AB1718" s="22"/>
      <c r="AC1718" s="22"/>
      <c r="AD1718" s="22"/>
      <c r="AE1718" s="24"/>
      <c r="AF1718" s="24" t="s">
        <v>2042</v>
      </c>
      <c r="AG1718" s="22"/>
      <c r="AH1718" s="23"/>
      <c r="AI1718" s="23" t="s">
        <v>503</v>
      </c>
      <c r="AJ1718" s="23"/>
      <c r="AK1718" s="40" t="s">
        <v>103</v>
      </c>
      <c r="AL1718" s="40"/>
      <c r="AX1718" s="27"/>
      <c r="AY1718" s="27"/>
      <c r="BK1718" s="27"/>
      <c r="BL1718" s="27"/>
      <c r="BX1718" s="27"/>
      <c r="BY1718" s="27"/>
      <c r="CH1718" s="29"/>
      <c r="CI1718" s="23" t="s">
        <v>432</v>
      </c>
      <c r="CJ1718" s="28" t="s">
        <v>0</v>
      </c>
      <c r="CM1718" s="23" t="s">
        <v>363</v>
      </c>
    </row>
    <row r="1719" spans="1:91" x14ac:dyDescent="0.2">
      <c r="A1719" s="18">
        <v>5001</v>
      </c>
      <c r="B1719" s="19">
        <v>38</v>
      </c>
      <c r="C1719" s="19">
        <f t="shared" si="110"/>
        <v>50010038</v>
      </c>
      <c r="D1719" s="19" t="s">
        <v>441</v>
      </c>
      <c r="E1719" s="20" t="s">
        <v>1125</v>
      </c>
      <c r="I1719" s="22" t="s">
        <v>98</v>
      </c>
      <c r="J1719" s="22"/>
      <c r="K1719" s="22"/>
      <c r="L1719" s="22"/>
      <c r="M1719" s="22"/>
      <c r="N1719" s="22" t="s">
        <v>433</v>
      </c>
      <c r="O1719" s="22" t="s">
        <v>433</v>
      </c>
      <c r="P1719" s="116"/>
      <c r="Q1719" s="116" t="s">
        <v>433</v>
      </c>
      <c r="R1719" s="116" t="s">
        <v>181</v>
      </c>
      <c r="S1719" s="116" t="s">
        <v>687</v>
      </c>
      <c r="T1719" s="116" t="s">
        <v>2219</v>
      </c>
      <c r="U1719" s="116" t="s">
        <v>3172</v>
      </c>
      <c r="V1719" s="22" t="s">
        <v>1831</v>
      </c>
      <c r="W1719" s="22" t="s">
        <v>1</v>
      </c>
      <c r="X1719" s="22"/>
      <c r="Z1719" s="22"/>
      <c r="AA1719" s="22"/>
      <c r="AB1719" s="22"/>
      <c r="AC1719" s="22"/>
      <c r="AD1719" s="22"/>
      <c r="AE1719" s="24"/>
      <c r="AF1719" s="24" t="s">
        <v>2042</v>
      </c>
      <c r="AG1719" s="22"/>
      <c r="AH1719" s="23"/>
      <c r="AI1719" s="23" t="s">
        <v>371</v>
      </c>
      <c r="AJ1719" s="23"/>
      <c r="AK1719" s="40" t="s">
        <v>520</v>
      </c>
      <c r="AL1719" s="40"/>
      <c r="AX1719" s="27"/>
      <c r="AY1719" s="27"/>
      <c r="BK1719" s="27"/>
      <c r="BL1719" s="27"/>
      <c r="BX1719" s="27"/>
      <c r="BY1719" s="27"/>
      <c r="CH1719" s="29"/>
      <c r="CI1719" s="23" t="s">
        <v>432</v>
      </c>
      <c r="CJ1719" s="28" t="s">
        <v>0</v>
      </c>
      <c r="CM1719" s="23" t="s">
        <v>494</v>
      </c>
    </row>
    <row r="1720" spans="1:91" x14ac:dyDescent="0.2">
      <c r="A1720" s="18">
        <v>5001</v>
      </c>
      <c r="B1720" s="19">
        <v>39</v>
      </c>
      <c r="C1720" s="19">
        <f t="shared" si="110"/>
        <v>50010039</v>
      </c>
      <c r="D1720" s="19" t="s">
        <v>442</v>
      </c>
      <c r="E1720" s="20" t="s">
        <v>1125</v>
      </c>
      <c r="I1720" s="22" t="s">
        <v>98</v>
      </c>
      <c r="J1720" s="22"/>
      <c r="K1720" s="22"/>
      <c r="L1720" s="22"/>
      <c r="M1720" s="22"/>
      <c r="N1720" s="22" t="s">
        <v>433</v>
      </c>
      <c r="O1720" s="22" t="s">
        <v>433</v>
      </c>
      <c r="P1720" s="116"/>
      <c r="Q1720" s="116" t="s">
        <v>433</v>
      </c>
      <c r="R1720" s="116" t="s">
        <v>181</v>
      </c>
      <c r="S1720" s="116" t="s">
        <v>687</v>
      </c>
      <c r="T1720" s="116" t="s">
        <v>2219</v>
      </c>
      <c r="U1720" s="116" t="s">
        <v>3173</v>
      </c>
      <c r="V1720" s="22" t="s">
        <v>1831</v>
      </c>
      <c r="W1720" s="22" t="s">
        <v>1</v>
      </c>
      <c r="X1720" s="22"/>
      <c r="Z1720" s="22"/>
      <c r="AA1720" s="22"/>
      <c r="AB1720" s="22"/>
      <c r="AC1720" s="22"/>
      <c r="AD1720" s="22"/>
      <c r="AE1720" s="24"/>
      <c r="AF1720" s="24" t="s">
        <v>2042</v>
      </c>
      <c r="AG1720" s="22"/>
      <c r="AH1720" s="23"/>
      <c r="AI1720" s="23" t="s">
        <v>504</v>
      </c>
      <c r="AJ1720" s="23"/>
      <c r="AK1720" s="40" t="s">
        <v>521</v>
      </c>
      <c r="AL1720" s="40"/>
      <c r="AX1720" s="27"/>
      <c r="AY1720" s="27"/>
      <c r="BK1720" s="27"/>
      <c r="BL1720" s="27"/>
      <c r="BX1720" s="27"/>
      <c r="BY1720" s="27"/>
      <c r="CH1720" s="29"/>
      <c r="CI1720" s="23" t="s">
        <v>432</v>
      </c>
      <c r="CJ1720" s="28" t="s">
        <v>0</v>
      </c>
      <c r="CM1720" s="23" t="s">
        <v>348</v>
      </c>
    </row>
    <row r="1721" spans="1:91" x14ac:dyDescent="0.2">
      <c r="A1721" s="18">
        <v>5001</v>
      </c>
      <c r="B1721" s="19">
        <v>40</v>
      </c>
      <c r="C1721" s="19">
        <f t="shared" si="110"/>
        <v>50010040</v>
      </c>
      <c r="D1721" s="19" t="s">
        <v>443</v>
      </c>
      <c r="E1721" s="20" t="s">
        <v>1125</v>
      </c>
      <c r="I1721" s="22" t="s">
        <v>98</v>
      </c>
      <c r="J1721" s="22"/>
      <c r="K1721" s="22"/>
      <c r="L1721" s="22"/>
      <c r="M1721" s="22"/>
      <c r="N1721" s="22" t="s">
        <v>433</v>
      </c>
      <c r="O1721" s="22" t="s">
        <v>433</v>
      </c>
      <c r="P1721" s="116"/>
      <c r="Q1721" s="116" t="s">
        <v>433</v>
      </c>
      <c r="R1721" s="116" t="s">
        <v>181</v>
      </c>
      <c r="S1721" s="116" t="s">
        <v>687</v>
      </c>
      <c r="T1721" s="116" t="s">
        <v>2219</v>
      </c>
      <c r="U1721" s="116" t="s">
        <v>3174</v>
      </c>
      <c r="V1721" s="22" t="s">
        <v>1831</v>
      </c>
      <c r="W1721" s="22" t="s">
        <v>1</v>
      </c>
      <c r="X1721" s="22"/>
      <c r="Z1721" s="22"/>
      <c r="AA1721" s="22"/>
      <c r="AB1721" s="22"/>
      <c r="AC1721" s="22"/>
      <c r="AD1721" s="22"/>
      <c r="AE1721" s="24"/>
      <c r="AF1721" s="24" t="s">
        <v>2042</v>
      </c>
      <c r="AG1721" s="22"/>
      <c r="AH1721" s="23"/>
      <c r="AI1721" s="23" t="s">
        <v>372</v>
      </c>
      <c r="AJ1721" s="23"/>
      <c r="AK1721" s="40" t="s">
        <v>522</v>
      </c>
      <c r="AL1721" s="40"/>
      <c r="AX1721" s="27"/>
      <c r="AY1721" s="27"/>
      <c r="BK1721" s="27"/>
      <c r="BL1721" s="27"/>
      <c r="BX1721" s="27"/>
      <c r="BY1721" s="27"/>
      <c r="CH1721" s="29"/>
      <c r="CI1721" s="23" t="s">
        <v>432</v>
      </c>
      <c r="CJ1721" s="28" t="s">
        <v>0</v>
      </c>
      <c r="CM1721" s="23" t="s">
        <v>495</v>
      </c>
    </row>
    <row r="1722" spans="1:91" x14ac:dyDescent="0.2">
      <c r="A1722" s="18">
        <v>5001</v>
      </c>
      <c r="B1722" s="19">
        <v>41</v>
      </c>
      <c r="C1722" s="19">
        <f t="shared" si="110"/>
        <v>50010041</v>
      </c>
      <c r="D1722" s="19" t="s">
        <v>444</v>
      </c>
      <c r="E1722" s="20" t="s">
        <v>1125</v>
      </c>
      <c r="I1722" s="22" t="s">
        <v>98</v>
      </c>
      <c r="J1722" s="22"/>
      <c r="K1722" s="22"/>
      <c r="L1722" s="22"/>
      <c r="M1722" s="22"/>
      <c r="N1722" s="22" t="s">
        <v>433</v>
      </c>
      <c r="O1722" s="22" t="s">
        <v>433</v>
      </c>
      <c r="P1722" s="116"/>
      <c r="Q1722" s="116" t="s">
        <v>433</v>
      </c>
      <c r="R1722" s="116" t="s">
        <v>181</v>
      </c>
      <c r="S1722" s="116" t="s">
        <v>687</v>
      </c>
      <c r="T1722" s="116" t="s">
        <v>2219</v>
      </c>
      <c r="U1722" s="116" t="s">
        <v>3175</v>
      </c>
      <c r="V1722" s="22" t="s">
        <v>1831</v>
      </c>
      <c r="W1722" s="22" t="s">
        <v>1</v>
      </c>
      <c r="X1722" s="22"/>
      <c r="Z1722" s="22"/>
      <c r="AA1722" s="22"/>
      <c r="AB1722" s="22"/>
      <c r="AC1722" s="22"/>
      <c r="AD1722" s="22"/>
      <c r="AE1722" s="24"/>
      <c r="AF1722" s="24" t="s">
        <v>2042</v>
      </c>
      <c r="AG1722" s="22"/>
      <c r="AH1722" s="23"/>
      <c r="AI1722" s="23" t="s">
        <v>505</v>
      </c>
      <c r="AJ1722" s="23"/>
      <c r="AK1722" s="40" t="s">
        <v>523</v>
      </c>
      <c r="AL1722" s="40"/>
      <c r="AX1722" s="27"/>
      <c r="AY1722" s="27"/>
      <c r="BK1722" s="27"/>
      <c r="BL1722" s="27"/>
      <c r="BX1722" s="27"/>
      <c r="BY1722" s="27"/>
      <c r="CH1722" s="29"/>
      <c r="CI1722" s="23" t="s">
        <v>432</v>
      </c>
      <c r="CJ1722" s="28" t="s">
        <v>0</v>
      </c>
      <c r="CM1722" s="23" t="s">
        <v>364</v>
      </c>
    </row>
    <row r="1723" spans="1:91" x14ac:dyDescent="0.2">
      <c r="A1723" s="18">
        <v>5001</v>
      </c>
      <c r="B1723" s="19">
        <v>42</v>
      </c>
      <c r="C1723" s="19">
        <f t="shared" si="110"/>
        <v>50010042</v>
      </c>
      <c r="D1723" s="19" t="s">
        <v>445</v>
      </c>
      <c r="E1723" s="20" t="s">
        <v>1125</v>
      </c>
      <c r="I1723" s="22" t="s">
        <v>98</v>
      </c>
      <c r="J1723" s="22"/>
      <c r="K1723" s="22"/>
      <c r="L1723" s="22"/>
      <c r="M1723" s="22"/>
      <c r="N1723" s="22" t="s">
        <v>433</v>
      </c>
      <c r="O1723" s="22" t="s">
        <v>433</v>
      </c>
      <c r="P1723" s="116"/>
      <c r="Q1723" s="116" t="s">
        <v>433</v>
      </c>
      <c r="R1723" s="116" t="s">
        <v>181</v>
      </c>
      <c r="S1723" s="116" t="s">
        <v>687</v>
      </c>
      <c r="T1723" s="116" t="s">
        <v>2219</v>
      </c>
      <c r="U1723" s="116" t="s">
        <v>3176</v>
      </c>
      <c r="V1723" s="22" t="s">
        <v>1831</v>
      </c>
      <c r="W1723" s="22" t="s">
        <v>1</v>
      </c>
      <c r="X1723" s="22"/>
      <c r="Z1723" s="22"/>
      <c r="AA1723" s="22"/>
      <c r="AB1723" s="22"/>
      <c r="AC1723" s="22"/>
      <c r="AD1723" s="22"/>
      <c r="AE1723" s="24"/>
      <c r="AF1723" s="24" t="s">
        <v>2042</v>
      </c>
      <c r="AG1723" s="22"/>
      <c r="AH1723" s="23"/>
      <c r="AI1723" s="23" t="s">
        <v>506</v>
      </c>
      <c r="AJ1723" s="23"/>
      <c r="AK1723" s="40" t="s">
        <v>524</v>
      </c>
      <c r="AL1723" s="40"/>
      <c r="AX1723" s="27"/>
      <c r="AY1723" s="27"/>
      <c r="BK1723" s="27"/>
      <c r="BL1723" s="27"/>
      <c r="BX1723" s="27"/>
      <c r="BY1723" s="27"/>
      <c r="CH1723" s="29"/>
      <c r="CI1723" s="23" t="s">
        <v>432</v>
      </c>
      <c r="CJ1723" s="28" t="s">
        <v>0</v>
      </c>
      <c r="CM1723" s="23" t="s">
        <v>496</v>
      </c>
    </row>
    <row r="1724" spans="1:91" x14ac:dyDescent="0.2">
      <c r="A1724" s="18">
        <v>5001</v>
      </c>
      <c r="B1724" s="19">
        <v>43</v>
      </c>
      <c r="C1724" s="19">
        <f t="shared" si="110"/>
        <v>50010043</v>
      </c>
      <c r="D1724" s="19" t="s">
        <v>446</v>
      </c>
      <c r="E1724" s="20" t="s">
        <v>1125</v>
      </c>
      <c r="I1724" s="22" t="s">
        <v>98</v>
      </c>
      <c r="J1724" s="22"/>
      <c r="K1724" s="22"/>
      <c r="L1724" s="22"/>
      <c r="M1724" s="22"/>
      <c r="N1724" s="22" t="s">
        <v>433</v>
      </c>
      <c r="O1724" s="22" t="s">
        <v>433</v>
      </c>
      <c r="P1724" s="116"/>
      <c r="Q1724" s="116" t="s">
        <v>433</v>
      </c>
      <c r="R1724" s="116" t="s">
        <v>181</v>
      </c>
      <c r="S1724" s="116" t="s">
        <v>687</v>
      </c>
      <c r="T1724" s="116" t="s">
        <v>2219</v>
      </c>
      <c r="U1724" s="116" t="s">
        <v>3177</v>
      </c>
      <c r="V1724" s="22" t="s">
        <v>1831</v>
      </c>
      <c r="W1724" s="22" t="s">
        <v>1</v>
      </c>
      <c r="X1724" s="22"/>
      <c r="Z1724" s="22"/>
      <c r="AA1724" s="22"/>
      <c r="AB1724" s="22"/>
      <c r="AC1724" s="22"/>
      <c r="AD1724" s="22"/>
      <c r="AE1724" s="24"/>
      <c r="AF1724" s="24" t="s">
        <v>2042</v>
      </c>
      <c r="AG1724" s="22"/>
      <c r="AH1724" s="23"/>
      <c r="AI1724" s="23" t="s">
        <v>507</v>
      </c>
      <c r="AJ1724" s="23"/>
      <c r="AK1724" s="40" t="s">
        <v>525</v>
      </c>
      <c r="AL1724" s="40"/>
      <c r="AX1724" s="27"/>
      <c r="AY1724" s="27"/>
      <c r="BK1724" s="27"/>
      <c r="BL1724" s="27"/>
      <c r="BX1724" s="27"/>
      <c r="BY1724" s="27"/>
      <c r="CH1724" s="29"/>
      <c r="CI1724" s="23" t="s">
        <v>432</v>
      </c>
      <c r="CJ1724" s="28" t="s">
        <v>0</v>
      </c>
      <c r="CM1724" s="23" t="s">
        <v>365</v>
      </c>
    </row>
    <row r="1725" spans="1:91" x14ac:dyDescent="0.2">
      <c r="A1725" s="18">
        <v>5001</v>
      </c>
      <c r="B1725" s="19">
        <v>44</v>
      </c>
      <c r="C1725" s="19">
        <f t="shared" si="110"/>
        <v>50010044</v>
      </c>
      <c r="D1725" s="19" t="s">
        <v>447</v>
      </c>
      <c r="E1725" s="20" t="s">
        <v>1125</v>
      </c>
      <c r="I1725" s="22" t="s">
        <v>98</v>
      </c>
      <c r="J1725" s="22"/>
      <c r="K1725" s="22"/>
      <c r="L1725" s="22"/>
      <c r="M1725" s="22"/>
      <c r="N1725" s="22" t="s">
        <v>433</v>
      </c>
      <c r="O1725" s="22" t="s">
        <v>433</v>
      </c>
      <c r="P1725" s="116"/>
      <c r="Q1725" s="116" t="s">
        <v>433</v>
      </c>
      <c r="R1725" s="116" t="s">
        <v>181</v>
      </c>
      <c r="S1725" s="116" t="s">
        <v>687</v>
      </c>
      <c r="T1725" s="116" t="s">
        <v>2219</v>
      </c>
      <c r="U1725" s="116" t="s">
        <v>3178</v>
      </c>
      <c r="V1725" s="22" t="s">
        <v>1831</v>
      </c>
      <c r="W1725" s="22" t="s">
        <v>1</v>
      </c>
      <c r="X1725" s="22"/>
      <c r="Z1725" s="22"/>
      <c r="AA1725" s="22"/>
      <c r="AB1725" s="22"/>
      <c r="AC1725" s="22"/>
      <c r="AD1725" s="22"/>
      <c r="AE1725" s="24"/>
      <c r="AF1725" s="24" t="s">
        <v>2042</v>
      </c>
      <c r="AG1725" s="22"/>
      <c r="AH1725" s="23"/>
      <c r="AI1725" s="23" t="s">
        <v>508</v>
      </c>
      <c r="AJ1725" s="23"/>
      <c r="AK1725" s="40" t="s">
        <v>526</v>
      </c>
      <c r="AL1725" s="40"/>
      <c r="AX1725" s="27"/>
      <c r="AY1725" s="27"/>
      <c r="BK1725" s="27"/>
      <c r="BL1725" s="27"/>
      <c r="BX1725" s="27"/>
      <c r="BY1725" s="27"/>
      <c r="CH1725" s="29"/>
      <c r="CI1725" s="23" t="s">
        <v>432</v>
      </c>
      <c r="CJ1725" s="28" t="s">
        <v>0</v>
      </c>
      <c r="CM1725" s="23" t="s">
        <v>497</v>
      </c>
    </row>
    <row r="1726" spans="1:91" x14ac:dyDescent="0.2">
      <c r="A1726" s="18">
        <v>5001</v>
      </c>
      <c r="B1726" s="19">
        <v>45</v>
      </c>
      <c r="C1726" s="19">
        <f t="shared" si="110"/>
        <v>50010045</v>
      </c>
      <c r="D1726" s="19" t="s">
        <v>448</v>
      </c>
      <c r="E1726" s="20" t="s">
        <v>1125</v>
      </c>
      <c r="I1726" s="22" t="s">
        <v>98</v>
      </c>
      <c r="J1726" s="22"/>
      <c r="K1726" s="22"/>
      <c r="L1726" s="22"/>
      <c r="M1726" s="22"/>
      <c r="N1726" s="22" t="s">
        <v>433</v>
      </c>
      <c r="O1726" s="22" t="s">
        <v>433</v>
      </c>
      <c r="P1726" s="116"/>
      <c r="Q1726" s="116" t="s">
        <v>433</v>
      </c>
      <c r="R1726" s="116" t="s">
        <v>181</v>
      </c>
      <c r="S1726" s="116" t="s">
        <v>687</v>
      </c>
      <c r="T1726" s="116" t="s">
        <v>2219</v>
      </c>
      <c r="U1726" s="116" t="s">
        <v>3179</v>
      </c>
      <c r="V1726" s="22" t="s">
        <v>1831</v>
      </c>
      <c r="W1726" s="22" t="s">
        <v>1</v>
      </c>
      <c r="X1726" s="22"/>
      <c r="Z1726" s="22"/>
      <c r="AA1726" s="22"/>
      <c r="AB1726" s="22"/>
      <c r="AC1726" s="22"/>
      <c r="AD1726" s="22"/>
      <c r="AE1726" s="24"/>
      <c r="AF1726" s="24" t="s">
        <v>2042</v>
      </c>
      <c r="AG1726" s="22"/>
      <c r="AH1726" s="23"/>
      <c r="AI1726" s="23" t="s">
        <v>509</v>
      </c>
      <c r="AJ1726" s="23"/>
      <c r="AK1726" s="40" t="s">
        <v>527</v>
      </c>
      <c r="AL1726" s="40"/>
      <c r="AX1726" s="27"/>
      <c r="AY1726" s="27"/>
      <c r="BK1726" s="27"/>
      <c r="BL1726" s="27"/>
      <c r="BX1726" s="27"/>
      <c r="BY1726" s="27"/>
      <c r="CH1726" s="29"/>
      <c r="CI1726" s="23" t="s">
        <v>432</v>
      </c>
      <c r="CJ1726" s="28" t="s">
        <v>0</v>
      </c>
      <c r="CM1726" s="23" t="s">
        <v>366</v>
      </c>
    </row>
    <row r="1727" spans="1:91" x14ac:dyDescent="0.2">
      <c r="A1727" s="18">
        <v>5001</v>
      </c>
      <c r="B1727" s="19">
        <v>46</v>
      </c>
      <c r="C1727" s="19">
        <f t="shared" si="110"/>
        <v>50010046</v>
      </c>
      <c r="D1727" s="19" t="s">
        <v>449</v>
      </c>
      <c r="E1727" s="20" t="s">
        <v>1125</v>
      </c>
      <c r="I1727" s="22" t="s">
        <v>98</v>
      </c>
      <c r="J1727" s="22"/>
      <c r="K1727" s="22"/>
      <c r="L1727" s="22"/>
      <c r="M1727" s="22"/>
      <c r="N1727" s="22" t="s">
        <v>433</v>
      </c>
      <c r="O1727" s="22" t="s">
        <v>433</v>
      </c>
      <c r="P1727" s="116"/>
      <c r="Q1727" s="116" t="s">
        <v>433</v>
      </c>
      <c r="R1727" s="116" t="s">
        <v>181</v>
      </c>
      <c r="S1727" s="116" t="s">
        <v>687</v>
      </c>
      <c r="T1727" s="116" t="s">
        <v>2219</v>
      </c>
      <c r="U1727" s="116" t="s">
        <v>3180</v>
      </c>
      <c r="V1727" s="22" t="s">
        <v>1831</v>
      </c>
      <c r="W1727" s="22" t="s">
        <v>1</v>
      </c>
      <c r="X1727" s="22"/>
      <c r="Z1727" s="22"/>
      <c r="AA1727" s="22"/>
      <c r="AB1727" s="22"/>
      <c r="AC1727" s="22"/>
      <c r="AD1727" s="22"/>
      <c r="AE1727" s="24"/>
      <c r="AF1727" s="24" t="s">
        <v>2042</v>
      </c>
      <c r="AG1727" s="22"/>
      <c r="AH1727" s="23"/>
      <c r="AI1727" s="23" t="s">
        <v>510</v>
      </c>
      <c r="AJ1727" s="23"/>
      <c r="AK1727" s="40" t="s">
        <v>528</v>
      </c>
      <c r="AL1727" s="40"/>
      <c r="AX1727" s="27"/>
      <c r="AY1727" s="27"/>
      <c r="BK1727" s="27"/>
      <c r="BL1727" s="27"/>
      <c r="BX1727" s="27"/>
      <c r="BY1727" s="27"/>
      <c r="CH1727" s="29"/>
      <c r="CI1727" s="23" t="s">
        <v>432</v>
      </c>
      <c r="CJ1727" s="28" t="s">
        <v>0</v>
      </c>
      <c r="CM1727" s="23" t="s">
        <v>498</v>
      </c>
    </row>
    <row r="1728" spans="1:91" x14ac:dyDescent="0.2">
      <c r="A1728" s="18">
        <v>5001</v>
      </c>
      <c r="B1728" s="19">
        <v>47</v>
      </c>
      <c r="C1728" s="19">
        <f t="shared" si="110"/>
        <v>50010047</v>
      </c>
      <c r="D1728" s="19" t="s">
        <v>450</v>
      </c>
      <c r="E1728" s="20" t="s">
        <v>1125</v>
      </c>
      <c r="I1728" s="22" t="s">
        <v>98</v>
      </c>
      <c r="J1728" s="22"/>
      <c r="K1728" s="22"/>
      <c r="L1728" s="22"/>
      <c r="M1728" s="22"/>
      <c r="N1728" s="22" t="s">
        <v>433</v>
      </c>
      <c r="O1728" s="22" t="s">
        <v>433</v>
      </c>
      <c r="P1728" s="116"/>
      <c r="Q1728" s="116" t="s">
        <v>433</v>
      </c>
      <c r="R1728" s="116" t="s">
        <v>181</v>
      </c>
      <c r="S1728" s="116" t="s">
        <v>687</v>
      </c>
      <c r="T1728" s="116" t="s">
        <v>2219</v>
      </c>
      <c r="U1728" s="116" t="s">
        <v>3181</v>
      </c>
      <c r="V1728" s="22" t="s">
        <v>1831</v>
      </c>
      <c r="W1728" s="22" t="s">
        <v>1</v>
      </c>
      <c r="X1728" s="22"/>
      <c r="Z1728" s="22"/>
      <c r="AA1728" s="22"/>
      <c r="AB1728" s="22"/>
      <c r="AC1728" s="22"/>
      <c r="AD1728" s="22"/>
      <c r="AE1728" s="24"/>
      <c r="AF1728" s="24" t="s">
        <v>2042</v>
      </c>
      <c r="AG1728" s="22"/>
      <c r="AH1728" s="23"/>
      <c r="AI1728" s="23" t="s">
        <v>511</v>
      </c>
      <c r="AJ1728" s="23"/>
      <c r="AK1728" s="40" t="s">
        <v>529</v>
      </c>
      <c r="AL1728" s="40"/>
      <c r="AX1728" s="27"/>
      <c r="AY1728" s="27"/>
      <c r="BK1728" s="27"/>
      <c r="BL1728" s="27"/>
      <c r="BX1728" s="27"/>
      <c r="BY1728" s="27"/>
      <c r="CH1728" s="29"/>
      <c r="CI1728" s="23" t="s">
        <v>432</v>
      </c>
      <c r="CJ1728" s="28" t="s">
        <v>0</v>
      </c>
      <c r="CM1728" s="23" t="s">
        <v>367</v>
      </c>
    </row>
    <row r="1729" spans="1:91" x14ac:dyDescent="0.2">
      <c r="A1729" s="18">
        <v>5001</v>
      </c>
      <c r="B1729" s="19">
        <v>48</v>
      </c>
      <c r="C1729" s="19">
        <f t="shared" si="110"/>
        <v>50010048</v>
      </c>
      <c r="D1729" s="19" t="s">
        <v>451</v>
      </c>
      <c r="E1729" s="20" t="s">
        <v>1125</v>
      </c>
      <c r="I1729" s="22" t="s">
        <v>98</v>
      </c>
      <c r="J1729" s="22"/>
      <c r="K1729" s="22"/>
      <c r="L1729" s="22"/>
      <c r="M1729" s="22"/>
      <c r="N1729" s="22" t="s">
        <v>433</v>
      </c>
      <c r="O1729" s="22" t="s">
        <v>433</v>
      </c>
      <c r="P1729" s="116"/>
      <c r="Q1729" s="116" t="s">
        <v>433</v>
      </c>
      <c r="R1729" s="116" t="s">
        <v>181</v>
      </c>
      <c r="S1729" s="116" t="s">
        <v>687</v>
      </c>
      <c r="T1729" s="116" t="s">
        <v>2219</v>
      </c>
      <c r="U1729" s="116" t="s">
        <v>3182</v>
      </c>
      <c r="V1729" s="22" t="s">
        <v>1831</v>
      </c>
      <c r="W1729" s="22" t="s">
        <v>1</v>
      </c>
      <c r="X1729" s="22"/>
      <c r="Z1729" s="22"/>
      <c r="AA1729" s="22"/>
      <c r="AB1729" s="22"/>
      <c r="AC1729" s="22"/>
      <c r="AD1729" s="22"/>
      <c r="AE1729" s="24"/>
      <c r="AF1729" s="24" t="s">
        <v>2042</v>
      </c>
      <c r="AG1729" s="22"/>
      <c r="AH1729" s="23"/>
      <c r="AI1729" s="23" t="s">
        <v>512</v>
      </c>
      <c r="AJ1729" s="23"/>
      <c r="AK1729" s="40" t="s">
        <v>530</v>
      </c>
      <c r="AL1729" s="40"/>
      <c r="AX1729" s="27"/>
      <c r="AY1729" s="27"/>
      <c r="BK1729" s="27"/>
      <c r="BL1729" s="27"/>
      <c r="BX1729" s="27"/>
      <c r="BY1729" s="27"/>
      <c r="CH1729" s="29"/>
      <c r="CI1729" s="23" t="s">
        <v>432</v>
      </c>
      <c r="CJ1729" s="28" t="s">
        <v>0</v>
      </c>
      <c r="CM1729" s="23" t="s">
        <v>499</v>
      </c>
    </row>
    <row r="1730" spans="1:91" x14ac:dyDescent="0.2">
      <c r="A1730" s="18">
        <v>5001</v>
      </c>
      <c r="B1730" s="19">
        <v>49</v>
      </c>
      <c r="C1730" s="19">
        <f t="shared" si="110"/>
        <v>50010049</v>
      </c>
      <c r="D1730" s="19" t="s">
        <v>452</v>
      </c>
      <c r="E1730" s="20" t="s">
        <v>1125</v>
      </c>
      <c r="I1730" s="22" t="s">
        <v>98</v>
      </c>
      <c r="J1730" s="22"/>
      <c r="K1730" s="22"/>
      <c r="L1730" s="22"/>
      <c r="M1730" s="22"/>
      <c r="N1730" s="22" t="s">
        <v>433</v>
      </c>
      <c r="O1730" s="22" t="s">
        <v>433</v>
      </c>
      <c r="P1730" s="116"/>
      <c r="Q1730" s="116" t="s">
        <v>433</v>
      </c>
      <c r="R1730" s="116" t="s">
        <v>181</v>
      </c>
      <c r="S1730" s="116" t="s">
        <v>687</v>
      </c>
      <c r="T1730" s="116" t="s">
        <v>2219</v>
      </c>
      <c r="U1730" s="116" t="s">
        <v>3183</v>
      </c>
      <c r="V1730" s="22" t="s">
        <v>1831</v>
      </c>
      <c r="W1730" s="22" t="s">
        <v>1</v>
      </c>
      <c r="X1730" s="22"/>
      <c r="Z1730" s="22"/>
      <c r="AA1730" s="22"/>
      <c r="AB1730" s="22"/>
      <c r="AC1730" s="22"/>
      <c r="AD1730" s="22"/>
      <c r="AE1730" s="24"/>
      <c r="AF1730" s="24" t="s">
        <v>2042</v>
      </c>
      <c r="AG1730" s="22"/>
      <c r="AH1730" s="23"/>
      <c r="AI1730" s="23" t="s">
        <v>513</v>
      </c>
      <c r="AJ1730" s="23"/>
      <c r="AK1730" s="40" t="s">
        <v>531</v>
      </c>
      <c r="AL1730" s="40"/>
      <c r="AX1730" s="27"/>
      <c r="AY1730" s="27"/>
      <c r="BK1730" s="27"/>
      <c r="BL1730" s="27"/>
      <c r="BX1730" s="27"/>
      <c r="BY1730" s="27"/>
      <c r="CH1730" s="29"/>
      <c r="CI1730" s="23" t="s">
        <v>432</v>
      </c>
      <c r="CJ1730" s="28" t="s">
        <v>0</v>
      </c>
      <c r="CM1730" s="23" t="s">
        <v>344</v>
      </c>
    </row>
    <row r="1731" spans="1:91" x14ac:dyDescent="0.2">
      <c r="A1731" s="18">
        <v>5001</v>
      </c>
      <c r="B1731" s="19">
        <v>50</v>
      </c>
      <c r="C1731" s="19">
        <f t="shared" si="110"/>
        <v>50010050</v>
      </c>
      <c r="D1731" s="19" t="s">
        <v>453</v>
      </c>
      <c r="E1731" s="20" t="s">
        <v>1125</v>
      </c>
      <c r="I1731" s="22" t="s">
        <v>98</v>
      </c>
      <c r="J1731" s="22"/>
      <c r="K1731" s="22"/>
      <c r="L1731" s="22"/>
      <c r="M1731" s="22"/>
      <c r="N1731" s="22" t="s">
        <v>433</v>
      </c>
      <c r="O1731" s="22" t="s">
        <v>433</v>
      </c>
      <c r="P1731" s="116"/>
      <c r="Q1731" s="116" t="s">
        <v>433</v>
      </c>
      <c r="R1731" s="116" t="s">
        <v>181</v>
      </c>
      <c r="S1731" s="116" t="s">
        <v>687</v>
      </c>
      <c r="T1731" s="116" t="s">
        <v>2219</v>
      </c>
      <c r="U1731" s="116" t="s">
        <v>3184</v>
      </c>
      <c r="V1731" s="22" t="s">
        <v>1831</v>
      </c>
      <c r="W1731" s="22" t="s">
        <v>1</v>
      </c>
      <c r="X1731" s="22"/>
      <c r="Z1731" s="22"/>
      <c r="AA1731" s="22"/>
      <c r="AB1731" s="22"/>
      <c r="AC1731" s="22"/>
      <c r="AD1731" s="22"/>
      <c r="AE1731" s="24"/>
      <c r="AF1731" s="24" t="s">
        <v>2042</v>
      </c>
      <c r="AG1731" s="22"/>
      <c r="AH1731" s="23"/>
      <c r="AI1731" s="23" t="s">
        <v>514</v>
      </c>
      <c r="AJ1731" s="23"/>
      <c r="AK1731" s="40" t="s">
        <v>532</v>
      </c>
      <c r="AL1731" s="40"/>
      <c r="AX1731" s="27"/>
      <c r="AY1731" s="27"/>
      <c r="BK1731" s="27"/>
      <c r="BL1731" s="27"/>
      <c r="BX1731" s="27"/>
      <c r="BY1731" s="27"/>
      <c r="CH1731" s="29"/>
      <c r="CI1731" s="23" t="s">
        <v>432</v>
      </c>
      <c r="CJ1731" s="28" t="s">
        <v>0</v>
      </c>
      <c r="CM1731" s="23" t="s">
        <v>500</v>
      </c>
    </row>
    <row r="1732" spans="1:91" x14ac:dyDescent="0.2">
      <c r="A1732" s="18">
        <v>5001</v>
      </c>
      <c r="B1732" s="19">
        <v>51</v>
      </c>
      <c r="C1732" s="19">
        <f t="shared" si="110"/>
        <v>50010051</v>
      </c>
      <c r="D1732" s="19" t="s">
        <v>569</v>
      </c>
      <c r="E1732" s="20" t="s">
        <v>1125</v>
      </c>
      <c r="I1732" s="22" t="s">
        <v>98</v>
      </c>
      <c r="J1732" s="22"/>
      <c r="K1732" s="22"/>
      <c r="L1732" s="22"/>
      <c r="M1732" s="22"/>
      <c r="N1732" s="22" t="s">
        <v>433</v>
      </c>
      <c r="O1732" s="22" t="s">
        <v>433</v>
      </c>
      <c r="P1732" s="116"/>
      <c r="Q1732" s="116" t="s">
        <v>433</v>
      </c>
      <c r="R1732" s="116" t="s">
        <v>181</v>
      </c>
      <c r="S1732" s="116" t="s">
        <v>687</v>
      </c>
      <c r="T1732" s="116" t="s">
        <v>2219</v>
      </c>
      <c r="U1732" s="116" t="s">
        <v>3185</v>
      </c>
      <c r="V1732" s="22" t="s">
        <v>1831</v>
      </c>
      <c r="W1732" s="22" t="s">
        <v>1</v>
      </c>
      <c r="X1732" s="22"/>
      <c r="Z1732" s="22"/>
      <c r="AA1732" s="22"/>
      <c r="AB1732" s="22"/>
      <c r="AC1732" s="22"/>
      <c r="AD1732" s="22"/>
      <c r="AE1732" s="24"/>
      <c r="AF1732" s="24" t="s">
        <v>2042</v>
      </c>
      <c r="AG1732" s="22"/>
      <c r="AH1732" s="23"/>
      <c r="AI1732" s="23" t="s">
        <v>579</v>
      </c>
      <c r="AJ1732" s="23"/>
      <c r="AK1732" s="40" t="s">
        <v>588</v>
      </c>
      <c r="AL1732" s="40"/>
      <c r="AX1732" s="27"/>
      <c r="AY1732" s="27"/>
      <c r="BK1732" s="27"/>
      <c r="BL1732" s="27"/>
      <c r="BX1732" s="27"/>
      <c r="BY1732" s="27"/>
      <c r="CH1732" s="29"/>
      <c r="CI1732" s="23" t="s">
        <v>432</v>
      </c>
      <c r="CJ1732" s="28" t="s">
        <v>0</v>
      </c>
      <c r="CM1732" s="23" t="s">
        <v>368</v>
      </c>
    </row>
    <row r="1733" spans="1:91" x14ac:dyDescent="0.2">
      <c r="A1733" s="18">
        <v>5001</v>
      </c>
      <c r="B1733" s="19">
        <v>52</v>
      </c>
      <c r="C1733" s="19">
        <f t="shared" si="110"/>
        <v>50010052</v>
      </c>
      <c r="D1733" s="19" t="s">
        <v>570</v>
      </c>
      <c r="E1733" s="20" t="s">
        <v>1125</v>
      </c>
      <c r="I1733" s="22" t="s">
        <v>98</v>
      </c>
      <c r="J1733" s="22"/>
      <c r="K1733" s="22"/>
      <c r="L1733" s="22"/>
      <c r="M1733" s="22"/>
      <c r="N1733" s="22" t="s">
        <v>433</v>
      </c>
      <c r="O1733" s="22" t="s">
        <v>433</v>
      </c>
      <c r="P1733" s="116"/>
      <c r="Q1733" s="116" t="s">
        <v>433</v>
      </c>
      <c r="R1733" s="116" t="s">
        <v>181</v>
      </c>
      <c r="S1733" s="116" t="s">
        <v>687</v>
      </c>
      <c r="T1733" s="116" t="s">
        <v>2219</v>
      </c>
      <c r="U1733" s="116" t="s">
        <v>3186</v>
      </c>
      <c r="V1733" s="22" t="s">
        <v>1831</v>
      </c>
      <c r="W1733" s="22" t="s">
        <v>1</v>
      </c>
      <c r="X1733" s="22"/>
      <c r="Z1733" s="22"/>
      <c r="AA1733" s="22"/>
      <c r="AB1733" s="22"/>
      <c r="AC1733" s="22"/>
      <c r="AD1733" s="22"/>
      <c r="AE1733" s="24"/>
      <c r="AF1733" s="24" t="s">
        <v>2042</v>
      </c>
      <c r="AG1733" s="22"/>
      <c r="AH1733" s="23"/>
      <c r="AI1733" s="23" t="s">
        <v>580</v>
      </c>
      <c r="AJ1733" s="23"/>
      <c r="AK1733" s="40" t="s">
        <v>589</v>
      </c>
      <c r="AL1733" s="40"/>
      <c r="AX1733" s="27"/>
      <c r="AY1733" s="27"/>
      <c r="BK1733" s="27"/>
      <c r="BL1733" s="27"/>
      <c r="BX1733" s="27"/>
      <c r="BY1733" s="27"/>
      <c r="CH1733" s="29"/>
      <c r="CI1733" s="23" t="s">
        <v>432</v>
      </c>
      <c r="CJ1733" s="28" t="s">
        <v>0</v>
      </c>
      <c r="CM1733" s="23" t="s">
        <v>501</v>
      </c>
    </row>
    <row r="1734" spans="1:91" x14ac:dyDescent="0.2">
      <c r="A1734" s="18">
        <v>5001</v>
      </c>
      <c r="B1734" s="19">
        <v>53</v>
      </c>
      <c r="C1734" s="19">
        <f t="shared" si="110"/>
        <v>50010053</v>
      </c>
      <c r="D1734" s="19" t="s">
        <v>571</v>
      </c>
      <c r="E1734" s="20" t="s">
        <v>1125</v>
      </c>
      <c r="I1734" s="22" t="s">
        <v>98</v>
      </c>
      <c r="J1734" s="22"/>
      <c r="K1734" s="22"/>
      <c r="L1734" s="22"/>
      <c r="M1734" s="22"/>
      <c r="N1734" s="22" t="s">
        <v>433</v>
      </c>
      <c r="O1734" s="22" t="s">
        <v>433</v>
      </c>
      <c r="P1734" s="116"/>
      <c r="Q1734" s="116" t="s">
        <v>433</v>
      </c>
      <c r="R1734" s="116" t="s">
        <v>181</v>
      </c>
      <c r="S1734" s="116" t="s">
        <v>687</v>
      </c>
      <c r="T1734" s="116" t="s">
        <v>2219</v>
      </c>
      <c r="U1734" s="116" t="s">
        <v>3187</v>
      </c>
      <c r="V1734" s="22" t="s">
        <v>1831</v>
      </c>
      <c r="W1734" s="22" t="s">
        <v>1</v>
      </c>
      <c r="X1734" s="22"/>
      <c r="Z1734" s="22"/>
      <c r="AA1734" s="22"/>
      <c r="AB1734" s="22"/>
      <c r="AC1734" s="22"/>
      <c r="AD1734" s="22"/>
      <c r="AE1734" s="24"/>
      <c r="AF1734" s="24" t="s">
        <v>2042</v>
      </c>
      <c r="AG1734" s="22"/>
      <c r="AH1734" s="23"/>
      <c r="AI1734" s="23" t="s">
        <v>581</v>
      </c>
      <c r="AJ1734" s="23"/>
      <c r="AK1734" s="40" t="s">
        <v>590</v>
      </c>
      <c r="AL1734" s="40"/>
      <c r="AX1734" s="27"/>
      <c r="AY1734" s="27"/>
      <c r="BK1734" s="27"/>
      <c r="BL1734" s="27"/>
      <c r="BX1734" s="27"/>
      <c r="BY1734" s="27"/>
      <c r="CH1734" s="29"/>
      <c r="CI1734" s="23" t="s">
        <v>432</v>
      </c>
      <c r="CJ1734" s="28" t="s">
        <v>0</v>
      </c>
      <c r="CM1734" s="23" t="s">
        <v>369</v>
      </c>
    </row>
    <row r="1735" spans="1:91" x14ac:dyDescent="0.2">
      <c r="A1735" s="18">
        <v>5001</v>
      </c>
      <c r="B1735" s="19">
        <v>54</v>
      </c>
      <c r="C1735" s="19">
        <f t="shared" si="110"/>
        <v>50010054</v>
      </c>
      <c r="D1735" s="19" t="s">
        <v>572</v>
      </c>
      <c r="E1735" s="20" t="s">
        <v>1125</v>
      </c>
      <c r="I1735" s="22" t="s">
        <v>98</v>
      </c>
      <c r="J1735" s="22"/>
      <c r="K1735" s="22"/>
      <c r="L1735" s="22"/>
      <c r="M1735" s="22"/>
      <c r="N1735" s="22" t="s">
        <v>433</v>
      </c>
      <c r="O1735" s="22" t="s">
        <v>433</v>
      </c>
      <c r="P1735" s="116"/>
      <c r="Q1735" s="116" t="s">
        <v>433</v>
      </c>
      <c r="R1735" s="116" t="s">
        <v>181</v>
      </c>
      <c r="S1735" s="116" t="s">
        <v>687</v>
      </c>
      <c r="T1735" s="116" t="s">
        <v>2219</v>
      </c>
      <c r="U1735" s="116" t="s">
        <v>3188</v>
      </c>
      <c r="V1735" s="22" t="s">
        <v>1831</v>
      </c>
      <c r="W1735" s="22" t="s">
        <v>1</v>
      </c>
      <c r="X1735" s="22"/>
      <c r="Z1735" s="22"/>
      <c r="AA1735" s="22"/>
      <c r="AB1735" s="22"/>
      <c r="AC1735" s="22"/>
      <c r="AD1735" s="22"/>
      <c r="AE1735" s="24"/>
      <c r="AF1735" s="24" t="s">
        <v>2042</v>
      </c>
      <c r="AG1735" s="22"/>
      <c r="AH1735" s="23"/>
      <c r="AI1735" s="23" t="s">
        <v>582</v>
      </c>
      <c r="AJ1735" s="23"/>
      <c r="AK1735" s="40" t="s">
        <v>591</v>
      </c>
      <c r="AL1735" s="40"/>
      <c r="AX1735" s="27"/>
      <c r="AY1735" s="27"/>
      <c r="BK1735" s="27"/>
      <c r="BL1735" s="27"/>
      <c r="BX1735" s="27"/>
      <c r="BY1735" s="27"/>
      <c r="CH1735" s="29"/>
      <c r="CI1735" s="23" t="s">
        <v>432</v>
      </c>
      <c r="CJ1735" s="28" t="s">
        <v>0</v>
      </c>
      <c r="CM1735" s="23" t="s">
        <v>502</v>
      </c>
    </row>
    <row r="1736" spans="1:91" x14ac:dyDescent="0.2">
      <c r="A1736" s="18">
        <v>5001</v>
      </c>
      <c r="B1736" s="19">
        <v>55</v>
      </c>
      <c r="C1736" s="19">
        <f t="shared" si="110"/>
        <v>50010055</v>
      </c>
      <c r="D1736" s="19" t="s">
        <v>573</v>
      </c>
      <c r="E1736" s="20" t="s">
        <v>1125</v>
      </c>
      <c r="I1736" s="22" t="s">
        <v>98</v>
      </c>
      <c r="J1736" s="22"/>
      <c r="K1736" s="22"/>
      <c r="L1736" s="22"/>
      <c r="M1736" s="22"/>
      <c r="N1736" s="22" t="s">
        <v>433</v>
      </c>
      <c r="O1736" s="22" t="s">
        <v>433</v>
      </c>
      <c r="P1736" s="116"/>
      <c r="Q1736" s="116" t="s">
        <v>433</v>
      </c>
      <c r="R1736" s="116" t="s">
        <v>181</v>
      </c>
      <c r="S1736" s="116" t="s">
        <v>687</v>
      </c>
      <c r="T1736" s="116" t="s">
        <v>2219</v>
      </c>
      <c r="U1736" s="116" t="s">
        <v>3189</v>
      </c>
      <c r="V1736" s="22" t="s">
        <v>1831</v>
      </c>
      <c r="W1736" s="22" t="s">
        <v>1</v>
      </c>
      <c r="X1736" s="22"/>
      <c r="Z1736" s="22"/>
      <c r="AA1736" s="22"/>
      <c r="AB1736" s="22"/>
      <c r="AC1736" s="22"/>
      <c r="AD1736" s="22"/>
      <c r="AE1736" s="24"/>
      <c r="AF1736" s="24" t="s">
        <v>2042</v>
      </c>
      <c r="AG1736" s="22"/>
      <c r="AH1736" s="23"/>
      <c r="AI1736" s="23" t="s">
        <v>240</v>
      </c>
      <c r="AJ1736" s="23"/>
      <c r="AK1736" s="40" t="s">
        <v>562</v>
      </c>
      <c r="AL1736" s="40"/>
      <c r="AX1736" s="27"/>
      <c r="AY1736" s="27"/>
      <c r="BK1736" s="27"/>
      <c r="BL1736" s="27"/>
      <c r="BX1736" s="27"/>
      <c r="BY1736" s="27"/>
      <c r="CH1736" s="29"/>
      <c r="CI1736" s="23" t="s">
        <v>432</v>
      </c>
      <c r="CJ1736" s="28" t="s">
        <v>0</v>
      </c>
      <c r="CM1736" s="23" t="s">
        <v>370</v>
      </c>
    </row>
    <row r="1737" spans="1:91" x14ac:dyDescent="0.2">
      <c r="A1737" s="18">
        <v>5001</v>
      </c>
      <c r="B1737" s="19">
        <v>56</v>
      </c>
      <c r="C1737" s="19">
        <f t="shared" si="110"/>
        <v>50010056</v>
      </c>
      <c r="D1737" s="19" t="s">
        <v>574</v>
      </c>
      <c r="E1737" s="20" t="s">
        <v>1125</v>
      </c>
      <c r="I1737" s="22" t="s">
        <v>98</v>
      </c>
      <c r="J1737" s="22"/>
      <c r="K1737" s="22"/>
      <c r="L1737" s="22"/>
      <c r="M1737" s="22"/>
      <c r="N1737" s="22" t="s">
        <v>433</v>
      </c>
      <c r="O1737" s="22" t="s">
        <v>433</v>
      </c>
      <c r="P1737" s="116"/>
      <c r="Q1737" s="116" t="s">
        <v>433</v>
      </c>
      <c r="R1737" s="116" t="s">
        <v>181</v>
      </c>
      <c r="S1737" s="116" t="s">
        <v>687</v>
      </c>
      <c r="T1737" s="116" t="s">
        <v>2219</v>
      </c>
      <c r="U1737" s="116" t="s">
        <v>3190</v>
      </c>
      <c r="V1737" s="22" t="s">
        <v>1831</v>
      </c>
      <c r="W1737" s="22" t="s">
        <v>1</v>
      </c>
      <c r="X1737" s="22"/>
      <c r="Z1737" s="22"/>
      <c r="AA1737" s="22"/>
      <c r="AB1737" s="22"/>
      <c r="AC1737" s="22"/>
      <c r="AD1737" s="22"/>
      <c r="AE1737" s="24"/>
      <c r="AF1737" s="24" t="s">
        <v>2042</v>
      </c>
      <c r="AG1737" s="22"/>
      <c r="AH1737" s="23"/>
      <c r="AI1737" s="23" t="s">
        <v>583</v>
      </c>
      <c r="AJ1737" s="23"/>
      <c r="AK1737" s="40" t="s">
        <v>564</v>
      </c>
      <c r="AL1737" s="40"/>
      <c r="AX1737" s="27"/>
      <c r="AY1737" s="27"/>
      <c r="BK1737" s="27"/>
      <c r="BL1737" s="27"/>
      <c r="BX1737" s="27"/>
      <c r="BY1737" s="27"/>
      <c r="CH1737" s="29"/>
      <c r="CI1737" s="23" t="s">
        <v>432</v>
      </c>
      <c r="CJ1737" s="28" t="s">
        <v>0</v>
      </c>
      <c r="CM1737" s="23" t="s">
        <v>503</v>
      </c>
    </row>
    <row r="1738" spans="1:91" x14ac:dyDescent="0.2">
      <c r="A1738" s="18">
        <v>5001</v>
      </c>
      <c r="B1738" s="19">
        <v>57</v>
      </c>
      <c r="C1738" s="19">
        <f t="shared" si="110"/>
        <v>50010057</v>
      </c>
      <c r="D1738" s="19" t="s">
        <v>575</v>
      </c>
      <c r="E1738" s="20" t="s">
        <v>1125</v>
      </c>
      <c r="I1738" s="22" t="s">
        <v>98</v>
      </c>
      <c r="J1738" s="22"/>
      <c r="K1738" s="22"/>
      <c r="L1738" s="22"/>
      <c r="M1738" s="22"/>
      <c r="N1738" s="22" t="s">
        <v>433</v>
      </c>
      <c r="O1738" s="22" t="s">
        <v>433</v>
      </c>
      <c r="P1738" s="116"/>
      <c r="Q1738" s="116" t="s">
        <v>433</v>
      </c>
      <c r="R1738" s="116" t="s">
        <v>181</v>
      </c>
      <c r="S1738" s="116" t="s">
        <v>687</v>
      </c>
      <c r="T1738" s="116" t="s">
        <v>2219</v>
      </c>
      <c r="U1738" s="116" t="s">
        <v>3191</v>
      </c>
      <c r="V1738" s="22" t="s">
        <v>1831</v>
      </c>
      <c r="W1738" s="22" t="s">
        <v>1</v>
      </c>
      <c r="X1738" s="22"/>
      <c r="Z1738" s="22"/>
      <c r="AA1738" s="22"/>
      <c r="AB1738" s="22"/>
      <c r="AC1738" s="22"/>
      <c r="AD1738" s="22"/>
      <c r="AE1738" s="24"/>
      <c r="AF1738" s="24" t="s">
        <v>2042</v>
      </c>
      <c r="AG1738" s="22"/>
      <c r="AH1738" s="23"/>
      <c r="AI1738" s="23" t="s">
        <v>584</v>
      </c>
      <c r="AJ1738" s="23"/>
      <c r="AK1738" s="40" t="s">
        <v>566</v>
      </c>
      <c r="AL1738" s="40"/>
      <c r="AX1738" s="27"/>
      <c r="AY1738" s="27"/>
      <c r="BK1738" s="27"/>
      <c r="BL1738" s="27"/>
      <c r="BX1738" s="27"/>
      <c r="BY1738" s="27"/>
      <c r="CH1738" s="29"/>
      <c r="CI1738" s="23" t="s">
        <v>432</v>
      </c>
      <c r="CJ1738" s="28" t="s">
        <v>0</v>
      </c>
      <c r="CM1738" s="23" t="s">
        <v>371</v>
      </c>
    </row>
    <row r="1739" spans="1:91" x14ac:dyDescent="0.2">
      <c r="A1739" s="18">
        <v>5001</v>
      </c>
      <c r="B1739" s="19">
        <v>58</v>
      </c>
      <c r="C1739" s="19">
        <f t="shared" si="110"/>
        <v>50010058</v>
      </c>
      <c r="D1739" s="19" t="s">
        <v>576</v>
      </c>
      <c r="E1739" s="20" t="s">
        <v>1125</v>
      </c>
      <c r="I1739" s="22" t="s">
        <v>98</v>
      </c>
      <c r="J1739" s="22"/>
      <c r="K1739" s="22"/>
      <c r="L1739" s="22"/>
      <c r="M1739" s="22"/>
      <c r="N1739" s="22" t="s">
        <v>433</v>
      </c>
      <c r="O1739" s="22" t="s">
        <v>433</v>
      </c>
      <c r="P1739" s="116"/>
      <c r="Q1739" s="116" t="s">
        <v>433</v>
      </c>
      <c r="R1739" s="116" t="s">
        <v>181</v>
      </c>
      <c r="S1739" s="116" t="s">
        <v>687</v>
      </c>
      <c r="T1739" s="116" t="s">
        <v>2219</v>
      </c>
      <c r="U1739" s="116" t="s">
        <v>3192</v>
      </c>
      <c r="V1739" s="22" t="s">
        <v>1831</v>
      </c>
      <c r="W1739" s="22" t="s">
        <v>1</v>
      </c>
      <c r="X1739" s="22"/>
      <c r="Z1739" s="22"/>
      <c r="AA1739" s="22"/>
      <c r="AB1739" s="22"/>
      <c r="AC1739" s="22"/>
      <c r="AD1739" s="22"/>
      <c r="AE1739" s="24"/>
      <c r="AF1739" s="24" t="s">
        <v>2042</v>
      </c>
      <c r="AG1739" s="22"/>
      <c r="AH1739" s="23"/>
      <c r="AI1739" s="23" t="s">
        <v>585</v>
      </c>
      <c r="AJ1739" s="23"/>
      <c r="AK1739" s="40" t="s">
        <v>567</v>
      </c>
      <c r="AL1739" s="40"/>
      <c r="AX1739" s="27"/>
      <c r="AY1739" s="27"/>
      <c r="BK1739" s="27"/>
      <c r="BL1739" s="27"/>
      <c r="BX1739" s="27"/>
      <c r="BY1739" s="27"/>
      <c r="CH1739" s="29"/>
      <c r="CI1739" s="23" t="s">
        <v>432</v>
      </c>
      <c r="CJ1739" s="28" t="s">
        <v>0</v>
      </c>
      <c r="CM1739" s="23" t="s">
        <v>504</v>
      </c>
    </row>
    <row r="1740" spans="1:91" x14ac:dyDescent="0.2">
      <c r="A1740" s="18">
        <v>5001</v>
      </c>
      <c r="B1740" s="19">
        <v>59</v>
      </c>
      <c r="C1740" s="19">
        <f t="shared" si="110"/>
        <v>50010059</v>
      </c>
      <c r="D1740" s="19" t="s">
        <v>577</v>
      </c>
      <c r="E1740" s="20" t="s">
        <v>1125</v>
      </c>
      <c r="I1740" s="22" t="s">
        <v>98</v>
      </c>
      <c r="J1740" s="22"/>
      <c r="K1740" s="22"/>
      <c r="L1740" s="22"/>
      <c r="M1740" s="22"/>
      <c r="N1740" s="22" t="s">
        <v>433</v>
      </c>
      <c r="O1740" s="22" t="s">
        <v>433</v>
      </c>
      <c r="P1740" s="116"/>
      <c r="Q1740" s="116" t="s">
        <v>433</v>
      </c>
      <c r="R1740" s="116" t="s">
        <v>181</v>
      </c>
      <c r="S1740" s="116" t="s">
        <v>687</v>
      </c>
      <c r="T1740" s="116" t="s">
        <v>2219</v>
      </c>
      <c r="U1740" s="116" t="s">
        <v>3193</v>
      </c>
      <c r="V1740" s="22" t="s">
        <v>1831</v>
      </c>
      <c r="W1740" s="22" t="s">
        <v>1</v>
      </c>
      <c r="X1740" s="22"/>
      <c r="Z1740" s="22"/>
      <c r="AA1740" s="22"/>
      <c r="AB1740" s="22"/>
      <c r="AC1740" s="22"/>
      <c r="AD1740" s="22"/>
      <c r="AE1740" s="24"/>
      <c r="AF1740" s="24" t="s">
        <v>2042</v>
      </c>
      <c r="AG1740" s="22"/>
      <c r="AH1740" s="23"/>
      <c r="AI1740" s="23" t="s">
        <v>586</v>
      </c>
      <c r="AJ1740" s="23"/>
      <c r="AK1740" s="40" t="s">
        <v>568</v>
      </c>
      <c r="AL1740" s="40"/>
      <c r="AX1740" s="27"/>
      <c r="AY1740" s="27"/>
      <c r="BK1740" s="27"/>
      <c r="BL1740" s="27"/>
      <c r="BX1740" s="27"/>
      <c r="BY1740" s="27"/>
      <c r="CH1740" s="29"/>
      <c r="CI1740" s="23" t="s">
        <v>432</v>
      </c>
      <c r="CJ1740" s="28" t="s">
        <v>0</v>
      </c>
      <c r="CM1740" s="23" t="s">
        <v>372</v>
      </c>
    </row>
    <row r="1741" spans="1:91" x14ac:dyDescent="0.2">
      <c r="A1741" s="18">
        <v>5001</v>
      </c>
      <c r="B1741" s="19">
        <v>60</v>
      </c>
      <c r="C1741" s="19">
        <f t="shared" si="110"/>
        <v>50010060</v>
      </c>
      <c r="D1741" s="19" t="s">
        <v>578</v>
      </c>
      <c r="E1741" s="20" t="s">
        <v>1125</v>
      </c>
      <c r="I1741" s="22" t="s">
        <v>98</v>
      </c>
      <c r="J1741" s="22"/>
      <c r="K1741" s="22"/>
      <c r="L1741" s="22"/>
      <c r="M1741" s="22"/>
      <c r="N1741" s="22" t="s">
        <v>433</v>
      </c>
      <c r="O1741" s="22" t="s">
        <v>433</v>
      </c>
      <c r="P1741" s="116"/>
      <c r="Q1741" s="116" t="s">
        <v>433</v>
      </c>
      <c r="R1741" s="116" t="s">
        <v>181</v>
      </c>
      <c r="S1741" s="116" t="s">
        <v>687</v>
      </c>
      <c r="T1741" s="116" t="s">
        <v>2219</v>
      </c>
      <c r="U1741" s="116" t="s">
        <v>3194</v>
      </c>
      <c r="V1741" s="22" t="s">
        <v>1831</v>
      </c>
      <c r="W1741" s="22" t="s">
        <v>1</v>
      </c>
      <c r="X1741" s="22"/>
      <c r="Z1741" s="22"/>
      <c r="AA1741" s="22"/>
      <c r="AB1741" s="22"/>
      <c r="AC1741" s="22"/>
      <c r="AD1741" s="22"/>
      <c r="AE1741" s="24"/>
      <c r="AF1741" s="24" t="s">
        <v>2042</v>
      </c>
      <c r="AG1741" s="22"/>
      <c r="AH1741" s="23"/>
      <c r="AI1741" s="23" t="s">
        <v>587</v>
      </c>
      <c r="AJ1741" s="23"/>
      <c r="AK1741" s="40" t="s">
        <v>592</v>
      </c>
      <c r="AL1741" s="40"/>
      <c r="AX1741" s="27"/>
      <c r="AY1741" s="27"/>
      <c r="BK1741" s="27"/>
      <c r="BL1741" s="27"/>
      <c r="BX1741" s="27"/>
      <c r="BY1741" s="27"/>
      <c r="CH1741" s="29"/>
      <c r="CI1741" s="23" t="s">
        <v>432</v>
      </c>
      <c r="CJ1741" s="28" t="s">
        <v>0</v>
      </c>
      <c r="CM1741" s="23" t="s">
        <v>505</v>
      </c>
    </row>
    <row r="1742" spans="1:91" x14ac:dyDescent="0.2">
      <c r="A1742" s="18">
        <v>5001</v>
      </c>
      <c r="B1742" s="19">
        <v>61</v>
      </c>
      <c r="C1742" s="19">
        <f t="shared" si="110"/>
        <v>50010061</v>
      </c>
      <c r="D1742" s="19" t="s">
        <v>719</v>
      </c>
      <c r="E1742" s="20" t="s">
        <v>1125</v>
      </c>
      <c r="I1742" s="22" t="s">
        <v>98</v>
      </c>
      <c r="J1742" s="22"/>
      <c r="K1742" s="22"/>
      <c r="L1742" s="22"/>
      <c r="M1742" s="22"/>
      <c r="N1742" s="22" t="s">
        <v>433</v>
      </c>
      <c r="O1742" s="22" t="s">
        <v>433</v>
      </c>
      <c r="P1742" s="116"/>
      <c r="Q1742" s="116" t="s">
        <v>433</v>
      </c>
      <c r="R1742" s="116" t="s">
        <v>181</v>
      </c>
      <c r="S1742" s="116" t="s">
        <v>687</v>
      </c>
      <c r="T1742" s="116" t="s">
        <v>2219</v>
      </c>
      <c r="U1742" s="116" t="s">
        <v>3195</v>
      </c>
      <c r="V1742" s="22" t="s">
        <v>1831</v>
      </c>
      <c r="W1742" s="22" t="s">
        <v>1</v>
      </c>
      <c r="X1742" s="22"/>
      <c r="Z1742" s="22"/>
      <c r="AA1742" s="22"/>
      <c r="AB1742" s="22"/>
      <c r="AC1742" s="22"/>
      <c r="AD1742" s="22"/>
      <c r="AE1742" s="24"/>
      <c r="AF1742" s="24" t="s">
        <v>2042</v>
      </c>
      <c r="AG1742" s="22"/>
      <c r="AH1742" s="23"/>
      <c r="AI1742" s="23" t="s">
        <v>724</v>
      </c>
      <c r="AJ1742" s="23"/>
      <c r="AK1742" s="40" t="s">
        <v>728</v>
      </c>
      <c r="AL1742" s="40"/>
      <c r="AX1742" s="27"/>
      <c r="AY1742" s="27"/>
      <c r="BK1742" s="27"/>
      <c r="BL1742" s="27"/>
      <c r="BX1742" s="27"/>
      <c r="BY1742" s="27"/>
      <c r="CH1742" s="29"/>
      <c r="CI1742" s="23" t="s">
        <v>432</v>
      </c>
      <c r="CJ1742" s="28" t="s">
        <v>0</v>
      </c>
      <c r="CM1742" s="23" t="s">
        <v>506</v>
      </c>
    </row>
    <row r="1743" spans="1:91" x14ac:dyDescent="0.2">
      <c r="A1743" s="18">
        <v>5001</v>
      </c>
      <c r="B1743" s="19">
        <v>62</v>
      </c>
      <c r="C1743" s="19">
        <f t="shared" si="110"/>
        <v>50010062</v>
      </c>
      <c r="D1743" s="19" t="s">
        <v>720</v>
      </c>
      <c r="E1743" s="20" t="s">
        <v>1125</v>
      </c>
      <c r="I1743" s="22" t="s">
        <v>98</v>
      </c>
      <c r="J1743" s="22"/>
      <c r="K1743" s="22"/>
      <c r="L1743" s="22"/>
      <c r="M1743" s="22"/>
      <c r="N1743" s="22" t="s">
        <v>433</v>
      </c>
      <c r="O1743" s="22" t="s">
        <v>433</v>
      </c>
      <c r="P1743" s="116"/>
      <c r="Q1743" s="116" t="s">
        <v>433</v>
      </c>
      <c r="R1743" s="116" t="s">
        <v>181</v>
      </c>
      <c r="S1743" s="116" t="s">
        <v>687</v>
      </c>
      <c r="T1743" s="116" t="s">
        <v>2219</v>
      </c>
      <c r="U1743" s="116" t="s">
        <v>3196</v>
      </c>
      <c r="V1743" s="22" t="s">
        <v>1831</v>
      </c>
      <c r="W1743" s="22" t="s">
        <v>1</v>
      </c>
      <c r="X1743" s="22"/>
      <c r="Z1743" s="22"/>
      <c r="AA1743" s="22"/>
      <c r="AB1743" s="22"/>
      <c r="AC1743" s="22"/>
      <c r="AD1743" s="22"/>
      <c r="AE1743" s="24"/>
      <c r="AF1743" s="24" t="s">
        <v>2042</v>
      </c>
      <c r="AG1743" s="22"/>
      <c r="AH1743" s="23"/>
      <c r="AI1743" s="23" t="s">
        <v>725</v>
      </c>
      <c r="AJ1743" s="23"/>
      <c r="AK1743" s="40" t="s">
        <v>729</v>
      </c>
      <c r="AL1743" s="40"/>
      <c r="AX1743" s="27"/>
      <c r="AY1743" s="27"/>
      <c r="BK1743" s="27"/>
      <c r="BL1743" s="27"/>
      <c r="BX1743" s="27"/>
      <c r="BY1743" s="27"/>
      <c r="CH1743" s="29"/>
      <c r="CI1743" s="23" t="s">
        <v>432</v>
      </c>
      <c r="CJ1743" s="28" t="s">
        <v>0</v>
      </c>
      <c r="CM1743" s="23" t="s">
        <v>507</v>
      </c>
    </row>
    <row r="1744" spans="1:91" x14ac:dyDescent="0.2">
      <c r="A1744" s="18">
        <v>5001</v>
      </c>
      <c r="B1744" s="19">
        <v>63</v>
      </c>
      <c r="C1744" s="19">
        <f t="shared" si="110"/>
        <v>50010063</v>
      </c>
      <c r="D1744" s="19" t="s">
        <v>721</v>
      </c>
      <c r="E1744" s="20" t="s">
        <v>1125</v>
      </c>
      <c r="I1744" s="22" t="s">
        <v>98</v>
      </c>
      <c r="J1744" s="22"/>
      <c r="K1744" s="22"/>
      <c r="L1744" s="22"/>
      <c r="M1744" s="22"/>
      <c r="N1744" s="22" t="s">
        <v>433</v>
      </c>
      <c r="O1744" s="22" t="s">
        <v>433</v>
      </c>
      <c r="P1744" s="116"/>
      <c r="Q1744" s="116" t="s">
        <v>433</v>
      </c>
      <c r="R1744" s="116" t="s">
        <v>181</v>
      </c>
      <c r="S1744" s="116" t="s">
        <v>687</v>
      </c>
      <c r="T1744" s="116" t="s">
        <v>2219</v>
      </c>
      <c r="U1744" s="116" t="s">
        <v>3197</v>
      </c>
      <c r="V1744" s="22" t="s">
        <v>1831</v>
      </c>
      <c r="W1744" s="22" t="s">
        <v>1</v>
      </c>
      <c r="X1744" s="22"/>
      <c r="Z1744" s="22"/>
      <c r="AA1744" s="22"/>
      <c r="AB1744" s="22"/>
      <c r="AC1744" s="22"/>
      <c r="AD1744" s="22"/>
      <c r="AE1744" s="24"/>
      <c r="AF1744" s="24" t="s">
        <v>2042</v>
      </c>
      <c r="AG1744" s="22"/>
      <c r="AH1744" s="23"/>
      <c r="AI1744" s="23" t="s">
        <v>726</v>
      </c>
      <c r="AJ1744" s="23"/>
      <c r="AK1744" s="40" t="s">
        <v>730</v>
      </c>
      <c r="AL1744" s="40"/>
      <c r="AX1744" s="27"/>
      <c r="AY1744" s="27"/>
      <c r="BK1744" s="27"/>
      <c r="BL1744" s="27"/>
      <c r="BX1744" s="27"/>
      <c r="BY1744" s="27"/>
      <c r="CH1744" s="29"/>
      <c r="CI1744" s="23" t="s">
        <v>432</v>
      </c>
      <c r="CJ1744" s="28" t="s">
        <v>0</v>
      </c>
      <c r="CM1744" s="23" t="s">
        <v>508</v>
      </c>
    </row>
    <row r="1745" spans="1:91" x14ac:dyDescent="0.2">
      <c r="A1745" s="18">
        <v>5001</v>
      </c>
      <c r="B1745" s="19">
        <v>64</v>
      </c>
      <c r="C1745" s="19">
        <f t="shared" si="110"/>
        <v>50010064</v>
      </c>
      <c r="D1745" s="19" t="s">
        <v>722</v>
      </c>
      <c r="E1745" s="20" t="s">
        <v>1125</v>
      </c>
      <c r="I1745" s="22" t="s">
        <v>98</v>
      </c>
      <c r="J1745" s="22"/>
      <c r="K1745" s="22"/>
      <c r="L1745" s="22"/>
      <c r="M1745" s="22"/>
      <c r="N1745" s="22" t="s">
        <v>433</v>
      </c>
      <c r="O1745" s="22" t="s">
        <v>433</v>
      </c>
      <c r="P1745" s="116"/>
      <c r="Q1745" s="116" t="s">
        <v>433</v>
      </c>
      <c r="R1745" s="116" t="s">
        <v>181</v>
      </c>
      <c r="S1745" s="116" t="s">
        <v>687</v>
      </c>
      <c r="T1745" s="116" t="s">
        <v>2219</v>
      </c>
      <c r="U1745" s="116" t="s">
        <v>3198</v>
      </c>
      <c r="V1745" s="22" t="s">
        <v>1831</v>
      </c>
      <c r="W1745" s="22" t="s">
        <v>1</v>
      </c>
      <c r="X1745" s="22"/>
      <c r="Z1745" s="22"/>
      <c r="AA1745" s="22"/>
      <c r="AB1745" s="22"/>
      <c r="AC1745" s="22"/>
      <c r="AD1745" s="22"/>
      <c r="AE1745" s="24"/>
      <c r="AF1745" s="24" t="s">
        <v>2042</v>
      </c>
      <c r="AG1745" s="22"/>
      <c r="AH1745" s="23"/>
      <c r="AI1745" s="23" t="s">
        <v>727</v>
      </c>
      <c r="AJ1745" s="23"/>
      <c r="AK1745" s="40" t="s">
        <v>102</v>
      </c>
      <c r="AL1745" s="40"/>
      <c r="AX1745" s="27"/>
      <c r="AY1745" s="27"/>
      <c r="BK1745" s="27"/>
      <c r="BL1745" s="27"/>
      <c r="BX1745" s="27"/>
      <c r="BY1745" s="27"/>
      <c r="CH1745" s="29"/>
      <c r="CI1745" s="23" t="s">
        <v>432</v>
      </c>
      <c r="CJ1745" s="28" t="s">
        <v>0</v>
      </c>
      <c r="CM1745" s="23" t="s">
        <v>509</v>
      </c>
    </row>
    <row r="1746" spans="1:91" x14ac:dyDescent="0.2">
      <c r="A1746" s="18">
        <v>5001</v>
      </c>
      <c r="B1746" s="19">
        <v>65</v>
      </c>
      <c r="C1746" s="19">
        <f t="shared" si="110"/>
        <v>50010065</v>
      </c>
      <c r="D1746" s="19" t="s">
        <v>723</v>
      </c>
      <c r="E1746" s="20" t="s">
        <v>1125</v>
      </c>
      <c r="I1746" s="22" t="s">
        <v>98</v>
      </c>
      <c r="J1746" s="22"/>
      <c r="K1746" s="22"/>
      <c r="L1746" s="22"/>
      <c r="M1746" s="22"/>
      <c r="N1746" s="22" t="s">
        <v>433</v>
      </c>
      <c r="O1746" s="22" t="s">
        <v>433</v>
      </c>
      <c r="P1746" s="116"/>
      <c r="Q1746" s="116" t="s">
        <v>433</v>
      </c>
      <c r="R1746" s="116" t="s">
        <v>181</v>
      </c>
      <c r="S1746" s="116" t="s">
        <v>687</v>
      </c>
      <c r="T1746" s="116" t="s">
        <v>2219</v>
      </c>
      <c r="U1746" s="116" t="s">
        <v>3199</v>
      </c>
      <c r="V1746" s="22" t="s">
        <v>1831</v>
      </c>
      <c r="W1746" s="22" t="s">
        <v>1</v>
      </c>
      <c r="X1746" s="22"/>
      <c r="Z1746" s="22"/>
      <c r="AA1746" s="22"/>
      <c r="AB1746" s="22"/>
      <c r="AC1746" s="22"/>
      <c r="AD1746" s="22"/>
      <c r="AE1746" s="24"/>
      <c r="AF1746" s="24" t="s">
        <v>2042</v>
      </c>
      <c r="AG1746" s="22"/>
      <c r="AH1746" s="23"/>
      <c r="AI1746" s="23" t="s">
        <v>351</v>
      </c>
      <c r="AJ1746" s="23"/>
      <c r="AK1746" s="40" t="s">
        <v>731</v>
      </c>
      <c r="AL1746" s="40"/>
      <c r="AX1746" s="27"/>
      <c r="AY1746" s="27"/>
      <c r="BK1746" s="27"/>
      <c r="BL1746" s="27"/>
      <c r="BX1746" s="27"/>
      <c r="BY1746" s="27"/>
      <c r="CH1746" s="29"/>
      <c r="CI1746" s="23" t="s">
        <v>432</v>
      </c>
      <c r="CJ1746" s="28" t="s">
        <v>0</v>
      </c>
      <c r="CM1746" s="23" t="s">
        <v>510</v>
      </c>
    </row>
    <row r="1747" spans="1:91" x14ac:dyDescent="0.2">
      <c r="A1747" s="18">
        <v>5001</v>
      </c>
      <c r="B1747" s="19">
        <v>66</v>
      </c>
      <c r="C1747" s="19">
        <f t="shared" si="110"/>
        <v>50010066</v>
      </c>
      <c r="D1747" s="19" t="s">
        <v>1454</v>
      </c>
      <c r="E1747" s="20" t="s">
        <v>1125</v>
      </c>
      <c r="I1747" s="22" t="s">
        <v>98</v>
      </c>
      <c r="J1747" s="22"/>
      <c r="K1747" s="22"/>
      <c r="L1747" s="22"/>
      <c r="M1747" s="22"/>
      <c r="N1747" s="22" t="s">
        <v>433</v>
      </c>
      <c r="O1747" s="22" t="s">
        <v>433</v>
      </c>
      <c r="P1747" s="116"/>
      <c r="Q1747" s="116" t="s">
        <v>433</v>
      </c>
      <c r="R1747" s="116" t="s">
        <v>181</v>
      </c>
      <c r="S1747" s="116" t="s">
        <v>687</v>
      </c>
      <c r="T1747" s="116" t="s">
        <v>2219</v>
      </c>
      <c r="U1747" s="116" t="s">
        <v>3200</v>
      </c>
      <c r="V1747" s="22" t="s">
        <v>1831</v>
      </c>
      <c r="W1747" s="22" t="s">
        <v>1</v>
      </c>
      <c r="X1747" s="22"/>
      <c r="Z1747" s="22"/>
      <c r="AA1747" s="22"/>
      <c r="AB1747" s="22"/>
      <c r="AC1747" s="22"/>
      <c r="AD1747" s="22"/>
      <c r="AE1747" s="24"/>
      <c r="AF1747" s="24" t="s">
        <v>2042</v>
      </c>
      <c r="AG1747" s="22"/>
      <c r="AH1747" s="23"/>
      <c r="AI1747" s="23" t="s">
        <v>737</v>
      </c>
      <c r="AJ1747" s="23"/>
      <c r="AK1747" s="40" t="s">
        <v>1464</v>
      </c>
      <c r="AL1747" s="40"/>
      <c r="AX1747" s="27"/>
      <c r="AY1747" s="27"/>
      <c r="BK1747" s="27"/>
      <c r="BL1747" s="27"/>
      <c r="BX1747" s="27"/>
      <c r="BY1747" s="27"/>
      <c r="CH1747" s="29"/>
      <c r="CI1747" s="23" t="s">
        <v>432</v>
      </c>
      <c r="CJ1747" s="28" t="s">
        <v>0</v>
      </c>
      <c r="CM1747" s="23" t="s">
        <v>511</v>
      </c>
    </row>
    <row r="1748" spans="1:91" x14ac:dyDescent="0.2">
      <c r="A1748" s="18">
        <v>5001</v>
      </c>
      <c r="B1748" s="19">
        <v>67</v>
      </c>
      <c r="C1748" s="19">
        <f t="shared" si="110"/>
        <v>50010067</v>
      </c>
      <c r="D1748" s="19" t="s">
        <v>1455</v>
      </c>
      <c r="E1748" s="20" t="s">
        <v>1125</v>
      </c>
      <c r="I1748" s="22" t="s">
        <v>98</v>
      </c>
      <c r="J1748" s="22"/>
      <c r="K1748" s="22"/>
      <c r="L1748" s="22"/>
      <c r="M1748" s="22"/>
      <c r="N1748" s="22" t="s">
        <v>433</v>
      </c>
      <c r="O1748" s="22" t="s">
        <v>433</v>
      </c>
      <c r="P1748" s="116"/>
      <c r="Q1748" s="116" t="s">
        <v>433</v>
      </c>
      <c r="R1748" s="116" t="s">
        <v>181</v>
      </c>
      <c r="S1748" s="116" t="s">
        <v>687</v>
      </c>
      <c r="T1748" s="116" t="s">
        <v>2219</v>
      </c>
      <c r="U1748" s="116" t="s">
        <v>3201</v>
      </c>
      <c r="V1748" s="22" t="s">
        <v>1831</v>
      </c>
      <c r="W1748" s="22" t="s">
        <v>1</v>
      </c>
      <c r="X1748" s="22"/>
      <c r="Z1748" s="22"/>
      <c r="AA1748" s="22"/>
      <c r="AB1748" s="22"/>
      <c r="AC1748" s="22"/>
      <c r="AD1748" s="22"/>
      <c r="AE1748" s="24"/>
      <c r="AF1748" s="24" t="s">
        <v>2042</v>
      </c>
      <c r="AG1748" s="22"/>
      <c r="AH1748" s="23"/>
      <c r="AI1748" s="23" t="s">
        <v>738</v>
      </c>
      <c r="AJ1748" s="23"/>
      <c r="AK1748" s="40" t="s">
        <v>150</v>
      </c>
      <c r="AL1748" s="40"/>
      <c r="AX1748" s="27"/>
      <c r="AY1748" s="27"/>
      <c r="BK1748" s="27"/>
      <c r="BL1748" s="27"/>
      <c r="BX1748" s="27"/>
      <c r="BY1748" s="27"/>
      <c r="CH1748" s="29"/>
      <c r="CI1748" s="23" t="s">
        <v>432</v>
      </c>
      <c r="CJ1748" s="28" t="s">
        <v>0</v>
      </c>
      <c r="CM1748" s="23" t="s">
        <v>512</v>
      </c>
    </row>
    <row r="1749" spans="1:91" x14ac:dyDescent="0.2">
      <c r="A1749" s="18">
        <v>5001</v>
      </c>
      <c r="B1749" s="19">
        <v>68</v>
      </c>
      <c r="C1749" s="19">
        <f t="shared" si="110"/>
        <v>50010068</v>
      </c>
      <c r="D1749" s="19" t="s">
        <v>1456</v>
      </c>
      <c r="E1749" s="20" t="s">
        <v>1125</v>
      </c>
      <c r="I1749" s="22" t="s">
        <v>98</v>
      </c>
      <c r="J1749" s="22"/>
      <c r="K1749" s="22"/>
      <c r="L1749" s="22"/>
      <c r="M1749" s="22"/>
      <c r="N1749" s="22" t="s">
        <v>433</v>
      </c>
      <c r="O1749" s="22" t="s">
        <v>433</v>
      </c>
      <c r="P1749" s="116"/>
      <c r="Q1749" s="116" t="s">
        <v>433</v>
      </c>
      <c r="R1749" s="116" t="s">
        <v>181</v>
      </c>
      <c r="S1749" s="116" t="s">
        <v>687</v>
      </c>
      <c r="T1749" s="116" t="s">
        <v>2219</v>
      </c>
      <c r="U1749" s="116" t="s">
        <v>3202</v>
      </c>
      <c r="V1749" s="22" t="s">
        <v>1831</v>
      </c>
      <c r="W1749" s="22" t="s">
        <v>1</v>
      </c>
      <c r="X1749" s="22"/>
      <c r="Z1749" s="22"/>
      <c r="AA1749" s="22"/>
      <c r="AB1749" s="22"/>
      <c r="AC1749" s="22"/>
      <c r="AD1749" s="22"/>
      <c r="AE1749" s="24"/>
      <c r="AF1749" s="24" t="s">
        <v>2042</v>
      </c>
      <c r="AG1749" s="22"/>
      <c r="AH1749" s="23"/>
      <c r="AI1749" s="23" t="s">
        <v>739</v>
      </c>
      <c r="AJ1749" s="23"/>
      <c r="AK1749" s="40" t="s">
        <v>1465</v>
      </c>
      <c r="AL1749" s="40"/>
      <c r="AX1749" s="27"/>
      <c r="AY1749" s="27"/>
      <c r="BK1749" s="27"/>
      <c r="BL1749" s="27"/>
      <c r="BX1749" s="27"/>
      <c r="BY1749" s="27"/>
      <c r="CH1749" s="29"/>
      <c r="CI1749" s="23" t="s">
        <v>432</v>
      </c>
      <c r="CJ1749" s="28" t="s">
        <v>0</v>
      </c>
      <c r="CM1749" s="23" t="s">
        <v>513</v>
      </c>
    </row>
    <row r="1750" spans="1:91" x14ac:dyDescent="0.2">
      <c r="A1750" s="18">
        <v>5001</v>
      </c>
      <c r="B1750" s="19">
        <v>69</v>
      </c>
      <c r="C1750" s="19">
        <f t="shared" si="110"/>
        <v>50010069</v>
      </c>
      <c r="D1750" s="19" t="s">
        <v>1457</v>
      </c>
      <c r="E1750" s="20" t="s">
        <v>1125</v>
      </c>
      <c r="I1750" s="22" t="s">
        <v>98</v>
      </c>
      <c r="J1750" s="22"/>
      <c r="K1750" s="22"/>
      <c r="L1750" s="22"/>
      <c r="M1750" s="22"/>
      <c r="N1750" s="22" t="s">
        <v>433</v>
      </c>
      <c r="O1750" s="22" t="s">
        <v>433</v>
      </c>
      <c r="P1750" s="116"/>
      <c r="Q1750" s="116" t="s">
        <v>433</v>
      </c>
      <c r="R1750" s="116" t="s">
        <v>181</v>
      </c>
      <c r="S1750" s="116" t="s">
        <v>687</v>
      </c>
      <c r="T1750" s="116" t="s">
        <v>2219</v>
      </c>
      <c r="U1750" s="116" t="s">
        <v>3203</v>
      </c>
      <c r="V1750" s="22" t="s">
        <v>1831</v>
      </c>
      <c r="W1750" s="22" t="s">
        <v>1</v>
      </c>
      <c r="X1750" s="22"/>
      <c r="Z1750" s="22"/>
      <c r="AA1750" s="22"/>
      <c r="AB1750" s="22"/>
      <c r="AC1750" s="22"/>
      <c r="AD1750" s="22"/>
      <c r="AE1750" s="24"/>
      <c r="AF1750" s="24" t="s">
        <v>2042</v>
      </c>
      <c r="AG1750" s="22"/>
      <c r="AH1750" s="23"/>
      <c r="AI1750" s="23" t="s">
        <v>740</v>
      </c>
      <c r="AJ1750" s="23"/>
      <c r="AK1750" s="40" t="s">
        <v>1466</v>
      </c>
      <c r="AL1750" s="40"/>
      <c r="AX1750" s="27"/>
      <c r="AY1750" s="27"/>
      <c r="BK1750" s="27"/>
      <c r="BL1750" s="27"/>
      <c r="BX1750" s="27"/>
      <c r="BY1750" s="27"/>
      <c r="CH1750" s="29"/>
      <c r="CI1750" s="23" t="s">
        <v>432</v>
      </c>
      <c r="CJ1750" s="28" t="s">
        <v>0</v>
      </c>
      <c r="CM1750" s="23" t="s">
        <v>514</v>
      </c>
    </row>
    <row r="1751" spans="1:91" x14ac:dyDescent="0.2">
      <c r="A1751" s="18">
        <v>5001</v>
      </c>
      <c r="B1751" s="19">
        <v>70</v>
      </c>
      <c r="C1751" s="19">
        <f t="shared" si="110"/>
        <v>50010070</v>
      </c>
      <c r="D1751" s="19" t="s">
        <v>1458</v>
      </c>
      <c r="E1751" s="20" t="s">
        <v>1125</v>
      </c>
      <c r="I1751" s="22" t="s">
        <v>98</v>
      </c>
      <c r="J1751" s="22"/>
      <c r="K1751" s="22"/>
      <c r="L1751" s="22"/>
      <c r="M1751" s="22"/>
      <c r="N1751" s="22" t="s">
        <v>433</v>
      </c>
      <c r="O1751" s="22" t="s">
        <v>433</v>
      </c>
      <c r="P1751" s="116"/>
      <c r="Q1751" s="116" t="s">
        <v>433</v>
      </c>
      <c r="R1751" s="116" t="s">
        <v>181</v>
      </c>
      <c r="S1751" s="116" t="s">
        <v>687</v>
      </c>
      <c r="T1751" s="116" t="s">
        <v>2219</v>
      </c>
      <c r="U1751" s="116" t="s">
        <v>3204</v>
      </c>
      <c r="V1751" s="22" t="s">
        <v>1831</v>
      </c>
      <c r="W1751" s="22" t="s">
        <v>1</v>
      </c>
      <c r="X1751" s="22"/>
      <c r="Z1751" s="22"/>
      <c r="AA1751" s="22"/>
      <c r="AB1751" s="22"/>
      <c r="AC1751" s="22"/>
      <c r="AD1751" s="22"/>
      <c r="AE1751" s="24"/>
      <c r="AF1751" s="24" t="s">
        <v>2042</v>
      </c>
      <c r="AG1751" s="22"/>
      <c r="AH1751" s="23"/>
      <c r="AI1751" s="23" t="s">
        <v>741</v>
      </c>
      <c r="AJ1751" s="23"/>
      <c r="AK1751" s="40" t="s">
        <v>1467</v>
      </c>
      <c r="AL1751" s="40"/>
      <c r="AX1751" s="27"/>
      <c r="AY1751" s="27"/>
      <c r="BK1751" s="27"/>
      <c r="BL1751" s="27"/>
      <c r="BX1751" s="27"/>
      <c r="BY1751" s="27"/>
      <c r="CH1751" s="29"/>
      <c r="CI1751" s="23" t="s">
        <v>432</v>
      </c>
      <c r="CJ1751" s="28" t="s">
        <v>0</v>
      </c>
      <c r="CM1751" s="23" t="s">
        <v>579</v>
      </c>
    </row>
    <row r="1752" spans="1:91" x14ac:dyDescent="0.2">
      <c r="A1752" s="18">
        <v>5001</v>
      </c>
      <c r="B1752" s="19">
        <v>71</v>
      </c>
      <c r="C1752" s="19">
        <f t="shared" si="110"/>
        <v>50010071</v>
      </c>
      <c r="D1752" s="19" t="s">
        <v>1459</v>
      </c>
      <c r="E1752" s="20" t="s">
        <v>1125</v>
      </c>
      <c r="I1752" s="22" t="s">
        <v>98</v>
      </c>
      <c r="J1752" s="22"/>
      <c r="K1752" s="22"/>
      <c r="L1752" s="22"/>
      <c r="M1752" s="22"/>
      <c r="N1752" s="22" t="s">
        <v>433</v>
      </c>
      <c r="O1752" s="22" t="s">
        <v>433</v>
      </c>
      <c r="P1752" s="116"/>
      <c r="Q1752" s="116" t="s">
        <v>433</v>
      </c>
      <c r="R1752" s="116" t="s">
        <v>181</v>
      </c>
      <c r="S1752" s="116" t="s">
        <v>687</v>
      </c>
      <c r="T1752" s="116" t="s">
        <v>2219</v>
      </c>
      <c r="U1752" s="116" t="s">
        <v>3205</v>
      </c>
      <c r="V1752" s="22" t="s">
        <v>1831</v>
      </c>
      <c r="W1752" s="22" t="s">
        <v>1</v>
      </c>
      <c r="X1752" s="22"/>
      <c r="Z1752" s="22"/>
      <c r="AA1752" s="22"/>
      <c r="AB1752" s="22"/>
      <c r="AC1752" s="22"/>
      <c r="AD1752" s="22"/>
      <c r="AE1752" s="24"/>
      <c r="AF1752" s="24" t="s">
        <v>2042</v>
      </c>
      <c r="AG1752" s="22"/>
      <c r="AH1752" s="23"/>
      <c r="AI1752" s="23" t="s">
        <v>742</v>
      </c>
      <c r="AJ1752" s="23"/>
      <c r="AK1752" s="40" t="s">
        <v>1468</v>
      </c>
      <c r="AL1752" s="40"/>
      <c r="AX1752" s="27"/>
      <c r="AY1752" s="27"/>
      <c r="BK1752" s="27"/>
      <c r="BL1752" s="27"/>
      <c r="BX1752" s="27"/>
      <c r="BY1752" s="27"/>
      <c r="CH1752" s="29"/>
      <c r="CI1752" s="23" t="s">
        <v>432</v>
      </c>
      <c r="CJ1752" s="28" t="s">
        <v>0</v>
      </c>
      <c r="CM1752" s="23" t="s">
        <v>580</v>
      </c>
    </row>
    <row r="1753" spans="1:91" x14ac:dyDescent="0.2">
      <c r="A1753" s="18">
        <v>5001</v>
      </c>
      <c r="B1753" s="19">
        <v>72</v>
      </c>
      <c r="C1753" s="19">
        <f t="shared" si="110"/>
        <v>50010072</v>
      </c>
      <c r="D1753" s="19" t="s">
        <v>1460</v>
      </c>
      <c r="E1753" s="20" t="s">
        <v>1125</v>
      </c>
      <c r="I1753" s="22" t="s">
        <v>98</v>
      </c>
      <c r="J1753" s="22"/>
      <c r="K1753" s="22"/>
      <c r="L1753" s="22"/>
      <c r="M1753" s="22"/>
      <c r="N1753" s="22" t="s">
        <v>433</v>
      </c>
      <c r="O1753" s="22" t="s">
        <v>433</v>
      </c>
      <c r="P1753" s="116"/>
      <c r="Q1753" s="116" t="s">
        <v>433</v>
      </c>
      <c r="R1753" s="116" t="s">
        <v>181</v>
      </c>
      <c r="S1753" s="116" t="s">
        <v>687</v>
      </c>
      <c r="T1753" s="116" t="s">
        <v>2219</v>
      </c>
      <c r="U1753" s="116" t="s">
        <v>3206</v>
      </c>
      <c r="V1753" s="22" t="s">
        <v>1831</v>
      </c>
      <c r="W1753" s="22" t="s">
        <v>1</v>
      </c>
      <c r="X1753" s="22"/>
      <c r="Z1753" s="22"/>
      <c r="AA1753" s="22"/>
      <c r="AB1753" s="22"/>
      <c r="AC1753" s="22"/>
      <c r="AD1753" s="22"/>
      <c r="AE1753" s="24"/>
      <c r="AF1753" s="24" t="s">
        <v>2042</v>
      </c>
      <c r="AG1753" s="22"/>
      <c r="AH1753" s="23"/>
      <c r="AI1753" s="23" t="s">
        <v>743</v>
      </c>
      <c r="AJ1753" s="23"/>
      <c r="AK1753" s="40" t="s">
        <v>1469</v>
      </c>
      <c r="AL1753" s="40"/>
      <c r="AX1753" s="27"/>
      <c r="AY1753" s="27"/>
      <c r="BK1753" s="27"/>
      <c r="BL1753" s="27"/>
      <c r="BX1753" s="27"/>
      <c r="BY1753" s="27"/>
      <c r="CH1753" s="29"/>
      <c r="CI1753" s="23" t="s">
        <v>432</v>
      </c>
      <c r="CJ1753" s="28" t="s">
        <v>0</v>
      </c>
      <c r="CM1753" s="23" t="s">
        <v>581</v>
      </c>
    </row>
    <row r="1754" spans="1:91" x14ac:dyDescent="0.2">
      <c r="A1754" s="18">
        <v>5001</v>
      </c>
      <c r="B1754" s="19">
        <v>73</v>
      </c>
      <c r="C1754" s="19">
        <f t="shared" si="110"/>
        <v>50010073</v>
      </c>
      <c r="D1754" s="19" t="s">
        <v>1461</v>
      </c>
      <c r="E1754" s="20" t="s">
        <v>1125</v>
      </c>
      <c r="I1754" s="22" t="s">
        <v>98</v>
      </c>
      <c r="J1754" s="22"/>
      <c r="K1754" s="22"/>
      <c r="L1754" s="22"/>
      <c r="M1754" s="22"/>
      <c r="N1754" s="22" t="s">
        <v>433</v>
      </c>
      <c r="O1754" s="22" t="s">
        <v>433</v>
      </c>
      <c r="P1754" s="116"/>
      <c r="Q1754" s="116" t="s">
        <v>433</v>
      </c>
      <c r="R1754" s="116" t="s">
        <v>181</v>
      </c>
      <c r="S1754" s="116" t="s">
        <v>687</v>
      </c>
      <c r="T1754" s="116" t="s">
        <v>2219</v>
      </c>
      <c r="U1754" s="116" t="s">
        <v>3207</v>
      </c>
      <c r="V1754" s="22" t="s">
        <v>1831</v>
      </c>
      <c r="W1754" s="22" t="s">
        <v>1</v>
      </c>
      <c r="X1754" s="22"/>
      <c r="Z1754" s="22"/>
      <c r="AA1754" s="22"/>
      <c r="AB1754" s="22"/>
      <c r="AC1754" s="22"/>
      <c r="AD1754" s="22"/>
      <c r="AE1754" s="24"/>
      <c r="AF1754" s="24" t="s">
        <v>2042</v>
      </c>
      <c r="AG1754" s="22"/>
      <c r="AH1754" s="23"/>
      <c r="AI1754" s="23" t="s">
        <v>744</v>
      </c>
      <c r="AJ1754" s="23"/>
      <c r="AK1754" s="40" t="s">
        <v>1470</v>
      </c>
      <c r="AL1754" s="40"/>
      <c r="AX1754" s="27"/>
      <c r="AY1754" s="27"/>
      <c r="BK1754" s="27"/>
      <c r="BL1754" s="27"/>
      <c r="BX1754" s="27"/>
      <c r="BY1754" s="27"/>
      <c r="CH1754" s="29"/>
      <c r="CI1754" s="23" t="s">
        <v>432</v>
      </c>
      <c r="CJ1754" s="28" t="s">
        <v>0</v>
      </c>
      <c r="CM1754" s="23" t="s">
        <v>582</v>
      </c>
    </row>
    <row r="1755" spans="1:91" x14ac:dyDescent="0.2">
      <c r="A1755" s="18">
        <v>5001</v>
      </c>
      <c r="B1755" s="19">
        <v>74</v>
      </c>
      <c r="C1755" s="19">
        <f t="shared" si="110"/>
        <v>50010074</v>
      </c>
      <c r="D1755" s="19" t="s">
        <v>1462</v>
      </c>
      <c r="E1755" s="20" t="s">
        <v>1125</v>
      </c>
      <c r="I1755" s="22" t="s">
        <v>98</v>
      </c>
      <c r="J1755" s="22"/>
      <c r="K1755" s="22"/>
      <c r="L1755" s="22"/>
      <c r="M1755" s="22"/>
      <c r="N1755" s="22" t="s">
        <v>433</v>
      </c>
      <c r="O1755" s="22" t="s">
        <v>433</v>
      </c>
      <c r="P1755" s="116"/>
      <c r="Q1755" s="116" t="s">
        <v>433</v>
      </c>
      <c r="R1755" s="116" t="s">
        <v>181</v>
      </c>
      <c r="S1755" s="116" t="s">
        <v>687</v>
      </c>
      <c r="T1755" s="116" t="s">
        <v>2219</v>
      </c>
      <c r="U1755" s="116" t="s">
        <v>3208</v>
      </c>
      <c r="V1755" s="22" t="s">
        <v>1831</v>
      </c>
      <c r="W1755" s="22" t="s">
        <v>1</v>
      </c>
      <c r="X1755" s="22"/>
      <c r="Z1755" s="22"/>
      <c r="AA1755" s="22"/>
      <c r="AB1755" s="22"/>
      <c r="AC1755" s="22"/>
      <c r="AD1755" s="22"/>
      <c r="AE1755" s="24"/>
      <c r="AF1755" s="24" t="s">
        <v>2042</v>
      </c>
      <c r="AG1755" s="22"/>
      <c r="AH1755" s="23"/>
      <c r="AI1755" s="23" t="s">
        <v>745</v>
      </c>
      <c r="AJ1755" s="23"/>
      <c r="AK1755" s="40" t="s">
        <v>1471</v>
      </c>
      <c r="AL1755" s="40"/>
      <c r="AX1755" s="27"/>
      <c r="AY1755" s="27"/>
      <c r="BK1755" s="27"/>
      <c r="BL1755" s="27"/>
      <c r="BX1755" s="27"/>
      <c r="BY1755" s="27"/>
      <c r="CH1755" s="29"/>
      <c r="CI1755" s="23" t="s">
        <v>432</v>
      </c>
      <c r="CJ1755" s="28" t="s">
        <v>0</v>
      </c>
      <c r="CM1755" s="23" t="s">
        <v>240</v>
      </c>
    </row>
    <row r="1756" spans="1:91" x14ac:dyDescent="0.2">
      <c r="A1756" s="18">
        <v>5001</v>
      </c>
      <c r="B1756" s="19">
        <v>75</v>
      </c>
      <c r="C1756" s="19">
        <f t="shared" si="110"/>
        <v>50010075</v>
      </c>
      <c r="D1756" s="19" t="s">
        <v>1463</v>
      </c>
      <c r="E1756" s="20" t="s">
        <v>1125</v>
      </c>
      <c r="I1756" s="22" t="s">
        <v>98</v>
      </c>
      <c r="J1756" s="22"/>
      <c r="K1756" s="22"/>
      <c r="L1756" s="22"/>
      <c r="M1756" s="22"/>
      <c r="N1756" s="22" t="s">
        <v>433</v>
      </c>
      <c r="O1756" s="22" t="s">
        <v>433</v>
      </c>
      <c r="P1756" s="116"/>
      <c r="Q1756" s="116" t="s">
        <v>433</v>
      </c>
      <c r="R1756" s="116" t="s">
        <v>181</v>
      </c>
      <c r="S1756" s="116" t="s">
        <v>687</v>
      </c>
      <c r="T1756" s="116" t="s">
        <v>2219</v>
      </c>
      <c r="U1756" s="116" t="s">
        <v>3209</v>
      </c>
      <c r="V1756" s="22" t="s">
        <v>1831</v>
      </c>
      <c r="W1756" s="22" t="s">
        <v>1</v>
      </c>
      <c r="X1756" s="22"/>
      <c r="Z1756" s="22"/>
      <c r="AA1756" s="22"/>
      <c r="AB1756" s="22"/>
      <c r="AC1756" s="22"/>
      <c r="AD1756" s="22"/>
      <c r="AE1756" s="24"/>
      <c r="AF1756" s="24" t="s">
        <v>2042</v>
      </c>
      <c r="AG1756" s="22"/>
      <c r="AH1756" s="23"/>
      <c r="AI1756" s="23" t="s">
        <v>352</v>
      </c>
      <c r="AJ1756" s="23"/>
      <c r="AK1756" s="40" t="s">
        <v>1472</v>
      </c>
      <c r="AL1756" s="40"/>
      <c r="AX1756" s="27"/>
      <c r="AY1756" s="27"/>
      <c r="BK1756" s="27"/>
      <c r="BL1756" s="27"/>
      <c r="BX1756" s="27"/>
      <c r="BY1756" s="27"/>
      <c r="CH1756" s="29"/>
      <c r="CI1756" s="23" t="s">
        <v>432</v>
      </c>
      <c r="CJ1756" s="28" t="s">
        <v>0</v>
      </c>
    </row>
    <row r="1757" spans="1:91" x14ac:dyDescent="0.2">
      <c r="A1757" s="18">
        <v>5001</v>
      </c>
      <c r="B1757" s="19">
        <v>76</v>
      </c>
      <c r="C1757" s="19">
        <f t="shared" ref="C1757:C1761" si="111">A1757*10000+B1757</f>
        <v>50010076</v>
      </c>
      <c r="D1757" s="19" t="s">
        <v>3348</v>
      </c>
      <c r="E1757" s="20" t="s">
        <v>1125</v>
      </c>
      <c r="I1757" s="22" t="s">
        <v>98</v>
      </c>
      <c r="J1757" s="22"/>
      <c r="K1757" s="22"/>
      <c r="L1757" s="22"/>
      <c r="M1757" s="22"/>
      <c r="N1757" s="22" t="s">
        <v>433</v>
      </c>
      <c r="O1757" s="22" t="s">
        <v>433</v>
      </c>
      <c r="P1757" s="116"/>
      <c r="Q1757" s="116" t="s">
        <v>433</v>
      </c>
      <c r="R1757" s="116" t="s">
        <v>181</v>
      </c>
      <c r="S1757" s="116" t="s">
        <v>687</v>
      </c>
      <c r="T1757" s="116" t="s">
        <v>2219</v>
      </c>
      <c r="U1757" s="116" t="s">
        <v>3353</v>
      </c>
      <c r="V1757" s="22" t="s">
        <v>1831</v>
      </c>
      <c r="W1757" s="22" t="s">
        <v>1</v>
      </c>
      <c r="X1757" s="22"/>
      <c r="Z1757" s="22"/>
      <c r="AA1757" s="22"/>
      <c r="AB1757" s="22"/>
      <c r="AC1757" s="22"/>
      <c r="AD1757" s="22"/>
      <c r="AE1757" s="24"/>
      <c r="AF1757" s="24" t="s">
        <v>2042</v>
      </c>
      <c r="AG1757" s="22"/>
      <c r="AH1757" s="23"/>
      <c r="AI1757" s="23" t="s">
        <v>746</v>
      </c>
      <c r="AJ1757" s="23"/>
      <c r="AK1757" s="40" t="s">
        <v>1468</v>
      </c>
      <c r="AL1757" s="40"/>
      <c r="AX1757" s="27"/>
      <c r="AY1757" s="27"/>
      <c r="BK1757" s="27"/>
      <c r="BL1757" s="27"/>
      <c r="BX1757" s="27"/>
      <c r="BY1757" s="27"/>
      <c r="CH1757" s="29"/>
      <c r="CI1757" s="23" t="s">
        <v>432</v>
      </c>
      <c r="CJ1757" s="28" t="s">
        <v>0</v>
      </c>
      <c r="CM1757" s="23" t="s">
        <v>580</v>
      </c>
    </row>
    <row r="1758" spans="1:91" x14ac:dyDescent="0.2">
      <c r="A1758" s="18">
        <v>5001</v>
      </c>
      <c r="B1758" s="19">
        <v>77</v>
      </c>
      <c r="C1758" s="19">
        <f t="shared" si="111"/>
        <v>50010077</v>
      </c>
      <c r="D1758" s="19" t="s">
        <v>3349</v>
      </c>
      <c r="E1758" s="20" t="s">
        <v>1125</v>
      </c>
      <c r="I1758" s="22" t="s">
        <v>98</v>
      </c>
      <c r="J1758" s="22"/>
      <c r="K1758" s="22"/>
      <c r="L1758" s="22"/>
      <c r="M1758" s="22"/>
      <c r="N1758" s="22" t="s">
        <v>433</v>
      </c>
      <c r="O1758" s="22" t="s">
        <v>433</v>
      </c>
      <c r="P1758" s="116"/>
      <c r="Q1758" s="116" t="s">
        <v>433</v>
      </c>
      <c r="R1758" s="116" t="s">
        <v>181</v>
      </c>
      <c r="S1758" s="116" t="s">
        <v>687</v>
      </c>
      <c r="T1758" s="116" t="s">
        <v>2219</v>
      </c>
      <c r="U1758" s="116" t="s">
        <v>3354</v>
      </c>
      <c r="V1758" s="22" t="s">
        <v>1831</v>
      </c>
      <c r="W1758" s="22" t="s">
        <v>1</v>
      </c>
      <c r="X1758" s="22"/>
      <c r="Z1758" s="22"/>
      <c r="AA1758" s="22"/>
      <c r="AB1758" s="22"/>
      <c r="AC1758" s="22"/>
      <c r="AD1758" s="22"/>
      <c r="AE1758" s="24"/>
      <c r="AF1758" s="24" t="s">
        <v>2042</v>
      </c>
      <c r="AG1758" s="22"/>
      <c r="AH1758" s="23"/>
      <c r="AI1758" s="23" t="s">
        <v>747</v>
      </c>
      <c r="AJ1758" s="23"/>
      <c r="AK1758" s="40" t="s">
        <v>1469</v>
      </c>
      <c r="AL1758" s="40"/>
      <c r="AX1758" s="27"/>
      <c r="AY1758" s="27"/>
      <c r="BK1758" s="27"/>
      <c r="BL1758" s="27"/>
      <c r="BX1758" s="27"/>
      <c r="BY1758" s="27"/>
      <c r="CH1758" s="29"/>
      <c r="CI1758" s="23" t="s">
        <v>432</v>
      </c>
      <c r="CJ1758" s="28" t="s">
        <v>0</v>
      </c>
      <c r="CM1758" s="23" t="s">
        <v>581</v>
      </c>
    </row>
    <row r="1759" spans="1:91" x14ac:dyDescent="0.2">
      <c r="A1759" s="18">
        <v>5001</v>
      </c>
      <c r="B1759" s="19">
        <v>78</v>
      </c>
      <c r="C1759" s="19">
        <f t="shared" si="111"/>
        <v>50010078</v>
      </c>
      <c r="D1759" s="19" t="s">
        <v>3350</v>
      </c>
      <c r="E1759" s="20" t="s">
        <v>1125</v>
      </c>
      <c r="I1759" s="22" t="s">
        <v>98</v>
      </c>
      <c r="J1759" s="22"/>
      <c r="K1759" s="22"/>
      <c r="L1759" s="22"/>
      <c r="M1759" s="22"/>
      <c r="N1759" s="22" t="s">
        <v>433</v>
      </c>
      <c r="O1759" s="22" t="s">
        <v>433</v>
      </c>
      <c r="P1759" s="116"/>
      <c r="Q1759" s="116" t="s">
        <v>433</v>
      </c>
      <c r="R1759" s="116" t="s">
        <v>181</v>
      </c>
      <c r="S1759" s="116" t="s">
        <v>687</v>
      </c>
      <c r="T1759" s="116" t="s">
        <v>2219</v>
      </c>
      <c r="U1759" s="116" t="s">
        <v>3355</v>
      </c>
      <c r="V1759" s="22" t="s">
        <v>1831</v>
      </c>
      <c r="W1759" s="22" t="s">
        <v>1</v>
      </c>
      <c r="X1759" s="22"/>
      <c r="Z1759" s="22"/>
      <c r="AA1759" s="22"/>
      <c r="AB1759" s="22"/>
      <c r="AC1759" s="22"/>
      <c r="AD1759" s="22"/>
      <c r="AE1759" s="24"/>
      <c r="AF1759" s="24" t="s">
        <v>2042</v>
      </c>
      <c r="AG1759" s="22"/>
      <c r="AH1759" s="23"/>
      <c r="AI1759" s="23" t="s">
        <v>748</v>
      </c>
      <c r="AJ1759" s="23"/>
      <c r="AK1759" s="40" t="s">
        <v>1470</v>
      </c>
      <c r="AL1759" s="40"/>
      <c r="AX1759" s="27"/>
      <c r="AY1759" s="27"/>
      <c r="BK1759" s="27"/>
      <c r="BL1759" s="27"/>
      <c r="BX1759" s="27"/>
      <c r="BY1759" s="27"/>
      <c r="CH1759" s="29"/>
      <c r="CI1759" s="23" t="s">
        <v>432</v>
      </c>
      <c r="CJ1759" s="28" t="s">
        <v>0</v>
      </c>
      <c r="CM1759" s="23" t="s">
        <v>582</v>
      </c>
    </row>
    <row r="1760" spans="1:91" x14ac:dyDescent="0.2">
      <c r="A1760" s="18">
        <v>5001</v>
      </c>
      <c r="B1760" s="19">
        <v>79</v>
      </c>
      <c r="C1760" s="19">
        <f t="shared" si="111"/>
        <v>50010079</v>
      </c>
      <c r="D1760" s="19" t="s">
        <v>3351</v>
      </c>
      <c r="E1760" s="20" t="s">
        <v>1125</v>
      </c>
      <c r="I1760" s="22" t="s">
        <v>98</v>
      </c>
      <c r="J1760" s="22"/>
      <c r="K1760" s="22"/>
      <c r="L1760" s="22"/>
      <c r="M1760" s="22"/>
      <c r="N1760" s="22" t="s">
        <v>433</v>
      </c>
      <c r="O1760" s="22" t="s">
        <v>433</v>
      </c>
      <c r="P1760" s="116"/>
      <c r="Q1760" s="116" t="s">
        <v>433</v>
      </c>
      <c r="R1760" s="116" t="s">
        <v>181</v>
      </c>
      <c r="S1760" s="116" t="s">
        <v>687</v>
      </c>
      <c r="T1760" s="116" t="s">
        <v>2219</v>
      </c>
      <c r="U1760" s="116" t="s">
        <v>3356</v>
      </c>
      <c r="V1760" s="22" t="s">
        <v>1831</v>
      </c>
      <c r="W1760" s="22" t="s">
        <v>1</v>
      </c>
      <c r="X1760" s="22"/>
      <c r="Z1760" s="22"/>
      <c r="AA1760" s="22"/>
      <c r="AB1760" s="22"/>
      <c r="AC1760" s="22"/>
      <c r="AD1760" s="22"/>
      <c r="AE1760" s="24"/>
      <c r="AF1760" s="24" t="s">
        <v>2042</v>
      </c>
      <c r="AG1760" s="22"/>
      <c r="AH1760" s="23"/>
      <c r="AI1760" s="23" t="s">
        <v>749</v>
      </c>
      <c r="AJ1760" s="23"/>
      <c r="AK1760" s="40" t="s">
        <v>1471</v>
      </c>
      <c r="AL1760" s="40"/>
      <c r="AX1760" s="27"/>
      <c r="AY1760" s="27"/>
      <c r="BK1760" s="27"/>
      <c r="BL1760" s="27"/>
      <c r="BX1760" s="27"/>
      <c r="BY1760" s="27"/>
      <c r="CH1760" s="29"/>
      <c r="CI1760" s="23" t="s">
        <v>432</v>
      </c>
      <c r="CJ1760" s="28" t="s">
        <v>0</v>
      </c>
      <c r="CM1760" s="23" t="s">
        <v>240</v>
      </c>
    </row>
    <row r="1761" spans="1:107" x14ac:dyDescent="0.2">
      <c r="A1761" s="18">
        <v>5001</v>
      </c>
      <c r="B1761" s="19">
        <v>80</v>
      </c>
      <c r="C1761" s="19">
        <f t="shared" si="111"/>
        <v>50010080</v>
      </c>
      <c r="D1761" s="19" t="s">
        <v>3352</v>
      </c>
      <c r="E1761" s="20" t="s">
        <v>1125</v>
      </c>
      <c r="I1761" s="22" t="s">
        <v>98</v>
      </c>
      <c r="J1761" s="22"/>
      <c r="K1761" s="22"/>
      <c r="L1761" s="22"/>
      <c r="M1761" s="22"/>
      <c r="N1761" s="22" t="s">
        <v>433</v>
      </c>
      <c r="O1761" s="22" t="s">
        <v>433</v>
      </c>
      <c r="P1761" s="116"/>
      <c r="Q1761" s="116" t="s">
        <v>433</v>
      </c>
      <c r="R1761" s="116" t="s">
        <v>181</v>
      </c>
      <c r="S1761" s="116" t="s">
        <v>687</v>
      </c>
      <c r="T1761" s="116" t="s">
        <v>2219</v>
      </c>
      <c r="U1761" s="116" t="s">
        <v>3357</v>
      </c>
      <c r="V1761" s="22" t="s">
        <v>1831</v>
      </c>
      <c r="W1761" s="22" t="s">
        <v>1</v>
      </c>
      <c r="X1761" s="22"/>
      <c r="Z1761" s="22"/>
      <c r="AA1761" s="22"/>
      <c r="AB1761" s="22"/>
      <c r="AC1761" s="22"/>
      <c r="AD1761" s="22"/>
      <c r="AE1761" s="24"/>
      <c r="AF1761" s="24" t="s">
        <v>2042</v>
      </c>
      <c r="AG1761" s="22"/>
      <c r="AH1761" s="23"/>
      <c r="AI1761" s="23" t="s">
        <v>750</v>
      </c>
      <c r="AJ1761" s="23"/>
      <c r="AK1761" s="40" t="s">
        <v>1472</v>
      </c>
      <c r="AL1761" s="40"/>
      <c r="AX1761" s="27"/>
      <c r="AY1761" s="27"/>
      <c r="BK1761" s="27"/>
      <c r="BL1761" s="27"/>
      <c r="BX1761" s="27"/>
      <c r="BY1761" s="27"/>
      <c r="CH1761" s="29"/>
      <c r="CI1761" s="23" t="s">
        <v>432</v>
      </c>
      <c r="CJ1761" s="28" t="s">
        <v>0</v>
      </c>
    </row>
    <row r="1762" spans="1:107" s="14" customFormat="1" ht="17.25" x14ac:dyDescent="0.3">
      <c r="A1762" s="8"/>
      <c r="B1762" s="8"/>
      <c r="C1762" s="8">
        <f t="shared" si="110"/>
        <v>0</v>
      </c>
      <c r="D1762" s="8"/>
      <c r="E1762" s="9" t="s">
        <v>1452</v>
      </c>
      <c r="F1762" s="9"/>
      <c r="G1762" s="9"/>
      <c r="H1762" s="9"/>
      <c r="I1762" s="10"/>
      <c r="J1762" s="10"/>
      <c r="K1762" s="10"/>
      <c r="L1762" s="10"/>
      <c r="M1762" s="10"/>
      <c r="N1762" s="10"/>
      <c r="O1762" s="10"/>
      <c r="P1762" s="10"/>
      <c r="Q1762" s="10"/>
      <c r="R1762" s="10"/>
      <c r="S1762" s="10"/>
      <c r="T1762" s="10"/>
      <c r="U1762" s="10"/>
      <c r="V1762" s="10"/>
      <c r="W1762" s="10"/>
      <c r="X1762" s="10"/>
      <c r="Y1762" s="11"/>
      <c r="Z1762" s="10"/>
      <c r="AA1762" s="10"/>
      <c r="AB1762" s="10"/>
      <c r="AC1762" s="10"/>
      <c r="AD1762" s="10"/>
      <c r="AE1762" s="12"/>
      <c r="AF1762" s="12" t="s">
        <v>2042</v>
      </c>
      <c r="AG1762" s="10"/>
      <c r="AH1762" s="13"/>
      <c r="AI1762" s="13"/>
      <c r="AJ1762" s="13"/>
      <c r="AK1762" s="15"/>
      <c r="AL1762" s="15"/>
      <c r="AM1762" s="15"/>
      <c r="AN1762" s="15"/>
      <c r="AO1762" s="15"/>
      <c r="AP1762" s="15"/>
      <c r="AQ1762" s="15"/>
      <c r="AR1762" s="15"/>
      <c r="AS1762" s="15"/>
      <c r="AT1762" s="15"/>
      <c r="AU1762" s="13"/>
      <c r="AV1762" s="13"/>
      <c r="AW1762" s="13"/>
      <c r="AX1762" s="31"/>
      <c r="AY1762" s="31"/>
      <c r="AZ1762" s="15"/>
      <c r="BA1762" s="15"/>
      <c r="BB1762" s="15"/>
      <c r="BC1762" s="15"/>
      <c r="BD1762" s="15"/>
      <c r="BE1762" s="15"/>
      <c r="BF1762" s="15"/>
      <c r="BG1762" s="15"/>
      <c r="BH1762" s="13"/>
      <c r="BI1762" s="13"/>
      <c r="BJ1762" s="13"/>
      <c r="BK1762" s="31"/>
      <c r="BL1762" s="31"/>
      <c r="BM1762" s="15"/>
      <c r="BN1762" s="15"/>
      <c r="BO1762" s="15"/>
      <c r="BP1762" s="15"/>
      <c r="BQ1762" s="15"/>
      <c r="BR1762" s="15"/>
      <c r="BS1762" s="15"/>
      <c r="BT1762" s="15"/>
      <c r="BU1762" s="13"/>
      <c r="BV1762" s="13"/>
      <c r="BW1762" s="13"/>
      <c r="BX1762" s="31"/>
      <c r="BY1762" s="31"/>
      <c r="BZ1762" s="15"/>
      <c r="CA1762" s="15"/>
      <c r="CB1762" s="15"/>
      <c r="CC1762" s="15"/>
      <c r="CD1762" s="15"/>
      <c r="CE1762" s="15"/>
      <c r="CF1762" s="15"/>
      <c r="CG1762" s="15"/>
      <c r="CH1762" s="10"/>
      <c r="CI1762" s="8"/>
      <c r="CJ1762" s="16"/>
      <c r="CK1762" s="8"/>
      <c r="CT1762" s="17"/>
      <c r="CU1762" s="17"/>
      <c r="CV1762" s="17"/>
      <c r="CW1762" s="17"/>
      <c r="CX1762" s="17"/>
      <c r="CY1762" s="17"/>
      <c r="CZ1762" s="17"/>
      <c r="DA1762" s="17"/>
      <c r="DB1762" s="17"/>
      <c r="DC1762" s="15"/>
    </row>
    <row r="1763" spans="1:107" s="25" customFormat="1" x14ac:dyDescent="0.2">
      <c r="A1763" s="29" t="s">
        <v>1451</v>
      </c>
      <c r="B1763" s="66">
        <v>1</v>
      </c>
      <c r="C1763" s="66">
        <f t="shared" si="110"/>
        <v>51000001</v>
      </c>
      <c r="D1763" s="29" t="s">
        <v>1453</v>
      </c>
      <c r="E1763" s="20" t="s">
        <v>1493</v>
      </c>
      <c r="F1763" s="20"/>
      <c r="G1763" s="20"/>
      <c r="H1763" s="20"/>
      <c r="I1763" s="21" t="s">
        <v>641</v>
      </c>
      <c r="J1763" s="21"/>
      <c r="K1763" s="21"/>
      <c r="L1763" s="21"/>
      <c r="M1763" s="21"/>
      <c r="N1763" s="67" t="s">
        <v>1450</v>
      </c>
      <c r="O1763" s="67" t="s">
        <v>1450</v>
      </c>
      <c r="P1763" s="67"/>
      <c r="Q1763" s="67" t="s">
        <v>2041</v>
      </c>
      <c r="R1763" s="67"/>
      <c r="S1763" s="67"/>
      <c r="T1763" s="67" t="s">
        <v>3266</v>
      </c>
      <c r="U1763" s="123" t="s">
        <v>3210</v>
      </c>
      <c r="V1763" s="67" t="s">
        <v>1832</v>
      </c>
      <c r="W1763" s="67" t="s">
        <v>1</v>
      </c>
      <c r="X1763" s="67"/>
      <c r="Y1763" s="23" t="s">
        <v>1</v>
      </c>
      <c r="Z1763" s="21"/>
      <c r="AA1763" s="21"/>
      <c r="AB1763" s="21"/>
      <c r="AC1763" s="21"/>
      <c r="AD1763" s="21"/>
      <c r="AE1763" s="39"/>
      <c r="AF1763" s="39" t="s">
        <v>2042</v>
      </c>
      <c r="AG1763" s="21"/>
      <c r="AH1763" s="25" t="s">
        <v>4570</v>
      </c>
      <c r="AI1763" s="25" t="s">
        <v>344</v>
      </c>
      <c r="AJ1763" s="36"/>
      <c r="AK1763" s="27"/>
      <c r="AL1763" s="27"/>
      <c r="AM1763" s="27"/>
      <c r="AN1763" s="27"/>
      <c r="AO1763" s="27"/>
      <c r="AP1763" s="27"/>
      <c r="AQ1763" s="27"/>
      <c r="AR1763" s="27"/>
      <c r="AS1763" s="27"/>
      <c r="AT1763" s="27"/>
      <c r="AW1763" s="36"/>
      <c r="AX1763" s="27"/>
      <c r="AY1763" s="27"/>
      <c r="AZ1763" s="27"/>
      <c r="BA1763" s="27"/>
      <c r="BB1763" s="27"/>
      <c r="BC1763" s="27"/>
      <c r="BD1763" s="27"/>
      <c r="BE1763" s="27"/>
      <c r="BF1763" s="27"/>
      <c r="BG1763" s="27"/>
      <c r="BJ1763" s="36"/>
      <c r="BK1763" s="27"/>
      <c r="BL1763" s="27"/>
      <c r="BM1763" s="27"/>
      <c r="BN1763" s="27"/>
      <c r="BO1763" s="27"/>
      <c r="BP1763" s="27"/>
      <c r="BQ1763" s="27"/>
      <c r="BR1763" s="27"/>
      <c r="BS1763" s="27"/>
      <c r="BT1763" s="27"/>
      <c r="BW1763" s="36"/>
      <c r="BX1763" s="27"/>
      <c r="BY1763" s="27"/>
      <c r="BZ1763" s="28"/>
      <c r="CA1763" s="28"/>
      <c r="CB1763" s="27"/>
      <c r="CC1763" s="27"/>
      <c r="CD1763" s="27"/>
      <c r="CE1763" s="27"/>
      <c r="CF1763" s="27"/>
      <c r="CG1763" s="28"/>
      <c r="CH1763" s="39"/>
      <c r="CI1763" s="23" t="s">
        <v>3830</v>
      </c>
      <c r="CJ1763" s="28"/>
      <c r="CK1763" s="23"/>
      <c r="CL1763" s="68"/>
      <c r="CN1763" s="25" t="s">
        <v>181</v>
      </c>
      <c r="CP1763" s="23"/>
      <c r="CR1763" s="36">
        <f>AK1763*0.25</f>
        <v>0</v>
      </c>
      <c r="CS1763" s="36">
        <f>AK1763*0.5</f>
        <v>0</v>
      </c>
      <c r="CT1763" s="69">
        <f>CR1763/200*100</f>
        <v>0</v>
      </c>
      <c r="CU1763" s="69">
        <f>CR1763/300*100</f>
        <v>0</v>
      </c>
      <c r="CV1763" s="69">
        <f>CR1763/400*100</f>
        <v>0</v>
      </c>
      <c r="CW1763" s="69">
        <f>CR1763/500*100</f>
        <v>0</v>
      </c>
      <c r="CX1763" s="69">
        <f>CR1763/600*100</f>
        <v>0</v>
      </c>
      <c r="CY1763" s="69">
        <f>CR1763/700*100</f>
        <v>0</v>
      </c>
      <c r="CZ1763" s="69">
        <f>CR1763/800*100</f>
        <v>0</v>
      </c>
      <c r="DA1763" s="69">
        <f>CR1763/900*100</f>
        <v>0</v>
      </c>
      <c r="DB1763" s="69">
        <f>CR1763/1000*100</f>
        <v>0</v>
      </c>
      <c r="DC1763" s="28"/>
    </row>
    <row r="1764" spans="1:107" s="25" customFormat="1" x14ac:dyDescent="0.2">
      <c r="A1764" s="29" t="s">
        <v>625</v>
      </c>
      <c r="B1764" s="66">
        <v>2</v>
      </c>
      <c r="C1764" s="66">
        <f t="shared" ref="C1764:C1771" si="112">A1764*10000+B1764</f>
        <v>51000002</v>
      </c>
      <c r="D1764" s="29" t="s">
        <v>1452</v>
      </c>
      <c r="E1764" s="20" t="s">
        <v>1493</v>
      </c>
      <c r="F1764" s="20"/>
      <c r="G1764" s="20"/>
      <c r="H1764" s="20"/>
      <c r="I1764" s="21" t="s">
        <v>641</v>
      </c>
      <c r="J1764" s="21"/>
      <c r="K1764" s="21"/>
      <c r="L1764" s="21"/>
      <c r="M1764" s="21"/>
      <c r="N1764" s="67" t="s">
        <v>1450</v>
      </c>
      <c r="O1764" s="67" t="s">
        <v>1450</v>
      </c>
      <c r="P1764" s="67"/>
      <c r="Q1764" s="67" t="s">
        <v>2041</v>
      </c>
      <c r="R1764" s="67"/>
      <c r="S1764" s="67"/>
      <c r="T1764" s="67" t="s">
        <v>3266</v>
      </c>
      <c r="U1764" s="123" t="s">
        <v>3210</v>
      </c>
      <c r="V1764" s="67" t="s">
        <v>1832</v>
      </c>
      <c r="W1764" s="67" t="s">
        <v>1</v>
      </c>
      <c r="X1764" s="67"/>
      <c r="Y1764" s="23" t="s">
        <v>1</v>
      </c>
      <c r="Z1764" s="21"/>
      <c r="AA1764" s="21"/>
      <c r="AB1764" s="21"/>
      <c r="AC1764" s="21"/>
      <c r="AD1764" s="21"/>
      <c r="AE1764" s="39"/>
      <c r="AF1764" s="39" t="s">
        <v>2042</v>
      </c>
      <c r="AG1764" s="21"/>
      <c r="AH1764" s="25" t="s">
        <v>4571</v>
      </c>
      <c r="AI1764" s="25" t="s">
        <v>344</v>
      </c>
      <c r="AJ1764" s="36"/>
      <c r="AK1764" s="27"/>
      <c r="AL1764" s="27"/>
      <c r="AM1764" s="27"/>
      <c r="AN1764" s="27"/>
      <c r="AO1764" s="27"/>
      <c r="AP1764" s="27"/>
      <c r="AQ1764" s="27"/>
      <c r="AR1764" s="27"/>
      <c r="AS1764" s="27"/>
      <c r="AT1764" s="27"/>
      <c r="AW1764" s="36"/>
      <c r="AX1764" s="27"/>
      <c r="AY1764" s="27"/>
      <c r="AZ1764" s="27"/>
      <c r="BA1764" s="27"/>
      <c r="BB1764" s="27"/>
      <c r="BC1764" s="27"/>
      <c r="BD1764" s="27"/>
      <c r="BE1764" s="27"/>
      <c r="BF1764" s="27"/>
      <c r="BG1764" s="27"/>
      <c r="BJ1764" s="36"/>
      <c r="BK1764" s="27"/>
      <c r="BL1764" s="27"/>
      <c r="BM1764" s="27"/>
      <c r="BN1764" s="27"/>
      <c r="BO1764" s="27"/>
      <c r="BP1764" s="27"/>
      <c r="BQ1764" s="27"/>
      <c r="BR1764" s="27"/>
      <c r="BS1764" s="27"/>
      <c r="BT1764" s="27"/>
      <c r="BW1764" s="36"/>
      <c r="BX1764" s="27"/>
      <c r="BY1764" s="27"/>
      <c r="BZ1764" s="28"/>
      <c r="CA1764" s="28"/>
      <c r="CB1764" s="27"/>
      <c r="CC1764" s="27"/>
      <c r="CD1764" s="27"/>
      <c r="CE1764" s="27"/>
      <c r="CF1764" s="27"/>
      <c r="CG1764" s="28"/>
      <c r="CH1764" s="39"/>
      <c r="CI1764" s="23" t="s">
        <v>3830</v>
      </c>
      <c r="CJ1764" s="28"/>
      <c r="CK1764" s="23"/>
      <c r="CL1764" s="68"/>
      <c r="CN1764" s="25" t="s">
        <v>181</v>
      </c>
      <c r="CP1764" s="23"/>
      <c r="CR1764" s="36">
        <f t="shared" ref="CR1764:CR1771" si="113">AK1764*0.25</f>
        <v>0</v>
      </c>
      <c r="CS1764" s="36">
        <f t="shared" ref="CS1764:CS1771" si="114">AK1764*0.5</f>
        <v>0</v>
      </c>
      <c r="CT1764" s="69">
        <f t="shared" ref="CT1764:CT1771" si="115">CR1764/200*100</f>
        <v>0</v>
      </c>
      <c r="CU1764" s="69">
        <f t="shared" ref="CU1764:CU1771" si="116">CR1764/300*100</f>
        <v>0</v>
      </c>
      <c r="CV1764" s="69">
        <f t="shared" ref="CV1764:CV1771" si="117">CR1764/400*100</f>
        <v>0</v>
      </c>
      <c r="CW1764" s="69">
        <f t="shared" ref="CW1764:CW1771" si="118">CR1764/500*100</f>
        <v>0</v>
      </c>
      <c r="CX1764" s="69">
        <f t="shared" ref="CX1764:CX1771" si="119">CR1764/600*100</f>
        <v>0</v>
      </c>
      <c r="CY1764" s="69">
        <f t="shared" ref="CY1764:CY1771" si="120">CR1764/700*100</f>
        <v>0</v>
      </c>
      <c r="CZ1764" s="69">
        <f t="shared" ref="CZ1764:CZ1771" si="121">CR1764/800*100</f>
        <v>0</v>
      </c>
      <c r="DA1764" s="69">
        <f t="shared" ref="DA1764:DA1771" si="122">CR1764/900*100</f>
        <v>0</v>
      </c>
      <c r="DB1764" s="69">
        <f t="shared" ref="DB1764:DB1771" si="123">CR1764/1000*100</f>
        <v>0</v>
      </c>
      <c r="DC1764" s="28"/>
    </row>
    <row r="1765" spans="1:107" s="25" customFormat="1" x14ac:dyDescent="0.2">
      <c r="A1765" s="29" t="s">
        <v>625</v>
      </c>
      <c r="B1765" s="66">
        <v>3</v>
      </c>
      <c r="C1765" s="66">
        <f t="shared" si="112"/>
        <v>51000003</v>
      </c>
      <c r="D1765" s="29" t="s">
        <v>1452</v>
      </c>
      <c r="E1765" s="20" t="s">
        <v>1493</v>
      </c>
      <c r="F1765" s="20"/>
      <c r="G1765" s="20"/>
      <c r="H1765" s="20"/>
      <c r="I1765" s="21" t="s">
        <v>641</v>
      </c>
      <c r="J1765" s="21"/>
      <c r="K1765" s="21"/>
      <c r="L1765" s="21"/>
      <c r="M1765" s="21"/>
      <c r="N1765" s="67" t="s">
        <v>1450</v>
      </c>
      <c r="O1765" s="67" t="s">
        <v>1450</v>
      </c>
      <c r="P1765" s="67"/>
      <c r="Q1765" s="67" t="s">
        <v>2041</v>
      </c>
      <c r="R1765" s="67"/>
      <c r="S1765" s="67"/>
      <c r="T1765" s="67" t="s">
        <v>3266</v>
      </c>
      <c r="U1765" s="123" t="s">
        <v>3210</v>
      </c>
      <c r="V1765" s="67" t="s">
        <v>1832</v>
      </c>
      <c r="W1765" s="67" t="s">
        <v>1</v>
      </c>
      <c r="X1765" s="67"/>
      <c r="Y1765" s="23" t="s">
        <v>1</v>
      </c>
      <c r="Z1765" s="21"/>
      <c r="AA1765" s="21"/>
      <c r="AB1765" s="21"/>
      <c r="AC1765" s="21"/>
      <c r="AD1765" s="21"/>
      <c r="AE1765" s="39"/>
      <c r="AF1765" s="39" t="s">
        <v>2042</v>
      </c>
      <c r="AG1765" s="21"/>
      <c r="AH1765" s="25" t="s">
        <v>4572</v>
      </c>
      <c r="AI1765" s="25" t="s">
        <v>344</v>
      </c>
      <c r="AJ1765" s="36"/>
      <c r="AK1765" s="27"/>
      <c r="AL1765" s="27"/>
      <c r="AM1765" s="27"/>
      <c r="AN1765" s="27"/>
      <c r="AO1765" s="27"/>
      <c r="AP1765" s="27"/>
      <c r="AQ1765" s="27"/>
      <c r="AR1765" s="27"/>
      <c r="AS1765" s="27"/>
      <c r="AT1765" s="27"/>
      <c r="AW1765" s="36"/>
      <c r="AX1765" s="27"/>
      <c r="AY1765" s="27"/>
      <c r="AZ1765" s="27"/>
      <c r="BA1765" s="27"/>
      <c r="BB1765" s="27"/>
      <c r="BC1765" s="27"/>
      <c r="BD1765" s="27"/>
      <c r="BE1765" s="27"/>
      <c r="BF1765" s="27"/>
      <c r="BG1765" s="27"/>
      <c r="BJ1765" s="36"/>
      <c r="BK1765" s="27"/>
      <c r="BL1765" s="27"/>
      <c r="BM1765" s="27"/>
      <c r="BN1765" s="27"/>
      <c r="BO1765" s="27"/>
      <c r="BP1765" s="27"/>
      <c r="BQ1765" s="27"/>
      <c r="BR1765" s="27"/>
      <c r="BS1765" s="27"/>
      <c r="BT1765" s="27"/>
      <c r="BW1765" s="36"/>
      <c r="BX1765" s="27"/>
      <c r="BY1765" s="27"/>
      <c r="BZ1765" s="28"/>
      <c r="CA1765" s="28"/>
      <c r="CB1765" s="27"/>
      <c r="CC1765" s="27"/>
      <c r="CD1765" s="27"/>
      <c r="CE1765" s="27"/>
      <c r="CF1765" s="27"/>
      <c r="CG1765" s="28"/>
      <c r="CH1765" s="39"/>
      <c r="CI1765" s="23" t="s">
        <v>3830</v>
      </c>
      <c r="CJ1765" s="28"/>
      <c r="CK1765" s="23"/>
      <c r="CL1765" s="68"/>
      <c r="CN1765" s="25" t="s">
        <v>181</v>
      </c>
      <c r="CP1765" s="23"/>
      <c r="CR1765" s="36">
        <f t="shared" si="113"/>
        <v>0</v>
      </c>
      <c r="CS1765" s="36">
        <f t="shared" si="114"/>
        <v>0</v>
      </c>
      <c r="CT1765" s="69">
        <f t="shared" si="115"/>
        <v>0</v>
      </c>
      <c r="CU1765" s="69">
        <f t="shared" si="116"/>
        <v>0</v>
      </c>
      <c r="CV1765" s="69">
        <f t="shared" si="117"/>
        <v>0</v>
      </c>
      <c r="CW1765" s="69">
        <f t="shared" si="118"/>
        <v>0</v>
      </c>
      <c r="CX1765" s="69">
        <f t="shared" si="119"/>
        <v>0</v>
      </c>
      <c r="CY1765" s="69">
        <f t="shared" si="120"/>
        <v>0</v>
      </c>
      <c r="CZ1765" s="69">
        <f t="shared" si="121"/>
        <v>0</v>
      </c>
      <c r="DA1765" s="69">
        <f t="shared" si="122"/>
        <v>0</v>
      </c>
      <c r="DB1765" s="69">
        <f t="shared" si="123"/>
        <v>0</v>
      </c>
      <c r="DC1765" s="28"/>
    </row>
    <row r="1766" spans="1:107" s="25" customFormat="1" x14ac:dyDescent="0.2">
      <c r="A1766" s="29" t="s">
        <v>625</v>
      </c>
      <c r="B1766" s="66">
        <v>4</v>
      </c>
      <c r="C1766" s="66">
        <f t="shared" si="112"/>
        <v>51000004</v>
      </c>
      <c r="D1766" s="29" t="s">
        <v>1452</v>
      </c>
      <c r="E1766" s="20" t="s">
        <v>1493</v>
      </c>
      <c r="F1766" s="20"/>
      <c r="G1766" s="20"/>
      <c r="H1766" s="20"/>
      <c r="I1766" s="21" t="s">
        <v>641</v>
      </c>
      <c r="J1766" s="21"/>
      <c r="K1766" s="21"/>
      <c r="L1766" s="21"/>
      <c r="M1766" s="21"/>
      <c r="N1766" s="67" t="s">
        <v>1450</v>
      </c>
      <c r="O1766" s="67" t="s">
        <v>1450</v>
      </c>
      <c r="P1766" s="67"/>
      <c r="Q1766" s="67" t="s">
        <v>2041</v>
      </c>
      <c r="R1766" s="67"/>
      <c r="S1766" s="67"/>
      <c r="T1766" s="67" t="s">
        <v>3266</v>
      </c>
      <c r="U1766" s="123" t="s">
        <v>3210</v>
      </c>
      <c r="V1766" s="67" t="s">
        <v>1832</v>
      </c>
      <c r="W1766" s="67" t="s">
        <v>1</v>
      </c>
      <c r="X1766" s="67"/>
      <c r="Y1766" s="23" t="s">
        <v>1</v>
      </c>
      <c r="Z1766" s="21"/>
      <c r="AA1766" s="21"/>
      <c r="AB1766" s="21"/>
      <c r="AC1766" s="21"/>
      <c r="AD1766" s="21"/>
      <c r="AE1766" s="39"/>
      <c r="AF1766" s="39" t="s">
        <v>2042</v>
      </c>
      <c r="AG1766" s="21"/>
      <c r="AH1766" s="25" t="s">
        <v>4573</v>
      </c>
      <c r="AI1766" s="25" t="s">
        <v>344</v>
      </c>
      <c r="AJ1766" s="36"/>
      <c r="AK1766" s="27"/>
      <c r="AL1766" s="27"/>
      <c r="AM1766" s="27"/>
      <c r="AN1766" s="27"/>
      <c r="AO1766" s="27"/>
      <c r="AP1766" s="27"/>
      <c r="AQ1766" s="27"/>
      <c r="AR1766" s="27"/>
      <c r="AS1766" s="27"/>
      <c r="AT1766" s="27"/>
      <c r="AW1766" s="36"/>
      <c r="AX1766" s="27"/>
      <c r="AY1766" s="27"/>
      <c r="AZ1766" s="27"/>
      <c r="BA1766" s="27"/>
      <c r="BB1766" s="27"/>
      <c r="BC1766" s="27"/>
      <c r="BD1766" s="27"/>
      <c r="BE1766" s="27"/>
      <c r="BF1766" s="27"/>
      <c r="BG1766" s="27"/>
      <c r="BJ1766" s="36"/>
      <c r="BK1766" s="27"/>
      <c r="BL1766" s="27"/>
      <c r="BM1766" s="27"/>
      <c r="BN1766" s="27"/>
      <c r="BO1766" s="27"/>
      <c r="BP1766" s="27"/>
      <c r="BQ1766" s="27"/>
      <c r="BR1766" s="27"/>
      <c r="BS1766" s="27"/>
      <c r="BT1766" s="27"/>
      <c r="BW1766" s="36"/>
      <c r="BX1766" s="27"/>
      <c r="BY1766" s="27"/>
      <c r="BZ1766" s="28"/>
      <c r="CA1766" s="28"/>
      <c r="CB1766" s="27"/>
      <c r="CC1766" s="27"/>
      <c r="CD1766" s="27"/>
      <c r="CE1766" s="27"/>
      <c r="CF1766" s="27"/>
      <c r="CG1766" s="28"/>
      <c r="CH1766" s="39"/>
      <c r="CI1766" s="23" t="s">
        <v>3830</v>
      </c>
      <c r="CJ1766" s="28"/>
      <c r="CK1766" s="23"/>
      <c r="CL1766" s="68"/>
      <c r="CN1766" s="25" t="s">
        <v>181</v>
      </c>
      <c r="CP1766" s="23"/>
      <c r="CR1766" s="36">
        <f t="shared" si="113"/>
        <v>0</v>
      </c>
      <c r="CS1766" s="36">
        <f t="shared" si="114"/>
        <v>0</v>
      </c>
      <c r="CT1766" s="69">
        <f t="shared" si="115"/>
        <v>0</v>
      </c>
      <c r="CU1766" s="69">
        <f t="shared" si="116"/>
        <v>0</v>
      </c>
      <c r="CV1766" s="69">
        <f t="shared" si="117"/>
        <v>0</v>
      </c>
      <c r="CW1766" s="69">
        <f t="shared" si="118"/>
        <v>0</v>
      </c>
      <c r="CX1766" s="69">
        <f t="shared" si="119"/>
        <v>0</v>
      </c>
      <c r="CY1766" s="69">
        <f t="shared" si="120"/>
        <v>0</v>
      </c>
      <c r="CZ1766" s="69">
        <f t="shared" si="121"/>
        <v>0</v>
      </c>
      <c r="DA1766" s="69">
        <f t="shared" si="122"/>
        <v>0</v>
      </c>
      <c r="DB1766" s="69">
        <f t="shared" si="123"/>
        <v>0</v>
      </c>
      <c r="DC1766" s="28"/>
    </row>
    <row r="1767" spans="1:107" s="25" customFormat="1" x14ac:dyDescent="0.2">
      <c r="A1767" s="29" t="s">
        <v>625</v>
      </c>
      <c r="B1767" s="66">
        <v>5</v>
      </c>
      <c r="C1767" s="66">
        <f t="shared" si="112"/>
        <v>51000005</v>
      </c>
      <c r="D1767" s="29" t="s">
        <v>1452</v>
      </c>
      <c r="E1767" s="20" t="s">
        <v>1493</v>
      </c>
      <c r="F1767" s="20"/>
      <c r="G1767" s="20"/>
      <c r="H1767" s="20"/>
      <c r="I1767" s="21" t="s">
        <v>641</v>
      </c>
      <c r="J1767" s="21"/>
      <c r="K1767" s="21"/>
      <c r="L1767" s="21"/>
      <c r="M1767" s="21"/>
      <c r="N1767" s="67" t="s">
        <v>1450</v>
      </c>
      <c r="O1767" s="67" t="s">
        <v>1450</v>
      </c>
      <c r="P1767" s="67"/>
      <c r="Q1767" s="67" t="s">
        <v>2041</v>
      </c>
      <c r="R1767" s="67"/>
      <c r="S1767" s="67"/>
      <c r="T1767" s="67" t="s">
        <v>3266</v>
      </c>
      <c r="U1767" s="123" t="s">
        <v>3210</v>
      </c>
      <c r="V1767" s="67" t="s">
        <v>1832</v>
      </c>
      <c r="W1767" s="67" t="s">
        <v>1</v>
      </c>
      <c r="X1767" s="67"/>
      <c r="Y1767" s="23" t="s">
        <v>1</v>
      </c>
      <c r="Z1767" s="21"/>
      <c r="AA1767" s="21"/>
      <c r="AB1767" s="21"/>
      <c r="AC1767" s="21"/>
      <c r="AD1767" s="21"/>
      <c r="AE1767" s="39"/>
      <c r="AF1767" s="39" t="s">
        <v>2042</v>
      </c>
      <c r="AG1767" s="21"/>
      <c r="AH1767" s="25" t="s">
        <v>4574</v>
      </c>
      <c r="AI1767" s="25" t="s">
        <v>344</v>
      </c>
      <c r="AJ1767" s="36"/>
      <c r="AK1767" s="27"/>
      <c r="AL1767" s="27"/>
      <c r="AM1767" s="27"/>
      <c r="AN1767" s="27"/>
      <c r="AO1767" s="27"/>
      <c r="AP1767" s="27"/>
      <c r="AQ1767" s="27"/>
      <c r="AR1767" s="27"/>
      <c r="AS1767" s="27"/>
      <c r="AT1767" s="27"/>
      <c r="AW1767" s="36"/>
      <c r="AX1767" s="27"/>
      <c r="AY1767" s="27"/>
      <c r="AZ1767" s="27"/>
      <c r="BA1767" s="27"/>
      <c r="BB1767" s="27"/>
      <c r="BC1767" s="27"/>
      <c r="BD1767" s="27"/>
      <c r="BE1767" s="27"/>
      <c r="BF1767" s="27"/>
      <c r="BG1767" s="27"/>
      <c r="BJ1767" s="36"/>
      <c r="BK1767" s="27"/>
      <c r="BL1767" s="27"/>
      <c r="BM1767" s="27"/>
      <c r="BN1767" s="27"/>
      <c r="BO1767" s="27"/>
      <c r="BP1767" s="27"/>
      <c r="BQ1767" s="27"/>
      <c r="BR1767" s="27"/>
      <c r="BS1767" s="27"/>
      <c r="BT1767" s="27"/>
      <c r="BW1767" s="36"/>
      <c r="BX1767" s="27"/>
      <c r="BY1767" s="27"/>
      <c r="BZ1767" s="28"/>
      <c r="CA1767" s="28"/>
      <c r="CB1767" s="27"/>
      <c r="CC1767" s="27"/>
      <c r="CD1767" s="27"/>
      <c r="CE1767" s="27"/>
      <c r="CF1767" s="27"/>
      <c r="CG1767" s="28"/>
      <c r="CH1767" s="39"/>
      <c r="CI1767" s="23" t="s">
        <v>3830</v>
      </c>
      <c r="CJ1767" s="28"/>
      <c r="CK1767" s="23"/>
      <c r="CL1767" s="68"/>
      <c r="CN1767" s="25" t="s">
        <v>181</v>
      </c>
      <c r="CP1767" s="23"/>
      <c r="CR1767" s="36">
        <f t="shared" si="113"/>
        <v>0</v>
      </c>
      <c r="CS1767" s="36">
        <f t="shared" si="114"/>
        <v>0</v>
      </c>
      <c r="CT1767" s="69">
        <f t="shared" si="115"/>
        <v>0</v>
      </c>
      <c r="CU1767" s="69">
        <f t="shared" si="116"/>
        <v>0</v>
      </c>
      <c r="CV1767" s="69">
        <f t="shared" si="117"/>
        <v>0</v>
      </c>
      <c r="CW1767" s="69">
        <f t="shared" si="118"/>
        <v>0</v>
      </c>
      <c r="CX1767" s="69">
        <f t="shared" si="119"/>
        <v>0</v>
      </c>
      <c r="CY1767" s="69">
        <f t="shared" si="120"/>
        <v>0</v>
      </c>
      <c r="CZ1767" s="69">
        <f t="shared" si="121"/>
        <v>0</v>
      </c>
      <c r="DA1767" s="69">
        <f t="shared" si="122"/>
        <v>0</v>
      </c>
      <c r="DB1767" s="69">
        <f t="shared" si="123"/>
        <v>0</v>
      </c>
      <c r="DC1767" s="28"/>
    </row>
    <row r="1768" spans="1:107" s="25" customFormat="1" x14ac:dyDescent="0.2">
      <c r="A1768" s="29" t="s">
        <v>625</v>
      </c>
      <c r="B1768" s="66">
        <v>6</v>
      </c>
      <c r="C1768" s="66">
        <f t="shared" si="112"/>
        <v>51000006</v>
      </c>
      <c r="D1768" s="29" t="s">
        <v>1452</v>
      </c>
      <c r="E1768" s="20" t="s">
        <v>1493</v>
      </c>
      <c r="F1768" s="20"/>
      <c r="G1768" s="20"/>
      <c r="H1768" s="20"/>
      <c r="I1768" s="21" t="s">
        <v>641</v>
      </c>
      <c r="J1768" s="21"/>
      <c r="K1768" s="21"/>
      <c r="L1768" s="21"/>
      <c r="M1768" s="21"/>
      <c r="N1768" s="67" t="s">
        <v>1450</v>
      </c>
      <c r="O1768" s="67" t="s">
        <v>1450</v>
      </c>
      <c r="P1768" s="67"/>
      <c r="Q1768" s="67" t="s">
        <v>2041</v>
      </c>
      <c r="R1768" s="67"/>
      <c r="S1768" s="67"/>
      <c r="T1768" s="67" t="s">
        <v>3266</v>
      </c>
      <c r="U1768" s="123" t="s">
        <v>3210</v>
      </c>
      <c r="V1768" s="67" t="s">
        <v>1832</v>
      </c>
      <c r="W1768" s="67" t="s">
        <v>1</v>
      </c>
      <c r="X1768" s="67"/>
      <c r="Y1768" s="23" t="s">
        <v>1</v>
      </c>
      <c r="Z1768" s="21"/>
      <c r="AA1768" s="21"/>
      <c r="AB1768" s="21"/>
      <c r="AC1768" s="21"/>
      <c r="AD1768" s="21"/>
      <c r="AE1768" s="39"/>
      <c r="AF1768" s="39" t="s">
        <v>2042</v>
      </c>
      <c r="AG1768" s="21"/>
      <c r="AH1768" s="25" t="s">
        <v>4575</v>
      </c>
      <c r="AI1768" s="25" t="s">
        <v>344</v>
      </c>
      <c r="AJ1768" s="36"/>
      <c r="AK1768" s="27"/>
      <c r="AL1768" s="27"/>
      <c r="AM1768" s="27"/>
      <c r="AN1768" s="27"/>
      <c r="AO1768" s="27"/>
      <c r="AP1768" s="27"/>
      <c r="AQ1768" s="27"/>
      <c r="AR1768" s="27"/>
      <c r="AS1768" s="27"/>
      <c r="AT1768" s="27"/>
      <c r="AW1768" s="36"/>
      <c r="AX1768" s="27"/>
      <c r="AY1768" s="27"/>
      <c r="AZ1768" s="27"/>
      <c r="BA1768" s="27"/>
      <c r="BB1768" s="27"/>
      <c r="BC1768" s="27"/>
      <c r="BD1768" s="27"/>
      <c r="BE1768" s="27"/>
      <c r="BF1768" s="27"/>
      <c r="BG1768" s="27"/>
      <c r="BJ1768" s="36"/>
      <c r="BK1768" s="27"/>
      <c r="BL1768" s="27"/>
      <c r="BM1768" s="27"/>
      <c r="BN1768" s="27"/>
      <c r="BO1768" s="27"/>
      <c r="BP1768" s="27"/>
      <c r="BQ1768" s="27"/>
      <c r="BR1768" s="27"/>
      <c r="BS1768" s="27"/>
      <c r="BT1768" s="27"/>
      <c r="BW1768" s="36"/>
      <c r="BX1768" s="27"/>
      <c r="BY1768" s="27"/>
      <c r="BZ1768" s="28"/>
      <c r="CA1768" s="28"/>
      <c r="CB1768" s="27"/>
      <c r="CC1768" s="27"/>
      <c r="CD1768" s="27"/>
      <c r="CE1768" s="27"/>
      <c r="CF1768" s="27"/>
      <c r="CG1768" s="28"/>
      <c r="CH1768" s="39"/>
      <c r="CI1768" s="23" t="s">
        <v>3830</v>
      </c>
      <c r="CJ1768" s="28"/>
      <c r="CK1768" s="23"/>
      <c r="CL1768" s="68"/>
      <c r="CN1768" s="25" t="s">
        <v>181</v>
      </c>
      <c r="CP1768" s="23"/>
      <c r="CR1768" s="36">
        <f t="shared" si="113"/>
        <v>0</v>
      </c>
      <c r="CS1768" s="36">
        <f t="shared" si="114"/>
        <v>0</v>
      </c>
      <c r="CT1768" s="69">
        <f t="shared" si="115"/>
        <v>0</v>
      </c>
      <c r="CU1768" s="69">
        <f t="shared" si="116"/>
        <v>0</v>
      </c>
      <c r="CV1768" s="69">
        <f t="shared" si="117"/>
        <v>0</v>
      </c>
      <c r="CW1768" s="69">
        <f t="shared" si="118"/>
        <v>0</v>
      </c>
      <c r="CX1768" s="69">
        <f t="shared" si="119"/>
        <v>0</v>
      </c>
      <c r="CY1768" s="69">
        <f t="shared" si="120"/>
        <v>0</v>
      </c>
      <c r="CZ1768" s="69">
        <f t="shared" si="121"/>
        <v>0</v>
      </c>
      <c r="DA1768" s="69">
        <f t="shared" si="122"/>
        <v>0</v>
      </c>
      <c r="DB1768" s="69">
        <f t="shared" si="123"/>
        <v>0</v>
      </c>
      <c r="DC1768" s="28"/>
    </row>
    <row r="1769" spans="1:107" s="25" customFormat="1" x14ac:dyDescent="0.2">
      <c r="A1769" s="29" t="s">
        <v>625</v>
      </c>
      <c r="B1769" s="66">
        <v>7</v>
      </c>
      <c r="C1769" s="66">
        <f t="shared" si="112"/>
        <v>51000007</v>
      </c>
      <c r="D1769" s="29" t="s">
        <v>1452</v>
      </c>
      <c r="E1769" s="20" t="s">
        <v>1493</v>
      </c>
      <c r="F1769" s="20"/>
      <c r="G1769" s="20"/>
      <c r="H1769" s="20"/>
      <c r="I1769" s="21" t="s">
        <v>641</v>
      </c>
      <c r="J1769" s="21"/>
      <c r="K1769" s="21"/>
      <c r="L1769" s="21"/>
      <c r="M1769" s="21"/>
      <c r="N1769" s="67" t="s">
        <v>1450</v>
      </c>
      <c r="O1769" s="67" t="s">
        <v>1450</v>
      </c>
      <c r="P1769" s="67"/>
      <c r="Q1769" s="67" t="s">
        <v>2041</v>
      </c>
      <c r="R1769" s="67"/>
      <c r="S1769" s="67"/>
      <c r="T1769" s="67" t="s">
        <v>3266</v>
      </c>
      <c r="U1769" s="123" t="s">
        <v>3210</v>
      </c>
      <c r="V1769" s="67" t="s">
        <v>1832</v>
      </c>
      <c r="W1769" s="67" t="s">
        <v>1</v>
      </c>
      <c r="X1769" s="67"/>
      <c r="Y1769" s="23" t="s">
        <v>1</v>
      </c>
      <c r="Z1769" s="21"/>
      <c r="AA1769" s="21"/>
      <c r="AB1769" s="21"/>
      <c r="AC1769" s="21"/>
      <c r="AD1769" s="21"/>
      <c r="AE1769" s="39"/>
      <c r="AF1769" s="39" t="s">
        <v>2042</v>
      </c>
      <c r="AG1769" s="21"/>
      <c r="AH1769" s="25" t="s">
        <v>4576</v>
      </c>
      <c r="AI1769" s="25" t="s">
        <v>344</v>
      </c>
      <c r="AJ1769" s="36"/>
      <c r="AK1769" s="27"/>
      <c r="AL1769" s="27"/>
      <c r="AM1769" s="27"/>
      <c r="AN1769" s="27"/>
      <c r="AO1769" s="27"/>
      <c r="AP1769" s="27"/>
      <c r="AQ1769" s="27"/>
      <c r="AR1769" s="27"/>
      <c r="AS1769" s="27"/>
      <c r="AT1769" s="27"/>
      <c r="AW1769" s="36"/>
      <c r="AX1769" s="27"/>
      <c r="AY1769" s="27"/>
      <c r="AZ1769" s="27"/>
      <c r="BA1769" s="27"/>
      <c r="BB1769" s="27"/>
      <c r="BC1769" s="27"/>
      <c r="BD1769" s="27"/>
      <c r="BE1769" s="27"/>
      <c r="BF1769" s="27"/>
      <c r="BG1769" s="27"/>
      <c r="BJ1769" s="36"/>
      <c r="BK1769" s="27"/>
      <c r="BL1769" s="27"/>
      <c r="BM1769" s="27"/>
      <c r="BN1769" s="27"/>
      <c r="BO1769" s="27"/>
      <c r="BP1769" s="27"/>
      <c r="BQ1769" s="27"/>
      <c r="BR1769" s="27"/>
      <c r="BS1769" s="27"/>
      <c r="BT1769" s="27"/>
      <c r="BW1769" s="36"/>
      <c r="BX1769" s="27"/>
      <c r="BY1769" s="27"/>
      <c r="BZ1769" s="28"/>
      <c r="CA1769" s="28"/>
      <c r="CB1769" s="27"/>
      <c r="CC1769" s="27"/>
      <c r="CD1769" s="27"/>
      <c r="CE1769" s="27"/>
      <c r="CF1769" s="27"/>
      <c r="CG1769" s="28"/>
      <c r="CH1769" s="39"/>
      <c r="CI1769" s="23" t="s">
        <v>3830</v>
      </c>
      <c r="CJ1769" s="28"/>
      <c r="CK1769" s="23"/>
      <c r="CL1769" s="68"/>
      <c r="CN1769" s="25" t="s">
        <v>181</v>
      </c>
      <c r="CP1769" s="23"/>
      <c r="CR1769" s="36">
        <f t="shared" si="113"/>
        <v>0</v>
      </c>
      <c r="CS1769" s="36">
        <f t="shared" si="114"/>
        <v>0</v>
      </c>
      <c r="CT1769" s="69">
        <f t="shared" si="115"/>
        <v>0</v>
      </c>
      <c r="CU1769" s="69">
        <f t="shared" si="116"/>
        <v>0</v>
      </c>
      <c r="CV1769" s="69">
        <f t="shared" si="117"/>
        <v>0</v>
      </c>
      <c r="CW1769" s="69">
        <f t="shared" si="118"/>
        <v>0</v>
      </c>
      <c r="CX1769" s="69">
        <f t="shared" si="119"/>
        <v>0</v>
      </c>
      <c r="CY1769" s="69">
        <f t="shared" si="120"/>
        <v>0</v>
      </c>
      <c r="CZ1769" s="69">
        <f t="shared" si="121"/>
        <v>0</v>
      </c>
      <c r="DA1769" s="69">
        <f t="shared" si="122"/>
        <v>0</v>
      </c>
      <c r="DB1769" s="69">
        <f t="shared" si="123"/>
        <v>0</v>
      </c>
      <c r="DC1769" s="28"/>
    </row>
    <row r="1770" spans="1:107" s="25" customFormat="1" x14ac:dyDescent="0.2">
      <c r="A1770" s="29" t="s">
        <v>625</v>
      </c>
      <c r="B1770" s="66">
        <v>8</v>
      </c>
      <c r="C1770" s="66">
        <f t="shared" si="112"/>
        <v>51000008</v>
      </c>
      <c r="D1770" s="29" t="s">
        <v>1452</v>
      </c>
      <c r="E1770" s="20" t="s">
        <v>1493</v>
      </c>
      <c r="F1770" s="20"/>
      <c r="G1770" s="20"/>
      <c r="H1770" s="20"/>
      <c r="I1770" s="21" t="s">
        <v>641</v>
      </c>
      <c r="J1770" s="21"/>
      <c r="K1770" s="21"/>
      <c r="L1770" s="21"/>
      <c r="M1770" s="21"/>
      <c r="N1770" s="67" t="s">
        <v>1450</v>
      </c>
      <c r="O1770" s="67" t="s">
        <v>1450</v>
      </c>
      <c r="P1770" s="67"/>
      <c r="Q1770" s="67" t="s">
        <v>2041</v>
      </c>
      <c r="R1770" s="67"/>
      <c r="S1770" s="67"/>
      <c r="T1770" s="67" t="s">
        <v>3266</v>
      </c>
      <c r="U1770" s="123" t="s">
        <v>3210</v>
      </c>
      <c r="V1770" s="67" t="s">
        <v>1832</v>
      </c>
      <c r="W1770" s="67" t="s">
        <v>1</v>
      </c>
      <c r="X1770" s="67"/>
      <c r="Y1770" s="23" t="s">
        <v>1</v>
      </c>
      <c r="Z1770" s="21"/>
      <c r="AA1770" s="21"/>
      <c r="AB1770" s="21"/>
      <c r="AC1770" s="21"/>
      <c r="AD1770" s="21"/>
      <c r="AE1770" s="39"/>
      <c r="AF1770" s="39" t="s">
        <v>2042</v>
      </c>
      <c r="AG1770" s="21"/>
      <c r="AH1770" s="25" t="s">
        <v>4577</v>
      </c>
      <c r="AI1770" s="25" t="s">
        <v>344</v>
      </c>
      <c r="AJ1770" s="36"/>
      <c r="AK1770" s="27"/>
      <c r="AL1770" s="27"/>
      <c r="AM1770" s="27"/>
      <c r="AN1770" s="27"/>
      <c r="AO1770" s="27"/>
      <c r="AP1770" s="27"/>
      <c r="AQ1770" s="27"/>
      <c r="AR1770" s="27"/>
      <c r="AS1770" s="27"/>
      <c r="AT1770" s="27"/>
      <c r="AW1770" s="36"/>
      <c r="AX1770" s="27"/>
      <c r="AY1770" s="27"/>
      <c r="AZ1770" s="27"/>
      <c r="BA1770" s="27"/>
      <c r="BB1770" s="27"/>
      <c r="BC1770" s="27"/>
      <c r="BD1770" s="27"/>
      <c r="BE1770" s="27"/>
      <c r="BF1770" s="27"/>
      <c r="BG1770" s="27"/>
      <c r="BJ1770" s="36"/>
      <c r="BK1770" s="27"/>
      <c r="BL1770" s="27"/>
      <c r="BM1770" s="27"/>
      <c r="BN1770" s="27"/>
      <c r="BO1770" s="27"/>
      <c r="BP1770" s="27"/>
      <c r="BQ1770" s="27"/>
      <c r="BR1770" s="27"/>
      <c r="BS1770" s="27"/>
      <c r="BT1770" s="27"/>
      <c r="BW1770" s="36"/>
      <c r="BX1770" s="27"/>
      <c r="BY1770" s="27"/>
      <c r="BZ1770" s="28"/>
      <c r="CA1770" s="28"/>
      <c r="CB1770" s="27"/>
      <c r="CC1770" s="27"/>
      <c r="CD1770" s="27"/>
      <c r="CE1770" s="27"/>
      <c r="CF1770" s="27"/>
      <c r="CG1770" s="28"/>
      <c r="CH1770" s="39"/>
      <c r="CI1770" s="23" t="s">
        <v>3830</v>
      </c>
      <c r="CJ1770" s="28"/>
      <c r="CK1770" s="23"/>
      <c r="CL1770" s="68"/>
      <c r="CN1770" s="25" t="s">
        <v>181</v>
      </c>
      <c r="CP1770" s="23"/>
      <c r="CR1770" s="36">
        <f t="shared" si="113"/>
        <v>0</v>
      </c>
      <c r="CS1770" s="36">
        <f t="shared" si="114"/>
        <v>0</v>
      </c>
      <c r="CT1770" s="69">
        <f t="shared" si="115"/>
        <v>0</v>
      </c>
      <c r="CU1770" s="69">
        <f t="shared" si="116"/>
        <v>0</v>
      </c>
      <c r="CV1770" s="69">
        <f t="shared" si="117"/>
        <v>0</v>
      </c>
      <c r="CW1770" s="69">
        <f t="shared" si="118"/>
        <v>0</v>
      </c>
      <c r="CX1770" s="69">
        <f t="shared" si="119"/>
        <v>0</v>
      </c>
      <c r="CY1770" s="69">
        <f t="shared" si="120"/>
        <v>0</v>
      </c>
      <c r="CZ1770" s="69">
        <f t="shared" si="121"/>
        <v>0</v>
      </c>
      <c r="DA1770" s="69">
        <f t="shared" si="122"/>
        <v>0</v>
      </c>
      <c r="DB1770" s="69">
        <f t="shared" si="123"/>
        <v>0</v>
      </c>
      <c r="DC1770" s="28"/>
    </row>
    <row r="1771" spans="1:107" s="25" customFormat="1" x14ac:dyDescent="0.2">
      <c r="A1771" s="29" t="s">
        <v>625</v>
      </c>
      <c r="B1771" s="66">
        <v>9</v>
      </c>
      <c r="C1771" s="66">
        <f t="shared" si="112"/>
        <v>51000009</v>
      </c>
      <c r="D1771" s="29" t="s">
        <v>1452</v>
      </c>
      <c r="E1771" s="20" t="s">
        <v>1493</v>
      </c>
      <c r="F1771" s="20"/>
      <c r="G1771" s="20"/>
      <c r="H1771" s="20"/>
      <c r="I1771" s="21" t="s">
        <v>641</v>
      </c>
      <c r="J1771" s="21"/>
      <c r="K1771" s="21"/>
      <c r="L1771" s="21"/>
      <c r="M1771" s="21"/>
      <c r="N1771" s="67" t="s">
        <v>1450</v>
      </c>
      <c r="O1771" s="67" t="s">
        <v>1450</v>
      </c>
      <c r="P1771" s="67"/>
      <c r="Q1771" s="67" t="s">
        <v>2041</v>
      </c>
      <c r="R1771" s="67"/>
      <c r="S1771" s="67"/>
      <c r="T1771" s="67" t="s">
        <v>3266</v>
      </c>
      <c r="U1771" s="123" t="s">
        <v>3210</v>
      </c>
      <c r="V1771" s="67" t="s">
        <v>1832</v>
      </c>
      <c r="W1771" s="67" t="s">
        <v>1</v>
      </c>
      <c r="X1771" s="67"/>
      <c r="Y1771" s="23" t="s">
        <v>1</v>
      </c>
      <c r="Z1771" s="21"/>
      <c r="AA1771" s="21"/>
      <c r="AB1771" s="21"/>
      <c r="AC1771" s="21"/>
      <c r="AD1771" s="21"/>
      <c r="AE1771" s="39"/>
      <c r="AF1771" s="39" t="s">
        <v>2042</v>
      </c>
      <c r="AG1771" s="21"/>
      <c r="AH1771" s="25" t="s">
        <v>4578</v>
      </c>
      <c r="AI1771" s="25" t="s">
        <v>344</v>
      </c>
      <c r="AJ1771" s="36"/>
      <c r="AK1771" s="27"/>
      <c r="AL1771" s="27"/>
      <c r="AM1771" s="27"/>
      <c r="AN1771" s="27"/>
      <c r="AO1771" s="27"/>
      <c r="AP1771" s="27"/>
      <c r="AQ1771" s="27"/>
      <c r="AR1771" s="27"/>
      <c r="AS1771" s="27"/>
      <c r="AT1771" s="27"/>
      <c r="AW1771" s="36"/>
      <c r="AX1771" s="27"/>
      <c r="AY1771" s="27"/>
      <c r="AZ1771" s="27"/>
      <c r="BA1771" s="27"/>
      <c r="BB1771" s="27"/>
      <c r="BC1771" s="27"/>
      <c r="BD1771" s="27"/>
      <c r="BE1771" s="27"/>
      <c r="BF1771" s="27"/>
      <c r="BG1771" s="27"/>
      <c r="BJ1771" s="36"/>
      <c r="BK1771" s="27"/>
      <c r="BL1771" s="27"/>
      <c r="BM1771" s="27"/>
      <c r="BN1771" s="27"/>
      <c r="BO1771" s="27"/>
      <c r="BP1771" s="27"/>
      <c r="BQ1771" s="27"/>
      <c r="BR1771" s="27"/>
      <c r="BS1771" s="27"/>
      <c r="BT1771" s="27"/>
      <c r="BW1771" s="36"/>
      <c r="BX1771" s="27"/>
      <c r="BY1771" s="27"/>
      <c r="BZ1771" s="28"/>
      <c r="CA1771" s="28"/>
      <c r="CB1771" s="27"/>
      <c r="CC1771" s="27"/>
      <c r="CD1771" s="27"/>
      <c r="CE1771" s="27"/>
      <c r="CF1771" s="27"/>
      <c r="CG1771" s="28"/>
      <c r="CH1771" s="39"/>
      <c r="CI1771" s="23" t="s">
        <v>3830</v>
      </c>
      <c r="CJ1771" s="28"/>
      <c r="CK1771" s="23"/>
      <c r="CL1771" s="68"/>
      <c r="CN1771" s="25" t="s">
        <v>181</v>
      </c>
      <c r="CP1771" s="23"/>
      <c r="CR1771" s="36">
        <f t="shared" si="113"/>
        <v>0</v>
      </c>
      <c r="CS1771" s="36">
        <f t="shared" si="114"/>
        <v>0</v>
      </c>
      <c r="CT1771" s="69">
        <f t="shared" si="115"/>
        <v>0</v>
      </c>
      <c r="CU1771" s="69">
        <f t="shared" si="116"/>
        <v>0</v>
      </c>
      <c r="CV1771" s="69">
        <f t="shared" si="117"/>
        <v>0</v>
      </c>
      <c r="CW1771" s="69">
        <f t="shared" si="118"/>
        <v>0</v>
      </c>
      <c r="CX1771" s="69">
        <f t="shared" si="119"/>
        <v>0</v>
      </c>
      <c r="CY1771" s="69">
        <f t="shared" si="120"/>
        <v>0</v>
      </c>
      <c r="CZ1771" s="69">
        <f t="shared" si="121"/>
        <v>0</v>
      </c>
      <c r="DA1771" s="69">
        <f t="shared" si="122"/>
        <v>0</v>
      </c>
      <c r="DB1771" s="69">
        <f t="shared" si="123"/>
        <v>0</v>
      </c>
      <c r="DC1771" s="28"/>
    </row>
    <row r="1772" spans="1:107" s="14" customFormat="1" ht="17.25" x14ac:dyDescent="0.3">
      <c r="A1772" s="8"/>
      <c r="B1772" s="8"/>
      <c r="C1772" s="8">
        <f t="shared" si="110"/>
        <v>0</v>
      </c>
      <c r="D1772" s="8"/>
      <c r="E1772" s="9"/>
      <c r="F1772" s="9"/>
      <c r="G1772" s="9"/>
      <c r="H1772" s="9"/>
      <c r="I1772" s="10"/>
      <c r="J1772" s="10"/>
      <c r="K1772" s="10"/>
      <c r="L1772" s="10"/>
      <c r="M1772" s="10"/>
      <c r="N1772" s="10"/>
      <c r="O1772" s="10"/>
      <c r="P1772" s="10"/>
      <c r="Q1772" s="10"/>
      <c r="R1772" s="10"/>
      <c r="S1772" s="10"/>
      <c r="T1772" s="10"/>
      <c r="U1772" s="10"/>
      <c r="V1772" s="10"/>
      <c r="W1772" s="10"/>
      <c r="X1772" s="10"/>
      <c r="Y1772" s="11"/>
      <c r="Z1772" s="10"/>
      <c r="AA1772" s="10"/>
      <c r="AB1772" s="10"/>
      <c r="AC1772" s="10"/>
      <c r="AD1772" s="10"/>
      <c r="AE1772" s="12"/>
      <c r="AF1772" s="12" t="s">
        <v>2042</v>
      </c>
      <c r="AG1772" s="10"/>
      <c r="AH1772" s="13"/>
      <c r="AI1772" s="13"/>
      <c r="AJ1772" s="13"/>
      <c r="AK1772" s="15"/>
      <c r="AL1772" s="15"/>
      <c r="AM1772" s="15"/>
      <c r="AN1772" s="15"/>
      <c r="AO1772" s="15"/>
      <c r="AP1772" s="15"/>
      <c r="AQ1772" s="15"/>
      <c r="AR1772" s="15"/>
      <c r="AS1772" s="15"/>
      <c r="AT1772" s="15"/>
      <c r="AU1772" s="13"/>
      <c r="AV1772" s="13"/>
      <c r="AW1772" s="13"/>
      <c r="AX1772" s="31"/>
      <c r="AY1772" s="31"/>
      <c r="AZ1772" s="15"/>
      <c r="BA1772" s="15"/>
      <c r="BB1772" s="15"/>
      <c r="BC1772" s="15"/>
      <c r="BD1772" s="15"/>
      <c r="BE1772" s="15"/>
      <c r="BF1772" s="15"/>
      <c r="BG1772" s="15"/>
      <c r="BH1772" s="13"/>
      <c r="BI1772" s="13"/>
      <c r="BJ1772" s="13"/>
      <c r="BK1772" s="31"/>
      <c r="BL1772" s="31"/>
      <c r="BM1772" s="15"/>
      <c r="BN1772" s="15"/>
      <c r="BO1772" s="15"/>
      <c r="BP1772" s="15"/>
      <c r="BQ1772" s="15"/>
      <c r="BR1772" s="15"/>
      <c r="BS1772" s="15"/>
      <c r="BT1772" s="15"/>
      <c r="BU1772" s="13"/>
      <c r="BV1772" s="13"/>
      <c r="BW1772" s="13"/>
      <c r="BX1772" s="31"/>
      <c r="BY1772" s="31"/>
      <c r="BZ1772" s="15"/>
      <c r="CA1772" s="15"/>
      <c r="CB1772" s="15"/>
      <c r="CC1772" s="15"/>
      <c r="CD1772" s="15"/>
      <c r="CE1772" s="15"/>
      <c r="CF1772" s="15"/>
      <c r="CG1772" s="15"/>
      <c r="CH1772" s="10"/>
      <c r="CI1772" s="8"/>
      <c r="CJ1772" s="16"/>
      <c r="CK1772" s="8"/>
      <c r="CT1772" s="17"/>
      <c r="CU1772" s="17"/>
      <c r="CV1772" s="17"/>
      <c r="CW1772" s="17"/>
      <c r="CX1772" s="17"/>
      <c r="CY1772" s="17"/>
      <c r="CZ1772" s="17"/>
      <c r="DA1772" s="17"/>
      <c r="DB1772" s="17"/>
      <c r="DC1772" s="15"/>
    </row>
    <row r="1773" spans="1:107" s="14" customFormat="1" ht="17.25" x14ac:dyDescent="0.3">
      <c r="A1773" s="8"/>
      <c r="B1773" s="8"/>
      <c r="C1773" s="8">
        <f t="shared" si="110"/>
        <v>0</v>
      </c>
      <c r="D1773" s="8"/>
      <c r="E1773" s="9" t="s">
        <v>655</v>
      </c>
      <c r="F1773" s="9"/>
      <c r="G1773" s="9"/>
      <c r="H1773" s="9"/>
      <c r="I1773" s="10"/>
      <c r="J1773" s="10"/>
      <c r="K1773" s="10"/>
      <c r="L1773" s="10"/>
      <c r="M1773" s="10"/>
      <c r="N1773" s="10"/>
      <c r="O1773" s="10"/>
      <c r="P1773" s="10"/>
      <c r="Q1773" s="10"/>
      <c r="R1773" s="10"/>
      <c r="S1773" s="10"/>
      <c r="T1773" s="10"/>
      <c r="U1773" s="10"/>
      <c r="V1773" s="10"/>
      <c r="W1773" s="10"/>
      <c r="X1773" s="10"/>
      <c r="Y1773" s="11"/>
      <c r="Z1773" s="10"/>
      <c r="AA1773" s="10"/>
      <c r="AB1773" s="10"/>
      <c r="AC1773" s="10"/>
      <c r="AD1773" s="10"/>
      <c r="AE1773" s="12"/>
      <c r="AF1773" s="12" t="s">
        <v>2042</v>
      </c>
      <c r="AG1773" s="10"/>
      <c r="AH1773" s="13"/>
      <c r="AI1773" s="13"/>
      <c r="AJ1773" s="13"/>
      <c r="AK1773" s="15"/>
      <c r="AL1773" s="15"/>
      <c r="AM1773" s="15"/>
      <c r="AN1773" s="15"/>
      <c r="AO1773" s="15"/>
      <c r="AP1773" s="15"/>
      <c r="AQ1773" s="15"/>
      <c r="AR1773" s="15"/>
      <c r="AS1773" s="15"/>
      <c r="AT1773" s="15"/>
      <c r="AU1773" s="13"/>
      <c r="AV1773" s="13"/>
      <c r="AW1773" s="13"/>
      <c r="AX1773" s="31"/>
      <c r="AY1773" s="31"/>
      <c r="AZ1773" s="15"/>
      <c r="BA1773" s="15"/>
      <c r="BB1773" s="15"/>
      <c r="BC1773" s="15"/>
      <c r="BD1773" s="15"/>
      <c r="BE1773" s="15"/>
      <c r="BF1773" s="15"/>
      <c r="BG1773" s="15"/>
      <c r="BH1773" s="13"/>
      <c r="BI1773" s="13"/>
      <c r="BJ1773" s="13"/>
      <c r="BK1773" s="31"/>
      <c r="BL1773" s="31"/>
      <c r="BM1773" s="15"/>
      <c r="BN1773" s="15"/>
      <c r="BO1773" s="15"/>
      <c r="BP1773" s="15"/>
      <c r="BQ1773" s="15"/>
      <c r="BR1773" s="15"/>
      <c r="BS1773" s="15"/>
      <c r="BT1773" s="15"/>
      <c r="BU1773" s="13"/>
      <c r="BV1773" s="13"/>
      <c r="BW1773" s="13"/>
      <c r="BX1773" s="31"/>
      <c r="BY1773" s="31"/>
      <c r="BZ1773" s="15"/>
      <c r="CA1773" s="15"/>
      <c r="CB1773" s="15"/>
      <c r="CC1773" s="15"/>
      <c r="CD1773" s="15"/>
      <c r="CE1773" s="15"/>
      <c r="CF1773" s="15"/>
      <c r="CG1773" s="15"/>
      <c r="CH1773" s="10"/>
      <c r="CI1773" s="8"/>
      <c r="CJ1773" s="16"/>
      <c r="CK1773" s="8"/>
      <c r="CT1773" s="17"/>
      <c r="CU1773" s="17"/>
      <c r="CV1773" s="17"/>
      <c r="CW1773" s="17"/>
      <c r="CX1773" s="17"/>
      <c r="CY1773" s="17"/>
      <c r="CZ1773" s="17"/>
      <c r="DA1773" s="17"/>
      <c r="DB1773" s="17"/>
      <c r="DC1773" s="15"/>
    </row>
    <row r="1774" spans="1:107" s="25" customFormat="1" x14ac:dyDescent="0.2">
      <c r="A1774" s="29" t="s">
        <v>654</v>
      </c>
      <c r="B1774" s="29" t="s">
        <v>181</v>
      </c>
      <c r="C1774" s="29">
        <f t="shared" si="110"/>
        <v>60010001</v>
      </c>
      <c r="D1774" s="25" t="s">
        <v>1104</v>
      </c>
      <c r="E1774" s="67" t="s">
        <v>658</v>
      </c>
      <c r="F1774" s="67"/>
      <c r="G1774" s="67"/>
      <c r="H1774" s="67"/>
      <c r="I1774" s="21" t="s">
        <v>661</v>
      </c>
      <c r="J1774" s="21"/>
      <c r="K1774" s="21"/>
      <c r="L1774" s="21"/>
      <c r="M1774" s="21"/>
      <c r="N1774" s="21" t="s">
        <v>656</v>
      </c>
      <c r="O1774" s="21" t="s">
        <v>656</v>
      </c>
      <c r="P1774" s="21"/>
      <c r="Q1774" s="21" t="s">
        <v>2041</v>
      </c>
      <c r="R1774" s="21"/>
      <c r="S1774" s="21"/>
      <c r="T1774" s="21" t="s">
        <v>3264</v>
      </c>
      <c r="U1774" s="118" t="s">
        <v>3265</v>
      </c>
      <c r="V1774" s="21" t="s">
        <v>1866</v>
      </c>
      <c r="W1774" s="21" t="s">
        <v>1833</v>
      </c>
      <c r="X1774" s="21"/>
      <c r="Y1774" s="23" t="s">
        <v>545</v>
      </c>
      <c r="Z1774" s="21"/>
      <c r="AA1774" s="21" t="s">
        <v>702</v>
      </c>
      <c r="AB1774" s="21"/>
      <c r="AC1774" s="21"/>
      <c r="AD1774" s="21"/>
      <c r="AE1774" s="39"/>
      <c r="AF1774" s="39" t="s">
        <v>2042</v>
      </c>
      <c r="AG1774" s="21"/>
      <c r="AJ1774" s="27"/>
      <c r="AK1774" s="27"/>
      <c r="AL1774" s="27"/>
      <c r="AM1774" s="27"/>
      <c r="AN1774" s="27"/>
      <c r="AO1774" s="27"/>
      <c r="AP1774" s="27"/>
      <c r="AQ1774" s="27"/>
      <c r="AR1774" s="27"/>
      <c r="AS1774" s="27"/>
      <c r="AT1774" s="27"/>
      <c r="AW1774" s="27"/>
      <c r="AX1774" s="27"/>
      <c r="AY1774" s="27"/>
      <c r="AZ1774" s="27"/>
      <c r="BA1774" s="27"/>
      <c r="BB1774" s="27"/>
      <c r="BC1774" s="27"/>
      <c r="BD1774" s="27"/>
      <c r="BE1774" s="27"/>
      <c r="BF1774" s="27"/>
      <c r="BG1774" s="27"/>
      <c r="BJ1774" s="27"/>
      <c r="BK1774" s="27"/>
      <c r="BL1774" s="27"/>
      <c r="BM1774" s="27"/>
      <c r="BN1774" s="27"/>
      <c r="BO1774" s="27"/>
      <c r="BP1774" s="27"/>
      <c r="BQ1774" s="27"/>
      <c r="BR1774" s="27"/>
      <c r="BS1774" s="27"/>
      <c r="BT1774" s="27"/>
      <c r="BW1774" s="27"/>
      <c r="BX1774" s="27"/>
      <c r="BY1774" s="27"/>
      <c r="BZ1774" s="27"/>
      <c r="CA1774" s="27"/>
      <c r="CB1774" s="27"/>
      <c r="CC1774" s="27"/>
      <c r="CD1774" s="27"/>
      <c r="CE1774" s="27"/>
      <c r="CF1774" s="27"/>
      <c r="CG1774" s="27"/>
      <c r="CI1774" s="70" t="s">
        <v>659</v>
      </c>
      <c r="CJ1774" s="27"/>
      <c r="CK1774" s="23" t="s">
        <v>339</v>
      </c>
      <c r="CR1774" s="36">
        <f t="shared" ref="CR1774:CR1780" si="124">AK1774*0.25</f>
        <v>0</v>
      </c>
      <c r="CS1774" s="36">
        <f t="shared" ref="CS1774:CS1780" si="125">AK1774*0.5</f>
        <v>0</v>
      </c>
      <c r="CT1774" s="69">
        <f t="shared" ref="CT1774:CT1779" si="126">CR1774/200*100</f>
        <v>0</v>
      </c>
      <c r="CU1774" s="69">
        <f t="shared" ref="CU1774:CU1779" si="127">CR1774/300*100</f>
        <v>0</v>
      </c>
      <c r="CV1774" s="69">
        <f t="shared" ref="CV1774:CV1779" si="128">CR1774/400*100</f>
        <v>0</v>
      </c>
      <c r="CW1774" s="69">
        <f t="shared" ref="CW1774:CW1779" si="129">CR1774/500*100</f>
        <v>0</v>
      </c>
      <c r="CX1774" s="69">
        <f t="shared" ref="CX1774:CX1779" si="130">CR1774/600*100</f>
        <v>0</v>
      </c>
      <c r="CY1774" s="69">
        <f t="shared" ref="CY1774:CY1779" si="131">CR1774/700*100</f>
        <v>0</v>
      </c>
      <c r="CZ1774" s="69">
        <f t="shared" ref="CZ1774:CZ1779" si="132">CR1774/800*100</f>
        <v>0</v>
      </c>
      <c r="DA1774" s="69">
        <f t="shared" ref="DA1774:DA1779" si="133">CR1774/900*100</f>
        <v>0</v>
      </c>
      <c r="DB1774" s="69">
        <f t="shared" ref="DB1774:DB1779" si="134">CR1774/1000*100</f>
        <v>0</v>
      </c>
      <c r="DC1774" s="27"/>
    </row>
    <row r="1775" spans="1:107" s="25" customFormat="1" x14ac:dyDescent="0.2">
      <c r="A1775" s="29" t="s">
        <v>654</v>
      </c>
      <c r="B1775" s="29" t="s">
        <v>156</v>
      </c>
      <c r="C1775" s="29">
        <f t="shared" si="110"/>
        <v>60010002</v>
      </c>
      <c r="D1775" s="25" t="s">
        <v>1105</v>
      </c>
      <c r="E1775" s="67" t="s">
        <v>658</v>
      </c>
      <c r="F1775" s="67"/>
      <c r="G1775" s="67"/>
      <c r="H1775" s="67"/>
      <c r="I1775" s="21" t="s">
        <v>661</v>
      </c>
      <c r="J1775" s="21"/>
      <c r="K1775" s="21"/>
      <c r="L1775" s="21"/>
      <c r="M1775" s="21"/>
      <c r="N1775" s="21" t="s">
        <v>656</v>
      </c>
      <c r="O1775" s="21" t="s">
        <v>656</v>
      </c>
      <c r="P1775" s="21"/>
      <c r="Q1775" s="21" t="s">
        <v>2041</v>
      </c>
      <c r="R1775" s="21"/>
      <c r="S1775" s="21"/>
      <c r="T1775" s="21" t="s">
        <v>3264</v>
      </c>
      <c r="U1775" s="118" t="s">
        <v>3265</v>
      </c>
      <c r="V1775" s="21" t="s">
        <v>1867</v>
      </c>
      <c r="W1775" s="21" t="s">
        <v>1</v>
      </c>
      <c r="X1775" s="21"/>
      <c r="Y1775" s="23" t="s">
        <v>399</v>
      </c>
      <c r="Z1775" s="21"/>
      <c r="AA1775" s="21" t="s">
        <v>702</v>
      </c>
      <c r="AB1775" s="21"/>
      <c r="AC1775" s="21"/>
      <c r="AD1775" s="21"/>
      <c r="AE1775" s="39"/>
      <c r="AF1775" s="39" t="s">
        <v>2042</v>
      </c>
      <c r="AG1775" s="21"/>
      <c r="AJ1775" s="27"/>
      <c r="AK1775" s="27"/>
      <c r="AL1775" s="27"/>
      <c r="AM1775" s="27"/>
      <c r="AN1775" s="27"/>
      <c r="AO1775" s="27"/>
      <c r="AP1775" s="27"/>
      <c r="AQ1775" s="27"/>
      <c r="AR1775" s="27"/>
      <c r="AS1775" s="27"/>
      <c r="AT1775" s="27"/>
      <c r="AW1775" s="27"/>
      <c r="AX1775" s="27"/>
      <c r="AY1775" s="27"/>
      <c r="AZ1775" s="27"/>
      <c r="BA1775" s="27"/>
      <c r="BB1775" s="27"/>
      <c r="BC1775" s="27"/>
      <c r="BD1775" s="27"/>
      <c r="BE1775" s="27"/>
      <c r="BF1775" s="27"/>
      <c r="BG1775" s="27"/>
      <c r="BJ1775" s="27"/>
      <c r="BK1775" s="27"/>
      <c r="BL1775" s="27"/>
      <c r="BM1775" s="27"/>
      <c r="BN1775" s="27"/>
      <c r="BO1775" s="27"/>
      <c r="BP1775" s="27"/>
      <c r="BQ1775" s="27"/>
      <c r="BR1775" s="27"/>
      <c r="BS1775" s="27"/>
      <c r="BT1775" s="27"/>
      <c r="BW1775" s="27"/>
      <c r="BX1775" s="27"/>
      <c r="BY1775" s="27"/>
      <c r="BZ1775" s="27"/>
      <c r="CA1775" s="27"/>
      <c r="CB1775" s="27"/>
      <c r="CC1775" s="27"/>
      <c r="CD1775" s="27"/>
      <c r="CE1775" s="27"/>
      <c r="CF1775" s="27"/>
      <c r="CG1775" s="27"/>
      <c r="CI1775" s="70" t="s">
        <v>659</v>
      </c>
      <c r="CJ1775" s="27"/>
      <c r="CK1775" s="23" t="s">
        <v>339</v>
      </c>
      <c r="CR1775" s="36">
        <f t="shared" si="124"/>
        <v>0</v>
      </c>
      <c r="CS1775" s="36">
        <f t="shared" si="125"/>
        <v>0</v>
      </c>
      <c r="CT1775" s="69">
        <f t="shared" si="126"/>
        <v>0</v>
      </c>
      <c r="CU1775" s="69">
        <f t="shared" si="127"/>
        <v>0</v>
      </c>
      <c r="CV1775" s="69">
        <f t="shared" si="128"/>
        <v>0</v>
      </c>
      <c r="CW1775" s="69">
        <f t="shared" si="129"/>
        <v>0</v>
      </c>
      <c r="CX1775" s="69">
        <f t="shared" si="130"/>
        <v>0</v>
      </c>
      <c r="CY1775" s="69">
        <f t="shared" si="131"/>
        <v>0</v>
      </c>
      <c r="CZ1775" s="69">
        <f t="shared" si="132"/>
        <v>0</v>
      </c>
      <c r="DA1775" s="69">
        <f t="shared" si="133"/>
        <v>0</v>
      </c>
      <c r="DB1775" s="69">
        <f t="shared" si="134"/>
        <v>0</v>
      </c>
      <c r="DC1775" s="27"/>
    </row>
    <row r="1776" spans="1:107" s="25" customFormat="1" x14ac:dyDescent="0.2">
      <c r="A1776" s="29" t="s">
        <v>654</v>
      </c>
      <c r="B1776" s="29" t="s">
        <v>122</v>
      </c>
      <c r="C1776" s="29">
        <f t="shared" si="110"/>
        <v>60010003</v>
      </c>
      <c r="D1776" s="25" t="s">
        <v>1106</v>
      </c>
      <c r="E1776" s="67" t="s">
        <v>658</v>
      </c>
      <c r="F1776" s="67"/>
      <c r="G1776" s="67"/>
      <c r="H1776" s="67"/>
      <c r="I1776" s="21" t="s">
        <v>661</v>
      </c>
      <c r="J1776" s="21"/>
      <c r="K1776" s="21"/>
      <c r="L1776" s="21"/>
      <c r="M1776" s="21"/>
      <c r="N1776" s="21" t="s">
        <v>656</v>
      </c>
      <c r="O1776" s="21" t="s">
        <v>656</v>
      </c>
      <c r="P1776" s="21"/>
      <c r="Q1776" s="21" t="s">
        <v>2041</v>
      </c>
      <c r="R1776" s="21"/>
      <c r="S1776" s="21"/>
      <c r="T1776" s="21" t="s">
        <v>3264</v>
      </c>
      <c r="U1776" s="118" t="s">
        <v>3265</v>
      </c>
      <c r="V1776" s="21" t="s">
        <v>1868</v>
      </c>
      <c r="W1776" s="21" t="s">
        <v>1</v>
      </c>
      <c r="X1776" s="21"/>
      <c r="Y1776" s="23" t="s">
        <v>399</v>
      </c>
      <c r="Z1776" s="21"/>
      <c r="AA1776" s="21" t="s">
        <v>702</v>
      </c>
      <c r="AB1776" s="21"/>
      <c r="AC1776" s="21"/>
      <c r="AD1776" s="21"/>
      <c r="AE1776" s="39"/>
      <c r="AF1776" s="39" t="s">
        <v>2042</v>
      </c>
      <c r="AG1776" s="21"/>
      <c r="AJ1776" s="27"/>
      <c r="AK1776" s="27"/>
      <c r="AL1776" s="27"/>
      <c r="AM1776" s="27"/>
      <c r="AN1776" s="27"/>
      <c r="AO1776" s="27"/>
      <c r="AP1776" s="27"/>
      <c r="AQ1776" s="27"/>
      <c r="AR1776" s="27"/>
      <c r="AS1776" s="27"/>
      <c r="AT1776" s="27"/>
      <c r="AW1776" s="27"/>
      <c r="AX1776" s="27"/>
      <c r="AY1776" s="27"/>
      <c r="AZ1776" s="27"/>
      <c r="BA1776" s="27"/>
      <c r="BB1776" s="27"/>
      <c r="BC1776" s="27"/>
      <c r="BD1776" s="27"/>
      <c r="BE1776" s="27"/>
      <c r="BF1776" s="27"/>
      <c r="BG1776" s="27"/>
      <c r="BJ1776" s="27"/>
      <c r="BK1776" s="27"/>
      <c r="BL1776" s="27"/>
      <c r="BM1776" s="27"/>
      <c r="BN1776" s="27"/>
      <c r="BO1776" s="27"/>
      <c r="BP1776" s="27"/>
      <c r="BQ1776" s="27"/>
      <c r="BR1776" s="27"/>
      <c r="BS1776" s="27"/>
      <c r="BT1776" s="27"/>
      <c r="BW1776" s="27"/>
      <c r="BX1776" s="27"/>
      <c r="BY1776" s="27"/>
      <c r="BZ1776" s="27"/>
      <c r="CA1776" s="27"/>
      <c r="CB1776" s="27"/>
      <c r="CC1776" s="27"/>
      <c r="CD1776" s="27"/>
      <c r="CE1776" s="27"/>
      <c r="CF1776" s="27"/>
      <c r="CG1776" s="27"/>
      <c r="CI1776" s="70" t="s">
        <v>659</v>
      </c>
      <c r="CJ1776" s="27"/>
      <c r="CK1776" s="23" t="s">
        <v>339</v>
      </c>
      <c r="CR1776" s="36">
        <f t="shared" si="124"/>
        <v>0</v>
      </c>
      <c r="CS1776" s="36">
        <f t="shared" si="125"/>
        <v>0</v>
      </c>
      <c r="CT1776" s="69">
        <f t="shared" si="126"/>
        <v>0</v>
      </c>
      <c r="CU1776" s="69">
        <f t="shared" si="127"/>
        <v>0</v>
      </c>
      <c r="CV1776" s="69">
        <f t="shared" si="128"/>
        <v>0</v>
      </c>
      <c r="CW1776" s="69">
        <f t="shared" si="129"/>
        <v>0</v>
      </c>
      <c r="CX1776" s="69">
        <f t="shared" si="130"/>
        <v>0</v>
      </c>
      <c r="CY1776" s="69">
        <f t="shared" si="131"/>
        <v>0</v>
      </c>
      <c r="CZ1776" s="69">
        <f t="shared" si="132"/>
        <v>0</v>
      </c>
      <c r="DA1776" s="69">
        <f t="shared" si="133"/>
        <v>0</v>
      </c>
      <c r="DB1776" s="69">
        <f t="shared" si="134"/>
        <v>0</v>
      </c>
      <c r="DC1776" s="27"/>
    </row>
    <row r="1777" spans="1:107" s="25" customFormat="1" x14ac:dyDescent="0.2">
      <c r="A1777" s="29" t="s">
        <v>654</v>
      </c>
      <c r="B1777" s="29" t="s">
        <v>168</v>
      </c>
      <c r="C1777" s="29">
        <f t="shared" si="110"/>
        <v>60010004</v>
      </c>
      <c r="D1777" s="25" t="s">
        <v>1107</v>
      </c>
      <c r="E1777" s="67" t="s">
        <v>658</v>
      </c>
      <c r="F1777" s="67"/>
      <c r="G1777" s="67"/>
      <c r="H1777" s="67"/>
      <c r="I1777" s="21" t="s">
        <v>661</v>
      </c>
      <c r="J1777" s="21"/>
      <c r="K1777" s="21"/>
      <c r="L1777" s="21"/>
      <c r="M1777" s="21"/>
      <c r="N1777" s="21" t="s">
        <v>656</v>
      </c>
      <c r="O1777" s="21" t="s">
        <v>656</v>
      </c>
      <c r="P1777" s="21"/>
      <c r="Q1777" s="21" t="s">
        <v>2041</v>
      </c>
      <c r="R1777" s="21"/>
      <c r="S1777" s="21"/>
      <c r="T1777" s="21" t="s">
        <v>3264</v>
      </c>
      <c r="U1777" s="118" t="s">
        <v>3265</v>
      </c>
      <c r="V1777" s="21" t="s">
        <v>1869</v>
      </c>
      <c r="W1777" s="21" t="s">
        <v>1</v>
      </c>
      <c r="X1777" s="21"/>
      <c r="Y1777" s="23" t="s">
        <v>399</v>
      </c>
      <c r="Z1777" s="21"/>
      <c r="AA1777" s="21" t="s">
        <v>702</v>
      </c>
      <c r="AB1777" s="21"/>
      <c r="AC1777" s="21"/>
      <c r="AD1777" s="21"/>
      <c r="AE1777" s="39"/>
      <c r="AF1777" s="39" t="s">
        <v>2042</v>
      </c>
      <c r="AG1777" s="21"/>
      <c r="AJ1777" s="27"/>
      <c r="AK1777" s="27"/>
      <c r="AL1777" s="27"/>
      <c r="AM1777" s="27"/>
      <c r="AN1777" s="27"/>
      <c r="AO1777" s="27"/>
      <c r="AP1777" s="27"/>
      <c r="AQ1777" s="27"/>
      <c r="AR1777" s="27"/>
      <c r="AS1777" s="27"/>
      <c r="AT1777" s="27"/>
      <c r="AW1777" s="27"/>
      <c r="AX1777" s="27"/>
      <c r="AY1777" s="27"/>
      <c r="AZ1777" s="27"/>
      <c r="BA1777" s="27"/>
      <c r="BB1777" s="27"/>
      <c r="BC1777" s="27"/>
      <c r="BD1777" s="27"/>
      <c r="BE1777" s="27"/>
      <c r="BF1777" s="27"/>
      <c r="BG1777" s="27"/>
      <c r="BJ1777" s="27"/>
      <c r="BK1777" s="27"/>
      <c r="BL1777" s="27"/>
      <c r="BM1777" s="27"/>
      <c r="BN1777" s="27"/>
      <c r="BO1777" s="27"/>
      <c r="BP1777" s="27"/>
      <c r="BQ1777" s="27"/>
      <c r="BR1777" s="27"/>
      <c r="BS1777" s="27"/>
      <c r="BT1777" s="27"/>
      <c r="BW1777" s="27"/>
      <c r="BX1777" s="27"/>
      <c r="BY1777" s="27"/>
      <c r="BZ1777" s="27"/>
      <c r="CA1777" s="27"/>
      <c r="CB1777" s="27"/>
      <c r="CC1777" s="27"/>
      <c r="CD1777" s="27"/>
      <c r="CE1777" s="27"/>
      <c r="CF1777" s="27"/>
      <c r="CG1777" s="27"/>
      <c r="CI1777" s="70" t="s">
        <v>659</v>
      </c>
      <c r="CJ1777" s="27"/>
      <c r="CK1777" s="23" t="s">
        <v>339</v>
      </c>
      <c r="CR1777" s="36">
        <f t="shared" si="124"/>
        <v>0</v>
      </c>
      <c r="CS1777" s="36">
        <f t="shared" si="125"/>
        <v>0</v>
      </c>
      <c r="CT1777" s="69">
        <f t="shared" si="126"/>
        <v>0</v>
      </c>
      <c r="CU1777" s="69">
        <f t="shared" si="127"/>
        <v>0</v>
      </c>
      <c r="CV1777" s="69">
        <f t="shared" si="128"/>
        <v>0</v>
      </c>
      <c r="CW1777" s="69">
        <f t="shared" si="129"/>
        <v>0</v>
      </c>
      <c r="CX1777" s="69">
        <f t="shared" si="130"/>
        <v>0</v>
      </c>
      <c r="CY1777" s="69">
        <f t="shared" si="131"/>
        <v>0</v>
      </c>
      <c r="CZ1777" s="69">
        <f t="shared" si="132"/>
        <v>0</v>
      </c>
      <c r="DA1777" s="69">
        <f t="shared" si="133"/>
        <v>0</v>
      </c>
      <c r="DB1777" s="69">
        <f t="shared" si="134"/>
        <v>0</v>
      </c>
      <c r="DC1777" s="27"/>
    </row>
    <row r="1778" spans="1:107" s="25" customFormat="1" x14ac:dyDescent="0.2">
      <c r="A1778" s="29" t="s">
        <v>654</v>
      </c>
      <c r="B1778" s="29" t="s">
        <v>123</v>
      </c>
      <c r="C1778" s="29">
        <f t="shared" si="110"/>
        <v>60010005</v>
      </c>
      <c r="D1778" s="25" t="s">
        <v>1108</v>
      </c>
      <c r="E1778" s="67" t="s">
        <v>658</v>
      </c>
      <c r="F1778" s="67"/>
      <c r="G1778" s="67"/>
      <c r="H1778" s="67"/>
      <c r="I1778" s="21" t="s">
        <v>661</v>
      </c>
      <c r="J1778" s="21"/>
      <c r="K1778" s="21"/>
      <c r="L1778" s="21"/>
      <c r="M1778" s="21"/>
      <c r="N1778" s="21" t="s">
        <v>656</v>
      </c>
      <c r="O1778" s="21" t="s">
        <v>656</v>
      </c>
      <c r="P1778" s="21"/>
      <c r="Q1778" s="21" t="s">
        <v>2041</v>
      </c>
      <c r="R1778" s="21"/>
      <c r="S1778" s="21"/>
      <c r="T1778" s="21" t="s">
        <v>3264</v>
      </c>
      <c r="U1778" s="118" t="s">
        <v>3265</v>
      </c>
      <c r="V1778" s="21" t="s">
        <v>1870</v>
      </c>
      <c r="W1778" s="21" t="s">
        <v>1</v>
      </c>
      <c r="X1778" s="21"/>
      <c r="Y1778" s="23" t="s">
        <v>399</v>
      </c>
      <c r="Z1778" s="21"/>
      <c r="AA1778" s="21" t="s">
        <v>702</v>
      </c>
      <c r="AB1778" s="21"/>
      <c r="AC1778" s="21"/>
      <c r="AD1778" s="21"/>
      <c r="AE1778" s="39"/>
      <c r="AF1778" s="39" t="s">
        <v>2042</v>
      </c>
      <c r="AG1778" s="21"/>
      <c r="AJ1778" s="27"/>
      <c r="AK1778" s="27"/>
      <c r="AL1778" s="27"/>
      <c r="AM1778" s="27"/>
      <c r="AN1778" s="27"/>
      <c r="AO1778" s="27"/>
      <c r="AP1778" s="27"/>
      <c r="AQ1778" s="27"/>
      <c r="AR1778" s="27"/>
      <c r="AS1778" s="27"/>
      <c r="AT1778" s="27"/>
      <c r="AW1778" s="27"/>
      <c r="AX1778" s="27"/>
      <c r="AY1778" s="27"/>
      <c r="AZ1778" s="27"/>
      <c r="BA1778" s="27"/>
      <c r="BB1778" s="27"/>
      <c r="BC1778" s="27"/>
      <c r="BD1778" s="27"/>
      <c r="BE1778" s="27"/>
      <c r="BF1778" s="27"/>
      <c r="BG1778" s="27"/>
      <c r="BJ1778" s="27"/>
      <c r="BK1778" s="27"/>
      <c r="BL1778" s="27"/>
      <c r="BM1778" s="27"/>
      <c r="BN1778" s="27"/>
      <c r="BO1778" s="27"/>
      <c r="BP1778" s="27"/>
      <c r="BQ1778" s="27"/>
      <c r="BR1778" s="27"/>
      <c r="BS1778" s="27"/>
      <c r="BT1778" s="27"/>
      <c r="BW1778" s="27"/>
      <c r="BX1778" s="27"/>
      <c r="BY1778" s="27"/>
      <c r="BZ1778" s="27"/>
      <c r="CA1778" s="27"/>
      <c r="CB1778" s="27"/>
      <c r="CC1778" s="27"/>
      <c r="CD1778" s="27"/>
      <c r="CE1778" s="27"/>
      <c r="CF1778" s="27"/>
      <c r="CG1778" s="27"/>
      <c r="CI1778" s="70" t="s">
        <v>659</v>
      </c>
      <c r="CJ1778" s="27"/>
      <c r="CK1778" s="23" t="s">
        <v>339</v>
      </c>
      <c r="CR1778" s="36">
        <f t="shared" si="124"/>
        <v>0</v>
      </c>
      <c r="CS1778" s="36">
        <f t="shared" si="125"/>
        <v>0</v>
      </c>
      <c r="CT1778" s="69">
        <f t="shared" si="126"/>
        <v>0</v>
      </c>
      <c r="CU1778" s="69">
        <f t="shared" si="127"/>
        <v>0</v>
      </c>
      <c r="CV1778" s="69">
        <f t="shared" si="128"/>
        <v>0</v>
      </c>
      <c r="CW1778" s="69">
        <f t="shared" si="129"/>
        <v>0</v>
      </c>
      <c r="CX1778" s="69">
        <f t="shared" si="130"/>
        <v>0</v>
      </c>
      <c r="CY1778" s="69">
        <f t="shared" si="131"/>
        <v>0</v>
      </c>
      <c r="CZ1778" s="69">
        <f t="shared" si="132"/>
        <v>0</v>
      </c>
      <c r="DA1778" s="69">
        <f t="shared" si="133"/>
        <v>0</v>
      </c>
      <c r="DB1778" s="69">
        <f t="shared" si="134"/>
        <v>0</v>
      </c>
      <c r="DC1778" s="27"/>
    </row>
    <row r="1779" spans="1:107" s="25" customFormat="1" x14ac:dyDescent="0.2">
      <c r="A1779" s="29" t="s">
        <v>654</v>
      </c>
      <c r="B1779" s="29" t="s">
        <v>120</v>
      </c>
      <c r="C1779" s="29">
        <f t="shared" si="110"/>
        <v>60010006</v>
      </c>
      <c r="D1779" s="25" t="s">
        <v>1109</v>
      </c>
      <c r="E1779" s="67" t="s">
        <v>658</v>
      </c>
      <c r="F1779" s="67"/>
      <c r="G1779" s="67"/>
      <c r="H1779" s="67"/>
      <c r="I1779" s="21" t="s">
        <v>661</v>
      </c>
      <c r="J1779" s="21"/>
      <c r="K1779" s="21"/>
      <c r="L1779" s="21"/>
      <c r="M1779" s="21"/>
      <c r="N1779" s="21" t="s">
        <v>656</v>
      </c>
      <c r="O1779" s="21" t="s">
        <v>656</v>
      </c>
      <c r="P1779" s="21"/>
      <c r="Q1779" s="21" t="s">
        <v>2041</v>
      </c>
      <c r="R1779" s="21"/>
      <c r="S1779" s="21"/>
      <c r="T1779" s="21" t="s">
        <v>3264</v>
      </c>
      <c r="U1779" s="118" t="s">
        <v>3265</v>
      </c>
      <c r="V1779" s="21" t="s">
        <v>1871</v>
      </c>
      <c r="W1779" s="21" t="s">
        <v>1</v>
      </c>
      <c r="X1779" s="21"/>
      <c r="Y1779" s="23" t="s">
        <v>399</v>
      </c>
      <c r="Z1779" s="21"/>
      <c r="AA1779" s="21" t="s">
        <v>702</v>
      </c>
      <c r="AB1779" s="21"/>
      <c r="AC1779" s="21"/>
      <c r="AD1779" s="21"/>
      <c r="AE1779" s="39"/>
      <c r="AF1779" s="39" t="s">
        <v>2042</v>
      </c>
      <c r="AG1779" s="21"/>
      <c r="AJ1779" s="27"/>
      <c r="AK1779" s="27"/>
      <c r="AL1779" s="27"/>
      <c r="AM1779" s="27"/>
      <c r="AN1779" s="27"/>
      <c r="AO1779" s="27"/>
      <c r="AP1779" s="27"/>
      <c r="AQ1779" s="27"/>
      <c r="AR1779" s="27"/>
      <c r="AS1779" s="27"/>
      <c r="AT1779" s="27"/>
      <c r="AW1779" s="27"/>
      <c r="AX1779" s="27"/>
      <c r="AY1779" s="27"/>
      <c r="AZ1779" s="27"/>
      <c r="BA1779" s="27"/>
      <c r="BB1779" s="27"/>
      <c r="BC1779" s="27"/>
      <c r="BD1779" s="27"/>
      <c r="BE1779" s="27"/>
      <c r="BF1779" s="27"/>
      <c r="BG1779" s="27"/>
      <c r="BJ1779" s="27"/>
      <c r="BK1779" s="27"/>
      <c r="BL1779" s="27"/>
      <c r="BM1779" s="27"/>
      <c r="BN1779" s="27"/>
      <c r="BO1779" s="27"/>
      <c r="BP1779" s="27"/>
      <c r="BQ1779" s="27"/>
      <c r="BR1779" s="27"/>
      <c r="BS1779" s="27"/>
      <c r="BT1779" s="27"/>
      <c r="BW1779" s="27"/>
      <c r="BX1779" s="27"/>
      <c r="BY1779" s="27"/>
      <c r="BZ1779" s="27"/>
      <c r="CA1779" s="27"/>
      <c r="CB1779" s="27"/>
      <c r="CC1779" s="27"/>
      <c r="CD1779" s="27"/>
      <c r="CE1779" s="27"/>
      <c r="CF1779" s="27"/>
      <c r="CG1779" s="27"/>
      <c r="CI1779" s="70" t="s">
        <v>659</v>
      </c>
      <c r="CJ1779" s="27"/>
      <c r="CK1779" s="23" t="s">
        <v>339</v>
      </c>
      <c r="CR1779" s="36">
        <f t="shared" si="124"/>
        <v>0</v>
      </c>
      <c r="CS1779" s="36">
        <f t="shared" si="125"/>
        <v>0</v>
      </c>
      <c r="CT1779" s="69">
        <f t="shared" si="126"/>
        <v>0</v>
      </c>
      <c r="CU1779" s="69">
        <f t="shared" si="127"/>
        <v>0</v>
      </c>
      <c r="CV1779" s="69">
        <f t="shared" si="128"/>
        <v>0</v>
      </c>
      <c r="CW1779" s="69">
        <f t="shared" si="129"/>
        <v>0</v>
      </c>
      <c r="CX1779" s="69">
        <f t="shared" si="130"/>
        <v>0</v>
      </c>
      <c r="CY1779" s="69">
        <f t="shared" si="131"/>
        <v>0</v>
      </c>
      <c r="CZ1779" s="69">
        <f t="shared" si="132"/>
        <v>0</v>
      </c>
      <c r="DA1779" s="69">
        <f t="shared" si="133"/>
        <v>0</v>
      </c>
      <c r="DB1779" s="69">
        <f t="shared" si="134"/>
        <v>0</v>
      </c>
      <c r="DC1779" s="27"/>
    </row>
    <row r="1780" spans="1:107" s="25" customFormat="1" x14ac:dyDescent="0.2">
      <c r="A1780" s="29" t="s">
        <v>654</v>
      </c>
      <c r="B1780" s="29" t="s">
        <v>171</v>
      </c>
      <c r="C1780" s="29">
        <f t="shared" si="110"/>
        <v>60010007</v>
      </c>
      <c r="D1780" s="25" t="s">
        <v>1562</v>
      </c>
      <c r="E1780" s="67" t="s">
        <v>658</v>
      </c>
      <c r="F1780" s="67"/>
      <c r="G1780" s="67"/>
      <c r="H1780" s="67"/>
      <c r="I1780" s="21" t="s">
        <v>661</v>
      </c>
      <c r="J1780" s="21"/>
      <c r="K1780" s="21"/>
      <c r="L1780" s="21"/>
      <c r="M1780" s="21"/>
      <c r="N1780" s="21" t="s">
        <v>656</v>
      </c>
      <c r="O1780" s="21" t="s">
        <v>656</v>
      </c>
      <c r="P1780" s="21"/>
      <c r="Q1780" s="21" t="s">
        <v>2041</v>
      </c>
      <c r="R1780" s="21"/>
      <c r="S1780" s="21"/>
      <c r="T1780" s="21" t="s">
        <v>3264</v>
      </c>
      <c r="U1780" s="118" t="s">
        <v>3265</v>
      </c>
      <c r="V1780" s="21" t="s">
        <v>1872</v>
      </c>
      <c r="W1780" s="21" t="s">
        <v>1</v>
      </c>
      <c r="X1780" s="21"/>
      <c r="Y1780" s="23" t="s">
        <v>23</v>
      </c>
      <c r="Z1780" s="21"/>
      <c r="AA1780" s="21" t="s">
        <v>702</v>
      </c>
      <c r="AB1780" s="21"/>
      <c r="AC1780" s="21"/>
      <c r="AD1780" s="21"/>
      <c r="AE1780" s="39"/>
      <c r="AF1780" s="39" t="s">
        <v>2042</v>
      </c>
      <c r="AG1780" s="21"/>
      <c r="AJ1780" s="27"/>
      <c r="AK1780" s="27"/>
      <c r="AL1780" s="27"/>
      <c r="AM1780" s="27"/>
      <c r="AN1780" s="27"/>
      <c r="AO1780" s="27"/>
      <c r="AP1780" s="27"/>
      <c r="AQ1780" s="27"/>
      <c r="AR1780" s="27"/>
      <c r="AS1780" s="27"/>
      <c r="AT1780" s="27"/>
      <c r="AW1780" s="27"/>
      <c r="AX1780" s="27"/>
      <c r="AY1780" s="27"/>
      <c r="AZ1780" s="27"/>
      <c r="BA1780" s="27"/>
      <c r="BB1780" s="27"/>
      <c r="BC1780" s="27"/>
      <c r="BD1780" s="27"/>
      <c r="BE1780" s="27"/>
      <c r="BF1780" s="27"/>
      <c r="BG1780" s="27"/>
      <c r="BJ1780" s="27"/>
      <c r="BK1780" s="27"/>
      <c r="BL1780" s="27"/>
      <c r="BM1780" s="27"/>
      <c r="BN1780" s="27"/>
      <c r="BO1780" s="27"/>
      <c r="BP1780" s="27"/>
      <c r="BQ1780" s="27"/>
      <c r="BR1780" s="27"/>
      <c r="BS1780" s="27"/>
      <c r="BT1780" s="27"/>
      <c r="BW1780" s="27"/>
      <c r="BX1780" s="27"/>
      <c r="BY1780" s="27"/>
      <c r="BZ1780" s="27"/>
      <c r="CA1780" s="27"/>
      <c r="CB1780" s="27"/>
      <c r="CC1780" s="27"/>
      <c r="CD1780" s="27"/>
      <c r="CE1780" s="27"/>
      <c r="CF1780" s="27"/>
      <c r="CG1780" s="27"/>
      <c r="CI1780" s="70" t="s">
        <v>659</v>
      </c>
      <c r="CJ1780" s="27"/>
      <c r="CK1780" s="23" t="s">
        <v>181</v>
      </c>
      <c r="CR1780" s="36">
        <f t="shared" si="124"/>
        <v>0</v>
      </c>
      <c r="CS1780" s="36">
        <f t="shared" si="125"/>
        <v>0</v>
      </c>
      <c r="CT1780" s="69">
        <f t="shared" ref="CT1780" si="135">CR1780/200*100</f>
        <v>0</v>
      </c>
      <c r="CU1780" s="69">
        <f t="shared" ref="CU1780" si="136">CR1780/300*100</f>
        <v>0</v>
      </c>
      <c r="CV1780" s="69">
        <f t="shared" ref="CV1780" si="137">CR1780/400*100</f>
        <v>0</v>
      </c>
      <c r="CW1780" s="69">
        <f t="shared" ref="CW1780" si="138">CR1780/500*100</f>
        <v>0</v>
      </c>
      <c r="CX1780" s="69">
        <f t="shared" ref="CX1780" si="139">CR1780/600*100</f>
        <v>0</v>
      </c>
      <c r="CY1780" s="69">
        <f t="shared" ref="CY1780" si="140">CR1780/700*100</f>
        <v>0</v>
      </c>
      <c r="CZ1780" s="69">
        <f t="shared" ref="CZ1780" si="141">CR1780/800*100</f>
        <v>0</v>
      </c>
      <c r="DA1780" s="69">
        <f t="shared" ref="DA1780" si="142">CR1780/900*100</f>
        <v>0</v>
      </c>
      <c r="DB1780" s="69">
        <f t="shared" ref="DB1780" si="143">CR1780/1000*100</f>
        <v>0</v>
      </c>
      <c r="DC1780" s="27"/>
    </row>
    <row r="1781" spans="1:107" s="14" customFormat="1" ht="17.25" x14ac:dyDescent="0.3">
      <c r="A1781" s="8"/>
      <c r="B1781" s="8"/>
      <c r="C1781" s="8">
        <f t="shared" si="110"/>
        <v>0</v>
      </c>
      <c r="D1781" s="8"/>
      <c r="E1781" s="9" t="s">
        <v>4387</v>
      </c>
      <c r="F1781" s="9"/>
      <c r="G1781" s="9"/>
      <c r="H1781" s="9"/>
      <c r="I1781" s="10"/>
      <c r="J1781" s="10"/>
      <c r="K1781" s="10"/>
      <c r="L1781" s="10"/>
      <c r="M1781" s="10"/>
      <c r="N1781" s="10"/>
      <c r="O1781" s="10"/>
      <c r="P1781" s="10"/>
      <c r="Q1781" s="10"/>
      <c r="R1781" s="10"/>
      <c r="S1781" s="10"/>
      <c r="T1781" s="10"/>
      <c r="U1781" s="10"/>
      <c r="V1781" s="10"/>
      <c r="W1781" s="10"/>
      <c r="X1781" s="10"/>
      <c r="Y1781" s="11"/>
      <c r="Z1781" s="10"/>
      <c r="AA1781" s="10"/>
      <c r="AB1781" s="10"/>
      <c r="AC1781" s="10"/>
      <c r="AD1781" s="10"/>
      <c r="AE1781" s="12"/>
      <c r="AF1781" s="12" t="s">
        <v>2042</v>
      </c>
      <c r="AG1781" s="10"/>
      <c r="AH1781" s="13"/>
      <c r="AI1781" s="13"/>
      <c r="AJ1781" s="13"/>
      <c r="AK1781" s="15"/>
      <c r="AL1781" s="15"/>
      <c r="AM1781" s="15"/>
      <c r="AN1781" s="15"/>
      <c r="AO1781" s="15"/>
      <c r="AP1781" s="15"/>
      <c r="AQ1781" s="15"/>
      <c r="AR1781" s="15"/>
      <c r="AS1781" s="15"/>
      <c r="AT1781" s="15"/>
      <c r="AU1781" s="13"/>
      <c r="AV1781" s="13"/>
      <c r="AW1781" s="13"/>
      <c r="AX1781" s="31"/>
      <c r="AY1781" s="31"/>
      <c r="AZ1781" s="15"/>
      <c r="BA1781" s="15"/>
      <c r="BB1781" s="15"/>
      <c r="BC1781" s="15"/>
      <c r="BD1781" s="15"/>
      <c r="BE1781" s="15"/>
      <c r="BF1781" s="15"/>
      <c r="BG1781" s="15"/>
      <c r="BH1781" s="13"/>
      <c r="BI1781" s="13"/>
      <c r="BJ1781" s="13"/>
      <c r="BK1781" s="31"/>
      <c r="BL1781" s="31"/>
      <c r="BM1781" s="15"/>
      <c r="BN1781" s="15"/>
      <c r="BO1781" s="15"/>
      <c r="BP1781" s="15"/>
      <c r="BQ1781" s="15"/>
      <c r="BR1781" s="15"/>
      <c r="BS1781" s="15"/>
      <c r="BT1781" s="15"/>
      <c r="BU1781" s="13"/>
      <c r="BV1781" s="13"/>
      <c r="BW1781" s="13"/>
      <c r="BX1781" s="31"/>
      <c r="BY1781" s="31"/>
      <c r="BZ1781" s="15"/>
      <c r="CA1781" s="15"/>
      <c r="CB1781" s="15"/>
      <c r="CC1781" s="15"/>
      <c r="CD1781" s="15"/>
      <c r="CE1781" s="15"/>
      <c r="CF1781" s="15"/>
      <c r="CG1781" s="15"/>
      <c r="CH1781" s="10"/>
      <c r="CI1781" s="8"/>
      <c r="CJ1781" s="16"/>
      <c r="CK1781" s="8"/>
      <c r="CT1781" s="17"/>
      <c r="CU1781" s="17"/>
      <c r="CV1781" s="17"/>
      <c r="CW1781" s="17"/>
      <c r="CX1781" s="17"/>
      <c r="CY1781" s="17"/>
      <c r="CZ1781" s="17"/>
      <c r="DA1781" s="17"/>
      <c r="DB1781" s="17"/>
      <c r="DC1781" s="15"/>
    </row>
    <row r="1782" spans="1:107" s="25" customFormat="1" x14ac:dyDescent="0.2">
      <c r="A1782" s="29">
        <v>6002</v>
      </c>
      <c r="B1782" s="29" t="s">
        <v>181</v>
      </c>
      <c r="C1782" s="29">
        <f t="shared" si="110"/>
        <v>60020001</v>
      </c>
      <c r="D1782" s="25" t="s">
        <v>4388</v>
      </c>
      <c r="E1782" s="67" t="s">
        <v>658</v>
      </c>
      <c r="F1782" s="67"/>
      <c r="G1782" s="67"/>
      <c r="H1782" s="67"/>
      <c r="I1782" s="21" t="s">
        <v>661</v>
      </c>
      <c r="J1782" s="21"/>
      <c r="K1782" s="21"/>
      <c r="L1782" s="21"/>
      <c r="M1782" s="21"/>
      <c r="N1782" s="21" t="s">
        <v>656</v>
      </c>
      <c r="O1782" s="21" t="s">
        <v>656</v>
      </c>
      <c r="P1782" s="21"/>
      <c r="Q1782" s="21" t="s">
        <v>2041</v>
      </c>
      <c r="R1782" s="21"/>
      <c r="S1782" s="21"/>
      <c r="T1782" s="21" t="s">
        <v>3264</v>
      </c>
      <c r="U1782" s="118" t="s">
        <v>3265</v>
      </c>
      <c r="V1782" s="21" t="s">
        <v>4491</v>
      </c>
      <c r="W1782" s="21" t="s">
        <v>23</v>
      </c>
      <c r="X1782" s="21"/>
      <c r="Y1782" s="23" t="s">
        <v>23</v>
      </c>
      <c r="Z1782" s="21"/>
      <c r="AA1782" s="21" t="s">
        <v>702</v>
      </c>
      <c r="AB1782" s="21"/>
      <c r="AC1782" s="21"/>
      <c r="AD1782" s="21"/>
      <c r="AE1782" s="39"/>
      <c r="AF1782" s="39" t="s">
        <v>2042</v>
      </c>
      <c r="AG1782" s="21"/>
      <c r="AJ1782" s="27"/>
      <c r="AK1782" s="27"/>
      <c r="AL1782" s="27"/>
      <c r="AM1782" s="27"/>
      <c r="AN1782" s="27"/>
      <c r="AO1782" s="27"/>
      <c r="AP1782" s="27"/>
      <c r="AQ1782" s="27"/>
      <c r="AR1782" s="27"/>
      <c r="AS1782" s="27"/>
      <c r="AT1782" s="27"/>
      <c r="AW1782" s="27"/>
      <c r="AX1782" s="27"/>
      <c r="AY1782" s="27"/>
      <c r="AZ1782" s="27"/>
      <c r="BA1782" s="27"/>
      <c r="BB1782" s="27"/>
      <c r="BC1782" s="27"/>
      <c r="BD1782" s="27"/>
      <c r="BE1782" s="27"/>
      <c r="BF1782" s="27"/>
      <c r="BG1782" s="27"/>
      <c r="BJ1782" s="27"/>
      <c r="BK1782" s="27"/>
      <c r="BL1782" s="27"/>
      <c r="BM1782" s="27"/>
      <c r="BN1782" s="27"/>
      <c r="BO1782" s="27"/>
      <c r="BP1782" s="27"/>
      <c r="BQ1782" s="27"/>
      <c r="BR1782" s="27"/>
      <c r="BS1782" s="27"/>
      <c r="BT1782" s="27"/>
      <c r="BW1782" s="27"/>
      <c r="BX1782" s="27"/>
      <c r="BY1782" s="27"/>
      <c r="BZ1782" s="27"/>
      <c r="CA1782" s="27"/>
      <c r="CB1782" s="27"/>
      <c r="CC1782" s="27"/>
      <c r="CD1782" s="27"/>
      <c r="CE1782" s="27"/>
      <c r="CF1782" s="27"/>
      <c r="CG1782" s="27"/>
      <c r="CI1782" s="70" t="s">
        <v>659</v>
      </c>
      <c r="CJ1782" s="27"/>
      <c r="CK1782" s="23" t="s">
        <v>181</v>
      </c>
      <c r="CR1782" s="36">
        <f t="shared" ref="CR1782:CR1823" si="144">AK1782*0.25</f>
        <v>0</v>
      </c>
      <c r="CS1782" s="36">
        <f t="shared" ref="CS1782:CS1823" si="145">AK1782*0.5</f>
        <v>0</v>
      </c>
      <c r="CT1782" s="69">
        <f t="shared" ref="CT1782:CT1823" si="146">CR1782/200*100</f>
        <v>0</v>
      </c>
      <c r="CU1782" s="69">
        <f t="shared" ref="CU1782:CU1823" si="147">CR1782/300*100</f>
        <v>0</v>
      </c>
      <c r="CV1782" s="69">
        <f t="shared" ref="CV1782:CV1823" si="148">CR1782/400*100</f>
        <v>0</v>
      </c>
      <c r="CW1782" s="69">
        <f t="shared" ref="CW1782:CW1823" si="149">CR1782/500*100</f>
        <v>0</v>
      </c>
      <c r="CX1782" s="69">
        <f t="shared" ref="CX1782:CX1823" si="150">CR1782/600*100</f>
        <v>0</v>
      </c>
      <c r="CY1782" s="69">
        <f t="shared" ref="CY1782:CY1823" si="151">CR1782/700*100</f>
        <v>0</v>
      </c>
      <c r="CZ1782" s="69">
        <f t="shared" ref="CZ1782:CZ1823" si="152">CR1782/800*100</f>
        <v>0</v>
      </c>
      <c r="DA1782" s="69">
        <f t="shared" ref="DA1782:DA1823" si="153">CR1782/900*100</f>
        <v>0</v>
      </c>
      <c r="DB1782" s="69">
        <f t="shared" ref="DB1782:DB1823" si="154">CR1782/1000*100</f>
        <v>0</v>
      </c>
      <c r="DC1782" s="27"/>
    </row>
    <row r="1783" spans="1:107" s="25" customFormat="1" x14ac:dyDescent="0.2">
      <c r="A1783" s="29">
        <v>6002</v>
      </c>
      <c r="B1783" s="29" t="s">
        <v>22</v>
      </c>
      <c r="C1783" s="29">
        <f t="shared" si="110"/>
        <v>60020002</v>
      </c>
      <c r="D1783" s="25" t="s">
        <v>4389</v>
      </c>
      <c r="E1783" s="67" t="s">
        <v>658</v>
      </c>
      <c r="F1783" s="67"/>
      <c r="G1783" s="67"/>
      <c r="H1783" s="67"/>
      <c r="I1783" s="21" t="s">
        <v>661</v>
      </c>
      <c r="J1783" s="21"/>
      <c r="K1783" s="21"/>
      <c r="L1783" s="21"/>
      <c r="M1783" s="21"/>
      <c r="N1783" s="21" t="s">
        <v>656</v>
      </c>
      <c r="O1783" s="21" t="s">
        <v>656</v>
      </c>
      <c r="P1783" s="21"/>
      <c r="Q1783" s="21" t="s">
        <v>2041</v>
      </c>
      <c r="R1783" s="21"/>
      <c r="S1783" s="21"/>
      <c r="T1783" s="21" t="s">
        <v>3264</v>
      </c>
      <c r="U1783" s="118" t="s">
        <v>3265</v>
      </c>
      <c r="V1783" s="21" t="s">
        <v>4491</v>
      </c>
      <c r="W1783" s="21" t="s">
        <v>1</v>
      </c>
      <c r="X1783" s="21"/>
      <c r="Y1783" s="23" t="s">
        <v>23</v>
      </c>
      <c r="Z1783" s="21"/>
      <c r="AA1783" s="21" t="s">
        <v>702</v>
      </c>
      <c r="AB1783" s="21"/>
      <c r="AC1783" s="21"/>
      <c r="AD1783" s="21"/>
      <c r="AE1783" s="39"/>
      <c r="AF1783" s="39" t="s">
        <v>2042</v>
      </c>
      <c r="AG1783" s="21"/>
      <c r="AJ1783" s="27"/>
      <c r="AK1783" s="27"/>
      <c r="AL1783" s="27"/>
      <c r="AM1783" s="27"/>
      <c r="AN1783" s="27"/>
      <c r="AO1783" s="27"/>
      <c r="AP1783" s="27"/>
      <c r="AQ1783" s="27"/>
      <c r="AR1783" s="27"/>
      <c r="AS1783" s="27"/>
      <c r="AT1783" s="27"/>
      <c r="AW1783" s="27"/>
      <c r="AX1783" s="27"/>
      <c r="AY1783" s="27"/>
      <c r="AZ1783" s="27"/>
      <c r="BA1783" s="27"/>
      <c r="BB1783" s="27"/>
      <c r="BC1783" s="27"/>
      <c r="BD1783" s="27"/>
      <c r="BE1783" s="27"/>
      <c r="BF1783" s="27"/>
      <c r="BG1783" s="27"/>
      <c r="BJ1783" s="27"/>
      <c r="BK1783" s="27"/>
      <c r="BL1783" s="27"/>
      <c r="BM1783" s="27"/>
      <c r="BN1783" s="27"/>
      <c r="BO1783" s="27"/>
      <c r="BP1783" s="27"/>
      <c r="BQ1783" s="27"/>
      <c r="BR1783" s="27"/>
      <c r="BS1783" s="27"/>
      <c r="BT1783" s="27"/>
      <c r="BW1783" s="27"/>
      <c r="BX1783" s="27"/>
      <c r="BY1783" s="27"/>
      <c r="BZ1783" s="27"/>
      <c r="CA1783" s="27"/>
      <c r="CB1783" s="27"/>
      <c r="CC1783" s="27"/>
      <c r="CD1783" s="27"/>
      <c r="CE1783" s="27"/>
      <c r="CF1783" s="27"/>
      <c r="CG1783" s="27"/>
      <c r="CI1783" s="70" t="s">
        <v>659</v>
      </c>
      <c r="CJ1783" s="27"/>
      <c r="CK1783" s="23" t="s">
        <v>181</v>
      </c>
      <c r="CR1783" s="36">
        <f t="shared" si="144"/>
        <v>0</v>
      </c>
      <c r="CS1783" s="36">
        <f t="shared" si="145"/>
        <v>0</v>
      </c>
      <c r="CT1783" s="69">
        <f t="shared" si="146"/>
        <v>0</v>
      </c>
      <c r="CU1783" s="69">
        <f t="shared" si="147"/>
        <v>0</v>
      </c>
      <c r="CV1783" s="69">
        <f t="shared" si="148"/>
        <v>0</v>
      </c>
      <c r="CW1783" s="69">
        <f t="shared" si="149"/>
        <v>0</v>
      </c>
      <c r="CX1783" s="69">
        <f t="shared" si="150"/>
        <v>0</v>
      </c>
      <c r="CY1783" s="69">
        <f t="shared" si="151"/>
        <v>0</v>
      </c>
      <c r="CZ1783" s="69">
        <f t="shared" si="152"/>
        <v>0</v>
      </c>
      <c r="DA1783" s="69">
        <f t="shared" si="153"/>
        <v>0</v>
      </c>
      <c r="DB1783" s="69">
        <f t="shared" si="154"/>
        <v>0</v>
      </c>
      <c r="DC1783" s="27"/>
    </row>
    <row r="1784" spans="1:107" s="25" customFormat="1" x14ac:dyDescent="0.2">
      <c r="A1784" s="29">
        <v>6002</v>
      </c>
      <c r="B1784" s="29" t="s">
        <v>122</v>
      </c>
      <c r="C1784" s="29">
        <f t="shared" si="110"/>
        <v>60020003</v>
      </c>
      <c r="D1784" s="25" t="s">
        <v>4390</v>
      </c>
      <c r="E1784" s="67" t="s">
        <v>658</v>
      </c>
      <c r="F1784" s="67"/>
      <c r="G1784" s="67"/>
      <c r="H1784" s="67"/>
      <c r="I1784" s="21" t="s">
        <v>661</v>
      </c>
      <c r="J1784" s="21"/>
      <c r="K1784" s="21"/>
      <c r="L1784" s="21"/>
      <c r="M1784" s="21"/>
      <c r="N1784" s="21" t="s">
        <v>656</v>
      </c>
      <c r="O1784" s="21" t="s">
        <v>656</v>
      </c>
      <c r="P1784" s="21"/>
      <c r="Q1784" s="21" t="s">
        <v>2041</v>
      </c>
      <c r="R1784" s="21"/>
      <c r="S1784" s="21"/>
      <c r="T1784" s="21" t="s">
        <v>3264</v>
      </c>
      <c r="U1784" s="118" t="s">
        <v>3265</v>
      </c>
      <c r="V1784" s="21" t="s">
        <v>4491</v>
      </c>
      <c r="W1784" s="21" t="s">
        <v>1</v>
      </c>
      <c r="X1784" s="21"/>
      <c r="Y1784" s="23" t="s">
        <v>23</v>
      </c>
      <c r="Z1784" s="21"/>
      <c r="AA1784" s="21" t="s">
        <v>702</v>
      </c>
      <c r="AB1784" s="21"/>
      <c r="AC1784" s="21"/>
      <c r="AD1784" s="21"/>
      <c r="AE1784" s="39"/>
      <c r="AF1784" s="39" t="s">
        <v>2042</v>
      </c>
      <c r="AG1784" s="21"/>
      <c r="AJ1784" s="27"/>
      <c r="AK1784" s="27"/>
      <c r="AL1784" s="27"/>
      <c r="AM1784" s="27"/>
      <c r="AN1784" s="27"/>
      <c r="AO1784" s="27"/>
      <c r="AP1784" s="27"/>
      <c r="AQ1784" s="27"/>
      <c r="AR1784" s="27"/>
      <c r="AS1784" s="27"/>
      <c r="AT1784" s="27"/>
      <c r="AW1784" s="27"/>
      <c r="AX1784" s="27"/>
      <c r="AY1784" s="27"/>
      <c r="AZ1784" s="27"/>
      <c r="BA1784" s="27"/>
      <c r="BB1784" s="27"/>
      <c r="BC1784" s="27"/>
      <c r="BD1784" s="27"/>
      <c r="BE1784" s="27"/>
      <c r="BF1784" s="27"/>
      <c r="BG1784" s="27"/>
      <c r="BJ1784" s="27"/>
      <c r="BK1784" s="27"/>
      <c r="BL1784" s="27"/>
      <c r="BM1784" s="27"/>
      <c r="BN1784" s="27"/>
      <c r="BO1784" s="27"/>
      <c r="BP1784" s="27"/>
      <c r="BQ1784" s="27"/>
      <c r="BR1784" s="27"/>
      <c r="BS1784" s="27"/>
      <c r="BT1784" s="27"/>
      <c r="BW1784" s="27"/>
      <c r="BX1784" s="27"/>
      <c r="BY1784" s="27"/>
      <c r="BZ1784" s="27"/>
      <c r="CA1784" s="27"/>
      <c r="CB1784" s="27"/>
      <c r="CC1784" s="27"/>
      <c r="CD1784" s="27"/>
      <c r="CE1784" s="27"/>
      <c r="CF1784" s="27"/>
      <c r="CG1784" s="27"/>
      <c r="CI1784" s="70" t="s">
        <v>659</v>
      </c>
      <c r="CJ1784" s="27"/>
      <c r="CK1784" s="23" t="s">
        <v>181</v>
      </c>
      <c r="CR1784" s="36">
        <f t="shared" si="144"/>
        <v>0</v>
      </c>
      <c r="CS1784" s="36">
        <f t="shared" si="145"/>
        <v>0</v>
      </c>
      <c r="CT1784" s="69">
        <f t="shared" si="146"/>
        <v>0</v>
      </c>
      <c r="CU1784" s="69">
        <f t="shared" si="147"/>
        <v>0</v>
      </c>
      <c r="CV1784" s="69">
        <f t="shared" si="148"/>
        <v>0</v>
      </c>
      <c r="CW1784" s="69">
        <f t="shared" si="149"/>
        <v>0</v>
      </c>
      <c r="CX1784" s="69">
        <f t="shared" si="150"/>
        <v>0</v>
      </c>
      <c r="CY1784" s="69">
        <f t="shared" si="151"/>
        <v>0</v>
      </c>
      <c r="CZ1784" s="69">
        <f t="shared" si="152"/>
        <v>0</v>
      </c>
      <c r="DA1784" s="69">
        <f t="shared" si="153"/>
        <v>0</v>
      </c>
      <c r="DB1784" s="69">
        <f t="shared" si="154"/>
        <v>0</v>
      </c>
      <c r="DC1784" s="27"/>
    </row>
    <row r="1785" spans="1:107" s="25" customFormat="1" x14ac:dyDescent="0.2">
      <c r="A1785" s="29">
        <v>6002</v>
      </c>
      <c r="B1785" s="29" t="s">
        <v>23</v>
      </c>
      <c r="C1785" s="29">
        <f t="shared" si="110"/>
        <v>60020004</v>
      </c>
      <c r="D1785" s="25" t="s">
        <v>4391</v>
      </c>
      <c r="E1785" s="67" t="s">
        <v>658</v>
      </c>
      <c r="F1785" s="67"/>
      <c r="G1785" s="67"/>
      <c r="H1785" s="67"/>
      <c r="I1785" s="21" t="s">
        <v>661</v>
      </c>
      <c r="J1785" s="21"/>
      <c r="K1785" s="21"/>
      <c r="L1785" s="21"/>
      <c r="M1785" s="21"/>
      <c r="N1785" s="21" t="s">
        <v>656</v>
      </c>
      <c r="O1785" s="21" t="s">
        <v>656</v>
      </c>
      <c r="P1785" s="21"/>
      <c r="Q1785" s="21" t="s">
        <v>2041</v>
      </c>
      <c r="R1785" s="21"/>
      <c r="S1785" s="21"/>
      <c r="T1785" s="21" t="s">
        <v>3264</v>
      </c>
      <c r="U1785" s="118" t="s">
        <v>3265</v>
      </c>
      <c r="V1785" s="21" t="s">
        <v>4491</v>
      </c>
      <c r="W1785" s="21" t="s">
        <v>1</v>
      </c>
      <c r="X1785" s="21"/>
      <c r="Y1785" s="23" t="s">
        <v>23</v>
      </c>
      <c r="Z1785" s="21"/>
      <c r="AA1785" s="21" t="s">
        <v>702</v>
      </c>
      <c r="AB1785" s="21"/>
      <c r="AC1785" s="21"/>
      <c r="AD1785" s="21"/>
      <c r="AE1785" s="39"/>
      <c r="AF1785" s="39" t="s">
        <v>2042</v>
      </c>
      <c r="AG1785" s="21"/>
      <c r="AJ1785" s="27"/>
      <c r="AK1785" s="27"/>
      <c r="AL1785" s="27"/>
      <c r="AM1785" s="27"/>
      <c r="AN1785" s="27"/>
      <c r="AO1785" s="27"/>
      <c r="AP1785" s="27"/>
      <c r="AQ1785" s="27"/>
      <c r="AR1785" s="27"/>
      <c r="AS1785" s="27"/>
      <c r="AT1785" s="27"/>
      <c r="AW1785" s="27"/>
      <c r="AX1785" s="27"/>
      <c r="AY1785" s="27"/>
      <c r="AZ1785" s="27"/>
      <c r="BA1785" s="27"/>
      <c r="BB1785" s="27"/>
      <c r="BC1785" s="27"/>
      <c r="BD1785" s="27"/>
      <c r="BE1785" s="27"/>
      <c r="BF1785" s="27"/>
      <c r="BG1785" s="27"/>
      <c r="BJ1785" s="27"/>
      <c r="BK1785" s="27"/>
      <c r="BL1785" s="27"/>
      <c r="BM1785" s="27"/>
      <c r="BN1785" s="27"/>
      <c r="BO1785" s="27"/>
      <c r="BP1785" s="27"/>
      <c r="BQ1785" s="27"/>
      <c r="BR1785" s="27"/>
      <c r="BS1785" s="27"/>
      <c r="BT1785" s="27"/>
      <c r="BW1785" s="27"/>
      <c r="BX1785" s="27"/>
      <c r="BY1785" s="27"/>
      <c r="BZ1785" s="27"/>
      <c r="CA1785" s="27"/>
      <c r="CB1785" s="27"/>
      <c r="CC1785" s="27"/>
      <c r="CD1785" s="27"/>
      <c r="CE1785" s="27"/>
      <c r="CF1785" s="27"/>
      <c r="CG1785" s="27"/>
      <c r="CI1785" s="70" t="s">
        <v>659</v>
      </c>
      <c r="CJ1785" s="27"/>
      <c r="CK1785" s="23" t="s">
        <v>181</v>
      </c>
      <c r="CR1785" s="36">
        <f t="shared" si="144"/>
        <v>0</v>
      </c>
      <c r="CS1785" s="36">
        <f t="shared" si="145"/>
        <v>0</v>
      </c>
      <c r="CT1785" s="69">
        <f t="shared" si="146"/>
        <v>0</v>
      </c>
      <c r="CU1785" s="69">
        <f t="shared" si="147"/>
        <v>0</v>
      </c>
      <c r="CV1785" s="69">
        <f t="shared" si="148"/>
        <v>0</v>
      </c>
      <c r="CW1785" s="69">
        <f t="shared" si="149"/>
        <v>0</v>
      </c>
      <c r="CX1785" s="69">
        <f t="shared" si="150"/>
        <v>0</v>
      </c>
      <c r="CY1785" s="69">
        <f t="shared" si="151"/>
        <v>0</v>
      </c>
      <c r="CZ1785" s="69">
        <f t="shared" si="152"/>
        <v>0</v>
      </c>
      <c r="DA1785" s="69">
        <f t="shared" si="153"/>
        <v>0</v>
      </c>
      <c r="DB1785" s="69">
        <f t="shared" si="154"/>
        <v>0</v>
      </c>
      <c r="DC1785" s="27"/>
    </row>
    <row r="1786" spans="1:107" s="25" customFormat="1" x14ac:dyDescent="0.2">
      <c r="A1786" s="29">
        <v>6002</v>
      </c>
      <c r="B1786" s="29" t="s">
        <v>123</v>
      </c>
      <c r="C1786" s="29">
        <f t="shared" si="110"/>
        <v>60020005</v>
      </c>
      <c r="D1786" s="25" t="s">
        <v>4392</v>
      </c>
      <c r="E1786" s="67" t="s">
        <v>658</v>
      </c>
      <c r="F1786" s="67"/>
      <c r="G1786" s="67"/>
      <c r="H1786" s="67"/>
      <c r="I1786" s="21" t="s">
        <v>661</v>
      </c>
      <c r="J1786" s="21"/>
      <c r="K1786" s="21"/>
      <c r="L1786" s="21"/>
      <c r="M1786" s="21"/>
      <c r="N1786" s="21" t="s">
        <v>656</v>
      </c>
      <c r="O1786" s="21" t="s">
        <v>656</v>
      </c>
      <c r="P1786" s="21"/>
      <c r="Q1786" s="21" t="s">
        <v>2041</v>
      </c>
      <c r="R1786" s="21"/>
      <c r="S1786" s="21"/>
      <c r="T1786" s="21" t="s">
        <v>3264</v>
      </c>
      <c r="U1786" s="118" t="s">
        <v>3265</v>
      </c>
      <c r="V1786" s="21" t="s">
        <v>4491</v>
      </c>
      <c r="W1786" s="21" t="s">
        <v>1</v>
      </c>
      <c r="X1786" s="21"/>
      <c r="Y1786" s="23" t="s">
        <v>23</v>
      </c>
      <c r="Z1786" s="21"/>
      <c r="AA1786" s="21" t="s">
        <v>702</v>
      </c>
      <c r="AB1786" s="21"/>
      <c r="AC1786" s="21"/>
      <c r="AD1786" s="21"/>
      <c r="AE1786" s="39"/>
      <c r="AF1786" s="39" t="s">
        <v>2042</v>
      </c>
      <c r="AG1786" s="21"/>
      <c r="AJ1786" s="27"/>
      <c r="AK1786" s="27"/>
      <c r="AL1786" s="27"/>
      <c r="AM1786" s="27"/>
      <c r="AN1786" s="27"/>
      <c r="AO1786" s="27"/>
      <c r="AP1786" s="27"/>
      <c r="AQ1786" s="27"/>
      <c r="AR1786" s="27"/>
      <c r="AS1786" s="27"/>
      <c r="AT1786" s="27"/>
      <c r="AW1786" s="27"/>
      <c r="AX1786" s="27"/>
      <c r="AY1786" s="27"/>
      <c r="AZ1786" s="27"/>
      <c r="BA1786" s="27"/>
      <c r="BB1786" s="27"/>
      <c r="BC1786" s="27"/>
      <c r="BD1786" s="27"/>
      <c r="BE1786" s="27"/>
      <c r="BF1786" s="27"/>
      <c r="BG1786" s="27"/>
      <c r="BJ1786" s="27"/>
      <c r="BK1786" s="27"/>
      <c r="BL1786" s="27"/>
      <c r="BM1786" s="27"/>
      <c r="BN1786" s="27"/>
      <c r="BO1786" s="27"/>
      <c r="BP1786" s="27"/>
      <c r="BQ1786" s="27"/>
      <c r="BR1786" s="27"/>
      <c r="BS1786" s="27"/>
      <c r="BT1786" s="27"/>
      <c r="BW1786" s="27"/>
      <c r="BX1786" s="27"/>
      <c r="BY1786" s="27"/>
      <c r="BZ1786" s="27"/>
      <c r="CA1786" s="27"/>
      <c r="CB1786" s="27"/>
      <c r="CC1786" s="27"/>
      <c r="CD1786" s="27"/>
      <c r="CE1786" s="27"/>
      <c r="CF1786" s="27"/>
      <c r="CG1786" s="27"/>
      <c r="CI1786" s="70" t="s">
        <v>659</v>
      </c>
      <c r="CJ1786" s="27"/>
      <c r="CK1786" s="23" t="s">
        <v>181</v>
      </c>
      <c r="CR1786" s="36">
        <f t="shared" si="144"/>
        <v>0</v>
      </c>
      <c r="CS1786" s="36">
        <f t="shared" si="145"/>
        <v>0</v>
      </c>
      <c r="CT1786" s="69">
        <f t="shared" si="146"/>
        <v>0</v>
      </c>
      <c r="CU1786" s="69">
        <f t="shared" si="147"/>
        <v>0</v>
      </c>
      <c r="CV1786" s="69">
        <f t="shared" si="148"/>
        <v>0</v>
      </c>
      <c r="CW1786" s="69">
        <f t="shared" si="149"/>
        <v>0</v>
      </c>
      <c r="CX1786" s="69">
        <f t="shared" si="150"/>
        <v>0</v>
      </c>
      <c r="CY1786" s="69">
        <f t="shared" si="151"/>
        <v>0</v>
      </c>
      <c r="CZ1786" s="69">
        <f t="shared" si="152"/>
        <v>0</v>
      </c>
      <c r="DA1786" s="69">
        <f t="shared" si="153"/>
        <v>0</v>
      </c>
      <c r="DB1786" s="69">
        <f t="shared" si="154"/>
        <v>0</v>
      </c>
      <c r="DC1786" s="27"/>
    </row>
    <row r="1787" spans="1:107" s="25" customFormat="1" x14ac:dyDescent="0.2">
      <c r="A1787" s="29">
        <v>6003</v>
      </c>
      <c r="B1787" s="29" t="s">
        <v>181</v>
      </c>
      <c r="C1787" s="29">
        <f t="shared" si="110"/>
        <v>60030001</v>
      </c>
      <c r="D1787" s="25" t="s">
        <v>4393</v>
      </c>
      <c r="E1787" s="67" t="s">
        <v>658</v>
      </c>
      <c r="F1787" s="67"/>
      <c r="G1787" s="67"/>
      <c r="H1787" s="67"/>
      <c r="I1787" s="21" t="s">
        <v>661</v>
      </c>
      <c r="J1787" s="21"/>
      <c r="K1787" s="21"/>
      <c r="L1787" s="21"/>
      <c r="M1787" s="21"/>
      <c r="N1787" s="21" t="s">
        <v>656</v>
      </c>
      <c r="O1787" s="21" t="s">
        <v>656</v>
      </c>
      <c r="P1787" s="21"/>
      <c r="Q1787" s="21" t="s">
        <v>2041</v>
      </c>
      <c r="R1787" s="21"/>
      <c r="S1787" s="21"/>
      <c r="T1787" s="21" t="s">
        <v>3264</v>
      </c>
      <c r="U1787" s="118" t="s">
        <v>3265</v>
      </c>
      <c r="V1787" s="21" t="s">
        <v>4492</v>
      </c>
      <c r="W1787" s="21" t="s">
        <v>23</v>
      </c>
      <c r="X1787" s="21"/>
      <c r="Y1787" s="23" t="s">
        <v>23</v>
      </c>
      <c r="Z1787" s="21"/>
      <c r="AA1787" s="21" t="s">
        <v>702</v>
      </c>
      <c r="AB1787" s="21"/>
      <c r="AC1787" s="21"/>
      <c r="AD1787" s="21"/>
      <c r="AE1787" s="39"/>
      <c r="AF1787" s="39" t="s">
        <v>2042</v>
      </c>
      <c r="AG1787" s="21"/>
      <c r="AJ1787" s="27"/>
      <c r="AK1787" s="27"/>
      <c r="AL1787" s="27"/>
      <c r="AM1787" s="27"/>
      <c r="AN1787" s="27"/>
      <c r="AO1787" s="27"/>
      <c r="AP1787" s="27"/>
      <c r="AQ1787" s="27"/>
      <c r="AR1787" s="27"/>
      <c r="AS1787" s="27"/>
      <c r="AT1787" s="27"/>
      <c r="AW1787" s="27"/>
      <c r="AX1787" s="27"/>
      <c r="AY1787" s="27"/>
      <c r="AZ1787" s="27"/>
      <c r="BA1787" s="27"/>
      <c r="BB1787" s="27"/>
      <c r="BC1787" s="27"/>
      <c r="BD1787" s="27"/>
      <c r="BE1787" s="27"/>
      <c r="BF1787" s="27"/>
      <c r="BG1787" s="27"/>
      <c r="BJ1787" s="27"/>
      <c r="BK1787" s="27"/>
      <c r="BL1787" s="27"/>
      <c r="BM1787" s="27"/>
      <c r="BN1787" s="27"/>
      <c r="BO1787" s="27"/>
      <c r="BP1787" s="27"/>
      <c r="BQ1787" s="27"/>
      <c r="BR1787" s="27"/>
      <c r="BS1787" s="27"/>
      <c r="BT1787" s="27"/>
      <c r="BW1787" s="27"/>
      <c r="BX1787" s="27"/>
      <c r="BY1787" s="27"/>
      <c r="BZ1787" s="27"/>
      <c r="CA1787" s="27"/>
      <c r="CB1787" s="27"/>
      <c r="CC1787" s="27"/>
      <c r="CD1787" s="27"/>
      <c r="CE1787" s="27"/>
      <c r="CF1787" s="27"/>
      <c r="CG1787" s="27"/>
      <c r="CI1787" s="70" t="s">
        <v>659</v>
      </c>
      <c r="CJ1787" s="27"/>
      <c r="CK1787" s="23" t="s">
        <v>181</v>
      </c>
      <c r="CR1787" s="36">
        <f t="shared" si="144"/>
        <v>0</v>
      </c>
      <c r="CS1787" s="36">
        <f t="shared" si="145"/>
        <v>0</v>
      </c>
      <c r="CT1787" s="69">
        <f t="shared" si="146"/>
        <v>0</v>
      </c>
      <c r="CU1787" s="69">
        <f t="shared" si="147"/>
        <v>0</v>
      </c>
      <c r="CV1787" s="69">
        <f t="shared" si="148"/>
        <v>0</v>
      </c>
      <c r="CW1787" s="69">
        <f t="shared" si="149"/>
        <v>0</v>
      </c>
      <c r="CX1787" s="69">
        <f t="shared" si="150"/>
        <v>0</v>
      </c>
      <c r="CY1787" s="69">
        <f t="shared" si="151"/>
        <v>0</v>
      </c>
      <c r="CZ1787" s="69">
        <f t="shared" si="152"/>
        <v>0</v>
      </c>
      <c r="DA1787" s="69">
        <f t="shared" si="153"/>
        <v>0</v>
      </c>
      <c r="DB1787" s="69">
        <f t="shared" si="154"/>
        <v>0</v>
      </c>
      <c r="DC1787" s="27"/>
    </row>
    <row r="1788" spans="1:107" s="25" customFormat="1" x14ac:dyDescent="0.2">
      <c r="A1788" s="29">
        <v>6003</v>
      </c>
      <c r="B1788" s="29" t="s">
        <v>22</v>
      </c>
      <c r="C1788" s="29">
        <f t="shared" si="110"/>
        <v>60030002</v>
      </c>
      <c r="D1788" s="25" t="s">
        <v>4394</v>
      </c>
      <c r="E1788" s="67" t="s">
        <v>658</v>
      </c>
      <c r="F1788" s="67"/>
      <c r="G1788" s="67"/>
      <c r="H1788" s="67"/>
      <c r="I1788" s="21" t="s">
        <v>661</v>
      </c>
      <c r="J1788" s="21"/>
      <c r="K1788" s="21"/>
      <c r="L1788" s="21"/>
      <c r="M1788" s="21"/>
      <c r="N1788" s="21" t="s">
        <v>656</v>
      </c>
      <c r="O1788" s="21" t="s">
        <v>656</v>
      </c>
      <c r="P1788" s="21"/>
      <c r="Q1788" s="21" t="s">
        <v>2041</v>
      </c>
      <c r="R1788" s="21"/>
      <c r="S1788" s="21"/>
      <c r="T1788" s="21" t="s">
        <v>3264</v>
      </c>
      <c r="U1788" s="118" t="s">
        <v>3265</v>
      </c>
      <c r="V1788" s="21" t="s">
        <v>4492</v>
      </c>
      <c r="W1788" s="21" t="s">
        <v>1</v>
      </c>
      <c r="X1788" s="21"/>
      <c r="Y1788" s="23" t="s">
        <v>23</v>
      </c>
      <c r="Z1788" s="21"/>
      <c r="AA1788" s="21" t="s">
        <v>702</v>
      </c>
      <c r="AB1788" s="21"/>
      <c r="AC1788" s="21"/>
      <c r="AD1788" s="21"/>
      <c r="AE1788" s="39"/>
      <c r="AF1788" s="39" t="s">
        <v>2042</v>
      </c>
      <c r="AG1788" s="21"/>
      <c r="AJ1788" s="27"/>
      <c r="AK1788" s="27"/>
      <c r="AL1788" s="27"/>
      <c r="AM1788" s="27"/>
      <c r="AN1788" s="27"/>
      <c r="AO1788" s="27"/>
      <c r="AP1788" s="27"/>
      <c r="AQ1788" s="27"/>
      <c r="AR1788" s="27"/>
      <c r="AS1788" s="27"/>
      <c r="AT1788" s="27"/>
      <c r="AW1788" s="27"/>
      <c r="AX1788" s="27"/>
      <c r="AY1788" s="27"/>
      <c r="AZ1788" s="27"/>
      <c r="BA1788" s="27"/>
      <c r="BB1788" s="27"/>
      <c r="BC1788" s="27"/>
      <c r="BD1788" s="27"/>
      <c r="BE1788" s="27"/>
      <c r="BF1788" s="27"/>
      <c r="BG1788" s="27"/>
      <c r="BJ1788" s="27"/>
      <c r="BK1788" s="27"/>
      <c r="BL1788" s="27"/>
      <c r="BM1788" s="27"/>
      <c r="BN1788" s="27"/>
      <c r="BO1788" s="27"/>
      <c r="BP1788" s="27"/>
      <c r="BQ1788" s="27"/>
      <c r="BR1788" s="27"/>
      <c r="BS1788" s="27"/>
      <c r="BT1788" s="27"/>
      <c r="BW1788" s="27"/>
      <c r="BX1788" s="27"/>
      <c r="BY1788" s="27"/>
      <c r="BZ1788" s="27"/>
      <c r="CA1788" s="27"/>
      <c r="CB1788" s="27"/>
      <c r="CC1788" s="27"/>
      <c r="CD1788" s="27"/>
      <c r="CE1788" s="27"/>
      <c r="CF1788" s="27"/>
      <c r="CG1788" s="27"/>
      <c r="CI1788" s="70" t="s">
        <v>659</v>
      </c>
      <c r="CJ1788" s="27"/>
      <c r="CK1788" s="23" t="s">
        <v>181</v>
      </c>
      <c r="CR1788" s="36">
        <f t="shared" si="144"/>
        <v>0</v>
      </c>
      <c r="CS1788" s="36">
        <f t="shared" si="145"/>
        <v>0</v>
      </c>
      <c r="CT1788" s="69">
        <f t="shared" si="146"/>
        <v>0</v>
      </c>
      <c r="CU1788" s="69">
        <f t="shared" si="147"/>
        <v>0</v>
      </c>
      <c r="CV1788" s="69">
        <f t="shared" si="148"/>
        <v>0</v>
      </c>
      <c r="CW1788" s="69">
        <f t="shared" si="149"/>
        <v>0</v>
      </c>
      <c r="CX1788" s="69">
        <f t="shared" si="150"/>
        <v>0</v>
      </c>
      <c r="CY1788" s="69">
        <f t="shared" si="151"/>
        <v>0</v>
      </c>
      <c r="CZ1788" s="69">
        <f t="shared" si="152"/>
        <v>0</v>
      </c>
      <c r="DA1788" s="69">
        <f t="shared" si="153"/>
        <v>0</v>
      </c>
      <c r="DB1788" s="69">
        <f t="shared" si="154"/>
        <v>0</v>
      </c>
      <c r="DC1788" s="27"/>
    </row>
    <row r="1789" spans="1:107" s="25" customFormat="1" x14ac:dyDescent="0.2">
      <c r="A1789" s="29">
        <v>6003</v>
      </c>
      <c r="B1789" s="29" t="s">
        <v>122</v>
      </c>
      <c r="C1789" s="29">
        <f t="shared" si="110"/>
        <v>60030003</v>
      </c>
      <c r="D1789" s="25" t="s">
        <v>4395</v>
      </c>
      <c r="E1789" s="67" t="s">
        <v>658</v>
      </c>
      <c r="F1789" s="67"/>
      <c r="G1789" s="67"/>
      <c r="H1789" s="67"/>
      <c r="I1789" s="21" t="s">
        <v>661</v>
      </c>
      <c r="J1789" s="21"/>
      <c r="K1789" s="21"/>
      <c r="L1789" s="21"/>
      <c r="M1789" s="21"/>
      <c r="N1789" s="21" t="s">
        <v>656</v>
      </c>
      <c r="O1789" s="21" t="s">
        <v>656</v>
      </c>
      <c r="P1789" s="21"/>
      <c r="Q1789" s="21" t="s">
        <v>2041</v>
      </c>
      <c r="R1789" s="21"/>
      <c r="S1789" s="21"/>
      <c r="T1789" s="21" t="s">
        <v>3264</v>
      </c>
      <c r="U1789" s="118" t="s">
        <v>3265</v>
      </c>
      <c r="V1789" s="21" t="s">
        <v>4492</v>
      </c>
      <c r="W1789" s="21" t="s">
        <v>1</v>
      </c>
      <c r="X1789" s="21"/>
      <c r="Y1789" s="23" t="s">
        <v>23</v>
      </c>
      <c r="Z1789" s="21"/>
      <c r="AA1789" s="21" t="s">
        <v>702</v>
      </c>
      <c r="AB1789" s="21"/>
      <c r="AC1789" s="21"/>
      <c r="AD1789" s="21"/>
      <c r="AE1789" s="39"/>
      <c r="AF1789" s="39" t="s">
        <v>2042</v>
      </c>
      <c r="AG1789" s="21"/>
      <c r="AJ1789" s="27"/>
      <c r="AK1789" s="27"/>
      <c r="AL1789" s="27"/>
      <c r="AM1789" s="27"/>
      <c r="AN1789" s="27"/>
      <c r="AO1789" s="27"/>
      <c r="AP1789" s="27"/>
      <c r="AQ1789" s="27"/>
      <c r="AR1789" s="27"/>
      <c r="AS1789" s="27"/>
      <c r="AT1789" s="27"/>
      <c r="AW1789" s="27"/>
      <c r="AX1789" s="27"/>
      <c r="AY1789" s="27"/>
      <c r="AZ1789" s="27"/>
      <c r="BA1789" s="27"/>
      <c r="BB1789" s="27"/>
      <c r="BC1789" s="27"/>
      <c r="BD1789" s="27"/>
      <c r="BE1789" s="27"/>
      <c r="BF1789" s="27"/>
      <c r="BG1789" s="27"/>
      <c r="BJ1789" s="27"/>
      <c r="BK1789" s="27"/>
      <c r="BL1789" s="27"/>
      <c r="BM1789" s="27"/>
      <c r="BN1789" s="27"/>
      <c r="BO1789" s="27"/>
      <c r="BP1789" s="27"/>
      <c r="BQ1789" s="27"/>
      <c r="BR1789" s="27"/>
      <c r="BS1789" s="27"/>
      <c r="BT1789" s="27"/>
      <c r="BW1789" s="27"/>
      <c r="BX1789" s="27"/>
      <c r="BY1789" s="27"/>
      <c r="BZ1789" s="27"/>
      <c r="CA1789" s="27"/>
      <c r="CB1789" s="27"/>
      <c r="CC1789" s="27"/>
      <c r="CD1789" s="27"/>
      <c r="CE1789" s="27"/>
      <c r="CF1789" s="27"/>
      <c r="CG1789" s="27"/>
      <c r="CI1789" s="70" t="s">
        <v>659</v>
      </c>
      <c r="CJ1789" s="27"/>
      <c r="CK1789" s="23" t="s">
        <v>181</v>
      </c>
      <c r="CR1789" s="36">
        <f t="shared" si="144"/>
        <v>0</v>
      </c>
      <c r="CS1789" s="36">
        <f t="shared" si="145"/>
        <v>0</v>
      </c>
      <c r="CT1789" s="69">
        <f t="shared" si="146"/>
        <v>0</v>
      </c>
      <c r="CU1789" s="69">
        <f t="shared" si="147"/>
        <v>0</v>
      </c>
      <c r="CV1789" s="69">
        <f t="shared" si="148"/>
        <v>0</v>
      </c>
      <c r="CW1789" s="69">
        <f t="shared" si="149"/>
        <v>0</v>
      </c>
      <c r="CX1789" s="69">
        <f t="shared" si="150"/>
        <v>0</v>
      </c>
      <c r="CY1789" s="69">
        <f t="shared" si="151"/>
        <v>0</v>
      </c>
      <c r="CZ1789" s="69">
        <f t="shared" si="152"/>
        <v>0</v>
      </c>
      <c r="DA1789" s="69">
        <f t="shared" si="153"/>
        <v>0</v>
      </c>
      <c r="DB1789" s="69">
        <f t="shared" si="154"/>
        <v>0</v>
      </c>
      <c r="DC1789" s="27"/>
    </row>
    <row r="1790" spans="1:107" s="25" customFormat="1" x14ac:dyDescent="0.2">
      <c r="A1790" s="29">
        <v>6003</v>
      </c>
      <c r="B1790" s="29" t="s">
        <v>23</v>
      </c>
      <c r="C1790" s="29">
        <f t="shared" si="110"/>
        <v>60030004</v>
      </c>
      <c r="D1790" s="25" t="s">
        <v>4396</v>
      </c>
      <c r="E1790" s="67" t="s">
        <v>658</v>
      </c>
      <c r="F1790" s="67"/>
      <c r="G1790" s="67"/>
      <c r="H1790" s="67"/>
      <c r="I1790" s="21" t="s">
        <v>661</v>
      </c>
      <c r="J1790" s="21"/>
      <c r="K1790" s="21"/>
      <c r="L1790" s="21"/>
      <c r="M1790" s="21"/>
      <c r="N1790" s="21" t="s">
        <v>656</v>
      </c>
      <c r="O1790" s="21" t="s">
        <v>656</v>
      </c>
      <c r="P1790" s="21"/>
      <c r="Q1790" s="21" t="s">
        <v>2041</v>
      </c>
      <c r="R1790" s="21"/>
      <c r="S1790" s="21"/>
      <c r="T1790" s="21" t="s">
        <v>3264</v>
      </c>
      <c r="U1790" s="118" t="s">
        <v>3265</v>
      </c>
      <c r="V1790" s="21" t="s">
        <v>4492</v>
      </c>
      <c r="W1790" s="21" t="s">
        <v>1</v>
      </c>
      <c r="X1790" s="21"/>
      <c r="Y1790" s="23" t="s">
        <v>23</v>
      </c>
      <c r="Z1790" s="21"/>
      <c r="AA1790" s="21" t="s">
        <v>702</v>
      </c>
      <c r="AB1790" s="21"/>
      <c r="AC1790" s="21"/>
      <c r="AD1790" s="21"/>
      <c r="AE1790" s="39"/>
      <c r="AF1790" s="39" t="s">
        <v>2042</v>
      </c>
      <c r="AG1790" s="21"/>
      <c r="AJ1790" s="27"/>
      <c r="AK1790" s="27"/>
      <c r="AL1790" s="27"/>
      <c r="AM1790" s="27"/>
      <c r="AN1790" s="27"/>
      <c r="AO1790" s="27"/>
      <c r="AP1790" s="27"/>
      <c r="AQ1790" s="27"/>
      <c r="AR1790" s="27"/>
      <c r="AS1790" s="27"/>
      <c r="AT1790" s="27"/>
      <c r="AW1790" s="27"/>
      <c r="AX1790" s="27"/>
      <c r="AY1790" s="27"/>
      <c r="AZ1790" s="27"/>
      <c r="BA1790" s="27"/>
      <c r="BB1790" s="27"/>
      <c r="BC1790" s="27"/>
      <c r="BD1790" s="27"/>
      <c r="BE1790" s="27"/>
      <c r="BF1790" s="27"/>
      <c r="BG1790" s="27"/>
      <c r="BJ1790" s="27"/>
      <c r="BK1790" s="27"/>
      <c r="BL1790" s="27"/>
      <c r="BM1790" s="27"/>
      <c r="BN1790" s="27"/>
      <c r="BO1790" s="27"/>
      <c r="BP1790" s="27"/>
      <c r="BQ1790" s="27"/>
      <c r="BR1790" s="27"/>
      <c r="BS1790" s="27"/>
      <c r="BT1790" s="27"/>
      <c r="BW1790" s="27"/>
      <c r="BX1790" s="27"/>
      <c r="BY1790" s="27"/>
      <c r="BZ1790" s="27"/>
      <c r="CA1790" s="27"/>
      <c r="CB1790" s="27"/>
      <c r="CC1790" s="27"/>
      <c r="CD1790" s="27"/>
      <c r="CE1790" s="27"/>
      <c r="CF1790" s="27"/>
      <c r="CG1790" s="27"/>
      <c r="CI1790" s="70" t="s">
        <v>659</v>
      </c>
      <c r="CJ1790" s="27"/>
      <c r="CK1790" s="23" t="s">
        <v>181</v>
      </c>
      <c r="CR1790" s="36">
        <f t="shared" si="144"/>
        <v>0</v>
      </c>
      <c r="CS1790" s="36">
        <f t="shared" si="145"/>
        <v>0</v>
      </c>
      <c r="CT1790" s="69">
        <f t="shared" si="146"/>
        <v>0</v>
      </c>
      <c r="CU1790" s="69">
        <f t="shared" si="147"/>
        <v>0</v>
      </c>
      <c r="CV1790" s="69">
        <f t="shared" si="148"/>
        <v>0</v>
      </c>
      <c r="CW1790" s="69">
        <f t="shared" si="149"/>
        <v>0</v>
      </c>
      <c r="CX1790" s="69">
        <f t="shared" si="150"/>
        <v>0</v>
      </c>
      <c r="CY1790" s="69">
        <f t="shared" si="151"/>
        <v>0</v>
      </c>
      <c r="CZ1790" s="69">
        <f t="shared" si="152"/>
        <v>0</v>
      </c>
      <c r="DA1790" s="69">
        <f t="shared" si="153"/>
        <v>0</v>
      </c>
      <c r="DB1790" s="69">
        <f t="shared" si="154"/>
        <v>0</v>
      </c>
      <c r="DC1790" s="27"/>
    </row>
    <row r="1791" spans="1:107" s="25" customFormat="1" x14ac:dyDescent="0.2">
      <c r="A1791" s="29">
        <v>6003</v>
      </c>
      <c r="B1791" s="29" t="s">
        <v>123</v>
      </c>
      <c r="C1791" s="29">
        <f t="shared" si="110"/>
        <v>60030005</v>
      </c>
      <c r="D1791" s="25" t="s">
        <v>4397</v>
      </c>
      <c r="E1791" s="67" t="s">
        <v>658</v>
      </c>
      <c r="F1791" s="67"/>
      <c r="G1791" s="67"/>
      <c r="H1791" s="67"/>
      <c r="I1791" s="21" t="s">
        <v>661</v>
      </c>
      <c r="J1791" s="21"/>
      <c r="K1791" s="21"/>
      <c r="L1791" s="21"/>
      <c r="M1791" s="21"/>
      <c r="N1791" s="21" t="s">
        <v>656</v>
      </c>
      <c r="O1791" s="21" t="s">
        <v>656</v>
      </c>
      <c r="P1791" s="21"/>
      <c r="Q1791" s="21" t="s">
        <v>2041</v>
      </c>
      <c r="R1791" s="21"/>
      <c r="S1791" s="21"/>
      <c r="T1791" s="21" t="s">
        <v>3264</v>
      </c>
      <c r="U1791" s="118" t="s">
        <v>3265</v>
      </c>
      <c r="V1791" s="21" t="s">
        <v>4492</v>
      </c>
      <c r="W1791" s="21" t="s">
        <v>1</v>
      </c>
      <c r="X1791" s="21"/>
      <c r="Y1791" s="23" t="s">
        <v>23</v>
      </c>
      <c r="Z1791" s="21"/>
      <c r="AA1791" s="21" t="s">
        <v>702</v>
      </c>
      <c r="AB1791" s="21"/>
      <c r="AC1791" s="21"/>
      <c r="AD1791" s="21"/>
      <c r="AE1791" s="39"/>
      <c r="AF1791" s="39" t="s">
        <v>2042</v>
      </c>
      <c r="AG1791" s="21"/>
      <c r="AJ1791" s="27"/>
      <c r="AK1791" s="27"/>
      <c r="AL1791" s="27"/>
      <c r="AM1791" s="27"/>
      <c r="AN1791" s="27"/>
      <c r="AO1791" s="27"/>
      <c r="AP1791" s="27"/>
      <c r="AQ1791" s="27"/>
      <c r="AR1791" s="27"/>
      <c r="AS1791" s="27"/>
      <c r="AT1791" s="27"/>
      <c r="AW1791" s="27"/>
      <c r="AX1791" s="27"/>
      <c r="AY1791" s="27"/>
      <c r="AZ1791" s="27"/>
      <c r="BA1791" s="27"/>
      <c r="BB1791" s="27"/>
      <c r="BC1791" s="27"/>
      <c r="BD1791" s="27"/>
      <c r="BE1791" s="27"/>
      <c r="BF1791" s="27"/>
      <c r="BG1791" s="27"/>
      <c r="BJ1791" s="27"/>
      <c r="BK1791" s="27"/>
      <c r="BL1791" s="27"/>
      <c r="BM1791" s="27"/>
      <c r="BN1791" s="27"/>
      <c r="BO1791" s="27"/>
      <c r="BP1791" s="27"/>
      <c r="BQ1791" s="27"/>
      <c r="BR1791" s="27"/>
      <c r="BS1791" s="27"/>
      <c r="BT1791" s="27"/>
      <c r="BW1791" s="27"/>
      <c r="BX1791" s="27"/>
      <c r="BY1791" s="27"/>
      <c r="BZ1791" s="27"/>
      <c r="CA1791" s="27"/>
      <c r="CB1791" s="27"/>
      <c r="CC1791" s="27"/>
      <c r="CD1791" s="27"/>
      <c r="CE1791" s="27"/>
      <c r="CF1791" s="27"/>
      <c r="CG1791" s="27"/>
      <c r="CI1791" s="70" t="s">
        <v>659</v>
      </c>
      <c r="CJ1791" s="27"/>
      <c r="CK1791" s="23" t="s">
        <v>181</v>
      </c>
      <c r="CR1791" s="36">
        <f t="shared" si="144"/>
        <v>0</v>
      </c>
      <c r="CS1791" s="36">
        <f t="shared" si="145"/>
        <v>0</v>
      </c>
      <c r="CT1791" s="69">
        <f t="shared" si="146"/>
        <v>0</v>
      </c>
      <c r="CU1791" s="69">
        <f t="shared" si="147"/>
        <v>0</v>
      </c>
      <c r="CV1791" s="69">
        <f t="shared" si="148"/>
        <v>0</v>
      </c>
      <c r="CW1791" s="69">
        <f t="shared" si="149"/>
        <v>0</v>
      </c>
      <c r="CX1791" s="69">
        <f t="shared" si="150"/>
        <v>0</v>
      </c>
      <c r="CY1791" s="69">
        <f t="shared" si="151"/>
        <v>0</v>
      </c>
      <c r="CZ1791" s="69">
        <f t="shared" si="152"/>
        <v>0</v>
      </c>
      <c r="DA1791" s="69">
        <f t="shared" si="153"/>
        <v>0</v>
      </c>
      <c r="DB1791" s="69">
        <f t="shared" si="154"/>
        <v>0</v>
      </c>
      <c r="DC1791" s="27"/>
    </row>
    <row r="1792" spans="1:107" s="25" customFormat="1" x14ac:dyDescent="0.2">
      <c r="A1792" s="29">
        <v>6004</v>
      </c>
      <c r="B1792" s="29" t="s">
        <v>181</v>
      </c>
      <c r="C1792" s="29">
        <f t="shared" si="110"/>
        <v>60040001</v>
      </c>
      <c r="D1792" s="25" t="s">
        <v>4398</v>
      </c>
      <c r="E1792" s="67" t="s">
        <v>658</v>
      </c>
      <c r="F1792" s="67"/>
      <c r="G1792" s="67"/>
      <c r="H1792" s="67"/>
      <c r="I1792" s="21" t="s">
        <v>661</v>
      </c>
      <c r="J1792" s="21"/>
      <c r="K1792" s="21"/>
      <c r="L1792" s="21"/>
      <c r="M1792" s="21"/>
      <c r="N1792" s="21" t="s">
        <v>656</v>
      </c>
      <c r="O1792" s="21" t="s">
        <v>656</v>
      </c>
      <c r="P1792" s="21"/>
      <c r="Q1792" s="21" t="s">
        <v>2041</v>
      </c>
      <c r="R1792" s="21"/>
      <c r="S1792" s="21"/>
      <c r="T1792" s="21" t="s">
        <v>3264</v>
      </c>
      <c r="U1792" s="118" t="s">
        <v>3265</v>
      </c>
      <c r="V1792" s="21" t="s">
        <v>4493</v>
      </c>
      <c r="W1792" s="21" t="s">
        <v>23</v>
      </c>
      <c r="X1792" s="21"/>
      <c r="Y1792" s="23" t="s">
        <v>23</v>
      </c>
      <c r="Z1792" s="21"/>
      <c r="AA1792" s="21" t="s">
        <v>702</v>
      </c>
      <c r="AB1792" s="21"/>
      <c r="AC1792" s="21"/>
      <c r="AD1792" s="21"/>
      <c r="AE1792" s="39"/>
      <c r="AF1792" s="39" t="s">
        <v>2042</v>
      </c>
      <c r="AG1792" s="21"/>
      <c r="AJ1792" s="27"/>
      <c r="AK1792" s="27"/>
      <c r="AL1792" s="27"/>
      <c r="AM1792" s="27"/>
      <c r="AN1792" s="27"/>
      <c r="AO1792" s="27"/>
      <c r="AP1792" s="27"/>
      <c r="AQ1792" s="27"/>
      <c r="AR1792" s="27"/>
      <c r="AS1792" s="27"/>
      <c r="AT1792" s="27"/>
      <c r="AW1792" s="27"/>
      <c r="AX1792" s="27"/>
      <c r="AY1792" s="27"/>
      <c r="AZ1792" s="27"/>
      <c r="BA1792" s="27"/>
      <c r="BB1792" s="27"/>
      <c r="BC1792" s="27"/>
      <c r="BD1792" s="27"/>
      <c r="BE1792" s="27"/>
      <c r="BF1792" s="27"/>
      <c r="BG1792" s="27"/>
      <c r="BJ1792" s="27"/>
      <c r="BK1792" s="27"/>
      <c r="BL1792" s="27"/>
      <c r="BM1792" s="27"/>
      <c r="BN1792" s="27"/>
      <c r="BO1792" s="27"/>
      <c r="BP1792" s="27"/>
      <c r="BQ1792" s="27"/>
      <c r="BR1792" s="27"/>
      <c r="BS1792" s="27"/>
      <c r="BT1792" s="27"/>
      <c r="BW1792" s="27"/>
      <c r="BX1792" s="27"/>
      <c r="BY1792" s="27"/>
      <c r="BZ1792" s="27"/>
      <c r="CA1792" s="27"/>
      <c r="CB1792" s="27"/>
      <c r="CC1792" s="27"/>
      <c r="CD1792" s="27"/>
      <c r="CE1792" s="27"/>
      <c r="CF1792" s="27"/>
      <c r="CG1792" s="27"/>
      <c r="CI1792" s="70" t="s">
        <v>659</v>
      </c>
      <c r="CJ1792" s="27"/>
      <c r="CK1792" s="23" t="s">
        <v>181</v>
      </c>
      <c r="CR1792" s="36">
        <f t="shared" si="144"/>
        <v>0</v>
      </c>
      <c r="CS1792" s="36">
        <f t="shared" si="145"/>
        <v>0</v>
      </c>
      <c r="CT1792" s="69">
        <f t="shared" si="146"/>
        <v>0</v>
      </c>
      <c r="CU1792" s="69">
        <f t="shared" si="147"/>
        <v>0</v>
      </c>
      <c r="CV1792" s="69">
        <f t="shared" si="148"/>
        <v>0</v>
      </c>
      <c r="CW1792" s="69">
        <f t="shared" si="149"/>
        <v>0</v>
      </c>
      <c r="CX1792" s="69">
        <f t="shared" si="150"/>
        <v>0</v>
      </c>
      <c r="CY1792" s="69">
        <f t="shared" si="151"/>
        <v>0</v>
      </c>
      <c r="CZ1792" s="69">
        <f t="shared" si="152"/>
        <v>0</v>
      </c>
      <c r="DA1792" s="69">
        <f t="shared" si="153"/>
        <v>0</v>
      </c>
      <c r="DB1792" s="69">
        <f t="shared" si="154"/>
        <v>0</v>
      </c>
      <c r="DC1792" s="27"/>
    </row>
    <row r="1793" spans="1:107" s="25" customFormat="1" x14ac:dyDescent="0.2">
      <c r="A1793" s="29">
        <v>6004</v>
      </c>
      <c r="B1793" s="29" t="s">
        <v>22</v>
      </c>
      <c r="C1793" s="29">
        <f t="shared" si="110"/>
        <v>60040002</v>
      </c>
      <c r="D1793" s="25" t="s">
        <v>4399</v>
      </c>
      <c r="E1793" s="67" t="s">
        <v>658</v>
      </c>
      <c r="F1793" s="67"/>
      <c r="G1793" s="67"/>
      <c r="H1793" s="67"/>
      <c r="I1793" s="21" t="s">
        <v>661</v>
      </c>
      <c r="J1793" s="21"/>
      <c r="K1793" s="21"/>
      <c r="L1793" s="21"/>
      <c r="M1793" s="21"/>
      <c r="N1793" s="21" t="s">
        <v>656</v>
      </c>
      <c r="O1793" s="21" t="s">
        <v>656</v>
      </c>
      <c r="P1793" s="21"/>
      <c r="Q1793" s="21" t="s">
        <v>2041</v>
      </c>
      <c r="R1793" s="21"/>
      <c r="S1793" s="21"/>
      <c r="T1793" s="21" t="s">
        <v>3264</v>
      </c>
      <c r="U1793" s="118" t="s">
        <v>3265</v>
      </c>
      <c r="V1793" s="21" t="s">
        <v>4493</v>
      </c>
      <c r="W1793" s="21" t="s">
        <v>1</v>
      </c>
      <c r="X1793" s="21"/>
      <c r="Y1793" s="23" t="s">
        <v>23</v>
      </c>
      <c r="Z1793" s="21"/>
      <c r="AA1793" s="21" t="s">
        <v>702</v>
      </c>
      <c r="AB1793" s="21"/>
      <c r="AC1793" s="21"/>
      <c r="AD1793" s="21"/>
      <c r="AE1793" s="39"/>
      <c r="AF1793" s="39" t="s">
        <v>2042</v>
      </c>
      <c r="AG1793" s="21"/>
      <c r="AJ1793" s="27"/>
      <c r="AK1793" s="27"/>
      <c r="AL1793" s="27"/>
      <c r="AM1793" s="27"/>
      <c r="AN1793" s="27"/>
      <c r="AO1793" s="27"/>
      <c r="AP1793" s="27"/>
      <c r="AQ1793" s="27"/>
      <c r="AR1793" s="27"/>
      <c r="AS1793" s="27"/>
      <c r="AT1793" s="27"/>
      <c r="AW1793" s="27"/>
      <c r="AX1793" s="27"/>
      <c r="AY1793" s="27"/>
      <c r="AZ1793" s="27"/>
      <c r="BA1793" s="27"/>
      <c r="BB1793" s="27"/>
      <c r="BC1793" s="27"/>
      <c r="BD1793" s="27"/>
      <c r="BE1793" s="27"/>
      <c r="BF1793" s="27"/>
      <c r="BG1793" s="27"/>
      <c r="BJ1793" s="27"/>
      <c r="BK1793" s="27"/>
      <c r="BL1793" s="27"/>
      <c r="BM1793" s="27"/>
      <c r="BN1793" s="27"/>
      <c r="BO1793" s="27"/>
      <c r="BP1793" s="27"/>
      <c r="BQ1793" s="27"/>
      <c r="BR1793" s="27"/>
      <c r="BS1793" s="27"/>
      <c r="BT1793" s="27"/>
      <c r="BW1793" s="27"/>
      <c r="BX1793" s="27"/>
      <c r="BY1793" s="27"/>
      <c r="BZ1793" s="27"/>
      <c r="CA1793" s="27"/>
      <c r="CB1793" s="27"/>
      <c r="CC1793" s="27"/>
      <c r="CD1793" s="27"/>
      <c r="CE1793" s="27"/>
      <c r="CF1793" s="27"/>
      <c r="CG1793" s="27"/>
      <c r="CI1793" s="70" t="s">
        <v>659</v>
      </c>
      <c r="CJ1793" s="27"/>
      <c r="CK1793" s="23" t="s">
        <v>181</v>
      </c>
      <c r="CR1793" s="36">
        <f t="shared" si="144"/>
        <v>0</v>
      </c>
      <c r="CS1793" s="36">
        <f t="shared" si="145"/>
        <v>0</v>
      </c>
      <c r="CT1793" s="69">
        <f t="shared" si="146"/>
        <v>0</v>
      </c>
      <c r="CU1793" s="69">
        <f t="shared" si="147"/>
        <v>0</v>
      </c>
      <c r="CV1793" s="69">
        <f t="shared" si="148"/>
        <v>0</v>
      </c>
      <c r="CW1793" s="69">
        <f t="shared" si="149"/>
        <v>0</v>
      </c>
      <c r="CX1793" s="69">
        <f t="shared" si="150"/>
        <v>0</v>
      </c>
      <c r="CY1793" s="69">
        <f t="shared" si="151"/>
        <v>0</v>
      </c>
      <c r="CZ1793" s="69">
        <f t="shared" si="152"/>
        <v>0</v>
      </c>
      <c r="DA1793" s="69">
        <f t="shared" si="153"/>
        <v>0</v>
      </c>
      <c r="DB1793" s="69">
        <f t="shared" si="154"/>
        <v>0</v>
      </c>
      <c r="DC1793" s="27"/>
    </row>
    <row r="1794" spans="1:107" s="25" customFormat="1" x14ac:dyDescent="0.2">
      <c r="A1794" s="29">
        <v>6004</v>
      </c>
      <c r="B1794" s="29" t="s">
        <v>122</v>
      </c>
      <c r="C1794" s="29">
        <f t="shared" si="110"/>
        <v>60040003</v>
      </c>
      <c r="D1794" s="25" t="s">
        <v>4400</v>
      </c>
      <c r="E1794" s="67" t="s">
        <v>658</v>
      </c>
      <c r="F1794" s="67"/>
      <c r="G1794" s="67"/>
      <c r="H1794" s="67"/>
      <c r="I1794" s="21" t="s">
        <v>661</v>
      </c>
      <c r="J1794" s="21"/>
      <c r="K1794" s="21"/>
      <c r="L1794" s="21"/>
      <c r="M1794" s="21"/>
      <c r="N1794" s="21" t="s">
        <v>656</v>
      </c>
      <c r="O1794" s="21" t="s">
        <v>656</v>
      </c>
      <c r="P1794" s="21"/>
      <c r="Q1794" s="21" t="s">
        <v>2041</v>
      </c>
      <c r="R1794" s="21"/>
      <c r="S1794" s="21"/>
      <c r="T1794" s="21" t="s">
        <v>3264</v>
      </c>
      <c r="U1794" s="118" t="s">
        <v>3265</v>
      </c>
      <c r="V1794" s="21" t="s">
        <v>4493</v>
      </c>
      <c r="W1794" s="21" t="s">
        <v>1</v>
      </c>
      <c r="X1794" s="21"/>
      <c r="Y1794" s="23" t="s">
        <v>23</v>
      </c>
      <c r="Z1794" s="21"/>
      <c r="AA1794" s="21" t="s">
        <v>702</v>
      </c>
      <c r="AB1794" s="21"/>
      <c r="AC1794" s="21"/>
      <c r="AD1794" s="21"/>
      <c r="AE1794" s="39"/>
      <c r="AF1794" s="39" t="s">
        <v>2042</v>
      </c>
      <c r="AG1794" s="21"/>
      <c r="AJ1794" s="27"/>
      <c r="AK1794" s="27"/>
      <c r="AL1794" s="27"/>
      <c r="AM1794" s="27"/>
      <c r="AN1794" s="27"/>
      <c r="AO1794" s="27"/>
      <c r="AP1794" s="27"/>
      <c r="AQ1794" s="27"/>
      <c r="AR1794" s="27"/>
      <c r="AS1794" s="27"/>
      <c r="AT1794" s="27"/>
      <c r="AW1794" s="27"/>
      <c r="AX1794" s="27"/>
      <c r="AY1794" s="27"/>
      <c r="AZ1794" s="27"/>
      <c r="BA1794" s="27"/>
      <c r="BB1794" s="27"/>
      <c r="BC1794" s="27"/>
      <c r="BD1794" s="27"/>
      <c r="BE1794" s="27"/>
      <c r="BF1794" s="27"/>
      <c r="BG1794" s="27"/>
      <c r="BJ1794" s="27"/>
      <c r="BK1794" s="27"/>
      <c r="BL1794" s="27"/>
      <c r="BM1794" s="27"/>
      <c r="BN1794" s="27"/>
      <c r="BO1794" s="27"/>
      <c r="BP1794" s="27"/>
      <c r="BQ1794" s="27"/>
      <c r="BR1794" s="27"/>
      <c r="BS1794" s="27"/>
      <c r="BT1794" s="27"/>
      <c r="BW1794" s="27"/>
      <c r="BX1794" s="27"/>
      <c r="BY1794" s="27"/>
      <c r="BZ1794" s="27"/>
      <c r="CA1794" s="27"/>
      <c r="CB1794" s="27"/>
      <c r="CC1794" s="27"/>
      <c r="CD1794" s="27"/>
      <c r="CE1794" s="27"/>
      <c r="CF1794" s="27"/>
      <c r="CG1794" s="27"/>
      <c r="CI1794" s="70" t="s">
        <v>659</v>
      </c>
      <c r="CJ1794" s="27"/>
      <c r="CK1794" s="23" t="s">
        <v>181</v>
      </c>
      <c r="CR1794" s="36">
        <f t="shared" si="144"/>
        <v>0</v>
      </c>
      <c r="CS1794" s="36">
        <f t="shared" si="145"/>
        <v>0</v>
      </c>
      <c r="CT1794" s="69">
        <f t="shared" si="146"/>
        <v>0</v>
      </c>
      <c r="CU1794" s="69">
        <f t="shared" si="147"/>
        <v>0</v>
      </c>
      <c r="CV1794" s="69">
        <f t="shared" si="148"/>
        <v>0</v>
      </c>
      <c r="CW1794" s="69">
        <f t="shared" si="149"/>
        <v>0</v>
      </c>
      <c r="CX1794" s="69">
        <f t="shared" si="150"/>
        <v>0</v>
      </c>
      <c r="CY1794" s="69">
        <f t="shared" si="151"/>
        <v>0</v>
      </c>
      <c r="CZ1794" s="69">
        <f t="shared" si="152"/>
        <v>0</v>
      </c>
      <c r="DA1794" s="69">
        <f t="shared" si="153"/>
        <v>0</v>
      </c>
      <c r="DB1794" s="69">
        <f t="shared" si="154"/>
        <v>0</v>
      </c>
      <c r="DC1794" s="27"/>
    </row>
    <row r="1795" spans="1:107" s="25" customFormat="1" x14ac:dyDescent="0.2">
      <c r="A1795" s="29">
        <v>6004</v>
      </c>
      <c r="B1795" s="29" t="s">
        <v>23</v>
      </c>
      <c r="C1795" s="29">
        <f t="shared" si="110"/>
        <v>60040004</v>
      </c>
      <c r="D1795" s="25" t="s">
        <v>4401</v>
      </c>
      <c r="E1795" s="67" t="s">
        <v>658</v>
      </c>
      <c r="F1795" s="67"/>
      <c r="G1795" s="67"/>
      <c r="H1795" s="67"/>
      <c r="I1795" s="21" t="s">
        <v>661</v>
      </c>
      <c r="J1795" s="21"/>
      <c r="K1795" s="21"/>
      <c r="L1795" s="21"/>
      <c r="M1795" s="21"/>
      <c r="N1795" s="21" t="s">
        <v>656</v>
      </c>
      <c r="O1795" s="21" t="s">
        <v>656</v>
      </c>
      <c r="P1795" s="21"/>
      <c r="Q1795" s="21" t="s">
        <v>2041</v>
      </c>
      <c r="R1795" s="21"/>
      <c r="S1795" s="21"/>
      <c r="T1795" s="21" t="s">
        <v>3264</v>
      </c>
      <c r="U1795" s="118" t="s">
        <v>3265</v>
      </c>
      <c r="V1795" s="21" t="s">
        <v>4493</v>
      </c>
      <c r="W1795" s="21" t="s">
        <v>1</v>
      </c>
      <c r="X1795" s="21"/>
      <c r="Y1795" s="23" t="s">
        <v>23</v>
      </c>
      <c r="Z1795" s="21"/>
      <c r="AA1795" s="21" t="s">
        <v>702</v>
      </c>
      <c r="AB1795" s="21"/>
      <c r="AC1795" s="21"/>
      <c r="AD1795" s="21"/>
      <c r="AE1795" s="39"/>
      <c r="AF1795" s="39" t="s">
        <v>2042</v>
      </c>
      <c r="AG1795" s="21"/>
      <c r="AJ1795" s="27"/>
      <c r="AK1795" s="27"/>
      <c r="AL1795" s="27"/>
      <c r="AM1795" s="27"/>
      <c r="AN1795" s="27"/>
      <c r="AO1795" s="27"/>
      <c r="AP1795" s="27"/>
      <c r="AQ1795" s="27"/>
      <c r="AR1795" s="27"/>
      <c r="AS1795" s="27"/>
      <c r="AT1795" s="27"/>
      <c r="AW1795" s="27"/>
      <c r="AX1795" s="27"/>
      <c r="AY1795" s="27"/>
      <c r="AZ1795" s="27"/>
      <c r="BA1795" s="27"/>
      <c r="BB1795" s="27"/>
      <c r="BC1795" s="27"/>
      <c r="BD1795" s="27"/>
      <c r="BE1795" s="27"/>
      <c r="BF1795" s="27"/>
      <c r="BG1795" s="27"/>
      <c r="BJ1795" s="27"/>
      <c r="BK1795" s="27"/>
      <c r="BL1795" s="27"/>
      <c r="BM1795" s="27"/>
      <c r="BN1795" s="27"/>
      <c r="BO1795" s="27"/>
      <c r="BP1795" s="27"/>
      <c r="BQ1795" s="27"/>
      <c r="BR1795" s="27"/>
      <c r="BS1795" s="27"/>
      <c r="BT1795" s="27"/>
      <c r="BW1795" s="27"/>
      <c r="BX1795" s="27"/>
      <c r="BY1795" s="27"/>
      <c r="BZ1795" s="27"/>
      <c r="CA1795" s="27"/>
      <c r="CB1795" s="27"/>
      <c r="CC1795" s="27"/>
      <c r="CD1795" s="27"/>
      <c r="CE1795" s="27"/>
      <c r="CF1795" s="27"/>
      <c r="CG1795" s="27"/>
      <c r="CI1795" s="70" t="s">
        <v>659</v>
      </c>
      <c r="CJ1795" s="27"/>
      <c r="CK1795" s="23" t="s">
        <v>181</v>
      </c>
      <c r="CR1795" s="36">
        <f t="shared" si="144"/>
        <v>0</v>
      </c>
      <c r="CS1795" s="36">
        <f t="shared" si="145"/>
        <v>0</v>
      </c>
      <c r="CT1795" s="69">
        <f t="shared" si="146"/>
        <v>0</v>
      </c>
      <c r="CU1795" s="69">
        <f t="shared" si="147"/>
        <v>0</v>
      </c>
      <c r="CV1795" s="69">
        <f t="shared" si="148"/>
        <v>0</v>
      </c>
      <c r="CW1795" s="69">
        <f t="shared" si="149"/>
        <v>0</v>
      </c>
      <c r="CX1795" s="69">
        <f t="shared" si="150"/>
        <v>0</v>
      </c>
      <c r="CY1795" s="69">
        <f t="shared" si="151"/>
        <v>0</v>
      </c>
      <c r="CZ1795" s="69">
        <f t="shared" si="152"/>
        <v>0</v>
      </c>
      <c r="DA1795" s="69">
        <f t="shared" si="153"/>
        <v>0</v>
      </c>
      <c r="DB1795" s="69">
        <f t="shared" si="154"/>
        <v>0</v>
      </c>
      <c r="DC1795" s="27"/>
    </row>
    <row r="1796" spans="1:107" s="25" customFormat="1" x14ac:dyDescent="0.2">
      <c r="A1796" s="29">
        <v>6004</v>
      </c>
      <c r="B1796" s="29" t="s">
        <v>123</v>
      </c>
      <c r="C1796" s="29">
        <f t="shared" si="110"/>
        <v>60040005</v>
      </c>
      <c r="D1796" s="25" t="s">
        <v>4402</v>
      </c>
      <c r="E1796" s="67" t="s">
        <v>658</v>
      </c>
      <c r="F1796" s="67"/>
      <c r="G1796" s="67"/>
      <c r="H1796" s="67"/>
      <c r="I1796" s="21" t="s">
        <v>661</v>
      </c>
      <c r="J1796" s="21"/>
      <c r="K1796" s="21"/>
      <c r="L1796" s="21"/>
      <c r="M1796" s="21"/>
      <c r="N1796" s="21" t="s">
        <v>656</v>
      </c>
      <c r="O1796" s="21" t="s">
        <v>656</v>
      </c>
      <c r="P1796" s="21"/>
      <c r="Q1796" s="21" t="s">
        <v>2041</v>
      </c>
      <c r="R1796" s="21"/>
      <c r="S1796" s="21"/>
      <c r="T1796" s="21" t="s">
        <v>3264</v>
      </c>
      <c r="U1796" s="118" t="s">
        <v>3265</v>
      </c>
      <c r="V1796" s="21" t="s">
        <v>4493</v>
      </c>
      <c r="W1796" s="21" t="s">
        <v>1</v>
      </c>
      <c r="X1796" s="21"/>
      <c r="Y1796" s="23" t="s">
        <v>23</v>
      </c>
      <c r="Z1796" s="21"/>
      <c r="AA1796" s="21" t="s">
        <v>702</v>
      </c>
      <c r="AB1796" s="21"/>
      <c r="AC1796" s="21"/>
      <c r="AD1796" s="21"/>
      <c r="AE1796" s="39"/>
      <c r="AF1796" s="39" t="s">
        <v>2042</v>
      </c>
      <c r="AG1796" s="21"/>
      <c r="AJ1796" s="27"/>
      <c r="AK1796" s="27"/>
      <c r="AL1796" s="27"/>
      <c r="AM1796" s="27"/>
      <c r="AN1796" s="27"/>
      <c r="AO1796" s="27"/>
      <c r="AP1796" s="27"/>
      <c r="AQ1796" s="27"/>
      <c r="AR1796" s="27"/>
      <c r="AS1796" s="27"/>
      <c r="AT1796" s="27"/>
      <c r="AW1796" s="27"/>
      <c r="AX1796" s="27"/>
      <c r="AY1796" s="27"/>
      <c r="AZ1796" s="27"/>
      <c r="BA1796" s="27"/>
      <c r="BB1796" s="27"/>
      <c r="BC1796" s="27"/>
      <c r="BD1796" s="27"/>
      <c r="BE1796" s="27"/>
      <c r="BF1796" s="27"/>
      <c r="BG1796" s="27"/>
      <c r="BJ1796" s="27"/>
      <c r="BK1796" s="27"/>
      <c r="BL1796" s="27"/>
      <c r="BM1796" s="27"/>
      <c r="BN1796" s="27"/>
      <c r="BO1796" s="27"/>
      <c r="BP1796" s="27"/>
      <c r="BQ1796" s="27"/>
      <c r="BR1796" s="27"/>
      <c r="BS1796" s="27"/>
      <c r="BT1796" s="27"/>
      <c r="BW1796" s="27"/>
      <c r="BX1796" s="27"/>
      <c r="BY1796" s="27"/>
      <c r="BZ1796" s="27"/>
      <c r="CA1796" s="27"/>
      <c r="CB1796" s="27"/>
      <c r="CC1796" s="27"/>
      <c r="CD1796" s="27"/>
      <c r="CE1796" s="27"/>
      <c r="CF1796" s="27"/>
      <c r="CG1796" s="27"/>
      <c r="CI1796" s="70" t="s">
        <v>659</v>
      </c>
      <c r="CJ1796" s="27"/>
      <c r="CK1796" s="23" t="s">
        <v>181</v>
      </c>
      <c r="CR1796" s="36">
        <f t="shared" si="144"/>
        <v>0</v>
      </c>
      <c r="CS1796" s="36">
        <f t="shared" si="145"/>
        <v>0</v>
      </c>
      <c r="CT1796" s="69">
        <f t="shared" si="146"/>
        <v>0</v>
      </c>
      <c r="CU1796" s="69">
        <f t="shared" si="147"/>
        <v>0</v>
      </c>
      <c r="CV1796" s="69">
        <f t="shared" si="148"/>
        <v>0</v>
      </c>
      <c r="CW1796" s="69">
        <f t="shared" si="149"/>
        <v>0</v>
      </c>
      <c r="CX1796" s="69">
        <f t="shared" si="150"/>
        <v>0</v>
      </c>
      <c r="CY1796" s="69">
        <f t="shared" si="151"/>
        <v>0</v>
      </c>
      <c r="CZ1796" s="69">
        <f t="shared" si="152"/>
        <v>0</v>
      </c>
      <c r="DA1796" s="69">
        <f t="shared" si="153"/>
        <v>0</v>
      </c>
      <c r="DB1796" s="69">
        <f t="shared" si="154"/>
        <v>0</v>
      </c>
      <c r="DC1796" s="27"/>
    </row>
    <row r="1797" spans="1:107" s="25" customFormat="1" x14ac:dyDescent="0.2">
      <c r="A1797" s="29">
        <v>6005</v>
      </c>
      <c r="B1797" s="29" t="s">
        <v>181</v>
      </c>
      <c r="C1797" s="29">
        <f t="shared" si="110"/>
        <v>60050001</v>
      </c>
      <c r="D1797" s="25" t="s">
        <v>4403</v>
      </c>
      <c r="E1797" s="67" t="s">
        <v>658</v>
      </c>
      <c r="F1797" s="67"/>
      <c r="G1797" s="67"/>
      <c r="H1797" s="67"/>
      <c r="I1797" s="21" t="s">
        <v>661</v>
      </c>
      <c r="J1797" s="21"/>
      <c r="K1797" s="21"/>
      <c r="L1797" s="21"/>
      <c r="M1797" s="21"/>
      <c r="N1797" s="21" t="s">
        <v>656</v>
      </c>
      <c r="O1797" s="21" t="s">
        <v>656</v>
      </c>
      <c r="P1797" s="21"/>
      <c r="Q1797" s="21" t="s">
        <v>2041</v>
      </c>
      <c r="R1797" s="21"/>
      <c r="S1797" s="21"/>
      <c r="T1797" s="21" t="s">
        <v>3264</v>
      </c>
      <c r="U1797" s="118" t="s">
        <v>3265</v>
      </c>
      <c r="V1797" s="21" t="s">
        <v>4494</v>
      </c>
      <c r="W1797" s="21" t="s">
        <v>23</v>
      </c>
      <c r="X1797" s="21"/>
      <c r="Y1797" s="23" t="s">
        <v>23</v>
      </c>
      <c r="Z1797" s="21"/>
      <c r="AA1797" s="21" t="s">
        <v>702</v>
      </c>
      <c r="AB1797" s="21"/>
      <c r="AC1797" s="21"/>
      <c r="AD1797" s="21"/>
      <c r="AE1797" s="39"/>
      <c r="AF1797" s="39" t="s">
        <v>2042</v>
      </c>
      <c r="AG1797" s="21"/>
      <c r="AJ1797" s="27"/>
      <c r="AK1797" s="27"/>
      <c r="AL1797" s="27"/>
      <c r="AM1797" s="27"/>
      <c r="AN1797" s="27"/>
      <c r="AO1797" s="27"/>
      <c r="AP1797" s="27"/>
      <c r="AQ1797" s="27"/>
      <c r="AR1797" s="27"/>
      <c r="AS1797" s="27"/>
      <c r="AT1797" s="27"/>
      <c r="AW1797" s="27"/>
      <c r="AX1797" s="27"/>
      <c r="AY1797" s="27"/>
      <c r="AZ1797" s="27"/>
      <c r="BA1797" s="27"/>
      <c r="BB1797" s="27"/>
      <c r="BC1797" s="27"/>
      <c r="BD1797" s="27"/>
      <c r="BE1797" s="27"/>
      <c r="BF1797" s="27"/>
      <c r="BG1797" s="27"/>
      <c r="BJ1797" s="27"/>
      <c r="BK1797" s="27"/>
      <c r="BL1797" s="27"/>
      <c r="BM1797" s="27"/>
      <c r="BN1797" s="27"/>
      <c r="BO1797" s="27"/>
      <c r="BP1797" s="27"/>
      <c r="BQ1797" s="27"/>
      <c r="BR1797" s="27"/>
      <c r="BS1797" s="27"/>
      <c r="BT1797" s="27"/>
      <c r="BW1797" s="27"/>
      <c r="BX1797" s="27"/>
      <c r="BY1797" s="27"/>
      <c r="BZ1797" s="27"/>
      <c r="CA1797" s="27"/>
      <c r="CB1797" s="27"/>
      <c r="CC1797" s="27"/>
      <c r="CD1797" s="27"/>
      <c r="CE1797" s="27"/>
      <c r="CF1797" s="27"/>
      <c r="CG1797" s="27"/>
      <c r="CI1797" s="70" t="s">
        <v>659</v>
      </c>
      <c r="CJ1797" s="27"/>
      <c r="CK1797" s="23" t="s">
        <v>181</v>
      </c>
      <c r="CR1797" s="36">
        <f t="shared" si="144"/>
        <v>0</v>
      </c>
      <c r="CS1797" s="36">
        <f t="shared" si="145"/>
        <v>0</v>
      </c>
      <c r="CT1797" s="69">
        <f t="shared" si="146"/>
        <v>0</v>
      </c>
      <c r="CU1797" s="69">
        <f t="shared" si="147"/>
        <v>0</v>
      </c>
      <c r="CV1797" s="69">
        <f t="shared" si="148"/>
        <v>0</v>
      </c>
      <c r="CW1797" s="69">
        <f t="shared" si="149"/>
        <v>0</v>
      </c>
      <c r="CX1797" s="69">
        <f t="shared" si="150"/>
        <v>0</v>
      </c>
      <c r="CY1797" s="69">
        <f t="shared" si="151"/>
        <v>0</v>
      </c>
      <c r="CZ1797" s="69">
        <f t="shared" si="152"/>
        <v>0</v>
      </c>
      <c r="DA1797" s="69">
        <f t="shared" si="153"/>
        <v>0</v>
      </c>
      <c r="DB1797" s="69">
        <f t="shared" si="154"/>
        <v>0</v>
      </c>
      <c r="DC1797" s="27"/>
    </row>
    <row r="1798" spans="1:107" s="25" customFormat="1" x14ac:dyDescent="0.2">
      <c r="A1798" s="29">
        <v>6005</v>
      </c>
      <c r="B1798" s="29" t="s">
        <v>22</v>
      </c>
      <c r="C1798" s="29">
        <f t="shared" si="110"/>
        <v>60050002</v>
      </c>
      <c r="D1798" s="25" t="s">
        <v>4404</v>
      </c>
      <c r="E1798" s="67" t="s">
        <v>658</v>
      </c>
      <c r="F1798" s="67"/>
      <c r="G1798" s="67"/>
      <c r="H1798" s="67"/>
      <c r="I1798" s="21" t="s">
        <v>661</v>
      </c>
      <c r="J1798" s="21"/>
      <c r="K1798" s="21"/>
      <c r="L1798" s="21"/>
      <c r="M1798" s="21"/>
      <c r="N1798" s="21" t="s">
        <v>656</v>
      </c>
      <c r="O1798" s="21" t="s">
        <v>656</v>
      </c>
      <c r="P1798" s="21"/>
      <c r="Q1798" s="21" t="s">
        <v>2041</v>
      </c>
      <c r="R1798" s="21"/>
      <c r="S1798" s="21"/>
      <c r="T1798" s="21" t="s">
        <v>3264</v>
      </c>
      <c r="U1798" s="118" t="s">
        <v>3265</v>
      </c>
      <c r="V1798" s="21" t="s">
        <v>4494</v>
      </c>
      <c r="W1798" s="21" t="s">
        <v>1</v>
      </c>
      <c r="X1798" s="21"/>
      <c r="Y1798" s="23" t="s">
        <v>23</v>
      </c>
      <c r="Z1798" s="21"/>
      <c r="AA1798" s="21" t="s">
        <v>702</v>
      </c>
      <c r="AB1798" s="21"/>
      <c r="AC1798" s="21"/>
      <c r="AD1798" s="21"/>
      <c r="AE1798" s="39"/>
      <c r="AF1798" s="39" t="s">
        <v>2042</v>
      </c>
      <c r="AG1798" s="21"/>
      <c r="AJ1798" s="27"/>
      <c r="AK1798" s="27"/>
      <c r="AL1798" s="27"/>
      <c r="AM1798" s="27"/>
      <c r="AN1798" s="27"/>
      <c r="AO1798" s="27"/>
      <c r="AP1798" s="27"/>
      <c r="AQ1798" s="27"/>
      <c r="AR1798" s="27"/>
      <c r="AS1798" s="27"/>
      <c r="AT1798" s="27"/>
      <c r="AW1798" s="27"/>
      <c r="AX1798" s="27"/>
      <c r="AY1798" s="27"/>
      <c r="AZ1798" s="27"/>
      <c r="BA1798" s="27"/>
      <c r="BB1798" s="27"/>
      <c r="BC1798" s="27"/>
      <c r="BD1798" s="27"/>
      <c r="BE1798" s="27"/>
      <c r="BF1798" s="27"/>
      <c r="BG1798" s="27"/>
      <c r="BJ1798" s="27"/>
      <c r="BK1798" s="27"/>
      <c r="BL1798" s="27"/>
      <c r="BM1798" s="27"/>
      <c r="BN1798" s="27"/>
      <c r="BO1798" s="27"/>
      <c r="BP1798" s="27"/>
      <c r="BQ1798" s="27"/>
      <c r="BR1798" s="27"/>
      <c r="BS1798" s="27"/>
      <c r="BT1798" s="27"/>
      <c r="BW1798" s="27"/>
      <c r="BX1798" s="27"/>
      <c r="BY1798" s="27"/>
      <c r="BZ1798" s="27"/>
      <c r="CA1798" s="27"/>
      <c r="CB1798" s="27"/>
      <c r="CC1798" s="27"/>
      <c r="CD1798" s="27"/>
      <c r="CE1798" s="27"/>
      <c r="CF1798" s="27"/>
      <c r="CG1798" s="27"/>
      <c r="CI1798" s="70" t="s">
        <v>659</v>
      </c>
      <c r="CJ1798" s="27"/>
      <c r="CK1798" s="23" t="s">
        <v>181</v>
      </c>
      <c r="CR1798" s="36">
        <f t="shared" si="144"/>
        <v>0</v>
      </c>
      <c r="CS1798" s="36">
        <f t="shared" si="145"/>
        <v>0</v>
      </c>
      <c r="CT1798" s="69">
        <f t="shared" si="146"/>
        <v>0</v>
      </c>
      <c r="CU1798" s="69">
        <f t="shared" si="147"/>
        <v>0</v>
      </c>
      <c r="CV1798" s="69">
        <f t="shared" si="148"/>
        <v>0</v>
      </c>
      <c r="CW1798" s="69">
        <f t="shared" si="149"/>
        <v>0</v>
      </c>
      <c r="CX1798" s="69">
        <f t="shared" si="150"/>
        <v>0</v>
      </c>
      <c r="CY1798" s="69">
        <f t="shared" si="151"/>
        <v>0</v>
      </c>
      <c r="CZ1798" s="69">
        <f t="shared" si="152"/>
        <v>0</v>
      </c>
      <c r="DA1798" s="69">
        <f t="shared" si="153"/>
        <v>0</v>
      </c>
      <c r="DB1798" s="69">
        <f t="shared" si="154"/>
        <v>0</v>
      </c>
      <c r="DC1798" s="27"/>
    </row>
    <row r="1799" spans="1:107" s="25" customFormat="1" x14ac:dyDescent="0.2">
      <c r="A1799" s="29">
        <v>6005</v>
      </c>
      <c r="B1799" s="29" t="s">
        <v>122</v>
      </c>
      <c r="C1799" s="29">
        <f t="shared" si="110"/>
        <v>60050003</v>
      </c>
      <c r="D1799" s="25" t="s">
        <v>4405</v>
      </c>
      <c r="E1799" s="67" t="s">
        <v>658</v>
      </c>
      <c r="F1799" s="67"/>
      <c r="G1799" s="67"/>
      <c r="H1799" s="67"/>
      <c r="I1799" s="21" t="s">
        <v>661</v>
      </c>
      <c r="J1799" s="21"/>
      <c r="K1799" s="21"/>
      <c r="L1799" s="21"/>
      <c r="M1799" s="21"/>
      <c r="N1799" s="21" t="s">
        <v>656</v>
      </c>
      <c r="O1799" s="21" t="s">
        <v>656</v>
      </c>
      <c r="P1799" s="21"/>
      <c r="Q1799" s="21" t="s">
        <v>2041</v>
      </c>
      <c r="R1799" s="21"/>
      <c r="S1799" s="21"/>
      <c r="T1799" s="21" t="s">
        <v>3264</v>
      </c>
      <c r="U1799" s="118" t="s">
        <v>3265</v>
      </c>
      <c r="V1799" s="21" t="s">
        <v>4494</v>
      </c>
      <c r="W1799" s="21" t="s">
        <v>1</v>
      </c>
      <c r="X1799" s="21"/>
      <c r="Y1799" s="23" t="s">
        <v>23</v>
      </c>
      <c r="Z1799" s="21"/>
      <c r="AA1799" s="21" t="s">
        <v>702</v>
      </c>
      <c r="AB1799" s="21"/>
      <c r="AC1799" s="21"/>
      <c r="AD1799" s="21"/>
      <c r="AE1799" s="39"/>
      <c r="AF1799" s="39" t="s">
        <v>2042</v>
      </c>
      <c r="AG1799" s="21"/>
      <c r="AJ1799" s="27"/>
      <c r="AK1799" s="27"/>
      <c r="AL1799" s="27"/>
      <c r="AM1799" s="27"/>
      <c r="AN1799" s="27"/>
      <c r="AO1799" s="27"/>
      <c r="AP1799" s="27"/>
      <c r="AQ1799" s="27"/>
      <c r="AR1799" s="27"/>
      <c r="AS1799" s="27"/>
      <c r="AT1799" s="27"/>
      <c r="AW1799" s="27"/>
      <c r="AX1799" s="27"/>
      <c r="AY1799" s="27"/>
      <c r="AZ1799" s="27"/>
      <c r="BA1799" s="27"/>
      <c r="BB1799" s="27"/>
      <c r="BC1799" s="27"/>
      <c r="BD1799" s="27"/>
      <c r="BE1799" s="27"/>
      <c r="BF1799" s="27"/>
      <c r="BG1799" s="27"/>
      <c r="BJ1799" s="27"/>
      <c r="BK1799" s="27"/>
      <c r="BL1799" s="27"/>
      <c r="BM1799" s="27"/>
      <c r="BN1799" s="27"/>
      <c r="BO1799" s="27"/>
      <c r="BP1799" s="27"/>
      <c r="BQ1799" s="27"/>
      <c r="BR1799" s="27"/>
      <c r="BS1799" s="27"/>
      <c r="BT1799" s="27"/>
      <c r="BW1799" s="27"/>
      <c r="BX1799" s="27"/>
      <c r="BY1799" s="27"/>
      <c r="BZ1799" s="27"/>
      <c r="CA1799" s="27"/>
      <c r="CB1799" s="27"/>
      <c r="CC1799" s="27"/>
      <c r="CD1799" s="27"/>
      <c r="CE1799" s="27"/>
      <c r="CF1799" s="27"/>
      <c r="CG1799" s="27"/>
      <c r="CI1799" s="70" t="s">
        <v>659</v>
      </c>
      <c r="CJ1799" s="27"/>
      <c r="CK1799" s="23" t="s">
        <v>181</v>
      </c>
      <c r="CR1799" s="36">
        <f t="shared" si="144"/>
        <v>0</v>
      </c>
      <c r="CS1799" s="36">
        <f t="shared" si="145"/>
        <v>0</v>
      </c>
      <c r="CT1799" s="69">
        <f t="shared" si="146"/>
        <v>0</v>
      </c>
      <c r="CU1799" s="69">
        <f t="shared" si="147"/>
        <v>0</v>
      </c>
      <c r="CV1799" s="69">
        <f t="shared" si="148"/>
        <v>0</v>
      </c>
      <c r="CW1799" s="69">
        <f t="shared" si="149"/>
        <v>0</v>
      </c>
      <c r="CX1799" s="69">
        <f t="shared" si="150"/>
        <v>0</v>
      </c>
      <c r="CY1799" s="69">
        <f t="shared" si="151"/>
        <v>0</v>
      </c>
      <c r="CZ1799" s="69">
        <f t="shared" si="152"/>
        <v>0</v>
      </c>
      <c r="DA1799" s="69">
        <f t="shared" si="153"/>
        <v>0</v>
      </c>
      <c r="DB1799" s="69">
        <f t="shared" si="154"/>
        <v>0</v>
      </c>
      <c r="DC1799" s="27"/>
    </row>
    <row r="1800" spans="1:107" s="25" customFormat="1" x14ac:dyDescent="0.2">
      <c r="A1800" s="29">
        <v>6005</v>
      </c>
      <c r="B1800" s="29" t="s">
        <v>23</v>
      </c>
      <c r="C1800" s="29">
        <f t="shared" si="110"/>
        <v>60050004</v>
      </c>
      <c r="D1800" s="25" t="s">
        <v>4406</v>
      </c>
      <c r="E1800" s="67" t="s">
        <v>658</v>
      </c>
      <c r="F1800" s="67"/>
      <c r="G1800" s="67"/>
      <c r="H1800" s="67"/>
      <c r="I1800" s="21" t="s">
        <v>661</v>
      </c>
      <c r="J1800" s="21"/>
      <c r="K1800" s="21"/>
      <c r="L1800" s="21"/>
      <c r="M1800" s="21"/>
      <c r="N1800" s="21" t="s">
        <v>656</v>
      </c>
      <c r="O1800" s="21" t="s">
        <v>656</v>
      </c>
      <c r="P1800" s="21"/>
      <c r="Q1800" s="21" t="s">
        <v>2041</v>
      </c>
      <c r="R1800" s="21"/>
      <c r="S1800" s="21"/>
      <c r="T1800" s="21" t="s">
        <v>3264</v>
      </c>
      <c r="U1800" s="118" t="s">
        <v>3265</v>
      </c>
      <c r="V1800" s="21" t="s">
        <v>4494</v>
      </c>
      <c r="W1800" s="21" t="s">
        <v>1</v>
      </c>
      <c r="X1800" s="21"/>
      <c r="Y1800" s="23" t="s">
        <v>23</v>
      </c>
      <c r="Z1800" s="21"/>
      <c r="AA1800" s="21" t="s">
        <v>702</v>
      </c>
      <c r="AB1800" s="21"/>
      <c r="AC1800" s="21"/>
      <c r="AD1800" s="21"/>
      <c r="AE1800" s="39"/>
      <c r="AF1800" s="39" t="s">
        <v>2042</v>
      </c>
      <c r="AG1800" s="21"/>
      <c r="AJ1800" s="27"/>
      <c r="AK1800" s="27"/>
      <c r="AL1800" s="27"/>
      <c r="AM1800" s="27"/>
      <c r="AN1800" s="27"/>
      <c r="AO1800" s="27"/>
      <c r="AP1800" s="27"/>
      <c r="AQ1800" s="27"/>
      <c r="AR1800" s="27"/>
      <c r="AS1800" s="27"/>
      <c r="AT1800" s="27"/>
      <c r="AW1800" s="27"/>
      <c r="AX1800" s="27"/>
      <c r="AY1800" s="27"/>
      <c r="AZ1800" s="27"/>
      <c r="BA1800" s="27"/>
      <c r="BB1800" s="27"/>
      <c r="BC1800" s="27"/>
      <c r="BD1800" s="27"/>
      <c r="BE1800" s="27"/>
      <c r="BF1800" s="27"/>
      <c r="BG1800" s="27"/>
      <c r="BJ1800" s="27"/>
      <c r="BK1800" s="27"/>
      <c r="BL1800" s="27"/>
      <c r="BM1800" s="27"/>
      <c r="BN1800" s="27"/>
      <c r="BO1800" s="27"/>
      <c r="BP1800" s="27"/>
      <c r="BQ1800" s="27"/>
      <c r="BR1800" s="27"/>
      <c r="BS1800" s="27"/>
      <c r="BT1800" s="27"/>
      <c r="BW1800" s="27"/>
      <c r="BX1800" s="27"/>
      <c r="BY1800" s="27"/>
      <c r="BZ1800" s="27"/>
      <c r="CA1800" s="27"/>
      <c r="CB1800" s="27"/>
      <c r="CC1800" s="27"/>
      <c r="CD1800" s="27"/>
      <c r="CE1800" s="27"/>
      <c r="CF1800" s="27"/>
      <c r="CG1800" s="27"/>
      <c r="CI1800" s="70" t="s">
        <v>659</v>
      </c>
      <c r="CJ1800" s="27"/>
      <c r="CK1800" s="23" t="s">
        <v>181</v>
      </c>
      <c r="CR1800" s="36">
        <f t="shared" si="144"/>
        <v>0</v>
      </c>
      <c r="CS1800" s="36">
        <f t="shared" si="145"/>
        <v>0</v>
      </c>
      <c r="CT1800" s="69">
        <f t="shared" si="146"/>
        <v>0</v>
      </c>
      <c r="CU1800" s="69">
        <f t="shared" si="147"/>
        <v>0</v>
      </c>
      <c r="CV1800" s="69">
        <f t="shared" si="148"/>
        <v>0</v>
      </c>
      <c r="CW1800" s="69">
        <f t="shared" si="149"/>
        <v>0</v>
      </c>
      <c r="CX1800" s="69">
        <f t="shared" si="150"/>
        <v>0</v>
      </c>
      <c r="CY1800" s="69">
        <f t="shared" si="151"/>
        <v>0</v>
      </c>
      <c r="CZ1800" s="69">
        <f t="shared" si="152"/>
        <v>0</v>
      </c>
      <c r="DA1800" s="69">
        <f t="shared" si="153"/>
        <v>0</v>
      </c>
      <c r="DB1800" s="69">
        <f t="shared" si="154"/>
        <v>0</v>
      </c>
      <c r="DC1800" s="27"/>
    </row>
    <row r="1801" spans="1:107" s="25" customFormat="1" x14ac:dyDescent="0.2">
      <c r="A1801" s="29">
        <v>6005</v>
      </c>
      <c r="B1801" s="29" t="s">
        <v>123</v>
      </c>
      <c r="C1801" s="29">
        <f t="shared" si="110"/>
        <v>60050005</v>
      </c>
      <c r="D1801" s="25" t="s">
        <v>4407</v>
      </c>
      <c r="E1801" s="67" t="s">
        <v>658</v>
      </c>
      <c r="F1801" s="67"/>
      <c r="G1801" s="67"/>
      <c r="H1801" s="67"/>
      <c r="I1801" s="21" t="s">
        <v>661</v>
      </c>
      <c r="J1801" s="21"/>
      <c r="K1801" s="21"/>
      <c r="L1801" s="21"/>
      <c r="M1801" s="21"/>
      <c r="N1801" s="21" t="s">
        <v>656</v>
      </c>
      <c r="O1801" s="21" t="s">
        <v>656</v>
      </c>
      <c r="P1801" s="21"/>
      <c r="Q1801" s="21" t="s">
        <v>2041</v>
      </c>
      <c r="R1801" s="21"/>
      <c r="S1801" s="21"/>
      <c r="T1801" s="21" t="s">
        <v>3264</v>
      </c>
      <c r="U1801" s="118" t="s">
        <v>3265</v>
      </c>
      <c r="V1801" s="21" t="s">
        <v>4494</v>
      </c>
      <c r="W1801" s="21" t="s">
        <v>1</v>
      </c>
      <c r="X1801" s="21"/>
      <c r="Y1801" s="23" t="s">
        <v>23</v>
      </c>
      <c r="Z1801" s="21"/>
      <c r="AA1801" s="21" t="s">
        <v>702</v>
      </c>
      <c r="AB1801" s="21"/>
      <c r="AC1801" s="21"/>
      <c r="AD1801" s="21"/>
      <c r="AE1801" s="39"/>
      <c r="AF1801" s="39" t="s">
        <v>2042</v>
      </c>
      <c r="AG1801" s="21"/>
      <c r="AJ1801" s="27"/>
      <c r="AK1801" s="27"/>
      <c r="AL1801" s="27"/>
      <c r="AM1801" s="27"/>
      <c r="AN1801" s="27"/>
      <c r="AO1801" s="27"/>
      <c r="AP1801" s="27"/>
      <c r="AQ1801" s="27"/>
      <c r="AR1801" s="27"/>
      <c r="AS1801" s="27"/>
      <c r="AT1801" s="27"/>
      <c r="AW1801" s="27"/>
      <c r="AX1801" s="27"/>
      <c r="AY1801" s="27"/>
      <c r="AZ1801" s="27"/>
      <c r="BA1801" s="27"/>
      <c r="BB1801" s="27"/>
      <c r="BC1801" s="27"/>
      <c r="BD1801" s="27"/>
      <c r="BE1801" s="27"/>
      <c r="BF1801" s="27"/>
      <c r="BG1801" s="27"/>
      <c r="BJ1801" s="27"/>
      <c r="BK1801" s="27"/>
      <c r="BL1801" s="27"/>
      <c r="BM1801" s="27"/>
      <c r="BN1801" s="27"/>
      <c r="BO1801" s="27"/>
      <c r="BP1801" s="27"/>
      <c r="BQ1801" s="27"/>
      <c r="BR1801" s="27"/>
      <c r="BS1801" s="27"/>
      <c r="BT1801" s="27"/>
      <c r="BW1801" s="27"/>
      <c r="BX1801" s="27"/>
      <c r="BY1801" s="27"/>
      <c r="BZ1801" s="27"/>
      <c r="CA1801" s="27"/>
      <c r="CB1801" s="27"/>
      <c r="CC1801" s="27"/>
      <c r="CD1801" s="27"/>
      <c r="CE1801" s="27"/>
      <c r="CF1801" s="27"/>
      <c r="CG1801" s="27"/>
      <c r="CI1801" s="70" t="s">
        <v>659</v>
      </c>
      <c r="CJ1801" s="27"/>
      <c r="CK1801" s="23" t="s">
        <v>181</v>
      </c>
      <c r="CR1801" s="36">
        <f t="shared" si="144"/>
        <v>0</v>
      </c>
      <c r="CS1801" s="36">
        <f t="shared" si="145"/>
        <v>0</v>
      </c>
      <c r="CT1801" s="69">
        <f t="shared" si="146"/>
        <v>0</v>
      </c>
      <c r="CU1801" s="69">
        <f t="shared" si="147"/>
        <v>0</v>
      </c>
      <c r="CV1801" s="69">
        <f t="shared" si="148"/>
        <v>0</v>
      </c>
      <c r="CW1801" s="69">
        <f t="shared" si="149"/>
        <v>0</v>
      </c>
      <c r="CX1801" s="69">
        <f t="shared" si="150"/>
        <v>0</v>
      </c>
      <c r="CY1801" s="69">
        <f t="shared" si="151"/>
        <v>0</v>
      </c>
      <c r="CZ1801" s="69">
        <f t="shared" si="152"/>
        <v>0</v>
      </c>
      <c r="DA1801" s="69">
        <f t="shared" si="153"/>
        <v>0</v>
      </c>
      <c r="DB1801" s="69">
        <f t="shared" si="154"/>
        <v>0</v>
      </c>
      <c r="DC1801" s="27"/>
    </row>
    <row r="1802" spans="1:107" s="25" customFormat="1" x14ac:dyDescent="0.2">
      <c r="A1802" s="29">
        <v>6006</v>
      </c>
      <c r="B1802" s="29" t="s">
        <v>181</v>
      </c>
      <c r="C1802" s="29">
        <f t="shared" si="110"/>
        <v>60060001</v>
      </c>
      <c r="D1802" s="25" t="s">
        <v>4408</v>
      </c>
      <c r="E1802" s="67" t="s">
        <v>658</v>
      </c>
      <c r="F1802" s="67"/>
      <c r="G1802" s="67"/>
      <c r="H1802" s="67"/>
      <c r="I1802" s="21" t="s">
        <v>661</v>
      </c>
      <c r="J1802" s="21"/>
      <c r="K1802" s="21"/>
      <c r="L1802" s="21"/>
      <c r="M1802" s="21"/>
      <c r="N1802" s="21" t="s">
        <v>656</v>
      </c>
      <c r="O1802" s="21" t="s">
        <v>656</v>
      </c>
      <c r="P1802" s="21"/>
      <c r="Q1802" s="21" t="s">
        <v>2041</v>
      </c>
      <c r="R1802" s="21"/>
      <c r="S1802" s="21"/>
      <c r="T1802" s="21" t="s">
        <v>3264</v>
      </c>
      <c r="U1802" s="118" t="s">
        <v>3265</v>
      </c>
      <c r="V1802" s="21" t="s">
        <v>4495</v>
      </c>
      <c r="W1802" s="21" t="s">
        <v>23</v>
      </c>
      <c r="X1802" s="21"/>
      <c r="Y1802" s="23" t="s">
        <v>23</v>
      </c>
      <c r="Z1802" s="21"/>
      <c r="AA1802" s="21" t="s">
        <v>702</v>
      </c>
      <c r="AB1802" s="21"/>
      <c r="AC1802" s="21"/>
      <c r="AD1802" s="21"/>
      <c r="AE1802" s="39"/>
      <c r="AF1802" s="39" t="s">
        <v>2042</v>
      </c>
      <c r="AG1802" s="21"/>
      <c r="AJ1802" s="27"/>
      <c r="AK1802" s="27"/>
      <c r="AL1802" s="27"/>
      <c r="AM1802" s="27"/>
      <c r="AN1802" s="27"/>
      <c r="AO1802" s="27"/>
      <c r="AP1802" s="27"/>
      <c r="AQ1802" s="27"/>
      <c r="AR1802" s="27"/>
      <c r="AS1802" s="27"/>
      <c r="AT1802" s="27"/>
      <c r="AW1802" s="27"/>
      <c r="AX1802" s="27"/>
      <c r="AY1802" s="27"/>
      <c r="AZ1802" s="27"/>
      <c r="BA1802" s="27"/>
      <c r="BB1802" s="27"/>
      <c r="BC1802" s="27"/>
      <c r="BD1802" s="27"/>
      <c r="BE1802" s="27"/>
      <c r="BF1802" s="27"/>
      <c r="BG1802" s="27"/>
      <c r="BJ1802" s="27"/>
      <c r="BK1802" s="27"/>
      <c r="BL1802" s="27"/>
      <c r="BM1802" s="27"/>
      <c r="BN1802" s="27"/>
      <c r="BO1802" s="27"/>
      <c r="BP1802" s="27"/>
      <c r="BQ1802" s="27"/>
      <c r="BR1802" s="27"/>
      <c r="BS1802" s="27"/>
      <c r="BT1802" s="27"/>
      <c r="BW1802" s="27"/>
      <c r="BX1802" s="27"/>
      <c r="BY1802" s="27"/>
      <c r="BZ1802" s="27"/>
      <c r="CA1802" s="27"/>
      <c r="CB1802" s="27"/>
      <c r="CC1802" s="27"/>
      <c r="CD1802" s="27"/>
      <c r="CE1802" s="27"/>
      <c r="CF1802" s="27"/>
      <c r="CG1802" s="27"/>
      <c r="CI1802" s="70" t="s">
        <v>659</v>
      </c>
      <c r="CJ1802" s="27"/>
      <c r="CK1802" s="23" t="s">
        <v>181</v>
      </c>
      <c r="CR1802" s="36">
        <f t="shared" si="144"/>
        <v>0</v>
      </c>
      <c r="CS1802" s="36">
        <f t="shared" si="145"/>
        <v>0</v>
      </c>
      <c r="CT1802" s="69">
        <f t="shared" si="146"/>
        <v>0</v>
      </c>
      <c r="CU1802" s="69">
        <f t="shared" si="147"/>
        <v>0</v>
      </c>
      <c r="CV1802" s="69">
        <f t="shared" si="148"/>
        <v>0</v>
      </c>
      <c r="CW1802" s="69">
        <f t="shared" si="149"/>
        <v>0</v>
      </c>
      <c r="CX1802" s="69">
        <f t="shared" si="150"/>
        <v>0</v>
      </c>
      <c r="CY1802" s="69">
        <f t="shared" si="151"/>
        <v>0</v>
      </c>
      <c r="CZ1802" s="69">
        <f t="shared" si="152"/>
        <v>0</v>
      </c>
      <c r="DA1802" s="69">
        <f t="shared" si="153"/>
        <v>0</v>
      </c>
      <c r="DB1802" s="69">
        <f t="shared" si="154"/>
        <v>0</v>
      </c>
      <c r="DC1802" s="27"/>
    </row>
    <row r="1803" spans="1:107" s="25" customFormat="1" x14ac:dyDescent="0.2">
      <c r="A1803" s="29">
        <v>6006</v>
      </c>
      <c r="B1803" s="29" t="s">
        <v>22</v>
      </c>
      <c r="C1803" s="29">
        <f t="shared" si="110"/>
        <v>60060002</v>
      </c>
      <c r="D1803" s="25" t="s">
        <v>4409</v>
      </c>
      <c r="E1803" s="67" t="s">
        <v>658</v>
      </c>
      <c r="F1803" s="67"/>
      <c r="G1803" s="67"/>
      <c r="H1803" s="67"/>
      <c r="I1803" s="21" t="s">
        <v>661</v>
      </c>
      <c r="J1803" s="21"/>
      <c r="K1803" s="21"/>
      <c r="L1803" s="21"/>
      <c r="M1803" s="21"/>
      <c r="N1803" s="21" t="s">
        <v>656</v>
      </c>
      <c r="O1803" s="21" t="s">
        <v>656</v>
      </c>
      <c r="P1803" s="21"/>
      <c r="Q1803" s="21" t="s">
        <v>2041</v>
      </c>
      <c r="R1803" s="21"/>
      <c r="S1803" s="21"/>
      <c r="T1803" s="21" t="s">
        <v>3264</v>
      </c>
      <c r="U1803" s="118" t="s">
        <v>3265</v>
      </c>
      <c r="V1803" s="21" t="s">
        <v>4495</v>
      </c>
      <c r="W1803" s="21" t="s">
        <v>1</v>
      </c>
      <c r="X1803" s="21"/>
      <c r="Y1803" s="23" t="s">
        <v>23</v>
      </c>
      <c r="Z1803" s="21"/>
      <c r="AA1803" s="21" t="s">
        <v>702</v>
      </c>
      <c r="AB1803" s="21"/>
      <c r="AC1803" s="21"/>
      <c r="AD1803" s="21"/>
      <c r="AE1803" s="39"/>
      <c r="AF1803" s="39" t="s">
        <v>2042</v>
      </c>
      <c r="AG1803" s="21"/>
      <c r="AJ1803" s="27"/>
      <c r="AK1803" s="27"/>
      <c r="AL1803" s="27"/>
      <c r="AM1803" s="27"/>
      <c r="AN1803" s="27"/>
      <c r="AO1803" s="27"/>
      <c r="AP1803" s="27"/>
      <c r="AQ1803" s="27"/>
      <c r="AR1803" s="27"/>
      <c r="AS1803" s="27"/>
      <c r="AT1803" s="27"/>
      <c r="AW1803" s="27"/>
      <c r="AX1803" s="27"/>
      <c r="AY1803" s="27"/>
      <c r="AZ1803" s="27"/>
      <c r="BA1803" s="27"/>
      <c r="BB1803" s="27"/>
      <c r="BC1803" s="27"/>
      <c r="BD1803" s="27"/>
      <c r="BE1803" s="27"/>
      <c r="BF1803" s="27"/>
      <c r="BG1803" s="27"/>
      <c r="BJ1803" s="27"/>
      <c r="BK1803" s="27"/>
      <c r="BL1803" s="27"/>
      <c r="BM1803" s="27"/>
      <c r="BN1803" s="27"/>
      <c r="BO1803" s="27"/>
      <c r="BP1803" s="27"/>
      <c r="BQ1803" s="27"/>
      <c r="BR1803" s="27"/>
      <c r="BS1803" s="27"/>
      <c r="BT1803" s="27"/>
      <c r="BW1803" s="27"/>
      <c r="BX1803" s="27"/>
      <c r="BY1803" s="27"/>
      <c r="BZ1803" s="27"/>
      <c r="CA1803" s="27"/>
      <c r="CB1803" s="27"/>
      <c r="CC1803" s="27"/>
      <c r="CD1803" s="27"/>
      <c r="CE1803" s="27"/>
      <c r="CF1803" s="27"/>
      <c r="CG1803" s="27"/>
      <c r="CI1803" s="70" t="s">
        <v>659</v>
      </c>
      <c r="CJ1803" s="27"/>
      <c r="CK1803" s="23" t="s">
        <v>181</v>
      </c>
      <c r="CR1803" s="36">
        <f t="shared" si="144"/>
        <v>0</v>
      </c>
      <c r="CS1803" s="36">
        <f t="shared" si="145"/>
        <v>0</v>
      </c>
      <c r="CT1803" s="69">
        <f t="shared" si="146"/>
        <v>0</v>
      </c>
      <c r="CU1803" s="69">
        <f t="shared" si="147"/>
        <v>0</v>
      </c>
      <c r="CV1803" s="69">
        <f t="shared" si="148"/>
        <v>0</v>
      </c>
      <c r="CW1803" s="69">
        <f t="shared" si="149"/>
        <v>0</v>
      </c>
      <c r="CX1803" s="69">
        <f t="shared" si="150"/>
        <v>0</v>
      </c>
      <c r="CY1803" s="69">
        <f t="shared" si="151"/>
        <v>0</v>
      </c>
      <c r="CZ1803" s="69">
        <f t="shared" si="152"/>
        <v>0</v>
      </c>
      <c r="DA1803" s="69">
        <f t="shared" si="153"/>
        <v>0</v>
      </c>
      <c r="DB1803" s="69">
        <f t="shared" si="154"/>
        <v>0</v>
      </c>
      <c r="DC1803" s="27"/>
    </row>
    <row r="1804" spans="1:107" s="25" customFormat="1" x14ac:dyDescent="0.2">
      <c r="A1804" s="29">
        <v>6006</v>
      </c>
      <c r="B1804" s="29" t="s">
        <v>122</v>
      </c>
      <c r="C1804" s="29">
        <f t="shared" si="110"/>
        <v>60060003</v>
      </c>
      <c r="D1804" s="25" t="s">
        <v>4410</v>
      </c>
      <c r="E1804" s="67" t="s">
        <v>658</v>
      </c>
      <c r="F1804" s="67"/>
      <c r="G1804" s="67"/>
      <c r="H1804" s="67"/>
      <c r="I1804" s="21" t="s">
        <v>661</v>
      </c>
      <c r="J1804" s="21"/>
      <c r="K1804" s="21"/>
      <c r="L1804" s="21"/>
      <c r="M1804" s="21"/>
      <c r="N1804" s="21" t="s">
        <v>656</v>
      </c>
      <c r="O1804" s="21" t="s">
        <v>656</v>
      </c>
      <c r="P1804" s="21"/>
      <c r="Q1804" s="21" t="s">
        <v>2041</v>
      </c>
      <c r="R1804" s="21"/>
      <c r="S1804" s="21"/>
      <c r="T1804" s="21" t="s">
        <v>3264</v>
      </c>
      <c r="U1804" s="118" t="s">
        <v>3265</v>
      </c>
      <c r="V1804" s="21" t="s">
        <v>4495</v>
      </c>
      <c r="W1804" s="21" t="s">
        <v>1</v>
      </c>
      <c r="X1804" s="21"/>
      <c r="Y1804" s="23" t="s">
        <v>23</v>
      </c>
      <c r="Z1804" s="21"/>
      <c r="AA1804" s="21" t="s">
        <v>702</v>
      </c>
      <c r="AB1804" s="21"/>
      <c r="AC1804" s="21"/>
      <c r="AD1804" s="21"/>
      <c r="AE1804" s="39"/>
      <c r="AF1804" s="39" t="s">
        <v>2042</v>
      </c>
      <c r="AG1804" s="21"/>
      <c r="AJ1804" s="27"/>
      <c r="AK1804" s="27"/>
      <c r="AL1804" s="27"/>
      <c r="AM1804" s="27"/>
      <c r="AN1804" s="27"/>
      <c r="AO1804" s="27"/>
      <c r="AP1804" s="27"/>
      <c r="AQ1804" s="27"/>
      <c r="AR1804" s="27"/>
      <c r="AS1804" s="27"/>
      <c r="AT1804" s="27"/>
      <c r="AW1804" s="27"/>
      <c r="AX1804" s="27"/>
      <c r="AY1804" s="27"/>
      <c r="AZ1804" s="27"/>
      <c r="BA1804" s="27"/>
      <c r="BB1804" s="27"/>
      <c r="BC1804" s="27"/>
      <c r="BD1804" s="27"/>
      <c r="BE1804" s="27"/>
      <c r="BF1804" s="27"/>
      <c r="BG1804" s="27"/>
      <c r="BJ1804" s="27"/>
      <c r="BK1804" s="27"/>
      <c r="BL1804" s="27"/>
      <c r="BM1804" s="27"/>
      <c r="BN1804" s="27"/>
      <c r="BO1804" s="27"/>
      <c r="BP1804" s="27"/>
      <c r="BQ1804" s="27"/>
      <c r="BR1804" s="27"/>
      <c r="BS1804" s="27"/>
      <c r="BT1804" s="27"/>
      <c r="BW1804" s="27"/>
      <c r="BX1804" s="27"/>
      <c r="BY1804" s="27"/>
      <c r="BZ1804" s="27"/>
      <c r="CA1804" s="27"/>
      <c r="CB1804" s="27"/>
      <c r="CC1804" s="27"/>
      <c r="CD1804" s="27"/>
      <c r="CE1804" s="27"/>
      <c r="CF1804" s="27"/>
      <c r="CG1804" s="27"/>
      <c r="CI1804" s="70" t="s">
        <v>659</v>
      </c>
      <c r="CJ1804" s="27"/>
      <c r="CK1804" s="23" t="s">
        <v>181</v>
      </c>
      <c r="CR1804" s="36">
        <f t="shared" si="144"/>
        <v>0</v>
      </c>
      <c r="CS1804" s="36">
        <f t="shared" si="145"/>
        <v>0</v>
      </c>
      <c r="CT1804" s="69">
        <f t="shared" si="146"/>
        <v>0</v>
      </c>
      <c r="CU1804" s="69">
        <f t="shared" si="147"/>
        <v>0</v>
      </c>
      <c r="CV1804" s="69">
        <f t="shared" si="148"/>
        <v>0</v>
      </c>
      <c r="CW1804" s="69">
        <f t="shared" si="149"/>
        <v>0</v>
      </c>
      <c r="CX1804" s="69">
        <f t="shared" si="150"/>
        <v>0</v>
      </c>
      <c r="CY1804" s="69">
        <f t="shared" si="151"/>
        <v>0</v>
      </c>
      <c r="CZ1804" s="69">
        <f t="shared" si="152"/>
        <v>0</v>
      </c>
      <c r="DA1804" s="69">
        <f t="shared" si="153"/>
        <v>0</v>
      </c>
      <c r="DB1804" s="69">
        <f t="shared" si="154"/>
        <v>0</v>
      </c>
      <c r="DC1804" s="27"/>
    </row>
    <row r="1805" spans="1:107" s="25" customFormat="1" x14ac:dyDescent="0.2">
      <c r="A1805" s="29">
        <v>6006</v>
      </c>
      <c r="B1805" s="29" t="s">
        <v>23</v>
      </c>
      <c r="C1805" s="29">
        <f t="shared" si="110"/>
        <v>60060004</v>
      </c>
      <c r="D1805" s="25" t="s">
        <v>4411</v>
      </c>
      <c r="E1805" s="67" t="s">
        <v>658</v>
      </c>
      <c r="F1805" s="67"/>
      <c r="G1805" s="67"/>
      <c r="H1805" s="67"/>
      <c r="I1805" s="21" t="s">
        <v>661</v>
      </c>
      <c r="J1805" s="21"/>
      <c r="K1805" s="21"/>
      <c r="L1805" s="21"/>
      <c r="M1805" s="21"/>
      <c r="N1805" s="21" t="s">
        <v>656</v>
      </c>
      <c r="O1805" s="21" t="s">
        <v>656</v>
      </c>
      <c r="P1805" s="21"/>
      <c r="Q1805" s="21" t="s">
        <v>2041</v>
      </c>
      <c r="R1805" s="21"/>
      <c r="S1805" s="21"/>
      <c r="T1805" s="21" t="s">
        <v>3264</v>
      </c>
      <c r="U1805" s="118" t="s">
        <v>3265</v>
      </c>
      <c r="V1805" s="21" t="s">
        <v>4495</v>
      </c>
      <c r="W1805" s="21" t="s">
        <v>1</v>
      </c>
      <c r="X1805" s="21"/>
      <c r="Y1805" s="23" t="s">
        <v>23</v>
      </c>
      <c r="Z1805" s="21"/>
      <c r="AA1805" s="21" t="s">
        <v>702</v>
      </c>
      <c r="AB1805" s="21"/>
      <c r="AC1805" s="21"/>
      <c r="AD1805" s="21"/>
      <c r="AE1805" s="39"/>
      <c r="AF1805" s="39" t="s">
        <v>2042</v>
      </c>
      <c r="AG1805" s="21"/>
      <c r="AJ1805" s="27"/>
      <c r="AK1805" s="27"/>
      <c r="AL1805" s="27"/>
      <c r="AM1805" s="27"/>
      <c r="AN1805" s="27"/>
      <c r="AO1805" s="27"/>
      <c r="AP1805" s="27"/>
      <c r="AQ1805" s="27"/>
      <c r="AR1805" s="27"/>
      <c r="AS1805" s="27"/>
      <c r="AT1805" s="27"/>
      <c r="AW1805" s="27"/>
      <c r="AX1805" s="27"/>
      <c r="AY1805" s="27"/>
      <c r="AZ1805" s="27"/>
      <c r="BA1805" s="27"/>
      <c r="BB1805" s="27"/>
      <c r="BC1805" s="27"/>
      <c r="BD1805" s="27"/>
      <c r="BE1805" s="27"/>
      <c r="BF1805" s="27"/>
      <c r="BG1805" s="27"/>
      <c r="BJ1805" s="27"/>
      <c r="BK1805" s="27"/>
      <c r="BL1805" s="27"/>
      <c r="BM1805" s="27"/>
      <c r="BN1805" s="27"/>
      <c r="BO1805" s="27"/>
      <c r="BP1805" s="27"/>
      <c r="BQ1805" s="27"/>
      <c r="BR1805" s="27"/>
      <c r="BS1805" s="27"/>
      <c r="BT1805" s="27"/>
      <c r="BW1805" s="27"/>
      <c r="BX1805" s="27"/>
      <c r="BY1805" s="27"/>
      <c r="BZ1805" s="27"/>
      <c r="CA1805" s="27"/>
      <c r="CB1805" s="27"/>
      <c r="CC1805" s="27"/>
      <c r="CD1805" s="27"/>
      <c r="CE1805" s="27"/>
      <c r="CF1805" s="27"/>
      <c r="CG1805" s="27"/>
      <c r="CI1805" s="70" t="s">
        <v>659</v>
      </c>
      <c r="CJ1805" s="27"/>
      <c r="CK1805" s="23" t="s">
        <v>181</v>
      </c>
      <c r="CR1805" s="36">
        <f t="shared" si="144"/>
        <v>0</v>
      </c>
      <c r="CS1805" s="36">
        <f t="shared" si="145"/>
        <v>0</v>
      </c>
      <c r="CT1805" s="69">
        <f t="shared" si="146"/>
        <v>0</v>
      </c>
      <c r="CU1805" s="69">
        <f t="shared" si="147"/>
        <v>0</v>
      </c>
      <c r="CV1805" s="69">
        <f t="shared" si="148"/>
        <v>0</v>
      </c>
      <c r="CW1805" s="69">
        <f t="shared" si="149"/>
        <v>0</v>
      </c>
      <c r="CX1805" s="69">
        <f t="shared" si="150"/>
        <v>0</v>
      </c>
      <c r="CY1805" s="69">
        <f t="shared" si="151"/>
        <v>0</v>
      </c>
      <c r="CZ1805" s="69">
        <f t="shared" si="152"/>
        <v>0</v>
      </c>
      <c r="DA1805" s="69">
        <f t="shared" si="153"/>
        <v>0</v>
      </c>
      <c r="DB1805" s="69">
        <f t="shared" si="154"/>
        <v>0</v>
      </c>
      <c r="DC1805" s="27"/>
    </row>
    <row r="1806" spans="1:107" s="25" customFormat="1" x14ac:dyDescent="0.2">
      <c r="A1806" s="29">
        <v>6006</v>
      </c>
      <c r="B1806" s="29" t="s">
        <v>123</v>
      </c>
      <c r="C1806" s="29">
        <f t="shared" si="110"/>
        <v>60060005</v>
      </c>
      <c r="D1806" s="25" t="s">
        <v>4412</v>
      </c>
      <c r="E1806" s="67" t="s">
        <v>658</v>
      </c>
      <c r="F1806" s="67"/>
      <c r="G1806" s="67"/>
      <c r="H1806" s="67"/>
      <c r="I1806" s="21" t="s">
        <v>661</v>
      </c>
      <c r="J1806" s="21"/>
      <c r="K1806" s="21"/>
      <c r="L1806" s="21"/>
      <c r="M1806" s="21"/>
      <c r="N1806" s="21" t="s">
        <v>656</v>
      </c>
      <c r="O1806" s="21" t="s">
        <v>656</v>
      </c>
      <c r="P1806" s="21"/>
      <c r="Q1806" s="21" t="s">
        <v>2041</v>
      </c>
      <c r="R1806" s="21"/>
      <c r="S1806" s="21"/>
      <c r="T1806" s="21" t="s">
        <v>3264</v>
      </c>
      <c r="U1806" s="118" t="s">
        <v>3265</v>
      </c>
      <c r="V1806" s="21" t="s">
        <v>4495</v>
      </c>
      <c r="W1806" s="21" t="s">
        <v>1</v>
      </c>
      <c r="X1806" s="21"/>
      <c r="Y1806" s="23" t="s">
        <v>23</v>
      </c>
      <c r="Z1806" s="21"/>
      <c r="AA1806" s="21" t="s">
        <v>702</v>
      </c>
      <c r="AB1806" s="21"/>
      <c r="AC1806" s="21"/>
      <c r="AD1806" s="21"/>
      <c r="AE1806" s="39"/>
      <c r="AF1806" s="39" t="s">
        <v>2042</v>
      </c>
      <c r="AG1806" s="21"/>
      <c r="AJ1806" s="27"/>
      <c r="AK1806" s="27"/>
      <c r="AL1806" s="27"/>
      <c r="AM1806" s="27"/>
      <c r="AN1806" s="27"/>
      <c r="AO1806" s="27"/>
      <c r="AP1806" s="27"/>
      <c r="AQ1806" s="27"/>
      <c r="AR1806" s="27"/>
      <c r="AS1806" s="27"/>
      <c r="AT1806" s="27"/>
      <c r="AW1806" s="27"/>
      <c r="AX1806" s="27"/>
      <c r="AY1806" s="27"/>
      <c r="AZ1806" s="27"/>
      <c r="BA1806" s="27"/>
      <c r="BB1806" s="27"/>
      <c r="BC1806" s="27"/>
      <c r="BD1806" s="27"/>
      <c r="BE1806" s="27"/>
      <c r="BF1806" s="27"/>
      <c r="BG1806" s="27"/>
      <c r="BJ1806" s="27"/>
      <c r="BK1806" s="27"/>
      <c r="BL1806" s="27"/>
      <c r="BM1806" s="27"/>
      <c r="BN1806" s="27"/>
      <c r="BO1806" s="27"/>
      <c r="BP1806" s="27"/>
      <c r="BQ1806" s="27"/>
      <c r="BR1806" s="27"/>
      <c r="BS1806" s="27"/>
      <c r="BT1806" s="27"/>
      <c r="BW1806" s="27"/>
      <c r="BX1806" s="27"/>
      <c r="BY1806" s="27"/>
      <c r="BZ1806" s="27"/>
      <c r="CA1806" s="27"/>
      <c r="CB1806" s="27"/>
      <c r="CC1806" s="27"/>
      <c r="CD1806" s="27"/>
      <c r="CE1806" s="27"/>
      <c r="CF1806" s="27"/>
      <c r="CG1806" s="27"/>
      <c r="CI1806" s="70" t="s">
        <v>659</v>
      </c>
      <c r="CJ1806" s="27"/>
      <c r="CK1806" s="23" t="s">
        <v>181</v>
      </c>
      <c r="CR1806" s="36">
        <f t="shared" si="144"/>
        <v>0</v>
      </c>
      <c r="CS1806" s="36">
        <f t="shared" si="145"/>
        <v>0</v>
      </c>
      <c r="CT1806" s="69">
        <f t="shared" si="146"/>
        <v>0</v>
      </c>
      <c r="CU1806" s="69">
        <f t="shared" si="147"/>
        <v>0</v>
      </c>
      <c r="CV1806" s="69">
        <f t="shared" si="148"/>
        <v>0</v>
      </c>
      <c r="CW1806" s="69">
        <f t="shared" si="149"/>
        <v>0</v>
      </c>
      <c r="CX1806" s="69">
        <f t="shared" si="150"/>
        <v>0</v>
      </c>
      <c r="CY1806" s="69">
        <f t="shared" si="151"/>
        <v>0</v>
      </c>
      <c r="CZ1806" s="69">
        <f t="shared" si="152"/>
        <v>0</v>
      </c>
      <c r="DA1806" s="69">
        <f t="shared" si="153"/>
        <v>0</v>
      </c>
      <c r="DB1806" s="69">
        <f t="shared" si="154"/>
        <v>0</v>
      </c>
      <c r="DC1806" s="27"/>
    </row>
    <row r="1807" spans="1:107" s="25" customFormat="1" x14ac:dyDescent="0.2">
      <c r="A1807" s="29">
        <v>6007</v>
      </c>
      <c r="B1807" s="29" t="s">
        <v>181</v>
      </c>
      <c r="C1807" s="29">
        <f t="shared" si="110"/>
        <v>60070001</v>
      </c>
      <c r="D1807" s="25" t="s">
        <v>4413</v>
      </c>
      <c r="E1807" s="67" t="s">
        <v>658</v>
      </c>
      <c r="F1807" s="67"/>
      <c r="G1807" s="67"/>
      <c r="H1807" s="67"/>
      <c r="I1807" s="21" t="s">
        <v>661</v>
      </c>
      <c r="J1807" s="21"/>
      <c r="K1807" s="21"/>
      <c r="L1807" s="21"/>
      <c r="M1807" s="21"/>
      <c r="N1807" s="21" t="s">
        <v>656</v>
      </c>
      <c r="O1807" s="21" t="s">
        <v>656</v>
      </c>
      <c r="P1807" s="21"/>
      <c r="Q1807" s="21" t="s">
        <v>2041</v>
      </c>
      <c r="R1807" s="21"/>
      <c r="S1807" s="21"/>
      <c r="T1807" s="21" t="s">
        <v>3264</v>
      </c>
      <c r="U1807" s="118" t="s">
        <v>3265</v>
      </c>
      <c r="V1807" s="21" t="s">
        <v>4496</v>
      </c>
      <c r="W1807" s="21" t="s">
        <v>23</v>
      </c>
      <c r="X1807" s="21"/>
      <c r="Y1807" s="23" t="s">
        <v>23</v>
      </c>
      <c r="Z1807" s="21"/>
      <c r="AA1807" s="21" t="s">
        <v>702</v>
      </c>
      <c r="AB1807" s="21"/>
      <c r="AC1807" s="21"/>
      <c r="AD1807" s="21"/>
      <c r="AE1807" s="39"/>
      <c r="AF1807" s="39" t="s">
        <v>2042</v>
      </c>
      <c r="AG1807" s="21"/>
      <c r="AJ1807" s="27"/>
      <c r="AK1807" s="27"/>
      <c r="AL1807" s="27"/>
      <c r="AM1807" s="27"/>
      <c r="AN1807" s="27"/>
      <c r="AO1807" s="27"/>
      <c r="AP1807" s="27"/>
      <c r="AQ1807" s="27"/>
      <c r="AR1807" s="27"/>
      <c r="AS1807" s="27"/>
      <c r="AT1807" s="27"/>
      <c r="AW1807" s="27"/>
      <c r="AX1807" s="27"/>
      <c r="AY1807" s="27"/>
      <c r="AZ1807" s="27"/>
      <c r="BA1807" s="27"/>
      <c r="BB1807" s="27"/>
      <c r="BC1807" s="27"/>
      <c r="BD1807" s="27"/>
      <c r="BE1807" s="27"/>
      <c r="BF1807" s="27"/>
      <c r="BG1807" s="27"/>
      <c r="BJ1807" s="27"/>
      <c r="BK1807" s="27"/>
      <c r="BL1807" s="27"/>
      <c r="BM1807" s="27"/>
      <c r="BN1807" s="27"/>
      <c r="BO1807" s="27"/>
      <c r="BP1807" s="27"/>
      <c r="BQ1807" s="27"/>
      <c r="BR1807" s="27"/>
      <c r="BS1807" s="27"/>
      <c r="BT1807" s="27"/>
      <c r="BW1807" s="27"/>
      <c r="BX1807" s="27"/>
      <c r="BY1807" s="27"/>
      <c r="BZ1807" s="27"/>
      <c r="CA1807" s="27"/>
      <c r="CB1807" s="27"/>
      <c r="CC1807" s="27"/>
      <c r="CD1807" s="27"/>
      <c r="CE1807" s="27"/>
      <c r="CF1807" s="27"/>
      <c r="CG1807" s="27"/>
      <c r="CI1807" s="70" t="s">
        <v>659</v>
      </c>
      <c r="CJ1807" s="27"/>
      <c r="CK1807" s="23" t="s">
        <v>181</v>
      </c>
      <c r="CR1807" s="36">
        <f t="shared" si="144"/>
        <v>0</v>
      </c>
      <c r="CS1807" s="36">
        <f t="shared" si="145"/>
        <v>0</v>
      </c>
      <c r="CT1807" s="69">
        <f t="shared" si="146"/>
        <v>0</v>
      </c>
      <c r="CU1807" s="69">
        <f t="shared" si="147"/>
        <v>0</v>
      </c>
      <c r="CV1807" s="69">
        <f t="shared" si="148"/>
        <v>0</v>
      </c>
      <c r="CW1807" s="69">
        <f t="shared" si="149"/>
        <v>0</v>
      </c>
      <c r="CX1807" s="69">
        <f t="shared" si="150"/>
        <v>0</v>
      </c>
      <c r="CY1807" s="69">
        <f t="shared" si="151"/>
        <v>0</v>
      </c>
      <c r="CZ1807" s="69">
        <f t="shared" si="152"/>
        <v>0</v>
      </c>
      <c r="DA1807" s="69">
        <f t="shared" si="153"/>
        <v>0</v>
      </c>
      <c r="DB1807" s="69">
        <f t="shared" si="154"/>
        <v>0</v>
      </c>
      <c r="DC1807" s="27"/>
    </row>
    <row r="1808" spans="1:107" s="25" customFormat="1" x14ac:dyDescent="0.2">
      <c r="A1808" s="29">
        <v>6007</v>
      </c>
      <c r="B1808" s="29" t="s">
        <v>22</v>
      </c>
      <c r="C1808" s="29">
        <f t="shared" si="110"/>
        <v>60070002</v>
      </c>
      <c r="D1808" s="25" t="s">
        <v>4414</v>
      </c>
      <c r="E1808" s="67" t="s">
        <v>658</v>
      </c>
      <c r="F1808" s="67"/>
      <c r="G1808" s="67"/>
      <c r="H1808" s="67"/>
      <c r="I1808" s="21" t="s">
        <v>661</v>
      </c>
      <c r="J1808" s="21"/>
      <c r="K1808" s="21"/>
      <c r="L1808" s="21"/>
      <c r="M1808" s="21"/>
      <c r="N1808" s="21" t="s">
        <v>656</v>
      </c>
      <c r="O1808" s="21" t="s">
        <v>656</v>
      </c>
      <c r="P1808" s="21"/>
      <c r="Q1808" s="21" t="s">
        <v>2041</v>
      </c>
      <c r="R1808" s="21"/>
      <c r="S1808" s="21"/>
      <c r="T1808" s="21" t="s">
        <v>3264</v>
      </c>
      <c r="U1808" s="118" t="s">
        <v>3265</v>
      </c>
      <c r="V1808" s="21" t="s">
        <v>4496</v>
      </c>
      <c r="W1808" s="21" t="s">
        <v>1</v>
      </c>
      <c r="X1808" s="21"/>
      <c r="Y1808" s="23" t="s">
        <v>23</v>
      </c>
      <c r="Z1808" s="21"/>
      <c r="AA1808" s="21" t="s">
        <v>702</v>
      </c>
      <c r="AB1808" s="21"/>
      <c r="AC1808" s="21"/>
      <c r="AD1808" s="21"/>
      <c r="AE1808" s="39"/>
      <c r="AF1808" s="39" t="s">
        <v>2042</v>
      </c>
      <c r="AG1808" s="21"/>
      <c r="AJ1808" s="27"/>
      <c r="AK1808" s="27"/>
      <c r="AL1808" s="27"/>
      <c r="AM1808" s="27"/>
      <c r="AN1808" s="27"/>
      <c r="AO1808" s="27"/>
      <c r="AP1808" s="27"/>
      <c r="AQ1808" s="27"/>
      <c r="AR1808" s="27"/>
      <c r="AS1808" s="27"/>
      <c r="AT1808" s="27"/>
      <c r="AW1808" s="27"/>
      <c r="AX1808" s="27"/>
      <c r="AY1808" s="27"/>
      <c r="AZ1808" s="27"/>
      <c r="BA1808" s="27"/>
      <c r="BB1808" s="27"/>
      <c r="BC1808" s="27"/>
      <c r="BD1808" s="27"/>
      <c r="BE1808" s="27"/>
      <c r="BF1808" s="27"/>
      <c r="BG1808" s="27"/>
      <c r="BJ1808" s="27"/>
      <c r="BK1808" s="27"/>
      <c r="BL1808" s="27"/>
      <c r="BM1808" s="27"/>
      <c r="BN1808" s="27"/>
      <c r="BO1808" s="27"/>
      <c r="BP1808" s="27"/>
      <c r="BQ1808" s="27"/>
      <c r="BR1808" s="27"/>
      <c r="BS1808" s="27"/>
      <c r="BT1808" s="27"/>
      <c r="BW1808" s="27"/>
      <c r="BX1808" s="27"/>
      <c r="BY1808" s="27"/>
      <c r="BZ1808" s="27"/>
      <c r="CA1808" s="27"/>
      <c r="CB1808" s="27"/>
      <c r="CC1808" s="27"/>
      <c r="CD1808" s="27"/>
      <c r="CE1808" s="27"/>
      <c r="CF1808" s="27"/>
      <c r="CG1808" s="27"/>
      <c r="CI1808" s="70" t="s">
        <v>659</v>
      </c>
      <c r="CJ1808" s="27"/>
      <c r="CK1808" s="23" t="s">
        <v>181</v>
      </c>
      <c r="CR1808" s="36">
        <f t="shared" si="144"/>
        <v>0</v>
      </c>
      <c r="CS1808" s="36">
        <f t="shared" si="145"/>
        <v>0</v>
      </c>
      <c r="CT1808" s="69">
        <f t="shared" si="146"/>
        <v>0</v>
      </c>
      <c r="CU1808" s="69">
        <f t="shared" si="147"/>
        <v>0</v>
      </c>
      <c r="CV1808" s="69">
        <f t="shared" si="148"/>
        <v>0</v>
      </c>
      <c r="CW1808" s="69">
        <f t="shared" si="149"/>
        <v>0</v>
      </c>
      <c r="CX1808" s="69">
        <f t="shared" si="150"/>
        <v>0</v>
      </c>
      <c r="CY1808" s="69">
        <f t="shared" si="151"/>
        <v>0</v>
      </c>
      <c r="CZ1808" s="69">
        <f t="shared" si="152"/>
        <v>0</v>
      </c>
      <c r="DA1808" s="69">
        <f t="shared" si="153"/>
        <v>0</v>
      </c>
      <c r="DB1808" s="69">
        <f t="shared" si="154"/>
        <v>0</v>
      </c>
      <c r="DC1808" s="27"/>
    </row>
    <row r="1809" spans="1:107" s="25" customFormat="1" x14ac:dyDescent="0.2">
      <c r="A1809" s="29">
        <v>6007</v>
      </c>
      <c r="B1809" s="29" t="s">
        <v>122</v>
      </c>
      <c r="C1809" s="29">
        <f t="shared" si="110"/>
        <v>60070003</v>
      </c>
      <c r="D1809" s="25" t="s">
        <v>4415</v>
      </c>
      <c r="E1809" s="67" t="s">
        <v>658</v>
      </c>
      <c r="F1809" s="67"/>
      <c r="G1809" s="67"/>
      <c r="H1809" s="67"/>
      <c r="I1809" s="21" t="s">
        <v>661</v>
      </c>
      <c r="J1809" s="21"/>
      <c r="K1809" s="21"/>
      <c r="L1809" s="21"/>
      <c r="M1809" s="21"/>
      <c r="N1809" s="21" t="s">
        <v>656</v>
      </c>
      <c r="O1809" s="21" t="s">
        <v>656</v>
      </c>
      <c r="P1809" s="21"/>
      <c r="Q1809" s="21" t="s">
        <v>2041</v>
      </c>
      <c r="R1809" s="21"/>
      <c r="S1809" s="21"/>
      <c r="T1809" s="21" t="s">
        <v>3264</v>
      </c>
      <c r="U1809" s="118" t="s">
        <v>3265</v>
      </c>
      <c r="V1809" s="21" t="s">
        <v>4496</v>
      </c>
      <c r="W1809" s="21" t="s">
        <v>1</v>
      </c>
      <c r="X1809" s="21"/>
      <c r="Y1809" s="23" t="s">
        <v>23</v>
      </c>
      <c r="Z1809" s="21"/>
      <c r="AA1809" s="21" t="s">
        <v>702</v>
      </c>
      <c r="AB1809" s="21"/>
      <c r="AC1809" s="21"/>
      <c r="AD1809" s="21"/>
      <c r="AE1809" s="39"/>
      <c r="AF1809" s="39" t="s">
        <v>2042</v>
      </c>
      <c r="AG1809" s="21"/>
      <c r="AJ1809" s="27"/>
      <c r="AK1809" s="27"/>
      <c r="AL1809" s="27"/>
      <c r="AM1809" s="27"/>
      <c r="AN1809" s="27"/>
      <c r="AO1809" s="27"/>
      <c r="AP1809" s="27"/>
      <c r="AQ1809" s="27"/>
      <c r="AR1809" s="27"/>
      <c r="AS1809" s="27"/>
      <c r="AT1809" s="27"/>
      <c r="AW1809" s="27"/>
      <c r="AX1809" s="27"/>
      <c r="AY1809" s="27"/>
      <c r="AZ1809" s="27"/>
      <c r="BA1809" s="27"/>
      <c r="BB1809" s="27"/>
      <c r="BC1809" s="27"/>
      <c r="BD1809" s="27"/>
      <c r="BE1809" s="27"/>
      <c r="BF1809" s="27"/>
      <c r="BG1809" s="27"/>
      <c r="BJ1809" s="27"/>
      <c r="BK1809" s="27"/>
      <c r="BL1809" s="27"/>
      <c r="BM1809" s="27"/>
      <c r="BN1809" s="27"/>
      <c r="BO1809" s="27"/>
      <c r="BP1809" s="27"/>
      <c r="BQ1809" s="27"/>
      <c r="BR1809" s="27"/>
      <c r="BS1809" s="27"/>
      <c r="BT1809" s="27"/>
      <c r="BW1809" s="27"/>
      <c r="BX1809" s="27"/>
      <c r="BY1809" s="27"/>
      <c r="BZ1809" s="27"/>
      <c r="CA1809" s="27"/>
      <c r="CB1809" s="27"/>
      <c r="CC1809" s="27"/>
      <c r="CD1809" s="27"/>
      <c r="CE1809" s="27"/>
      <c r="CF1809" s="27"/>
      <c r="CG1809" s="27"/>
      <c r="CI1809" s="70" t="s">
        <v>659</v>
      </c>
      <c r="CJ1809" s="27"/>
      <c r="CK1809" s="23" t="s">
        <v>181</v>
      </c>
      <c r="CR1809" s="36">
        <f t="shared" si="144"/>
        <v>0</v>
      </c>
      <c r="CS1809" s="36">
        <f t="shared" si="145"/>
        <v>0</v>
      </c>
      <c r="CT1809" s="69">
        <f t="shared" si="146"/>
        <v>0</v>
      </c>
      <c r="CU1809" s="69">
        <f t="shared" si="147"/>
        <v>0</v>
      </c>
      <c r="CV1809" s="69">
        <f t="shared" si="148"/>
        <v>0</v>
      </c>
      <c r="CW1809" s="69">
        <f t="shared" si="149"/>
        <v>0</v>
      </c>
      <c r="CX1809" s="69">
        <f t="shared" si="150"/>
        <v>0</v>
      </c>
      <c r="CY1809" s="69">
        <f t="shared" si="151"/>
        <v>0</v>
      </c>
      <c r="CZ1809" s="69">
        <f t="shared" si="152"/>
        <v>0</v>
      </c>
      <c r="DA1809" s="69">
        <f t="shared" si="153"/>
        <v>0</v>
      </c>
      <c r="DB1809" s="69">
        <f t="shared" si="154"/>
        <v>0</v>
      </c>
      <c r="DC1809" s="27"/>
    </row>
    <row r="1810" spans="1:107" s="25" customFormat="1" x14ac:dyDescent="0.2">
      <c r="A1810" s="29">
        <v>6007</v>
      </c>
      <c r="B1810" s="29" t="s">
        <v>23</v>
      </c>
      <c r="C1810" s="29">
        <f t="shared" si="110"/>
        <v>60070004</v>
      </c>
      <c r="D1810" s="25" t="s">
        <v>4416</v>
      </c>
      <c r="E1810" s="67" t="s">
        <v>658</v>
      </c>
      <c r="F1810" s="67"/>
      <c r="G1810" s="67"/>
      <c r="H1810" s="67"/>
      <c r="I1810" s="21" t="s">
        <v>661</v>
      </c>
      <c r="J1810" s="21"/>
      <c r="K1810" s="21"/>
      <c r="L1810" s="21"/>
      <c r="M1810" s="21"/>
      <c r="N1810" s="21" t="s">
        <v>656</v>
      </c>
      <c r="O1810" s="21" t="s">
        <v>656</v>
      </c>
      <c r="P1810" s="21"/>
      <c r="Q1810" s="21" t="s">
        <v>2041</v>
      </c>
      <c r="R1810" s="21"/>
      <c r="S1810" s="21"/>
      <c r="T1810" s="21" t="s">
        <v>3264</v>
      </c>
      <c r="U1810" s="118" t="s">
        <v>3265</v>
      </c>
      <c r="V1810" s="21" t="s">
        <v>4496</v>
      </c>
      <c r="W1810" s="21" t="s">
        <v>1</v>
      </c>
      <c r="X1810" s="21"/>
      <c r="Y1810" s="23" t="s">
        <v>23</v>
      </c>
      <c r="Z1810" s="21"/>
      <c r="AA1810" s="21" t="s">
        <v>702</v>
      </c>
      <c r="AB1810" s="21"/>
      <c r="AC1810" s="21"/>
      <c r="AD1810" s="21"/>
      <c r="AE1810" s="39"/>
      <c r="AF1810" s="39" t="s">
        <v>2042</v>
      </c>
      <c r="AG1810" s="21"/>
      <c r="AJ1810" s="27"/>
      <c r="AK1810" s="27"/>
      <c r="AL1810" s="27"/>
      <c r="AM1810" s="27"/>
      <c r="AN1810" s="27"/>
      <c r="AO1810" s="27"/>
      <c r="AP1810" s="27"/>
      <c r="AQ1810" s="27"/>
      <c r="AR1810" s="27"/>
      <c r="AS1810" s="27"/>
      <c r="AT1810" s="27"/>
      <c r="AW1810" s="27"/>
      <c r="AX1810" s="27"/>
      <c r="AY1810" s="27"/>
      <c r="AZ1810" s="27"/>
      <c r="BA1810" s="27"/>
      <c r="BB1810" s="27"/>
      <c r="BC1810" s="27"/>
      <c r="BD1810" s="27"/>
      <c r="BE1810" s="27"/>
      <c r="BF1810" s="27"/>
      <c r="BG1810" s="27"/>
      <c r="BJ1810" s="27"/>
      <c r="BK1810" s="27"/>
      <c r="BL1810" s="27"/>
      <c r="BM1810" s="27"/>
      <c r="BN1810" s="27"/>
      <c r="BO1810" s="27"/>
      <c r="BP1810" s="27"/>
      <c r="BQ1810" s="27"/>
      <c r="BR1810" s="27"/>
      <c r="BS1810" s="27"/>
      <c r="BT1810" s="27"/>
      <c r="BW1810" s="27"/>
      <c r="BX1810" s="27"/>
      <c r="BY1810" s="27"/>
      <c r="BZ1810" s="27"/>
      <c r="CA1810" s="27"/>
      <c r="CB1810" s="27"/>
      <c r="CC1810" s="27"/>
      <c r="CD1810" s="27"/>
      <c r="CE1810" s="27"/>
      <c r="CF1810" s="27"/>
      <c r="CG1810" s="27"/>
      <c r="CI1810" s="70" t="s">
        <v>659</v>
      </c>
      <c r="CJ1810" s="27"/>
      <c r="CK1810" s="23" t="s">
        <v>181</v>
      </c>
      <c r="CR1810" s="36">
        <f t="shared" si="144"/>
        <v>0</v>
      </c>
      <c r="CS1810" s="36">
        <f t="shared" si="145"/>
        <v>0</v>
      </c>
      <c r="CT1810" s="69">
        <f t="shared" si="146"/>
        <v>0</v>
      </c>
      <c r="CU1810" s="69">
        <f t="shared" si="147"/>
        <v>0</v>
      </c>
      <c r="CV1810" s="69">
        <f t="shared" si="148"/>
        <v>0</v>
      </c>
      <c r="CW1810" s="69">
        <f t="shared" si="149"/>
        <v>0</v>
      </c>
      <c r="CX1810" s="69">
        <f t="shared" si="150"/>
        <v>0</v>
      </c>
      <c r="CY1810" s="69">
        <f t="shared" si="151"/>
        <v>0</v>
      </c>
      <c r="CZ1810" s="69">
        <f t="shared" si="152"/>
        <v>0</v>
      </c>
      <c r="DA1810" s="69">
        <f t="shared" si="153"/>
        <v>0</v>
      </c>
      <c r="DB1810" s="69">
        <f t="shared" si="154"/>
        <v>0</v>
      </c>
      <c r="DC1810" s="27"/>
    </row>
    <row r="1811" spans="1:107" s="25" customFormat="1" x14ac:dyDescent="0.2">
      <c r="A1811" s="29">
        <v>6007</v>
      </c>
      <c r="B1811" s="29" t="s">
        <v>123</v>
      </c>
      <c r="C1811" s="29">
        <f t="shared" si="110"/>
        <v>60070005</v>
      </c>
      <c r="D1811" s="25" t="s">
        <v>4417</v>
      </c>
      <c r="E1811" s="67" t="s">
        <v>658</v>
      </c>
      <c r="F1811" s="67"/>
      <c r="G1811" s="67"/>
      <c r="H1811" s="67"/>
      <c r="I1811" s="21" t="s">
        <v>661</v>
      </c>
      <c r="J1811" s="21"/>
      <c r="K1811" s="21"/>
      <c r="L1811" s="21"/>
      <c r="M1811" s="21"/>
      <c r="N1811" s="21" t="s">
        <v>656</v>
      </c>
      <c r="O1811" s="21" t="s">
        <v>656</v>
      </c>
      <c r="P1811" s="21"/>
      <c r="Q1811" s="21" t="s">
        <v>2041</v>
      </c>
      <c r="R1811" s="21"/>
      <c r="S1811" s="21"/>
      <c r="T1811" s="21" t="s">
        <v>3264</v>
      </c>
      <c r="U1811" s="118" t="s">
        <v>3265</v>
      </c>
      <c r="V1811" s="21" t="s">
        <v>4496</v>
      </c>
      <c r="W1811" s="21" t="s">
        <v>1</v>
      </c>
      <c r="X1811" s="21"/>
      <c r="Y1811" s="23" t="s">
        <v>23</v>
      </c>
      <c r="Z1811" s="21"/>
      <c r="AA1811" s="21" t="s">
        <v>702</v>
      </c>
      <c r="AB1811" s="21"/>
      <c r="AC1811" s="21"/>
      <c r="AD1811" s="21"/>
      <c r="AE1811" s="39"/>
      <c r="AF1811" s="39" t="s">
        <v>2042</v>
      </c>
      <c r="AG1811" s="21"/>
      <c r="AJ1811" s="27"/>
      <c r="AK1811" s="27"/>
      <c r="AL1811" s="27"/>
      <c r="AM1811" s="27"/>
      <c r="AN1811" s="27"/>
      <c r="AO1811" s="27"/>
      <c r="AP1811" s="27"/>
      <c r="AQ1811" s="27"/>
      <c r="AR1811" s="27"/>
      <c r="AS1811" s="27"/>
      <c r="AT1811" s="27"/>
      <c r="AW1811" s="27"/>
      <c r="AX1811" s="27"/>
      <c r="AY1811" s="27"/>
      <c r="AZ1811" s="27"/>
      <c r="BA1811" s="27"/>
      <c r="BB1811" s="27"/>
      <c r="BC1811" s="27"/>
      <c r="BD1811" s="27"/>
      <c r="BE1811" s="27"/>
      <c r="BF1811" s="27"/>
      <c r="BG1811" s="27"/>
      <c r="BJ1811" s="27"/>
      <c r="BK1811" s="27"/>
      <c r="BL1811" s="27"/>
      <c r="BM1811" s="27"/>
      <c r="BN1811" s="27"/>
      <c r="BO1811" s="27"/>
      <c r="BP1811" s="27"/>
      <c r="BQ1811" s="27"/>
      <c r="BR1811" s="27"/>
      <c r="BS1811" s="27"/>
      <c r="BT1811" s="27"/>
      <c r="BW1811" s="27"/>
      <c r="BX1811" s="27"/>
      <c r="BY1811" s="27"/>
      <c r="BZ1811" s="27"/>
      <c r="CA1811" s="27"/>
      <c r="CB1811" s="27"/>
      <c r="CC1811" s="27"/>
      <c r="CD1811" s="27"/>
      <c r="CE1811" s="27"/>
      <c r="CF1811" s="27"/>
      <c r="CG1811" s="27"/>
      <c r="CI1811" s="70" t="s">
        <v>659</v>
      </c>
      <c r="CJ1811" s="27"/>
      <c r="CK1811" s="23" t="s">
        <v>181</v>
      </c>
      <c r="CR1811" s="36">
        <f t="shared" si="144"/>
        <v>0</v>
      </c>
      <c r="CS1811" s="36">
        <f t="shared" si="145"/>
        <v>0</v>
      </c>
      <c r="CT1811" s="69">
        <f t="shared" si="146"/>
        <v>0</v>
      </c>
      <c r="CU1811" s="69">
        <f t="shared" si="147"/>
        <v>0</v>
      </c>
      <c r="CV1811" s="69">
        <f t="shared" si="148"/>
        <v>0</v>
      </c>
      <c r="CW1811" s="69">
        <f t="shared" si="149"/>
        <v>0</v>
      </c>
      <c r="CX1811" s="69">
        <f t="shared" si="150"/>
        <v>0</v>
      </c>
      <c r="CY1811" s="69">
        <f t="shared" si="151"/>
        <v>0</v>
      </c>
      <c r="CZ1811" s="69">
        <f t="shared" si="152"/>
        <v>0</v>
      </c>
      <c r="DA1811" s="69">
        <f t="shared" si="153"/>
        <v>0</v>
      </c>
      <c r="DB1811" s="69">
        <f t="shared" si="154"/>
        <v>0</v>
      </c>
      <c r="DC1811" s="27"/>
    </row>
    <row r="1812" spans="1:107" s="25" customFormat="1" x14ac:dyDescent="0.2">
      <c r="A1812" s="29">
        <v>6008</v>
      </c>
      <c r="B1812" s="29" t="s">
        <v>181</v>
      </c>
      <c r="C1812" s="29">
        <f t="shared" si="110"/>
        <v>60080001</v>
      </c>
      <c r="D1812" s="25" t="s">
        <v>4418</v>
      </c>
      <c r="E1812" s="67" t="s">
        <v>658</v>
      </c>
      <c r="F1812" s="67"/>
      <c r="G1812" s="67"/>
      <c r="H1812" s="67"/>
      <c r="I1812" s="21" t="s">
        <v>661</v>
      </c>
      <c r="J1812" s="21"/>
      <c r="K1812" s="21"/>
      <c r="L1812" s="21"/>
      <c r="M1812" s="21"/>
      <c r="N1812" s="21" t="s">
        <v>656</v>
      </c>
      <c r="O1812" s="21" t="s">
        <v>656</v>
      </c>
      <c r="P1812" s="21"/>
      <c r="Q1812" s="21" t="s">
        <v>2041</v>
      </c>
      <c r="R1812" s="21"/>
      <c r="S1812" s="21"/>
      <c r="T1812" s="21" t="s">
        <v>3264</v>
      </c>
      <c r="U1812" s="118" t="s">
        <v>3265</v>
      </c>
      <c r="V1812" s="21" t="s">
        <v>4497</v>
      </c>
      <c r="W1812" s="21" t="s">
        <v>23</v>
      </c>
      <c r="X1812" s="21"/>
      <c r="Y1812" s="23" t="s">
        <v>23</v>
      </c>
      <c r="Z1812" s="21"/>
      <c r="AA1812" s="21" t="s">
        <v>702</v>
      </c>
      <c r="AB1812" s="21"/>
      <c r="AC1812" s="21"/>
      <c r="AD1812" s="21"/>
      <c r="AE1812" s="39"/>
      <c r="AF1812" s="39" t="s">
        <v>2042</v>
      </c>
      <c r="AG1812" s="21"/>
      <c r="AJ1812" s="27"/>
      <c r="AK1812" s="27"/>
      <c r="AL1812" s="27"/>
      <c r="AM1812" s="27"/>
      <c r="AN1812" s="27"/>
      <c r="AO1812" s="27"/>
      <c r="AP1812" s="27"/>
      <c r="AQ1812" s="27"/>
      <c r="AR1812" s="27"/>
      <c r="AS1812" s="27"/>
      <c r="AT1812" s="27"/>
      <c r="AW1812" s="27"/>
      <c r="AX1812" s="27"/>
      <c r="AY1812" s="27"/>
      <c r="AZ1812" s="27"/>
      <c r="BA1812" s="27"/>
      <c r="BB1812" s="27"/>
      <c r="BC1812" s="27"/>
      <c r="BD1812" s="27"/>
      <c r="BE1812" s="27"/>
      <c r="BF1812" s="27"/>
      <c r="BG1812" s="27"/>
      <c r="BJ1812" s="27"/>
      <c r="BK1812" s="27"/>
      <c r="BL1812" s="27"/>
      <c r="BM1812" s="27"/>
      <c r="BN1812" s="27"/>
      <c r="BO1812" s="27"/>
      <c r="BP1812" s="27"/>
      <c r="BQ1812" s="27"/>
      <c r="BR1812" s="27"/>
      <c r="BS1812" s="27"/>
      <c r="BT1812" s="27"/>
      <c r="BW1812" s="27"/>
      <c r="BX1812" s="27"/>
      <c r="BY1812" s="27"/>
      <c r="BZ1812" s="27"/>
      <c r="CA1812" s="27"/>
      <c r="CB1812" s="27"/>
      <c r="CC1812" s="27"/>
      <c r="CD1812" s="27"/>
      <c r="CE1812" s="27"/>
      <c r="CF1812" s="27"/>
      <c r="CG1812" s="27"/>
      <c r="CI1812" s="70" t="s">
        <v>659</v>
      </c>
      <c r="CJ1812" s="27"/>
      <c r="CK1812" s="23" t="s">
        <v>181</v>
      </c>
      <c r="CR1812" s="36">
        <f t="shared" si="144"/>
        <v>0</v>
      </c>
      <c r="CS1812" s="36">
        <f t="shared" si="145"/>
        <v>0</v>
      </c>
      <c r="CT1812" s="69">
        <f t="shared" si="146"/>
        <v>0</v>
      </c>
      <c r="CU1812" s="69">
        <f t="shared" si="147"/>
        <v>0</v>
      </c>
      <c r="CV1812" s="69">
        <f t="shared" si="148"/>
        <v>0</v>
      </c>
      <c r="CW1812" s="69">
        <f t="shared" si="149"/>
        <v>0</v>
      </c>
      <c r="CX1812" s="69">
        <f t="shared" si="150"/>
        <v>0</v>
      </c>
      <c r="CY1812" s="69">
        <f t="shared" si="151"/>
        <v>0</v>
      </c>
      <c r="CZ1812" s="69">
        <f t="shared" si="152"/>
        <v>0</v>
      </c>
      <c r="DA1812" s="69">
        <f t="shared" si="153"/>
        <v>0</v>
      </c>
      <c r="DB1812" s="69">
        <f t="shared" si="154"/>
        <v>0</v>
      </c>
      <c r="DC1812" s="27"/>
    </row>
    <row r="1813" spans="1:107" s="25" customFormat="1" x14ac:dyDescent="0.2">
      <c r="A1813" s="29">
        <v>6008</v>
      </c>
      <c r="B1813" s="29" t="s">
        <v>22</v>
      </c>
      <c r="C1813" s="29">
        <f t="shared" si="110"/>
        <v>60080002</v>
      </c>
      <c r="D1813" s="25" t="s">
        <v>4419</v>
      </c>
      <c r="E1813" s="67" t="s">
        <v>658</v>
      </c>
      <c r="F1813" s="67"/>
      <c r="G1813" s="67"/>
      <c r="H1813" s="67"/>
      <c r="I1813" s="21" t="s">
        <v>661</v>
      </c>
      <c r="J1813" s="21"/>
      <c r="K1813" s="21"/>
      <c r="L1813" s="21"/>
      <c r="M1813" s="21"/>
      <c r="N1813" s="21" t="s">
        <v>656</v>
      </c>
      <c r="O1813" s="21" t="s">
        <v>656</v>
      </c>
      <c r="P1813" s="21"/>
      <c r="Q1813" s="21" t="s">
        <v>2041</v>
      </c>
      <c r="R1813" s="21"/>
      <c r="S1813" s="21"/>
      <c r="T1813" s="21" t="s">
        <v>3264</v>
      </c>
      <c r="U1813" s="118" t="s">
        <v>3265</v>
      </c>
      <c r="V1813" s="21" t="s">
        <v>4497</v>
      </c>
      <c r="W1813" s="21" t="s">
        <v>1</v>
      </c>
      <c r="X1813" s="21"/>
      <c r="Y1813" s="23" t="s">
        <v>23</v>
      </c>
      <c r="Z1813" s="21"/>
      <c r="AA1813" s="21" t="s">
        <v>702</v>
      </c>
      <c r="AB1813" s="21"/>
      <c r="AC1813" s="21"/>
      <c r="AD1813" s="21"/>
      <c r="AE1813" s="39"/>
      <c r="AF1813" s="39" t="s">
        <v>2042</v>
      </c>
      <c r="AG1813" s="21"/>
      <c r="AJ1813" s="27"/>
      <c r="AK1813" s="27"/>
      <c r="AL1813" s="27"/>
      <c r="AM1813" s="27"/>
      <c r="AN1813" s="27"/>
      <c r="AO1813" s="27"/>
      <c r="AP1813" s="27"/>
      <c r="AQ1813" s="27"/>
      <c r="AR1813" s="27"/>
      <c r="AS1813" s="27"/>
      <c r="AT1813" s="27"/>
      <c r="AW1813" s="27"/>
      <c r="AX1813" s="27"/>
      <c r="AY1813" s="27"/>
      <c r="AZ1813" s="27"/>
      <c r="BA1813" s="27"/>
      <c r="BB1813" s="27"/>
      <c r="BC1813" s="27"/>
      <c r="BD1813" s="27"/>
      <c r="BE1813" s="27"/>
      <c r="BF1813" s="27"/>
      <c r="BG1813" s="27"/>
      <c r="BJ1813" s="27"/>
      <c r="BK1813" s="27"/>
      <c r="BL1813" s="27"/>
      <c r="BM1813" s="27"/>
      <c r="BN1813" s="27"/>
      <c r="BO1813" s="27"/>
      <c r="BP1813" s="27"/>
      <c r="BQ1813" s="27"/>
      <c r="BR1813" s="27"/>
      <c r="BS1813" s="27"/>
      <c r="BT1813" s="27"/>
      <c r="BW1813" s="27"/>
      <c r="BX1813" s="27"/>
      <c r="BY1813" s="27"/>
      <c r="BZ1813" s="27"/>
      <c r="CA1813" s="27"/>
      <c r="CB1813" s="27"/>
      <c r="CC1813" s="27"/>
      <c r="CD1813" s="27"/>
      <c r="CE1813" s="27"/>
      <c r="CF1813" s="27"/>
      <c r="CG1813" s="27"/>
      <c r="CI1813" s="70" t="s">
        <v>659</v>
      </c>
      <c r="CJ1813" s="27"/>
      <c r="CK1813" s="23" t="s">
        <v>181</v>
      </c>
      <c r="CR1813" s="36">
        <f t="shared" si="144"/>
        <v>0</v>
      </c>
      <c r="CS1813" s="36">
        <f t="shared" si="145"/>
        <v>0</v>
      </c>
      <c r="CT1813" s="69">
        <f t="shared" si="146"/>
        <v>0</v>
      </c>
      <c r="CU1813" s="69">
        <f t="shared" si="147"/>
        <v>0</v>
      </c>
      <c r="CV1813" s="69">
        <f t="shared" si="148"/>
        <v>0</v>
      </c>
      <c r="CW1813" s="69">
        <f t="shared" si="149"/>
        <v>0</v>
      </c>
      <c r="CX1813" s="69">
        <f t="shared" si="150"/>
        <v>0</v>
      </c>
      <c r="CY1813" s="69">
        <f t="shared" si="151"/>
        <v>0</v>
      </c>
      <c r="CZ1813" s="69">
        <f t="shared" si="152"/>
        <v>0</v>
      </c>
      <c r="DA1813" s="69">
        <f t="shared" si="153"/>
        <v>0</v>
      </c>
      <c r="DB1813" s="69">
        <f t="shared" si="154"/>
        <v>0</v>
      </c>
      <c r="DC1813" s="27"/>
    </row>
    <row r="1814" spans="1:107" s="25" customFormat="1" x14ac:dyDescent="0.2">
      <c r="A1814" s="29">
        <v>6008</v>
      </c>
      <c r="B1814" s="29" t="s">
        <v>122</v>
      </c>
      <c r="C1814" s="29">
        <f t="shared" si="110"/>
        <v>60080003</v>
      </c>
      <c r="D1814" s="25" t="s">
        <v>4420</v>
      </c>
      <c r="E1814" s="67" t="s">
        <v>658</v>
      </c>
      <c r="F1814" s="67"/>
      <c r="G1814" s="67"/>
      <c r="H1814" s="67"/>
      <c r="I1814" s="21" t="s">
        <v>661</v>
      </c>
      <c r="J1814" s="21"/>
      <c r="K1814" s="21"/>
      <c r="L1814" s="21"/>
      <c r="M1814" s="21"/>
      <c r="N1814" s="21" t="s">
        <v>656</v>
      </c>
      <c r="O1814" s="21" t="s">
        <v>656</v>
      </c>
      <c r="P1814" s="21"/>
      <c r="Q1814" s="21" t="s">
        <v>2041</v>
      </c>
      <c r="R1814" s="21"/>
      <c r="S1814" s="21"/>
      <c r="T1814" s="21" t="s">
        <v>3264</v>
      </c>
      <c r="U1814" s="118" t="s">
        <v>3265</v>
      </c>
      <c r="V1814" s="21" t="s">
        <v>4497</v>
      </c>
      <c r="W1814" s="21" t="s">
        <v>1</v>
      </c>
      <c r="X1814" s="21"/>
      <c r="Y1814" s="23" t="s">
        <v>23</v>
      </c>
      <c r="Z1814" s="21"/>
      <c r="AA1814" s="21" t="s">
        <v>702</v>
      </c>
      <c r="AB1814" s="21"/>
      <c r="AC1814" s="21"/>
      <c r="AD1814" s="21"/>
      <c r="AE1814" s="39"/>
      <c r="AF1814" s="39" t="s">
        <v>2042</v>
      </c>
      <c r="AG1814" s="21"/>
      <c r="AJ1814" s="27"/>
      <c r="AK1814" s="27"/>
      <c r="AL1814" s="27"/>
      <c r="AM1814" s="27"/>
      <c r="AN1814" s="27"/>
      <c r="AO1814" s="27"/>
      <c r="AP1814" s="27"/>
      <c r="AQ1814" s="27"/>
      <c r="AR1814" s="27"/>
      <c r="AS1814" s="27"/>
      <c r="AT1814" s="27"/>
      <c r="AW1814" s="27"/>
      <c r="AX1814" s="27"/>
      <c r="AY1814" s="27"/>
      <c r="AZ1814" s="27"/>
      <c r="BA1814" s="27"/>
      <c r="BB1814" s="27"/>
      <c r="BC1814" s="27"/>
      <c r="BD1814" s="27"/>
      <c r="BE1814" s="27"/>
      <c r="BF1814" s="27"/>
      <c r="BG1814" s="27"/>
      <c r="BJ1814" s="27"/>
      <c r="BK1814" s="27"/>
      <c r="BL1814" s="27"/>
      <c r="BM1814" s="27"/>
      <c r="BN1814" s="27"/>
      <c r="BO1814" s="27"/>
      <c r="BP1814" s="27"/>
      <c r="BQ1814" s="27"/>
      <c r="BR1814" s="27"/>
      <c r="BS1814" s="27"/>
      <c r="BT1814" s="27"/>
      <c r="BW1814" s="27"/>
      <c r="BX1814" s="27"/>
      <c r="BY1814" s="27"/>
      <c r="BZ1814" s="27"/>
      <c r="CA1814" s="27"/>
      <c r="CB1814" s="27"/>
      <c r="CC1814" s="27"/>
      <c r="CD1814" s="27"/>
      <c r="CE1814" s="27"/>
      <c r="CF1814" s="27"/>
      <c r="CG1814" s="27"/>
      <c r="CI1814" s="70" t="s">
        <v>659</v>
      </c>
      <c r="CJ1814" s="27"/>
      <c r="CK1814" s="23" t="s">
        <v>181</v>
      </c>
      <c r="CR1814" s="36">
        <f t="shared" si="144"/>
        <v>0</v>
      </c>
      <c r="CS1814" s="36">
        <f t="shared" si="145"/>
        <v>0</v>
      </c>
      <c r="CT1814" s="69">
        <f t="shared" si="146"/>
        <v>0</v>
      </c>
      <c r="CU1814" s="69">
        <f t="shared" si="147"/>
        <v>0</v>
      </c>
      <c r="CV1814" s="69">
        <f t="shared" si="148"/>
        <v>0</v>
      </c>
      <c r="CW1814" s="69">
        <f t="shared" si="149"/>
        <v>0</v>
      </c>
      <c r="CX1814" s="69">
        <f t="shared" si="150"/>
        <v>0</v>
      </c>
      <c r="CY1814" s="69">
        <f t="shared" si="151"/>
        <v>0</v>
      </c>
      <c r="CZ1814" s="69">
        <f t="shared" si="152"/>
        <v>0</v>
      </c>
      <c r="DA1814" s="69">
        <f t="shared" si="153"/>
        <v>0</v>
      </c>
      <c r="DB1814" s="69">
        <f t="shared" si="154"/>
        <v>0</v>
      </c>
      <c r="DC1814" s="27"/>
    </row>
    <row r="1815" spans="1:107" s="25" customFormat="1" x14ac:dyDescent="0.2">
      <c r="A1815" s="29">
        <v>6008</v>
      </c>
      <c r="B1815" s="29" t="s">
        <v>23</v>
      </c>
      <c r="C1815" s="29">
        <f t="shared" si="110"/>
        <v>60080004</v>
      </c>
      <c r="D1815" s="25" t="s">
        <v>4421</v>
      </c>
      <c r="E1815" s="67" t="s">
        <v>658</v>
      </c>
      <c r="F1815" s="67"/>
      <c r="G1815" s="67"/>
      <c r="H1815" s="67"/>
      <c r="I1815" s="21" t="s">
        <v>661</v>
      </c>
      <c r="J1815" s="21"/>
      <c r="K1815" s="21"/>
      <c r="L1815" s="21"/>
      <c r="M1815" s="21"/>
      <c r="N1815" s="21" t="s">
        <v>656</v>
      </c>
      <c r="O1815" s="21" t="s">
        <v>656</v>
      </c>
      <c r="P1815" s="21"/>
      <c r="Q1815" s="21" t="s">
        <v>2041</v>
      </c>
      <c r="R1815" s="21"/>
      <c r="S1815" s="21"/>
      <c r="T1815" s="21" t="s">
        <v>3264</v>
      </c>
      <c r="U1815" s="118" t="s">
        <v>3265</v>
      </c>
      <c r="V1815" s="21" t="s">
        <v>4497</v>
      </c>
      <c r="W1815" s="21" t="s">
        <v>1</v>
      </c>
      <c r="X1815" s="21"/>
      <c r="Y1815" s="23" t="s">
        <v>23</v>
      </c>
      <c r="Z1815" s="21"/>
      <c r="AA1815" s="21" t="s">
        <v>702</v>
      </c>
      <c r="AB1815" s="21"/>
      <c r="AC1815" s="21"/>
      <c r="AD1815" s="21"/>
      <c r="AE1815" s="39"/>
      <c r="AF1815" s="39" t="s">
        <v>2042</v>
      </c>
      <c r="AG1815" s="21"/>
      <c r="AJ1815" s="27"/>
      <c r="AK1815" s="27"/>
      <c r="AL1815" s="27"/>
      <c r="AM1815" s="27"/>
      <c r="AN1815" s="27"/>
      <c r="AO1815" s="27"/>
      <c r="AP1815" s="27"/>
      <c r="AQ1815" s="27"/>
      <c r="AR1815" s="27"/>
      <c r="AS1815" s="27"/>
      <c r="AT1815" s="27"/>
      <c r="AW1815" s="27"/>
      <c r="AX1815" s="27"/>
      <c r="AY1815" s="27"/>
      <c r="AZ1815" s="27"/>
      <c r="BA1815" s="27"/>
      <c r="BB1815" s="27"/>
      <c r="BC1815" s="27"/>
      <c r="BD1815" s="27"/>
      <c r="BE1815" s="27"/>
      <c r="BF1815" s="27"/>
      <c r="BG1815" s="27"/>
      <c r="BJ1815" s="27"/>
      <c r="BK1815" s="27"/>
      <c r="BL1815" s="27"/>
      <c r="BM1815" s="27"/>
      <c r="BN1815" s="27"/>
      <c r="BO1815" s="27"/>
      <c r="BP1815" s="27"/>
      <c r="BQ1815" s="27"/>
      <c r="BR1815" s="27"/>
      <c r="BS1815" s="27"/>
      <c r="BT1815" s="27"/>
      <c r="BW1815" s="27"/>
      <c r="BX1815" s="27"/>
      <c r="BY1815" s="27"/>
      <c r="BZ1815" s="27"/>
      <c r="CA1815" s="27"/>
      <c r="CB1815" s="27"/>
      <c r="CC1815" s="27"/>
      <c r="CD1815" s="27"/>
      <c r="CE1815" s="27"/>
      <c r="CF1815" s="27"/>
      <c r="CG1815" s="27"/>
      <c r="CI1815" s="70" t="s">
        <v>659</v>
      </c>
      <c r="CJ1815" s="27"/>
      <c r="CK1815" s="23" t="s">
        <v>181</v>
      </c>
      <c r="CR1815" s="36">
        <f t="shared" si="144"/>
        <v>0</v>
      </c>
      <c r="CS1815" s="36">
        <f t="shared" si="145"/>
        <v>0</v>
      </c>
      <c r="CT1815" s="69">
        <f t="shared" si="146"/>
        <v>0</v>
      </c>
      <c r="CU1815" s="69">
        <f t="shared" si="147"/>
        <v>0</v>
      </c>
      <c r="CV1815" s="69">
        <f t="shared" si="148"/>
        <v>0</v>
      </c>
      <c r="CW1815" s="69">
        <f t="shared" si="149"/>
        <v>0</v>
      </c>
      <c r="CX1815" s="69">
        <f t="shared" si="150"/>
        <v>0</v>
      </c>
      <c r="CY1815" s="69">
        <f t="shared" si="151"/>
        <v>0</v>
      </c>
      <c r="CZ1815" s="69">
        <f t="shared" si="152"/>
        <v>0</v>
      </c>
      <c r="DA1815" s="69">
        <f t="shared" si="153"/>
        <v>0</v>
      </c>
      <c r="DB1815" s="69">
        <f t="shared" si="154"/>
        <v>0</v>
      </c>
      <c r="DC1815" s="27"/>
    </row>
    <row r="1816" spans="1:107" s="25" customFormat="1" x14ac:dyDescent="0.2">
      <c r="A1816" s="29">
        <v>6008</v>
      </c>
      <c r="B1816" s="29" t="s">
        <v>123</v>
      </c>
      <c r="C1816" s="29">
        <f t="shared" si="110"/>
        <v>60080005</v>
      </c>
      <c r="D1816" s="25" t="s">
        <v>4422</v>
      </c>
      <c r="E1816" s="67" t="s">
        <v>658</v>
      </c>
      <c r="F1816" s="67"/>
      <c r="G1816" s="67"/>
      <c r="H1816" s="67"/>
      <c r="I1816" s="21" t="s">
        <v>661</v>
      </c>
      <c r="J1816" s="21"/>
      <c r="K1816" s="21"/>
      <c r="L1816" s="21"/>
      <c r="M1816" s="21"/>
      <c r="N1816" s="21" t="s">
        <v>656</v>
      </c>
      <c r="O1816" s="21" t="s">
        <v>656</v>
      </c>
      <c r="P1816" s="21"/>
      <c r="Q1816" s="21" t="s">
        <v>2041</v>
      </c>
      <c r="R1816" s="21"/>
      <c r="S1816" s="21"/>
      <c r="T1816" s="21" t="s">
        <v>3264</v>
      </c>
      <c r="U1816" s="118" t="s">
        <v>3265</v>
      </c>
      <c r="V1816" s="21" t="s">
        <v>4497</v>
      </c>
      <c r="W1816" s="21" t="s">
        <v>1</v>
      </c>
      <c r="X1816" s="21"/>
      <c r="Y1816" s="23" t="s">
        <v>23</v>
      </c>
      <c r="Z1816" s="21"/>
      <c r="AA1816" s="21" t="s">
        <v>702</v>
      </c>
      <c r="AB1816" s="21"/>
      <c r="AC1816" s="21"/>
      <c r="AD1816" s="21"/>
      <c r="AE1816" s="39"/>
      <c r="AF1816" s="39" t="s">
        <v>2042</v>
      </c>
      <c r="AG1816" s="21"/>
      <c r="AJ1816" s="27"/>
      <c r="AK1816" s="27"/>
      <c r="AL1816" s="27"/>
      <c r="AM1816" s="27"/>
      <c r="AN1816" s="27"/>
      <c r="AO1816" s="27"/>
      <c r="AP1816" s="27"/>
      <c r="AQ1816" s="27"/>
      <c r="AR1816" s="27"/>
      <c r="AS1816" s="27"/>
      <c r="AT1816" s="27"/>
      <c r="AW1816" s="27"/>
      <c r="AX1816" s="27"/>
      <c r="AY1816" s="27"/>
      <c r="AZ1816" s="27"/>
      <c r="BA1816" s="27"/>
      <c r="BB1816" s="27"/>
      <c r="BC1816" s="27"/>
      <c r="BD1816" s="27"/>
      <c r="BE1816" s="27"/>
      <c r="BF1816" s="27"/>
      <c r="BG1816" s="27"/>
      <c r="BJ1816" s="27"/>
      <c r="BK1816" s="27"/>
      <c r="BL1816" s="27"/>
      <c r="BM1816" s="27"/>
      <c r="BN1816" s="27"/>
      <c r="BO1816" s="27"/>
      <c r="BP1816" s="27"/>
      <c r="BQ1816" s="27"/>
      <c r="BR1816" s="27"/>
      <c r="BS1816" s="27"/>
      <c r="BT1816" s="27"/>
      <c r="BW1816" s="27"/>
      <c r="BX1816" s="27"/>
      <c r="BY1816" s="27"/>
      <c r="BZ1816" s="27"/>
      <c r="CA1816" s="27"/>
      <c r="CB1816" s="27"/>
      <c r="CC1816" s="27"/>
      <c r="CD1816" s="27"/>
      <c r="CE1816" s="27"/>
      <c r="CF1816" s="27"/>
      <c r="CG1816" s="27"/>
      <c r="CI1816" s="70" t="s">
        <v>659</v>
      </c>
      <c r="CJ1816" s="27"/>
      <c r="CK1816" s="23" t="s">
        <v>181</v>
      </c>
      <c r="CR1816" s="36">
        <f t="shared" si="144"/>
        <v>0</v>
      </c>
      <c r="CS1816" s="36">
        <f t="shared" si="145"/>
        <v>0</v>
      </c>
      <c r="CT1816" s="69">
        <f t="shared" si="146"/>
        <v>0</v>
      </c>
      <c r="CU1816" s="69">
        <f t="shared" si="147"/>
        <v>0</v>
      </c>
      <c r="CV1816" s="69">
        <f t="shared" si="148"/>
        <v>0</v>
      </c>
      <c r="CW1816" s="69">
        <f t="shared" si="149"/>
        <v>0</v>
      </c>
      <c r="CX1816" s="69">
        <f t="shared" si="150"/>
        <v>0</v>
      </c>
      <c r="CY1816" s="69">
        <f t="shared" si="151"/>
        <v>0</v>
      </c>
      <c r="CZ1816" s="69">
        <f t="shared" si="152"/>
        <v>0</v>
      </c>
      <c r="DA1816" s="69">
        <f t="shared" si="153"/>
        <v>0</v>
      </c>
      <c r="DB1816" s="69">
        <f t="shared" si="154"/>
        <v>0</v>
      </c>
      <c r="DC1816" s="27"/>
    </row>
    <row r="1817" spans="1:107" s="25" customFormat="1" x14ac:dyDescent="0.2">
      <c r="A1817" s="29">
        <v>6009</v>
      </c>
      <c r="B1817" s="29" t="s">
        <v>181</v>
      </c>
      <c r="C1817" s="29">
        <f t="shared" ref="C1817:C1821" si="155">A1817*10000+B1817</f>
        <v>60090001</v>
      </c>
      <c r="D1817" s="25" t="s">
        <v>4479</v>
      </c>
      <c r="E1817" s="67" t="s">
        <v>658</v>
      </c>
      <c r="F1817" s="67"/>
      <c r="G1817" s="67"/>
      <c r="H1817" s="67"/>
      <c r="I1817" s="21" t="s">
        <v>661</v>
      </c>
      <c r="J1817" s="21"/>
      <c r="K1817" s="21"/>
      <c r="L1817" s="21"/>
      <c r="M1817" s="21"/>
      <c r="N1817" s="21" t="s">
        <v>656</v>
      </c>
      <c r="O1817" s="21" t="s">
        <v>656</v>
      </c>
      <c r="P1817" s="21"/>
      <c r="Q1817" s="21" t="s">
        <v>2041</v>
      </c>
      <c r="R1817" s="21"/>
      <c r="S1817" s="21"/>
      <c r="T1817" s="21" t="s">
        <v>3264</v>
      </c>
      <c r="U1817" s="118" t="s">
        <v>3265</v>
      </c>
      <c r="V1817" s="21" t="s">
        <v>4498</v>
      </c>
      <c r="W1817" s="21" t="s">
        <v>23</v>
      </c>
      <c r="X1817" s="21"/>
      <c r="Y1817" s="23" t="s">
        <v>23</v>
      </c>
      <c r="Z1817" s="21"/>
      <c r="AA1817" s="21" t="s">
        <v>702</v>
      </c>
      <c r="AB1817" s="21"/>
      <c r="AC1817" s="21"/>
      <c r="AD1817" s="21"/>
      <c r="AE1817" s="39"/>
      <c r="AF1817" s="39" t="s">
        <v>2042</v>
      </c>
      <c r="AG1817" s="21"/>
      <c r="AJ1817" s="27"/>
      <c r="AK1817" s="27"/>
      <c r="AL1817" s="27"/>
      <c r="AM1817" s="27"/>
      <c r="AN1817" s="27"/>
      <c r="AO1817" s="27"/>
      <c r="AP1817" s="27"/>
      <c r="AQ1817" s="27"/>
      <c r="AR1817" s="27"/>
      <c r="AS1817" s="27"/>
      <c r="AT1817" s="27"/>
      <c r="AW1817" s="27"/>
      <c r="AX1817" s="27"/>
      <c r="AY1817" s="27"/>
      <c r="AZ1817" s="27"/>
      <c r="BA1817" s="27"/>
      <c r="BB1817" s="27"/>
      <c r="BC1817" s="27"/>
      <c r="BD1817" s="27"/>
      <c r="BE1817" s="27"/>
      <c r="BF1817" s="27"/>
      <c r="BG1817" s="27"/>
      <c r="BJ1817" s="27"/>
      <c r="BK1817" s="27"/>
      <c r="BL1817" s="27"/>
      <c r="BM1817" s="27"/>
      <c r="BN1817" s="27"/>
      <c r="BO1817" s="27"/>
      <c r="BP1817" s="27"/>
      <c r="BQ1817" s="27"/>
      <c r="BR1817" s="27"/>
      <c r="BS1817" s="27"/>
      <c r="BT1817" s="27"/>
      <c r="BW1817" s="27"/>
      <c r="BX1817" s="27"/>
      <c r="BY1817" s="27"/>
      <c r="BZ1817" s="27"/>
      <c r="CA1817" s="27"/>
      <c r="CB1817" s="27"/>
      <c r="CC1817" s="27"/>
      <c r="CD1817" s="27"/>
      <c r="CE1817" s="27"/>
      <c r="CF1817" s="27"/>
      <c r="CG1817" s="27"/>
      <c r="CI1817" s="70" t="s">
        <v>659</v>
      </c>
      <c r="CJ1817" s="27"/>
      <c r="CK1817" s="23" t="s">
        <v>181</v>
      </c>
      <c r="CR1817" s="36">
        <f t="shared" ref="CR1817:CR1821" si="156">AK1817*0.25</f>
        <v>0</v>
      </c>
      <c r="CS1817" s="36">
        <f t="shared" ref="CS1817:CS1821" si="157">AK1817*0.5</f>
        <v>0</v>
      </c>
      <c r="CT1817" s="69">
        <f t="shared" ref="CT1817:CT1821" si="158">CR1817/200*100</f>
        <v>0</v>
      </c>
      <c r="CU1817" s="69">
        <f t="shared" ref="CU1817:CU1821" si="159">CR1817/300*100</f>
        <v>0</v>
      </c>
      <c r="CV1817" s="69">
        <f t="shared" ref="CV1817:CV1821" si="160">CR1817/400*100</f>
        <v>0</v>
      </c>
      <c r="CW1817" s="69">
        <f t="shared" ref="CW1817:CW1821" si="161">CR1817/500*100</f>
        <v>0</v>
      </c>
      <c r="CX1817" s="69">
        <f t="shared" ref="CX1817:CX1821" si="162">CR1817/600*100</f>
        <v>0</v>
      </c>
      <c r="CY1817" s="69">
        <f t="shared" ref="CY1817:CY1821" si="163">CR1817/700*100</f>
        <v>0</v>
      </c>
      <c r="CZ1817" s="69">
        <f t="shared" ref="CZ1817:CZ1821" si="164">CR1817/800*100</f>
        <v>0</v>
      </c>
      <c r="DA1817" s="69">
        <f t="shared" ref="DA1817:DA1821" si="165">CR1817/900*100</f>
        <v>0</v>
      </c>
      <c r="DB1817" s="69">
        <f t="shared" ref="DB1817:DB1821" si="166">CR1817/1000*100</f>
        <v>0</v>
      </c>
      <c r="DC1817" s="27"/>
    </row>
    <row r="1818" spans="1:107" s="25" customFormat="1" x14ac:dyDescent="0.2">
      <c r="A1818" s="29">
        <v>6009</v>
      </c>
      <c r="B1818" s="29" t="s">
        <v>22</v>
      </c>
      <c r="C1818" s="29">
        <f t="shared" si="155"/>
        <v>60090002</v>
      </c>
      <c r="D1818" s="25" t="s">
        <v>4480</v>
      </c>
      <c r="E1818" s="67" t="s">
        <v>658</v>
      </c>
      <c r="F1818" s="67"/>
      <c r="G1818" s="67"/>
      <c r="H1818" s="67"/>
      <c r="I1818" s="21" t="s">
        <v>661</v>
      </c>
      <c r="J1818" s="21"/>
      <c r="K1818" s="21"/>
      <c r="L1818" s="21"/>
      <c r="M1818" s="21"/>
      <c r="N1818" s="21" t="s">
        <v>656</v>
      </c>
      <c r="O1818" s="21" t="s">
        <v>656</v>
      </c>
      <c r="P1818" s="21"/>
      <c r="Q1818" s="21" t="s">
        <v>2041</v>
      </c>
      <c r="R1818" s="21"/>
      <c r="S1818" s="21"/>
      <c r="T1818" s="21" t="s">
        <v>3264</v>
      </c>
      <c r="U1818" s="118" t="s">
        <v>3265</v>
      </c>
      <c r="V1818" s="21" t="s">
        <v>4498</v>
      </c>
      <c r="W1818" s="21" t="s">
        <v>1</v>
      </c>
      <c r="X1818" s="21"/>
      <c r="Y1818" s="23" t="s">
        <v>23</v>
      </c>
      <c r="Z1818" s="21"/>
      <c r="AA1818" s="21" t="s">
        <v>702</v>
      </c>
      <c r="AB1818" s="21"/>
      <c r="AC1818" s="21"/>
      <c r="AD1818" s="21"/>
      <c r="AE1818" s="39"/>
      <c r="AF1818" s="39" t="s">
        <v>2042</v>
      </c>
      <c r="AG1818" s="21"/>
      <c r="AJ1818" s="27"/>
      <c r="AK1818" s="27"/>
      <c r="AL1818" s="27"/>
      <c r="AM1818" s="27"/>
      <c r="AN1818" s="27"/>
      <c r="AO1818" s="27"/>
      <c r="AP1818" s="27"/>
      <c r="AQ1818" s="27"/>
      <c r="AR1818" s="27"/>
      <c r="AS1818" s="27"/>
      <c r="AT1818" s="27"/>
      <c r="AW1818" s="27"/>
      <c r="AX1818" s="27"/>
      <c r="AY1818" s="27"/>
      <c r="AZ1818" s="27"/>
      <c r="BA1818" s="27"/>
      <c r="BB1818" s="27"/>
      <c r="BC1818" s="27"/>
      <c r="BD1818" s="27"/>
      <c r="BE1818" s="27"/>
      <c r="BF1818" s="27"/>
      <c r="BG1818" s="27"/>
      <c r="BJ1818" s="27"/>
      <c r="BK1818" s="27"/>
      <c r="BL1818" s="27"/>
      <c r="BM1818" s="27"/>
      <c r="BN1818" s="27"/>
      <c r="BO1818" s="27"/>
      <c r="BP1818" s="27"/>
      <c r="BQ1818" s="27"/>
      <c r="BR1818" s="27"/>
      <c r="BS1818" s="27"/>
      <c r="BT1818" s="27"/>
      <c r="BW1818" s="27"/>
      <c r="BX1818" s="27"/>
      <c r="BY1818" s="27"/>
      <c r="BZ1818" s="27"/>
      <c r="CA1818" s="27"/>
      <c r="CB1818" s="27"/>
      <c r="CC1818" s="27"/>
      <c r="CD1818" s="27"/>
      <c r="CE1818" s="27"/>
      <c r="CF1818" s="27"/>
      <c r="CG1818" s="27"/>
      <c r="CI1818" s="70" t="s">
        <v>659</v>
      </c>
      <c r="CJ1818" s="27"/>
      <c r="CK1818" s="23" t="s">
        <v>181</v>
      </c>
      <c r="CR1818" s="36">
        <f t="shared" si="156"/>
        <v>0</v>
      </c>
      <c r="CS1818" s="36">
        <f t="shared" si="157"/>
        <v>0</v>
      </c>
      <c r="CT1818" s="69">
        <f t="shared" si="158"/>
        <v>0</v>
      </c>
      <c r="CU1818" s="69">
        <f t="shared" si="159"/>
        <v>0</v>
      </c>
      <c r="CV1818" s="69">
        <f t="shared" si="160"/>
        <v>0</v>
      </c>
      <c r="CW1818" s="69">
        <f t="shared" si="161"/>
        <v>0</v>
      </c>
      <c r="CX1818" s="69">
        <f t="shared" si="162"/>
        <v>0</v>
      </c>
      <c r="CY1818" s="69">
        <f t="shared" si="163"/>
        <v>0</v>
      </c>
      <c r="CZ1818" s="69">
        <f t="shared" si="164"/>
        <v>0</v>
      </c>
      <c r="DA1818" s="69">
        <f t="shared" si="165"/>
        <v>0</v>
      </c>
      <c r="DB1818" s="69">
        <f t="shared" si="166"/>
        <v>0</v>
      </c>
      <c r="DC1818" s="27"/>
    </row>
    <row r="1819" spans="1:107" s="25" customFormat="1" x14ac:dyDescent="0.2">
      <c r="A1819" s="29">
        <v>6009</v>
      </c>
      <c r="B1819" s="29" t="s">
        <v>122</v>
      </c>
      <c r="C1819" s="29">
        <f t="shared" si="155"/>
        <v>60090003</v>
      </c>
      <c r="D1819" s="25" t="s">
        <v>4481</v>
      </c>
      <c r="E1819" s="67" t="s">
        <v>658</v>
      </c>
      <c r="F1819" s="67"/>
      <c r="G1819" s="67"/>
      <c r="H1819" s="67"/>
      <c r="I1819" s="21" t="s">
        <v>661</v>
      </c>
      <c r="J1819" s="21"/>
      <c r="K1819" s="21"/>
      <c r="L1819" s="21"/>
      <c r="M1819" s="21"/>
      <c r="N1819" s="21" t="s">
        <v>656</v>
      </c>
      <c r="O1819" s="21" t="s">
        <v>656</v>
      </c>
      <c r="P1819" s="21"/>
      <c r="Q1819" s="21" t="s">
        <v>2041</v>
      </c>
      <c r="R1819" s="21"/>
      <c r="S1819" s="21"/>
      <c r="T1819" s="21" t="s">
        <v>3264</v>
      </c>
      <c r="U1819" s="118" t="s">
        <v>3265</v>
      </c>
      <c r="V1819" s="21" t="s">
        <v>4498</v>
      </c>
      <c r="W1819" s="21" t="s">
        <v>1</v>
      </c>
      <c r="X1819" s="21"/>
      <c r="Y1819" s="23" t="s">
        <v>23</v>
      </c>
      <c r="Z1819" s="21"/>
      <c r="AA1819" s="21" t="s">
        <v>702</v>
      </c>
      <c r="AB1819" s="21"/>
      <c r="AC1819" s="21"/>
      <c r="AD1819" s="21"/>
      <c r="AE1819" s="39"/>
      <c r="AF1819" s="39" t="s">
        <v>2042</v>
      </c>
      <c r="AG1819" s="21"/>
      <c r="AJ1819" s="27"/>
      <c r="AK1819" s="27"/>
      <c r="AL1819" s="27"/>
      <c r="AM1819" s="27"/>
      <c r="AN1819" s="27"/>
      <c r="AO1819" s="27"/>
      <c r="AP1819" s="27"/>
      <c r="AQ1819" s="27"/>
      <c r="AR1819" s="27"/>
      <c r="AS1819" s="27"/>
      <c r="AT1819" s="27"/>
      <c r="AW1819" s="27"/>
      <c r="AX1819" s="27"/>
      <c r="AY1819" s="27"/>
      <c r="AZ1819" s="27"/>
      <c r="BA1819" s="27"/>
      <c r="BB1819" s="27"/>
      <c r="BC1819" s="27"/>
      <c r="BD1819" s="27"/>
      <c r="BE1819" s="27"/>
      <c r="BF1819" s="27"/>
      <c r="BG1819" s="27"/>
      <c r="BJ1819" s="27"/>
      <c r="BK1819" s="27"/>
      <c r="BL1819" s="27"/>
      <c r="BM1819" s="27"/>
      <c r="BN1819" s="27"/>
      <c r="BO1819" s="27"/>
      <c r="BP1819" s="27"/>
      <c r="BQ1819" s="27"/>
      <c r="BR1819" s="27"/>
      <c r="BS1819" s="27"/>
      <c r="BT1819" s="27"/>
      <c r="BW1819" s="27"/>
      <c r="BX1819" s="27"/>
      <c r="BY1819" s="27"/>
      <c r="BZ1819" s="27"/>
      <c r="CA1819" s="27"/>
      <c r="CB1819" s="27"/>
      <c r="CC1819" s="27"/>
      <c r="CD1819" s="27"/>
      <c r="CE1819" s="27"/>
      <c r="CF1819" s="27"/>
      <c r="CG1819" s="27"/>
      <c r="CI1819" s="70" t="s">
        <v>659</v>
      </c>
      <c r="CJ1819" s="27"/>
      <c r="CK1819" s="23" t="s">
        <v>181</v>
      </c>
      <c r="CR1819" s="36">
        <f t="shared" si="156"/>
        <v>0</v>
      </c>
      <c r="CS1819" s="36">
        <f t="shared" si="157"/>
        <v>0</v>
      </c>
      <c r="CT1819" s="69">
        <f t="shared" si="158"/>
        <v>0</v>
      </c>
      <c r="CU1819" s="69">
        <f t="shared" si="159"/>
        <v>0</v>
      </c>
      <c r="CV1819" s="69">
        <f t="shared" si="160"/>
        <v>0</v>
      </c>
      <c r="CW1819" s="69">
        <f t="shared" si="161"/>
        <v>0</v>
      </c>
      <c r="CX1819" s="69">
        <f t="shared" si="162"/>
        <v>0</v>
      </c>
      <c r="CY1819" s="69">
        <f t="shared" si="163"/>
        <v>0</v>
      </c>
      <c r="CZ1819" s="69">
        <f t="shared" si="164"/>
        <v>0</v>
      </c>
      <c r="DA1819" s="69">
        <f t="shared" si="165"/>
        <v>0</v>
      </c>
      <c r="DB1819" s="69">
        <f t="shared" si="166"/>
        <v>0</v>
      </c>
      <c r="DC1819" s="27"/>
    </row>
    <row r="1820" spans="1:107" s="25" customFormat="1" x14ac:dyDescent="0.2">
      <c r="A1820" s="29">
        <v>6009</v>
      </c>
      <c r="B1820" s="29" t="s">
        <v>23</v>
      </c>
      <c r="C1820" s="29">
        <f t="shared" si="155"/>
        <v>60090004</v>
      </c>
      <c r="D1820" s="25" t="s">
        <v>4482</v>
      </c>
      <c r="E1820" s="67" t="s">
        <v>658</v>
      </c>
      <c r="F1820" s="67"/>
      <c r="G1820" s="67"/>
      <c r="H1820" s="67"/>
      <c r="I1820" s="21" t="s">
        <v>661</v>
      </c>
      <c r="J1820" s="21"/>
      <c r="K1820" s="21"/>
      <c r="L1820" s="21"/>
      <c r="M1820" s="21"/>
      <c r="N1820" s="21" t="s">
        <v>656</v>
      </c>
      <c r="O1820" s="21" t="s">
        <v>656</v>
      </c>
      <c r="P1820" s="21"/>
      <c r="Q1820" s="21" t="s">
        <v>2041</v>
      </c>
      <c r="R1820" s="21"/>
      <c r="S1820" s="21"/>
      <c r="T1820" s="21" t="s">
        <v>3264</v>
      </c>
      <c r="U1820" s="118" t="s">
        <v>3265</v>
      </c>
      <c r="V1820" s="21" t="s">
        <v>4498</v>
      </c>
      <c r="W1820" s="21" t="s">
        <v>1</v>
      </c>
      <c r="X1820" s="21"/>
      <c r="Y1820" s="23" t="s">
        <v>23</v>
      </c>
      <c r="Z1820" s="21"/>
      <c r="AA1820" s="21" t="s">
        <v>702</v>
      </c>
      <c r="AB1820" s="21"/>
      <c r="AC1820" s="21"/>
      <c r="AD1820" s="21"/>
      <c r="AE1820" s="39"/>
      <c r="AF1820" s="39" t="s">
        <v>2042</v>
      </c>
      <c r="AG1820" s="21"/>
      <c r="AJ1820" s="27"/>
      <c r="AK1820" s="27"/>
      <c r="AL1820" s="27"/>
      <c r="AM1820" s="27"/>
      <c r="AN1820" s="27"/>
      <c r="AO1820" s="27"/>
      <c r="AP1820" s="27"/>
      <c r="AQ1820" s="27"/>
      <c r="AR1820" s="27"/>
      <c r="AS1820" s="27"/>
      <c r="AT1820" s="27"/>
      <c r="AW1820" s="27"/>
      <c r="AX1820" s="27"/>
      <c r="AY1820" s="27"/>
      <c r="AZ1820" s="27"/>
      <c r="BA1820" s="27"/>
      <c r="BB1820" s="27"/>
      <c r="BC1820" s="27"/>
      <c r="BD1820" s="27"/>
      <c r="BE1820" s="27"/>
      <c r="BF1820" s="27"/>
      <c r="BG1820" s="27"/>
      <c r="BJ1820" s="27"/>
      <c r="BK1820" s="27"/>
      <c r="BL1820" s="27"/>
      <c r="BM1820" s="27"/>
      <c r="BN1820" s="27"/>
      <c r="BO1820" s="27"/>
      <c r="BP1820" s="27"/>
      <c r="BQ1820" s="27"/>
      <c r="BR1820" s="27"/>
      <c r="BS1820" s="27"/>
      <c r="BT1820" s="27"/>
      <c r="BW1820" s="27"/>
      <c r="BX1820" s="27"/>
      <c r="BY1820" s="27"/>
      <c r="BZ1820" s="27"/>
      <c r="CA1820" s="27"/>
      <c r="CB1820" s="27"/>
      <c r="CC1820" s="27"/>
      <c r="CD1820" s="27"/>
      <c r="CE1820" s="27"/>
      <c r="CF1820" s="27"/>
      <c r="CG1820" s="27"/>
      <c r="CI1820" s="70" t="s">
        <v>659</v>
      </c>
      <c r="CJ1820" s="27"/>
      <c r="CK1820" s="23" t="s">
        <v>181</v>
      </c>
      <c r="CR1820" s="36">
        <f t="shared" si="156"/>
        <v>0</v>
      </c>
      <c r="CS1820" s="36">
        <f t="shared" si="157"/>
        <v>0</v>
      </c>
      <c r="CT1820" s="69">
        <f t="shared" si="158"/>
        <v>0</v>
      </c>
      <c r="CU1820" s="69">
        <f t="shared" si="159"/>
        <v>0</v>
      </c>
      <c r="CV1820" s="69">
        <f t="shared" si="160"/>
        <v>0</v>
      </c>
      <c r="CW1820" s="69">
        <f t="shared" si="161"/>
        <v>0</v>
      </c>
      <c r="CX1820" s="69">
        <f t="shared" si="162"/>
        <v>0</v>
      </c>
      <c r="CY1820" s="69">
        <f t="shared" si="163"/>
        <v>0</v>
      </c>
      <c r="CZ1820" s="69">
        <f t="shared" si="164"/>
        <v>0</v>
      </c>
      <c r="DA1820" s="69">
        <f t="shared" si="165"/>
        <v>0</v>
      </c>
      <c r="DB1820" s="69">
        <f t="shared" si="166"/>
        <v>0</v>
      </c>
      <c r="DC1820" s="27"/>
    </row>
    <row r="1821" spans="1:107" s="25" customFormat="1" x14ac:dyDescent="0.2">
      <c r="A1821" s="29">
        <v>6009</v>
      </c>
      <c r="B1821" s="29" t="s">
        <v>123</v>
      </c>
      <c r="C1821" s="29">
        <f t="shared" si="155"/>
        <v>60090005</v>
      </c>
      <c r="D1821" s="25" t="s">
        <v>4483</v>
      </c>
      <c r="E1821" s="67" t="s">
        <v>658</v>
      </c>
      <c r="F1821" s="67"/>
      <c r="G1821" s="67"/>
      <c r="H1821" s="67"/>
      <c r="I1821" s="21" t="s">
        <v>661</v>
      </c>
      <c r="J1821" s="21"/>
      <c r="K1821" s="21"/>
      <c r="L1821" s="21"/>
      <c r="M1821" s="21"/>
      <c r="N1821" s="21" t="s">
        <v>656</v>
      </c>
      <c r="O1821" s="21" t="s">
        <v>656</v>
      </c>
      <c r="P1821" s="21"/>
      <c r="Q1821" s="21" t="s">
        <v>2041</v>
      </c>
      <c r="R1821" s="21"/>
      <c r="S1821" s="21"/>
      <c r="T1821" s="21" t="s">
        <v>3264</v>
      </c>
      <c r="U1821" s="118" t="s">
        <v>3265</v>
      </c>
      <c r="V1821" s="21" t="s">
        <v>4498</v>
      </c>
      <c r="W1821" s="21" t="s">
        <v>1</v>
      </c>
      <c r="X1821" s="21"/>
      <c r="Y1821" s="23" t="s">
        <v>23</v>
      </c>
      <c r="Z1821" s="21"/>
      <c r="AA1821" s="21" t="s">
        <v>702</v>
      </c>
      <c r="AB1821" s="21"/>
      <c r="AC1821" s="21"/>
      <c r="AD1821" s="21"/>
      <c r="AE1821" s="39"/>
      <c r="AF1821" s="39" t="s">
        <v>2042</v>
      </c>
      <c r="AG1821" s="21"/>
      <c r="AJ1821" s="27"/>
      <c r="AK1821" s="27"/>
      <c r="AL1821" s="27"/>
      <c r="AM1821" s="27"/>
      <c r="AN1821" s="27"/>
      <c r="AO1821" s="27"/>
      <c r="AP1821" s="27"/>
      <c r="AQ1821" s="27"/>
      <c r="AR1821" s="27"/>
      <c r="AS1821" s="27"/>
      <c r="AT1821" s="27"/>
      <c r="AW1821" s="27"/>
      <c r="AX1821" s="27"/>
      <c r="AY1821" s="27"/>
      <c r="AZ1821" s="27"/>
      <c r="BA1821" s="27"/>
      <c r="BB1821" s="27"/>
      <c r="BC1821" s="27"/>
      <c r="BD1821" s="27"/>
      <c r="BE1821" s="27"/>
      <c r="BF1821" s="27"/>
      <c r="BG1821" s="27"/>
      <c r="BJ1821" s="27"/>
      <c r="BK1821" s="27"/>
      <c r="BL1821" s="27"/>
      <c r="BM1821" s="27"/>
      <c r="BN1821" s="27"/>
      <c r="BO1821" s="27"/>
      <c r="BP1821" s="27"/>
      <c r="BQ1821" s="27"/>
      <c r="BR1821" s="27"/>
      <c r="BS1821" s="27"/>
      <c r="BT1821" s="27"/>
      <c r="BW1821" s="27"/>
      <c r="BX1821" s="27"/>
      <c r="BY1821" s="27"/>
      <c r="BZ1821" s="27"/>
      <c r="CA1821" s="27"/>
      <c r="CB1821" s="27"/>
      <c r="CC1821" s="27"/>
      <c r="CD1821" s="27"/>
      <c r="CE1821" s="27"/>
      <c r="CF1821" s="27"/>
      <c r="CG1821" s="27"/>
      <c r="CI1821" s="70" t="s">
        <v>659</v>
      </c>
      <c r="CJ1821" s="27"/>
      <c r="CK1821" s="23" t="s">
        <v>181</v>
      </c>
      <c r="CR1821" s="36">
        <f t="shared" si="156"/>
        <v>0</v>
      </c>
      <c r="CS1821" s="36">
        <f t="shared" si="157"/>
        <v>0</v>
      </c>
      <c r="CT1821" s="69">
        <f t="shared" si="158"/>
        <v>0</v>
      </c>
      <c r="CU1821" s="69">
        <f t="shared" si="159"/>
        <v>0</v>
      </c>
      <c r="CV1821" s="69">
        <f t="shared" si="160"/>
        <v>0</v>
      </c>
      <c r="CW1821" s="69">
        <f t="shared" si="161"/>
        <v>0</v>
      </c>
      <c r="CX1821" s="69">
        <f t="shared" si="162"/>
        <v>0</v>
      </c>
      <c r="CY1821" s="69">
        <f t="shared" si="163"/>
        <v>0</v>
      </c>
      <c r="CZ1821" s="69">
        <f t="shared" si="164"/>
        <v>0</v>
      </c>
      <c r="DA1821" s="69">
        <f t="shared" si="165"/>
        <v>0</v>
      </c>
      <c r="DB1821" s="69">
        <f t="shared" si="166"/>
        <v>0</v>
      </c>
      <c r="DC1821" s="27"/>
    </row>
    <row r="1822" spans="1:107" s="25" customFormat="1" x14ac:dyDescent="0.2">
      <c r="A1822" s="29" t="s">
        <v>4424</v>
      </c>
      <c r="B1822" s="29" t="s">
        <v>181</v>
      </c>
      <c r="C1822" s="29">
        <f t="shared" si="110"/>
        <v>60100001</v>
      </c>
      <c r="D1822" s="25" t="s">
        <v>4423</v>
      </c>
      <c r="E1822" s="67" t="s">
        <v>658</v>
      </c>
      <c r="F1822" s="67"/>
      <c r="G1822" s="67"/>
      <c r="H1822" s="67"/>
      <c r="I1822" s="21" t="s">
        <v>661</v>
      </c>
      <c r="J1822" s="21"/>
      <c r="K1822" s="21"/>
      <c r="L1822" s="21"/>
      <c r="M1822" s="21"/>
      <c r="N1822" s="21" t="s">
        <v>656</v>
      </c>
      <c r="O1822" s="21" t="s">
        <v>4488</v>
      </c>
      <c r="P1822" s="21"/>
      <c r="Q1822" s="21" t="s">
        <v>2041</v>
      </c>
      <c r="R1822" s="21"/>
      <c r="S1822" s="21"/>
      <c r="T1822" s="21" t="s">
        <v>3264</v>
      </c>
      <c r="U1822" s="118" t="s">
        <v>3265</v>
      </c>
      <c r="V1822" s="21" t="s">
        <v>4499</v>
      </c>
      <c r="W1822" s="21" t="s">
        <v>1</v>
      </c>
      <c r="X1822" s="21"/>
      <c r="Y1822" s="23" t="s">
        <v>23</v>
      </c>
      <c r="Z1822" s="21"/>
      <c r="AA1822" s="21" t="s">
        <v>702</v>
      </c>
      <c r="AB1822" s="21"/>
      <c r="AC1822" s="21"/>
      <c r="AD1822" s="21"/>
      <c r="AE1822" s="39"/>
      <c r="AF1822" s="39" t="s">
        <v>2042</v>
      </c>
      <c r="AG1822" s="21"/>
      <c r="AJ1822" s="27"/>
      <c r="AK1822" s="27"/>
      <c r="AL1822" s="27"/>
      <c r="AM1822" s="27"/>
      <c r="AN1822" s="27"/>
      <c r="AO1822" s="27"/>
      <c r="AP1822" s="27"/>
      <c r="AQ1822" s="27"/>
      <c r="AR1822" s="27"/>
      <c r="AS1822" s="27"/>
      <c r="AT1822" s="27"/>
      <c r="AW1822" s="27"/>
      <c r="AX1822" s="27"/>
      <c r="AY1822" s="27"/>
      <c r="AZ1822" s="27"/>
      <c r="BA1822" s="27"/>
      <c r="BB1822" s="27"/>
      <c r="BC1822" s="27"/>
      <c r="BD1822" s="27"/>
      <c r="BE1822" s="27"/>
      <c r="BF1822" s="27"/>
      <c r="BG1822" s="27"/>
      <c r="BJ1822" s="27"/>
      <c r="BK1822" s="27"/>
      <c r="BL1822" s="27"/>
      <c r="BM1822" s="27"/>
      <c r="BN1822" s="27"/>
      <c r="BO1822" s="27"/>
      <c r="BP1822" s="27"/>
      <c r="BQ1822" s="27"/>
      <c r="BR1822" s="27"/>
      <c r="BS1822" s="27"/>
      <c r="BT1822" s="27"/>
      <c r="BW1822" s="27"/>
      <c r="BX1822" s="27"/>
      <c r="BY1822" s="27"/>
      <c r="BZ1822" s="27"/>
      <c r="CA1822" s="27"/>
      <c r="CB1822" s="27"/>
      <c r="CC1822" s="27"/>
      <c r="CD1822" s="27"/>
      <c r="CE1822" s="27"/>
      <c r="CF1822" s="27"/>
      <c r="CG1822" s="27"/>
      <c r="CI1822" s="70" t="s">
        <v>659</v>
      </c>
      <c r="CJ1822" s="27"/>
      <c r="CK1822" s="23" t="s">
        <v>181</v>
      </c>
      <c r="CR1822" s="36">
        <f t="shared" si="144"/>
        <v>0</v>
      </c>
      <c r="CS1822" s="36">
        <f t="shared" si="145"/>
        <v>0</v>
      </c>
      <c r="CT1822" s="69">
        <f t="shared" si="146"/>
        <v>0</v>
      </c>
      <c r="CU1822" s="69">
        <f t="shared" si="147"/>
        <v>0</v>
      </c>
      <c r="CV1822" s="69">
        <f t="shared" si="148"/>
        <v>0</v>
      </c>
      <c r="CW1822" s="69">
        <f t="shared" si="149"/>
        <v>0</v>
      </c>
      <c r="CX1822" s="69">
        <f t="shared" si="150"/>
        <v>0</v>
      </c>
      <c r="CY1822" s="69">
        <f t="shared" si="151"/>
        <v>0</v>
      </c>
      <c r="CZ1822" s="69">
        <f t="shared" si="152"/>
        <v>0</v>
      </c>
      <c r="DA1822" s="69">
        <f t="shared" si="153"/>
        <v>0</v>
      </c>
      <c r="DB1822" s="69">
        <f t="shared" si="154"/>
        <v>0</v>
      </c>
      <c r="DC1822" s="27"/>
    </row>
    <row r="1823" spans="1:107" s="25" customFormat="1" x14ac:dyDescent="0.2">
      <c r="A1823" s="29" t="s">
        <v>4478</v>
      </c>
      <c r="B1823" s="29" t="s">
        <v>181</v>
      </c>
      <c r="C1823" s="29">
        <f t="shared" si="110"/>
        <v>60110001</v>
      </c>
      <c r="D1823" s="25" t="s">
        <v>4425</v>
      </c>
      <c r="E1823" s="67" t="s">
        <v>658</v>
      </c>
      <c r="F1823" s="67"/>
      <c r="G1823" s="67"/>
      <c r="H1823" s="67"/>
      <c r="I1823" s="21" t="s">
        <v>661</v>
      </c>
      <c r="J1823" s="21"/>
      <c r="K1823" s="21"/>
      <c r="L1823" s="21"/>
      <c r="M1823" s="21"/>
      <c r="N1823" s="21" t="s">
        <v>656</v>
      </c>
      <c r="O1823" s="21" t="s">
        <v>656</v>
      </c>
      <c r="P1823" s="21"/>
      <c r="Q1823" s="21" t="s">
        <v>2041</v>
      </c>
      <c r="R1823" s="21"/>
      <c r="S1823" s="21"/>
      <c r="T1823" s="21" t="s">
        <v>3264</v>
      </c>
      <c r="U1823" s="118" t="s">
        <v>3265</v>
      </c>
      <c r="V1823" s="21" t="s">
        <v>4500</v>
      </c>
      <c r="W1823" s="21" t="s">
        <v>1</v>
      </c>
      <c r="X1823" s="21"/>
      <c r="Y1823" s="23" t="s">
        <v>23</v>
      </c>
      <c r="Z1823" s="21"/>
      <c r="AA1823" s="21" t="s">
        <v>702</v>
      </c>
      <c r="AB1823" s="21"/>
      <c r="AC1823" s="21"/>
      <c r="AD1823" s="21"/>
      <c r="AE1823" s="39"/>
      <c r="AF1823" s="39" t="s">
        <v>2042</v>
      </c>
      <c r="AG1823" s="21"/>
      <c r="AJ1823" s="27"/>
      <c r="AK1823" s="27"/>
      <c r="AL1823" s="27"/>
      <c r="AM1823" s="27"/>
      <c r="AN1823" s="27"/>
      <c r="AO1823" s="27"/>
      <c r="AP1823" s="27"/>
      <c r="AQ1823" s="27"/>
      <c r="AR1823" s="27"/>
      <c r="AS1823" s="27"/>
      <c r="AT1823" s="27"/>
      <c r="AW1823" s="27"/>
      <c r="AX1823" s="27"/>
      <c r="AY1823" s="27"/>
      <c r="AZ1823" s="27"/>
      <c r="BA1823" s="27"/>
      <c r="BB1823" s="27"/>
      <c r="BC1823" s="27"/>
      <c r="BD1823" s="27"/>
      <c r="BE1823" s="27"/>
      <c r="BF1823" s="27"/>
      <c r="BG1823" s="27"/>
      <c r="BJ1823" s="27"/>
      <c r="BK1823" s="27"/>
      <c r="BL1823" s="27"/>
      <c r="BM1823" s="27"/>
      <c r="BN1823" s="27"/>
      <c r="BO1823" s="27"/>
      <c r="BP1823" s="27"/>
      <c r="BQ1823" s="27"/>
      <c r="BR1823" s="27"/>
      <c r="BS1823" s="27"/>
      <c r="BT1823" s="27"/>
      <c r="BW1823" s="27"/>
      <c r="BX1823" s="27"/>
      <c r="BY1823" s="27"/>
      <c r="BZ1823" s="27"/>
      <c r="CA1823" s="27"/>
      <c r="CB1823" s="27"/>
      <c r="CC1823" s="27"/>
      <c r="CD1823" s="27"/>
      <c r="CE1823" s="27"/>
      <c r="CF1823" s="27"/>
      <c r="CG1823" s="27"/>
      <c r="CI1823" s="70" t="s">
        <v>659</v>
      </c>
      <c r="CJ1823" s="27"/>
      <c r="CK1823" s="23" t="s">
        <v>181</v>
      </c>
      <c r="CR1823" s="36">
        <f t="shared" si="144"/>
        <v>0</v>
      </c>
      <c r="CS1823" s="36">
        <f t="shared" si="145"/>
        <v>0</v>
      </c>
      <c r="CT1823" s="69">
        <f t="shared" si="146"/>
        <v>0</v>
      </c>
      <c r="CU1823" s="69">
        <f t="shared" si="147"/>
        <v>0</v>
      </c>
      <c r="CV1823" s="69">
        <f t="shared" si="148"/>
        <v>0</v>
      </c>
      <c r="CW1823" s="69">
        <f t="shared" si="149"/>
        <v>0</v>
      </c>
      <c r="CX1823" s="69">
        <f t="shared" si="150"/>
        <v>0</v>
      </c>
      <c r="CY1823" s="69">
        <f t="shared" si="151"/>
        <v>0</v>
      </c>
      <c r="CZ1823" s="69">
        <f t="shared" si="152"/>
        <v>0</v>
      </c>
      <c r="DA1823" s="69">
        <f t="shared" si="153"/>
        <v>0</v>
      </c>
      <c r="DB1823" s="69">
        <f t="shared" si="154"/>
        <v>0</v>
      </c>
      <c r="DC1823" s="27"/>
    </row>
    <row r="1824" spans="1:107" s="14" customFormat="1" ht="17.25" x14ac:dyDescent="0.3">
      <c r="A1824" s="8"/>
      <c r="B1824" s="8"/>
      <c r="C1824" s="8">
        <f t="shared" si="110"/>
        <v>0</v>
      </c>
      <c r="D1824" s="8"/>
      <c r="E1824" s="9" t="s">
        <v>697</v>
      </c>
      <c r="F1824" s="9"/>
      <c r="G1824" s="9"/>
      <c r="H1824" s="9"/>
      <c r="I1824" s="10"/>
      <c r="J1824" s="10"/>
      <c r="K1824" s="10"/>
      <c r="L1824" s="10"/>
      <c r="M1824" s="10"/>
      <c r="N1824" s="10"/>
      <c r="O1824" s="10"/>
      <c r="P1824" s="10"/>
      <c r="Q1824" s="10"/>
      <c r="R1824" s="10"/>
      <c r="S1824" s="10"/>
      <c r="T1824" s="10"/>
      <c r="U1824" s="10"/>
      <c r="V1824" s="10"/>
      <c r="W1824" s="10"/>
      <c r="X1824" s="10"/>
      <c r="Y1824" s="11"/>
      <c r="Z1824" s="10"/>
      <c r="AA1824" s="10"/>
      <c r="AB1824" s="10"/>
      <c r="AC1824" s="10"/>
      <c r="AD1824" s="10"/>
      <c r="AE1824" s="12"/>
      <c r="AF1824" s="12"/>
      <c r="AG1824" s="10"/>
      <c r="AH1824" s="13"/>
      <c r="AI1824" s="13"/>
      <c r="AJ1824" s="13"/>
      <c r="AK1824" s="15"/>
      <c r="AL1824" s="15"/>
      <c r="AM1824" s="15"/>
      <c r="AN1824" s="15"/>
      <c r="AO1824" s="15"/>
      <c r="AP1824" s="15"/>
      <c r="AQ1824" s="15"/>
      <c r="AR1824" s="15"/>
      <c r="AS1824" s="15"/>
      <c r="AT1824" s="15"/>
      <c r="AU1824" s="13"/>
      <c r="AV1824" s="13"/>
      <c r="AW1824" s="13"/>
      <c r="AX1824" s="31"/>
      <c r="AY1824" s="31"/>
      <c r="AZ1824" s="15"/>
      <c r="BA1824" s="15"/>
      <c r="BB1824" s="15"/>
      <c r="BC1824" s="15"/>
      <c r="BD1824" s="15"/>
      <c r="BE1824" s="15"/>
      <c r="BF1824" s="15"/>
      <c r="BG1824" s="15"/>
      <c r="BH1824" s="13"/>
      <c r="BI1824" s="13"/>
      <c r="BJ1824" s="13"/>
      <c r="BK1824" s="31"/>
      <c r="BL1824" s="31"/>
      <c r="BM1824" s="15"/>
      <c r="BN1824" s="15"/>
      <c r="BO1824" s="15"/>
      <c r="BP1824" s="15"/>
      <c r="BQ1824" s="15"/>
      <c r="BR1824" s="15"/>
      <c r="BS1824" s="15"/>
      <c r="BT1824" s="15"/>
      <c r="BU1824" s="13"/>
      <c r="BV1824" s="13"/>
      <c r="BW1824" s="13"/>
      <c r="BX1824" s="31"/>
      <c r="BY1824" s="31"/>
      <c r="BZ1824" s="15"/>
      <c r="CA1824" s="15"/>
      <c r="CB1824" s="15"/>
      <c r="CC1824" s="15"/>
      <c r="CD1824" s="15"/>
      <c r="CE1824" s="15"/>
      <c r="CF1824" s="15"/>
      <c r="CG1824" s="15"/>
      <c r="CH1824" s="10"/>
      <c r="CI1824" s="8"/>
      <c r="CJ1824" s="16"/>
      <c r="CK1824" s="8"/>
      <c r="CT1824" s="17"/>
      <c r="CU1824" s="17"/>
      <c r="CV1824" s="17"/>
      <c r="CW1824" s="17"/>
      <c r="CX1824" s="17"/>
      <c r="CY1824" s="17"/>
      <c r="CZ1824" s="17"/>
      <c r="DA1824" s="17"/>
      <c r="DB1824" s="17"/>
      <c r="DC1824" s="15"/>
    </row>
    <row r="1825" spans="1:107" s="25" customFormat="1" x14ac:dyDescent="0.2">
      <c r="A1825" s="29" t="s">
        <v>698</v>
      </c>
      <c r="B1825" s="29" t="s">
        <v>181</v>
      </c>
      <c r="C1825" s="29">
        <f t="shared" si="110"/>
        <v>70010001</v>
      </c>
      <c r="D1825" s="25" t="s">
        <v>1110</v>
      </c>
      <c r="E1825" s="67" t="s">
        <v>703</v>
      </c>
      <c r="F1825" s="67"/>
      <c r="G1825" s="67"/>
      <c r="H1825" s="67"/>
      <c r="I1825" s="21" t="s">
        <v>661</v>
      </c>
      <c r="J1825" s="21"/>
      <c r="K1825" s="21"/>
      <c r="L1825" s="21"/>
      <c r="M1825" s="21"/>
      <c r="N1825" s="21" t="s">
        <v>699</v>
      </c>
      <c r="O1825" s="21" t="s">
        <v>699</v>
      </c>
      <c r="P1825" s="21"/>
      <c r="Q1825" s="21" t="s">
        <v>2041</v>
      </c>
      <c r="R1825" s="21"/>
      <c r="S1825" s="21"/>
      <c r="T1825" s="21" t="s">
        <v>3211</v>
      </c>
      <c r="U1825" s="117" t="s">
        <v>3212</v>
      </c>
      <c r="V1825" s="21" t="s">
        <v>1834</v>
      </c>
      <c r="W1825" s="21" t="s">
        <v>1836</v>
      </c>
      <c r="X1825" s="21" t="s">
        <v>1837</v>
      </c>
      <c r="Y1825" s="23" t="s">
        <v>23</v>
      </c>
      <c r="Z1825" s="21"/>
      <c r="AA1825" s="21" t="s">
        <v>702</v>
      </c>
      <c r="AB1825" s="21"/>
      <c r="AC1825" s="21"/>
      <c r="AD1825" s="21"/>
      <c r="AE1825" s="39"/>
      <c r="AF1825" s="39" t="s">
        <v>2042</v>
      </c>
      <c r="AG1825" s="21"/>
      <c r="AJ1825" s="27"/>
      <c r="AK1825" s="27"/>
      <c r="AL1825" s="27"/>
      <c r="AM1825" s="27"/>
      <c r="AN1825" s="27"/>
      <c r="AO1825" s="27"/>
      <c r="AP1825" s="27"/>
      <c r="AQ1825" s="27"/>
      <c r="AR1825" s="27"/>
      <c r="AS1825" s="27"/>
      <c r="AT1825" s="27"/>
      <c r="AW1825" s="27"/>
      <c r="AX1825" s="27"/>
      <c r="AY1825" s="27"/>
      <c r="AZ1825" s="27"/>
      <c r="BA1825" s="27"/>
      <c r="BB1825" s="27"/>
      <c r="BC1825" s="27"/>
      <c r="BD1825" s="27"/>
      <c r="BE1825" s="27"/>
      <c r="BF1825" s="27"/>
      <c r="BG1825" s="27"/>
      <c r="BJ1825" s="27"/>
      <c r="BK1825" s="27"/>
      <c r="BL1825" s="27"/>
      <c r="BM1825" s="27"/>
      <c r="BN1825" s="27"/>
      <c r="BO1825" s="27"/>
      <c r="BP1825" s="27"/>
      <c r="BQ1825" s="27"/>
      <c r="BR1825" s="27"/>
      <c r="BS1825" s="27"/>
      <c r="BT1825" s="27"/>
      <c r="BW1825" s="27"/>
      <c r="BX1825" s="27"/>
      <c r="BY1825" s="27"/>
      <c r="BZ1825" s="27"/>
      <c r="CA1825" s="27"/>
      <c r="CB1825" s="27"/>
      <c r="CC1825" s="27"/>
      <c r="CD1825" s="27"/>
      <c r="CE1825" s="27"/>
      <c r="CF1825" s="27"/>
      <c r="CG1825" s="27"/>
      <c r="CI1825" s="70" t="s">
        <v>398</v>
      </c>
      <c r="CJ1825" s="23" t="s">
        <v>4338</v>
      </c>
      <c r="CK1825" s="23"/>
      <c r="CR1825" s="36">
        <f>AK1825*0.25</f>
        <v>0</v>
      </c>
      <c r="CS1825" s="36">
        <f>AK1825*0.5</f>
        <v>0</v>
      </c>
      <c r="CT1825" s="69">
        <f>CR1825/200*100</f>
        <v>0</v>
      </c>
      <c r="CU1825" s="69">
        <f>CR1825/300*100</f>
        <v>0</v>
      </c>
      <c r="CV1825" s="69">
        <f>CR1825/400*100</f>
        <v>0</v>
      </c>
      <c r="CW1825" s="69">
        <f>CR1825/500*100</f>
        <v>0</v>
      </c>
      <c r="CX1825" s="69">
        <f>CR1825/600*100</f>
        <v>0</v>
      </c>
      <c r="CY1825" s="69">
        <f>CR1825/700*100</f>
        <v>0</v>
      </c>
      <c r="CZ1825" s="69">
        <f>CR1825/800*100</f>
        <v>0</v>
      </c>
      <c r="DA1825" s="69">
        <f>CR1825/900*100</f>
        <v>0</v>
      </c>
      <c r="DB1825" s="69">
        <f>CR1825/1000*100</f>
        <v>0</v>
      </c>
      <c r="DC1825" s="27"/>
    </row>
    <row r="1826" spans="1:107" s="25" customFormat="1" x14ac:dyDescent="0.2">
      <c r="A1826" s="29" t="s">
        <v>698</v>
      </c>
      <c r="B1826" s="29" t="s">
        <v>173</v>
      </c>
      <c r="C1826" s="29">
        <f t="shared" si="110"/>
        <v>70010002</v>
      </c>
      <c r="D1826" s="25" t="s">
        <v>1111</v>
      </c>
      <c r="E1826" s="67" t="s">
        <v>822</v>
      </c>
      <c r="F1826" s="67"/>
      <c r="G1826" s="67"/>
      <c r="H1826" s="67"/>
      <c r="I1826" s="21" t="s">
        <v>661</v>
      </c>
      <c r="J1826" s="21"/>
      <c r="K1826" s="21"/>
      <c r="L1826" s="21"/>
      <c r="M1826" s="21"/>
      <c r="N1826" s="21" t="s">
        <v>699</v>
      </c>
      <c r="O1826" s="21" t="s">
        <v>842</v>
      </c>
      <c r="P1826" s="21"/>
      <c r="Q1826" s="21" t="s">
        <v>2041</v>
      </c>
      <c r="R1826" s="21"/>
      <c r="S1826" s="21"/>
      <c r="T1826" s="21" t="s">
        <v>3211</v>
      </c>
      <c r="U1826" s="117" t="s">
        <v>3213</v>
      </c>
      <c r="V1826" s="21" t="s">
        <v>1835</v>
      </c>
      <c r="W1826" s="21" t="s">
        <v>1</v>
      </c>
      <c r="X1826" s="21" t="s">
        <v>1</v>
      </c>
      <c r="Y1826" s="23" t="s">
        <v>23</v>
      </c>
      <c r="Z1826" s="21"/>
      <c r="AA1826" s="21" t="s">
        <v>702</v>
      </c>
      <c r="AB1826" s="21"/>
      <c r="AC1826" s="21"/>
      <c r="AD1826" s="21"/>
      <c r="AE1826" s="39"/>
      <c r="AF1826" s="39" t="s">
        <v>2042</v>
      </c>
      <c r="AG1826" s="21"/>
      <c r="AJ1826" s="27"/>
      <c r="AK1826" s="27"/>
      <c r="AL1826" s="27"/>
      <c r="AM1826" s="27"/>
      <c r="AN1826" s="27"/>
      <c r="AO1826" s="27"/>
      <c r="AP1826" s="27"/>
      <c r="AQ1826" s="27"/>
      <c r="AR1826" s="27"/>
      <c r="AS1826" s="27"/>
      <c r="AT1826" s="27"/>
      <c r="AW1826" s="27"/>
      <c r="AX1826" s="27"/>
      <c r="AY1826" s="27"/>
      <c r="AZ1826" s="27"/>
      <c r="BA1826" s="27"/>
      <c r="BB1826" s="27"/>
      <c r="BC1826" s="27"/>
      <c r="BD1826" s="27"/>
      <c r="BE1826" s="27"/>
      <c r="BF1826" s="27"/>
      <c r="BG1826" s="27"/>
      <c r="BJ1826" s="27"/>
      <c r="BK1826" s="27"/>
      <c r="BL1826" s="27"/>
      <c r="BM1826" s="27"/>
      <c r="BN1826" s="27"/>
      <c r="BO1826" s="27"/>
      <c r="BP1826" s="27"/>
      <c r="BQ1826" s="27"/>
      <c r="BR1826" s="27"/>
      <c r="BS1826" s="27"/>
      <c r="BT1826" s="27"/>
      <c r="BW1826" s="27"/>
      <c r="BX1826" s="27"/>
      <c r="BY1826" s="27"/>
      <c r="BZ1826" s="27"/>
      <c r="CA1826" s="27"/>
      <c r="CB1826" s="27"/>
      <c r="CC1826" s="27"/>
      <c r="CD1826" s="27"/>
      <c r="CE1826" s="27"/>
      <c r="CF1826" s="27"/>
      <c r="CG1826" s="27"/>
      <c r="CI1826" s="70" t="s">
        <v>398</v>
      </c>
      <c r="CJ1826" s="23" t="s">
        <v>4338</v>
      </c>
      <c r="CK1826" s="23"/>
      <c r="CR1826" s="36">
        <f>AK1826*0.25</f>
        <v>0</v>
      </c>
      <c r="CS1826" s="36">
        <f>AK1826*0.5</f>
        <v>0</v>
      </c>
      <c r="CT1826" s="69">
        <f>CR1826/200*100</f>
        <v>0</v>
      </c>
      <c r="CU1826" s="69">
        <f>CR1826/300*100</f>
        <v>0</v>
      </c>
      <c r="CV1826" s="69">
        <f>CR1826/400*100</f>
        <v>0</v>
      </c>
      <c r="CW1826" s="69">
        <f>CR1826/500*100</f>
        <v>0</v>
      </c>
      <c r="CX1826" s="69">
        <f>CR1826/600*100</f>
        <v>0</v>
      </c>
      <c r="CY1826" s="69">
        <f>CR1826/700*100</f>
        <v>0</v>
      </c>
      <c r="CZ1826" s="69">
        <f>CR1826/800*100</f>
        <v>0</v>
      </c>
      <c r="DA1826" s="69">
        <f>CR1826/900*100</f>
        <v>0</v>
      </c>
      <c r="DB1826" s="69">
        <f>CR1826/1000*100</f>
        <v>0</v>
      </c>
      <c r="DC1826" s="27"/>
    </row>
    <row r="1827" spans="1:107" s="25" customFormat="1" x14ac:dyDescent="0.2">
      <c r="A1827" s="29" t="s">
        <v>1573</v>
      </c>
      <c r="B1827" s="29" t="s">
        <v>1575</v>
      </c>
      <c r="C1827" s="29">
        <f t="shared" si="110"/>
        <v>70020001</v>
      </c>
      <c r="D1827" s="25" t="s">
        <v>1568</v>
      </c>
      <c r="E1827" s="67" t="s">
        <v>703</v>
      </c>
      <c r="F1827" s="67"/>
      <c r="G1827" s="67"/>
      <c r="H1827" s="67"/>
      <c r="I1827" s="21" t="s">
        <v>661</v>
      </c>
      <c r="J1827" s="21"/>
      <c r="K1827" s="21"/>
      <c r="L1827" s="21"/>
      <c r="M1827" s="21"/>
      <c r="N1827" s="21" t="s">
        <v>1569</v>
      </c>
      <c r="O1827" s="21" t="s">
        <v>1569</v>
      </c>
      <c r="P1827" s="21"/>
      <c r="Q1827" s="21" t="s">
        <v>2041</v>
      </c>
      <c r="R1827" s="21"/>
      <c r="S1827" s="21"/>
      <c r="T1827" s="21" t="s">
        <v>3211</v>
      </c>
      <c r="U1827" s="117" t="s">
        <v>3212</v>
      </c>
      <c r="V1827" s="21" t="s">
        <v>1873</v>
      </c>
      <c r="W1827" s="21" t="s">
        <v>1</v>
      </c>
      <c r="X1827" s="21" t="s">
        <v>1</v>
      </c>
      <c r="Y1827" s="23" t="s">
        <v>1</v>
      </c>
      <c r="Z1827" s="21"/>
      <c r="AA1827" s="21" t="s">
        <v>1551</v>
      </c>
      <c r="AB1827" s="21"/>
      <c r="AC1827" s="21"/>
      <c r="AD1827" s="21"/>
      <c r="AE1827" s="39"/>
      <c r="AF1827" s="39" t="s">
        <v>2042</v>
      </c>
      <c r="AG1827" s="21"/>
      <c r="AJ1827" s="27"/>
      <c r="AK1827" s="27"/>
      <c r="AL1827" s="27"/>
      <c r="AM1827" s="27"/>
      <c r="AN1827" s="27"/>
      <c r="AO1827" s="27"/>
      <c r="AP1827" s="27"/>
      <c r="AQ1827" s="27"/>
      <c r="AR1827" s="27"/>
      <c r="AS1827" s="27"/>
      <c r="AT1827" s="27"/>
      <c r="AW1827" s="27"/>
      <c r="AX1827" s="27"/>
      <c r="AY1827" s="27"/>
      <c r="AZ1827" s="27"/>
      <c r="BA1827" s="27"/>
      <c r="BB1827" s="27"/>
      <c r="BC1827" s="27"/>
      <c r="BD1827" s="27"/>
      <c r="BE1827" s="27"/>
      <c r="BF1827" s="27"/>
      <c r="BG1827" s="27"/>
      <c r="BJ1827" s="27"/>
      <c r="BK1827" s="27"/>
      <c r="BL1827" s="27"/>
      <c r="BM1827" s="27"/>
      <c r="BN1827" s="27"/>
      <c r="BO1827" s="27"/>
      <c r="BP1827" s="27"/>
      <c r="BQ1827" s="27"/>
      <c r="BR1827" s="27"/>
      <c r="BS1827" s="27"/>
      <c r="BT1827" s="27"/>
      <c r="BW1827" s="27"/>
      <c r="BX1827" s="27"/>
      <c r="BY1827" s="27"/>
      <c r="BZ1827" s="27"/>
      <c r="CA1827" s="27"/>
      <c r="CB1827" s="27"/>
      <c r="CC1827" s="27"/>
      <c r="CD1827" s="27"/>
      <c r="CE1827" s="27"/>
      <c r="CF1827" s="27"/>
      <c r="CG1827" s="27"/>
      <c r="CI1827" s="70" t="s">
        <v>398</v>
      </c>
      <c r="CJ1827" s="23" t="s">
        <v>4338</v>
      </c>
      <c r="CK1827" s="23"/>
      <c r="CR1827" s="36"/>
      <c r="CS1827" s="36"/>
      <c r="CT1827" s="69"/>
      <c r="CU1827" s="69"/>
      <c r="CV1827" s="69"/>
      <c r="CW1827" s="69"/>
      <c r="CX1827" s="69"/>
      <c r="CY1827" s="69"/>
      <c r="CZ1827" s="69"/>
      <c r="DA1827" s="69"/>
      <c r="DB1827" s="69"/>
      <c r="DC1827" s="27"/>
    </row>
    <row r="1828" spans="1:107" s="25" customFormat="1" x14ac:dyDescent="0.2">
      <c r="A1828" s="29" t="s">
        <v>1574</v>
      </c>
      <c r="B1828" s="29" t="s">
        <v>1575</v>
      </c>
      <c r="C1828" s="29">
        <f t="shared" si="110"/>
        <v>70030001</v>
      </c>
      <c r="D1828" s="25" t="s">
        <v>1570</v>
      </c>
      <c r="E1828" s="67" t="s">
        <v>1571</v>
      </c>
      <c r="F1828" s="67"/>
      <c r="G1828" s="67"/>
      <c r="H1828" s="67"/>
      <c r="I1828" s="21" t="s">
        <v>661</v>
      </c>
      <c r="J1828" s="21"/>
      <c r="K1828" s="21"/>
      <c r="L1828" s="21"/>
      <c r="M1828" s="21"/>
      <c r="N1828" s="21" t="s">
        <v>1569</v>
      </c>
      <c r="O1828" s="21" t="s">
        <v>1572</v>
      </c>
      <c r="P1828" s="21"/>
      <c r="Q1828" s="21" t="s">
        <v>2041</v>
      </c>
      <c r="R1828" s="21"/>
      <c r="S1828" s="21"/>
      <c r="T1828" s="21" t="s">
        <v>3211</v>
      </c>
      <c r="U1828" s="117" t="s">
        <v>3213</v>
      </c>
      <c r="V1828" s="21" t="s">
        <v>1874</v>
      </c>
      <c r="W1828" s="21" t="s">
        <v>1</v>
      </c>
      <c r="X1828" s="21" t="s">
        <v>1</v>
      </c>
      <c r="Y1828" s="23" t="s">
        <v>1</v>
      </c>
      <c r="Z1828" s="21"/>
      <c r="AA1828" s="21" t="s">
        <v>1551</v>
      </c>
      <c r="AB1828" s="21"/>
      <c r="AC1828" s="21"/>
      <c r="AD1828" s="21"/>
      <c r="AE1828" s="39"/>
      <c r="AF1828" s="39" t="s">
        <v>2042</v>
      </c>
      <c r="AG1828" s="21"/>
      <c r="AJ1828" s="27"/>
      <c r="AK1828" s="27"/>
      <c r="AL1828" s="27"/>
      <c r="AM1828" s="27"/>
      <c r="AN1828" s="27"/>
      <c r="AO1828" s="27"/>
      <c r="AP1828" s="27"/>
      <c r="AQ1828" s="27"/>
      <c r="AR1828" s="27"/>
      <c r="AS1828" s="27"/>
      <c r="AT1828" s="27"/>
      <c r="AW1828" s="27"/>
      <c r="AX1828" s="27"/>
      <c r="AY1828" s="27"/>
      <c r="AZ1828" s="27"/>
      <c r="BA1828" s="27"/>
      <c r="BB1828" s="27"/>
      <c r="BC1828" s="27"/>
      <c r="BD1828" s="27"/>
      <c r="BE1828" s="27"/>
      <c r="BF1828" s="27"/>
      <c r="BG1828" s="27"/>
      <c r="BJ1828" s="27"/>
      <c r="BK1828" s="27"/>
      <c r="BL1828" s="27"/>
      <c r="BM1828" s="27"/>
      <c r="BN1828" s="27"/>
      <c r="BO1828" s="27"/>
      <c r="BP1828" s="27"/>
      <c r="BQ1828" s="27"/>
      <c r="BR1828" s="27"/>
      <c r="BS1828" s="27"/>
      <c r="BT1828" s="27"/>
      <c r="BW1828" s="27"/>
      <c r="BX1828" s="27"/>
      <c r="BY1828" s="27"/>
      <c r="BZ1828" s="27"/>
      <c r="CA1828" s="27"/>
      <c r="CB1828" s="27"/>
      <c r="CC1828" s="27"/>
      <c r="CD1828" s="27"/>
      <c r="CE1828" s="27"/>
      <c r="CF1828" s="27"/>
      <c r="CG1828" s="27"/>
      <c r="CI1828" s="70" t="s">
        <v>398</v>
      </c>
      <c r="CJ1828" s="23" t="s">
        <v>4338</v>
      </c>
      <c r="CK1828" s="23"/>
      <c r="CR1828" s="36"/>
      <c r="CS1828" s="36"/>
      <c r="CT1828" s="69"/>
      <c r="CU1828" s="69"/>
      <c r="CV1828" s="69"/>
      <c r="CW1828" s="69"/>
      <c r="CX1828" s="69"/>
      <c r="CY1828" s="69"/>
      <c r="CZ1828" s="69"/>
      <c r="DA1828" s="69"/>
      <c r="DB1828" s="69"/>
      <c r="DC1828" s="27"/>
    </row>
    <row r="1829" spans="1:107" s="25" customFormat="1" x14ac:dyDescent="0.2">
      <c r="A1829" s="29" t="s">
        <v>1574</v>
      </c>
      <c r="B1829" s="29" t="s">
        <v>3526</v>
      </c>
      <c r="C1829" s="29">
        <f t="shared" ref="C1829" si="167">A1829*10000+B1829</f>
        <v>70030097</v>
      </c>
      <c r="D1829" s="25" t="s">
        <v>3527</v>
      </c>
      <c r="E1829" s="67" t="s">
        <v>703</v>
      </c>
      <c r="F1829" s="67"/>
      <c r="G1829" s="67"/>
      <c r="H1829" s="67"/>
      <c r="I1829" s="21" t="s">
        <v>661</v>
      </c>
      <c r="J1829" s="21"/>
      <c r="K1829" s="21"/>
      <c r="L1829" s="21"/>
      <c r="M1829" s="21"/>
      <c r="N1829" s="21" t="s">
        <v>1569</v>
      </c>
      <c r="O1829" s="21" t="s">
        <v>1569</v>
      </c>
      <c r="P1829" s="21"/>
      <c r="Q1829" s="21" t="s">
        <v>2041</v>
      </c>
      <c r="R1829" s="21"/>
      <c r="S1829" s="21"/>
      <c r="T1829" s="21" t="s">
        <v>697</v>
      </c>
      <c r="U1829" s="117" t="s">
        <v>3212</v>
      </c>
      <c r="V1829" s="21" t="s">
        <v>1873</v>
      </c>
      <c r="W1829" s="21" t="s">
        <v>1</v>
      </c>
      <c r="X1829" s="21" t="s">
        <v>1</v>
      </c>
      <c r="Y1829" s="23" t="s">
        <v>1</v>
      </c>
      <c r="Z1829" s="21"/>
      <c r="AA1829" s="21" t="s">
        <v>1551</v>
      </c>
      <c r="AB1829" s="21"/>
      <c r="AC1829" s="21"/>
      <c r="AD1829" s="21"/>
      <c r="AE1829" s="39"/>
      <c r="AF1829" s="39" t="s">
        <v>2042</v>
      </c>
      <c r="AG1829" s="21"/>
      <c r="AJ1829" s="27"/>
      <c r="AK1829" s="27"/>
      <c r="AL1829" s="27"/>
      <c r="AM1829" s="27"/>
      <c r="AN1829" s="27"/>
      <c r="AO1829" s="27"/>
      <c r="AP1829" s="27"/>
      <c r="AQ1829" s="27"/>
      <c r="AR1829" s="27"/>
      <c r="AS1829" s="27"/>
      <c r="AT1829" s="27"/>
      <c r="AW1829" s="27"/>
      <c r="AX1829" s="27"/>
      <c r="AY1829" s="27"/>
      <c r="AZ1829" s="27"/>
      <c r="BA1829" s="27"/>
      <c r="BB1829" s="27"/>
      <c r="BC1829" s="27"/>
      <c r="BD1829" s="27"/>
      <c r="BE1829" s="27"/>
      <c r="BF1829" s="27"/>
      <c r="BG1829" s="27"/>
      <c r="BJ1829" s="27"/>
      <c r="BK1829" s="27"/>
      <c r="BL1829" s="27"/>
      <c r="BM1829" s="27"/>
      <c r="BN1829" s="27"/>
      <c r="BO1829" s="27"/>
      <c r="BP1829" s="27"/>
      <c r="BQ1829" s="27"/>
      <c r="BR1829" s="27"/>
      <c r="BS1829" s="27"/>
      <c r="BT1829" s="27"/>
      <c r="BW1829" s="27"/>
      <c r="BX1829" s="27"/>
      <c r="BY1829" s="27"/>
      <c r="BZ1829" s="27"/>
      <c r="CA1829" s="27"/>
      <c r="CB1829" s="27"/>
      <c r="CC1829" s="27"/>
      <c r="CD1829" s="27"/>
      <c r="CE1829" s="27"/>
      <c r="CF1829" s="27"/>
      <c r="CG1829" s="27"/>
      <c r="CI1829" s="70" t="s">
        <v>398</v>
      </c>
      <c r="CJ1829" s="23" t="s">
        <v>4338</v>
      </c>
      <c r="CK1829" s="23"/>
      <c r="CR1829" s="36"/>
      <c r="CS1829" s="36"/>
      <c r="CT1829" s="69"/>
      <c r="CU1829" s="69"/>
      <c r="CV1829" s="69"/>
      <c r="CW1829" s="69"/>
      <c r="CX1829" s="69"/>
      <c r="CY1829" s="69"/>
      <c r="CZ1829" s="69"/>
      <c r="DA1829" s="69"/>
      <c r="DB1829" s="69"/>
      <c r="DC1829" s="27"/>
    </row>
    <row r="1830" spans="1:107" s="25" customFormat="1" x14ac:dyDescent="0.2">
      <c r="A1830" s="29" t="s">
        <v>1574</v>
      </c>
      <c r="B1830" s="29" t="s">
        <v>1491</v>
      </c>
      <c r="C1830" s="29">
        <f>A1830*10000+B1830</f>
        <v>70030098</v>
      </c>
      <c r="D1830" s="25" t="s">
        <v>1808</v>
      </c>
      <c r="E1830" s="67" t="s">
        <v>1571</v>
      </c>
      <c r="F1830" s="67"/>
      <c r="G1830" s="67"/>
      <c r="H1830" s="67"/>
      <c r="I1830" s="21" t="s">
        <v>661</v>
      </c>
      <c r="J1830" s="21"/>
      <c r="K1830" s="21"/>
      <c r="L1830" s="21"/>
      <c r="M1830" s="21"/>
      <c r="N1830" s="21" t="s">
        <v>1569</v>
      </c>
      <c r="O1830" s="21" t="s">
        <v>1572</v>
      </c>
      <c r="P1830" s="21"/>
      <c r="Q1830" s="21" t="s">
        <v>2041</v>
      </c>
      <c r="R1830" s="21"/>
      <c r="S1830" s="21"/>
      <c r="T1830" s="21" t="s">
        <v>3211</v>
      </c>
      <c r="U1830" s="117" t="s">
        <v>3215</v>
      </c>
      <c r="V1830" s="21" t="s">
        <v>1875</v>
      </c>
      <c r="W1830" s="21" t="s">
        <v>1</v>
      </c>
      <c r="X1830" s="21" t="s">
        <v>1</v>
      </c>
      <c r="Y1830" s="23" t="s">
        <v>1</v>
      </c>
      <c r="Z1830" s="21"/>
      <c r="AA1830" s="21" t="s">
        <v>1551</v>
      </c>
      <c r="AB1830" s="21"/>
      <c r="AC1830" s="21"/>
      <c r="AD1830" s="21"/>
      <c r="AE1830" s="39"/>
      <c r="AF1830" s="39" t="s">
        <v>2042</v>
      </c>
      <c r="AG1830" s="21"/>
      <c r="AJ1830" s="27"/>
      <c r="AK1830" s="27"/>
      <c r="AL1830" s="27"/>
      <c r="AM1830" s="27"/>
      <c r="AN1830" s="27"/>
      <c r="AO1830" s="27"/>
      <c r="AP1830" s="27"/>
      <c r="AQ1830" s="27"/>
      <c r="AR1830" s="27"/>
      <c r="AS1830" s="27"/>
      <c r="AT1830" s="27"/>
      <c r="AW1830" s="27"/>
      <c r="AX1830" s="27"/>
      <c r="AY1830" s="27"/>
      <c r="AZ1830" s="27"/>
      <c r="BA1830" s="27"/>
      <c r="BB1830" s="27"/>
      <c r="BC1830" s="27"/>
      <c r="BD1830" s="27"/>
      <c r="BE1830" s="27"/>
      <c r="BF1830" s="27"/>
      <c r="BG1830" s="27"/>
      <c r="BJ1830" s="27"/>
      <c r="BK1830" s="27"/>
      <c r="BL1830" s="27"/>
      <c r="BM1830" s="27"/>
      <c r="BN1830" s="27"/>
      <c r="BO1830" s="27"/>
      <c r="BP1830" s="27"/>
      <c r="BQ1830" s="27"/>
      <c r="BR1830" s="27"/>
      <c r="BS1830" s="27"/>
      <c r="BT1830" s="27"/>
      <c r="BW1830" s="27"/>
      <c r="BX1830" s="27"/>
      <c r="BY1830" s="27"/>
      <c r="BZ1830" s="27"/>
      <c r="CA1830" s="27"/>
      <c r="CB1830" s="27"/>
      <c r="CC1830" s="27"/>
      <c r="CD1830" s="27"/>
      <c r="CE1830" s="27"/>
      <c r="CF1830" s="27"/>
      <c r="CG1830" s="27"/>
      <c r="CI1830" s="70" t="s">
        <v>398</v>
      </c>
      <c r="CJ1830" s="23" t="s">
        <v>4338</v>
      </c>
      <c r="CK1830" s="23"/>
      <c r="CR1830" s="36"/>
      <c r="CS1830" s="36"/>
      <c r="CT1830" s="69"/>
      <c r="CU1830" s="69"/>
      <c r="CV1830" s="69"/>
      <c r="CW1830" s="69"/>
      <c r="CX1830" s="69"/>
      <c r="CY1830" s="69"/>
      <c r="CZ1830" s="69"/>
      <c r="DA1830" s="69"/>
      <c r="DB1830" s="69"/>
      <c r="DC1830" s="27"/>
    </row>
    <row r="1831" spans="1:107" s="25" customFormat="1" x14ac:dyDescent="0.2">
      <c r="A1831" s="29" t="s">
        <v>1574</v>
      </c>
      <c r="B1831" s="29" t="s">
        <v>1807</v>
      </c>
      <c r="C1831" s="29">
        <f t="shared" si="110"/>
        <v>70030099</v>
      </c>
      <c r="D1831" s="25" t="s">
        <v>1924</v>
      </c>
      <c r="E1831" s="67" t="s">
        <v>1591</v>
      </c>
      <c r="F1831" s="67"/>
      <c r="G1831" s="67"/>
      <c r="H1831" s="67"/>
      <c r="I1831" s="21" t="s">
        <v>661</v>
      </c>
      <c r="J1831" s="21"/>
      <c r="K1831" s="21"/>
      <c r="L1831" s="21"/>
      <c r="M1831" s="21"/>
      <c r="N1831" s="21" t="s">
        <v>1569</v>
      </c>
      <c r="O1831" s="21" t="s">
        <v>1592</v>
      </c>
      <c r="P1831" s="21"/>
      <c r="Q1831" s="21" t="s">
        <v>2041</v>
      </c>
      <c r="R1831" s="21"/>
      <c r="S1831" s="21"/>
      <c r="T1831" s="21" t="s">
        <v>3211</v>
      </c>
      <c r="U1831" s="117" t="s">
        <v>3214</v>
      </c>
      <c r="V1831" s="21" t="s">
        <v>1875</v>
      </c>
      <c r="W1831" s="21" t="s">
        <v>1</v>
      </c>
      <c r="X1831" s="21" t="s">
        <v>1</v>
      </c>
      <c r="Y1831" s="23" t="s">
        <v>1</v>
      </c>
      <c r="Z1831" s="21"/>
      <c r="AA1831" s="21" t="s">
        <v>1551</v>
      </c>
      <c r="AB1831" s="21"/>
      <c r="AC1831" s="21"/>
      <c r="AD1831" s="21"/>
      <c r="AE1831" s="39"/>
      <c r="AF1831" s="39" t="s">
        <v>2042</v>
      </c>
      <c r="AG1831" s="21"/>
      <c r="AJ1831" s="27"/>
      <c r="AK1831" s="27"/>
      <c r="AL1831" s="27"/>
      <c r="AM1831" s="27"/>
      <c r="AN1831" s="27"/>
      <c r="AO1831" s="27"/>
      <c r="AP1831" s="27"/>
      <c r="AQ1831" s="27"/>
      <c r="AR1831" s="27"/>
      <c r="AS1831" s="27"/>
      <c r="AT1831" s="27"/>
      <c r="AW1831" s="27"/>
      <c r="AX1831" s="27"/>
      <c r="AY1831" s="27"/>
      <c r="AZ1831" s="27"/>
      <c r="BA1831" s="27"/>
      <c r="BB1831" s="27"/>
      <c r="BC1831" s="27"/>
      <c r="BD1831" s="27"/>
      <c r="BE1831" s="27"/>
      <c r="BF1831" s="27"/>
      <c r="BG1831" s="27"/>
      <c r="BJ1831" s="27"/>
      <c r="BK1831" s="27"/>
      <c r="BL1831" s="27"/>
      <c r="BM1831" s="27"/>
      <c r="BN1831" s="27"/>
      <c r="BO1831" s="27"/>
      <c r="BP1831" s="27"/>
      <c r="BQ1831" s="27"/>
      <c r="BR1831" s="27"/>
      <c r="BS1831" s="27"/>
      <c r="BT1831" s="27"/>
      <c r="BW1831" s="27"/>
      <c r="BX1831" s="27"/>
      <c r="BY1831" s="27"/>
      <c r="BZ1831" s="27"/>
      <c r="CA1831" s="27"/>
      <c r="CB1831" s="27"/>
      <c r="CC1831" s="27"/>
      <c r="CD1831" s="27"/>
      <c r="CE1831" s="27"/>
      <c r="CF1831" s="27"/>
      <c r="CG1831" s="27"/>
      <c r="CI1831" s="70" t="s">
        <v>398</v>
      </c>
      <c r="CJ1831" s="23" t="s">
        <v>4338</v>
      </c>
      <c r="CK1831" s="23"/>
      <c r="CR1831" s="36"/>
      <c r="CS1831" s="36"/>
      <c r="CT1831" s="69"/>
      <c r="CU1831" s="69"/>
      <c r="CV1831" s="69"/>
      <c r="CW1831" s="69"/>
      <c r="CX1831" s="69"/>
      <c r="CY1831" s="69"/>
      <c r="CZ1831" s="69"/>
      <c r="DA1831" s="69"/>
      <c r="DB1831" s="69"/>
      <c r="DC1831" s="27"/>
    </row>
    <row r="1832" spans="1:107" s="25" customFormat="1" x14ac:dyDescent="0.2">
      <c r="A1832" s="29" t="s">
        <v>1589</v>
      </c>
      <c r="B1832" s="29" t="s">
        <v>1590</v>
      </c>
      <c r="C1832" s="29">
        <f t="shared" si="110"/>
        <v>70040001</v>
      </c>
      <c r="D1832" s="25" t="s">
        <v>1593</v>
      </c>
      <c r="E1832" s="67" t="s">
        <v>1591</v>
      </c>
      <c r="F1832" s="67"/>
      <c r="G1832" s="67"/>
      <c r="H1832" s="67"/>
      <c r="I1832" s="21" t="s">
        <v>661</v>
      </c>
      <c r="J1832" s="21"/>
      <c r="K1832" s="21"/>
      <c r="L1832" s="21"/>
      <c r="M1832" s="21"/>
      <c r="N1832" s="21" t="s">
        <v>1569</v>
      </c>
      <c r="O1832" s="21" t="s">
        <v>1592</v>
      </c>
      <c r="P1832" s="21"/>
      <c r="Q1832" s="21" t="s">
        <v>2041</v>
      </c>
      <c r="R1832" s="21"/>
      <c r="S1832" s="21"/>
      <c r="T1832" s="21" t="s">
        <v>3211</v>
      </c>
      <c r="U1832" s="117" t="s">
        <v>3216</v>
      </c>
      <c r="V1832" s="21" t="s">
        <v>1876</v>
      </c>
      <c r="W1832" s="21" t="s">
        <v>1</v>
      </c>
      <c r="X1832" s="21" t="s">
        <v>1</v>
      </c>
      <c r="Y1832" s="23" t="s">
        <v>1</v>
      </c>
      <c r="Z1832" s="21"/>
      <c r="AA1832" s="21" t="s">
        <v>1551</v>
      </c>
      <c r="AB1832" s="21"/>
      <c r="AC1832" s="21"/>
      <c r="AD1832" s="21"/>
      <c r="AE1832" s="39"/>
      <c r="AF1832" s="39" t="s">
        <v>2042</v>
      </c>
      <c r="AG1832" s="21"/>
      <c r="AJ1832" s="27"/>
      <c r="AK1832" s="27"/>
      <c r="AL1832" s="27"/>
      <c r="AM1832" s="27"/>
      <c r="AN1832" s="27"/>
      <c r="AO1832" s="27"/>
      <c r="AP1832" s="27"/>
      <c r="AQ1832" s="27"/>
      <c r="AR1832" s="27"/>
      <c r="AS1832" s="27"/>
      <c r="AT1832" s="27"/>
      <c r="AW1832" s="27"/>
      <c r="AX1832" s="27"/>
      <c r="AY1832" s="27"/>
      <c r="AZ1832" s="27"/>
      <c r="BA1832" s="27"/>
      <c r="BB1832" s="27"/>
      <c r="BC1832" s="27"/>
      <c r="BD1832" s="27"/>
      <c r="BE1832" s="27"/>
      <c r="BF1832" s="27"/>
      <c r="BG1832" s="27"/>
      <c r="BJ1832" s="27"/>
      <c r="BK1832" s="27"/>
      <c r="BL1832" s="27"/>
      <c r="BM1832" s="27"/>
      <c r="BN1832" s="27"/>
      <c r="BO1832" s="27"/>
      <c r="BP1832" s="27"/>
      <c r="BQ1832" s="27"/>
      <c r="BR1832" s="27"/>
      <c r="BS1832" s="27"/>
      <c r="BT1832" s="27"/>
      <c r="BW1832" s="27"/>
      <c r="BX1832" s="27"/>
      <c r="BY1832" s="27"/>
      <c r="BZ1832" s="27"/>
      <c r="CA1832" s="27"/>
      <c r="CB1832" s="27"/>
      <c r="CC1832" s="27"/>
      <c r="CD1832" s="27"/>
      <c r="CE1832" s="27"/>
      <c r="CF1832" s="27"/>
      <c r="CG1832" s="27"/>
      <c r="CI1832" s="70" t="s">
        <v>398</v>
      </c>
      <c r="CJ1832" s="23" t="s">
        <v>4338</v>
      </c>
      <c r="CK1832" s="23"/>
      <c r="CR1832" s="36"/>
      <c r="CS1832" s="36"/>
      <c r="CT1832" s="69"/>
      <c r="CU1832" s="69"/>
      <c r="CV1832" s="69"/>
      <c r="CW1832" s="69"/>
      <c r="CX1832" s="69"/>
      <c r="CY1832" s="69"/>
      <c r="CZ1832" s="69"/>
      <c r="DA1832" s="69"/>
      <c r="DB1832" s="69"/>
      <c r="DC1832" s="27"/>
    </row>
    <row r="1833" spans="1:107" s="14" customFormat="1" ht="17.25" x14ac:dyDescent="0.3">
      <c r="A1833" s="8"/>
      <c r="B1833" s="8"/>
      <c r="C1833" s="8">
        <f t="shared" ref="C1833:C2097" si="168">A1833*10000+B1833</f>
        <v>0</v>
      </c>
      <c r="D1833" s="8"/>
      <c r="E1833" s="9" t="s">
        <v>950</v>
      </c>
      <c r="F1833" s="9"/>
      <c r="G1833" s="9"/>
      <c r="H1833" s="9"/>
      <c r="I1833" s="10"/>
      <c r="J1833" s="10"/>
      <c r="K1833" s="10"/>
      <c r="L1833" s="10"/>
      <c r="M1833" s="10"/>
      <c r="N1833" s="10"/>
      <c r="O1833" s="10"/>
      <c r="P1833" s="10"/>
      <c r="Q1833" s="10"/>
      <c r="R1833" s="10"/>
      <c r="S1833" s="10"/>
      <c r="T1833" s="10"/>
      <c r="U1833" s="10"/>
      <c r="V1833" s="10"/>
      <c r="W1833" s="10"/>
      <c r="X1833" s="10"/>
      <c r="Y1833" s="11"/>
      <c r="Z1833" s="10"/>
      <c r="AA1833" s="10"/>
      <c r="AB1833" s="10"/>
      <c r="AC1833" s="10"/>
      <c r="AD1833" s="10"/>
      <c r="AE1833" s="12"/>
      <c r="AF1833" s="12"/>
      <c r="AG1833" s="10"/>
      <c r="AH1833" s="13"/>
      <c r="AI1833" s="13"/>
      <c r="AJ1833" s="13"/>
      <c r="AK1833" s="15"/>
      <c r="AL1833" s="15"/>
      <c r="AM1833" s="15"/>
      <c r="AN1833" s="15"/>
      <c r="AO1833" s="15"/>
      <c r="AP1833" s="15"/>
      <c r="AQ1833" s="15"/>
      <c r="AR1833" s="15"/>
      <c r="AS1833" s="15"/>
      <c r="AT1833" s="15"/>
      <c r="AU1833" s="13"/>
      <c r="AV1833" s="13"/>
      <c r="AW1833" s="13"/>
      <c r="AX1833" s="31"/>
      <c r="AY1833" s="31"/>
      <c r="AZ1833" s="15"/>
      <c r="BA1833" s="15"/>
      <c r="BB1833" s="15"/>
      <c r="BC1833" s="15"/>
      <c r="BD1833" s="15"/>
      <c r="BE1833" s="15"/>
      <c r="BF1833" s="15"/>
      <c r="BG1833" s="15"/>
      <c r="BH1833" s="13"/>
      <c r="BI1833" s="13"/>
      <c r="BJ1833" s="13"/>
      <c r="BK1833" s="31"/>
      <c r="BL1833" s="31"/>
      <c r="BM1833" s="15"/>
      <c r="BN1833" s="15"/>
      <c r="BO1833" s="15"/>
      <c r="BP1833" s="15"/>
      <c r="BQ1833" s="15"/>
      <c r="BR1833" s="15"/>
      <c r="BS1833" s="15"/>
      <c r="BT1833" s="15"/>
      <c r="BU1833" s="13"/>
      <c r="BV1833" s="13"/>
      <c r="BW1833" s="13"/>
      <c r="BX1833" s="31"/>
      <c r="BY1833" s="31"/>
      <c r="BZ1833" s="15"/>
      <c r="CA1833" s="15"/>
      <c r="CB1833" s="15"/>
      <c r="CC1833" s="15"/>
      <c r="CD1833" s="15"/>
      <c r="CE1833" s="15"/>
      <c r="CF1833" s="15"/>
      <c r="CG1833" s="15"/>
      <c r="CH1833" s="10"/>
      <c r="CI1833" s="8"/>
      <c r="CJ1833" s="16"/>
      <c r="CK1833" s="8"/>
      <c r="CT1833" s="17"/>
      <c r="CU1833" s="17"/>
      <c r="CV1833" s="17"/>
      <c r="CW1833" s="17"/>
      <c r="CX1833" s="17"/>
      <c r="CY1833" s="17"/>
      <c r="CZ1833" s="17"/>
      <c r="DA1833" s="17"/>
      <c r="DB1833" s="17"/>
      <c r="DC1833" s="15"/>
    </row>
    <row r="1834" spans="1:107" s="25" customFormat="1" x14ac:dyDescent="0.2">
      <c r="A1834" s="29" t="s">
        <v>1548</v>
      </c>
      <c r="B1834" s="29" t="s">
        <v>0</v>
      </c>
      <c r="C1834" s="29">
        <f t="shared" si="168"/>
        <v>80020001</v>
      </c>
      <c r="D1834" s="25" t="s">
        <v>1549</v>
      </c>
      <c r="E1834" s="67" t="s">
        <v>703</v>
      </c>
      <c r="F1834" s="67"/>
      <c r="G1834" s="67"/>
      <c r="H1834" s="67"/>
      <c r="I1834" s="21" t="s">
        <v>661</v>
      </c>
      <c r="J1834" s="21"/>
      <c r="K1834" s="21"/>
      <c r="L1834" s="21"/>
      <c r="M1834" s="21"/>
      <c r="N1834" s="21" t="s">
        <v>1550</v>
      </c>
      <c r="O1834" s="21" t="s">
        <v>1561</v>
      </c>
      <c r="P1834" s="21"/>
      <c r="Q1834" s="21" t="s">
        <v>2041</v>
      </c>
      <c r="R1834" s="21"/>
      <c r="S1834" s="21"/>
      <c r="T1834" s="21" t="s">
        <v>3217</v>
      </c>
      <c r="U1834" s="117" t="s">
        <v>3218</v>
      </c>
      <c r="V1834" s="21" t="s">
        <v>1838</v>
      </c>
      <c r="W1834" s="21" t="s">
        <v>1</v>
      </c>
      <c r="X1834" s="21" t="s">
        <v>1</v>
      </c>
      <c r="Y1834" s="23" t="s">
        <v>5</v>
      </c>
      <c r="Z1834" s="21"/>
      <c r="AA1834" s="21" t="s">
        <v>1551</v>
      </c>
      <c r="AB1834" s="21"/>
      <c r="AC1834" s="21"/>
      <c r="AD1834" s="21"/>
      <c r="AE1834" s="39"/>
      <c r="AF1834" s="39" t="s">
        <v>2042</v>
      </c>
      <c r="AG1834" s="21"/>
      <c r="AJ1834" s="27"/>
      <c r="AK1834" s="27"/>
      <c r="AL1834" s="27"/>
      <c r="AM1834" s="27"/>
      <c r="AN1834" s="27"/>
      <c r="AO1834" s="27"/>
      <c r="AP1834" s="27"/>
      <c r="AQ1834" s="27"/>
      <c r="AR1834" s="27"/>
      <c r="AS1834" s="27"/>
      <c r="AT1834" s="27"/>
      <c r="AW1834" s="27"/>
      <c r="AX1834" s="27"/>
      <c r="AY1834" s="27"/>
      <c r="AZ1834" s="27"/>
      <c r="BA1834" s="27"/>
      <c r="BB1834" s="27"/>
      <c r="BC1834" s="27"/>
      <c r="BD1834" s="27"/>
      <c r="BE1834" s="27"/>
      <c r="BF1834" s="27"/>
      <c r="BG1834" s="27"/>
      <c r="BJ1834" s="27"/>
      <c r="BK1834" s="27"/>
      <c r="BL1834" s="27"/>
      <c r="BM1834" s="27"/>
      <c r="BN1834" s="27"/>
      <c r="BO1834" s="27"/>
      <c r="BP1834" s="27"/>
      <c r="BQ1834" s="27"/>
      <c r="BR1834" s="27"/>
      <c r="BS1834" s="27"/>
      <c r="BT1834" s="27"/>
      <c r="BW1834" s="27"/>
      <c r="BX1834" s="27"/>
      <c r="BY1834" s="27"/>
      <c r="BZ1834" s="27"/>
      <c r="CA1834" s="27"/>
      <c r="CB1834" s="27"/>
      <c r="CC1834" s="27"/>
      <c r="CD1834" s="27"/>
      <c r="CE1834" s="27"/>
      <c r="CF1834" s="27"/>
      <c r="CG1834" s="27"/>
      <c r="CI1834" s="71" t="s">
        <v>1552</v>
      </c>
      <c r="CJ1834" s="72">
        <v>1</v>
      </c>
      <c r="CK1834" s="23"/>
      <c r="CR1834" s="36"/>
      <c r="CS1834" s="36"/>
      <c r="CT1834" s="69"/>
      <c r="CU1834" s="69"/>
      <c r="CV1834" s="69"/>
      <c r="CW1834" s="69"/>
      <c r="CX1834" s="69"/>
      <c r="CY1834" s="69"/>
      <c r="CZ1834" s="69"/>
      <c r="DA1834" s="69"/>
      <c r="DB1834" s="69"/>
      <c r="DC1834" s="27"/>
    </row>
    <row r="1835" spans="1:107" s="25" customFormat="1" x14ac:dyDescent="0.2">
      <c r="A1835" s="29" t="s">
        <v>1664</v>
      </c>
      <c r="B1835" s="29" t="s">
        <v>951</v>
      </c>
      <c r="C1835" s="29">
        <f t="shared" si="168"/>
        <v>80030001</v>
      </c>
      <c r="D1835" s="25" t="s">
        <v>1112</v>
      </c>
      <c r="E1835" s="67" t="s">
        <v>975</v>
      </c>
      <c r="F1835" s="67"/>
      <c r="G1835" s="67"/>
      <c r="H1835" s="67"/>
      <c r="I1835" s="21" t="s">
        <v>661</v>
      </c>
      <c r="J1835" s="21"/>
      <c r="K1835" s="21"/>
      <c r="L1835" s="21"/>
      <c r="M1835" s="21"/>
      <c r="N1835" s="21" t="s">
        <v>952</v>
      </c>
      <c r="O1835" s="21" t="s">
        <v>974</v>
      </c>
      <c r="P1835" s="21"/>
      <c r="Q1835" s="21" t="s">
        <v>2041</v>
      </c>
      <c r="R1835" s="21"/>
      <c r="S1835" s="21"/>
      <c r="T1835" s="21" t="s">
        <v>3217</v>
      </c>
      <c r="U1835" s="117" t="s">
        <v>3219</v>
      </c>
      <c r="V1835" s="21" t="s">
        <v>1839</v>
      </c>
      <c r="W1835" s="21" t="s">
        <v>1</v>
      </c>
      <c r="X1835" s="21" t="s">
        <v>1</v>
      </c>
      <c r="Y1835" s="23" t="s">
        <v>137</v>
      </c>
      <c r="Z1835" s="21"/>
      <c r="AA1835" s="21" t="s">
        <v>702</v>
      </c>
      <c r="AB1835" s="21"/>
      <c r="AC1835" s="21"/>
      <c r="AD1835" s="21"/>
      <c r="AE1835" s="39"/>
      <c r="AF1835" s="39" t="s">
        <v>2042</v>
      </c>
      <c r="AG1835" s="21"/>
      <c r="AJ1835" s="27"/>
      <c r="AK1835" s="27"/>
      <c r="AL1835" s="27"/>
      <c r="AM1835" s="27"/>
      <c r="AN1835" s="27"/>
      <c r="AO1835" s="27"/>
      <c r="AP1835" s="27"/>
      <c r="AQ1835" s="27"/>
      <c r="AR1835" s="27"/>
      <c r="AS1835" s="27"/>
      <c r="AT1835" s="27"/>
      <c r="AW1835" s="27"/>
      <c r="AX1835" s="27"/>
      <c r="AY1835" s="27"/>
      <c r="AZ1835" s="27"/>
      <c r="BA1835" s="27"/>
      <c r="BB1835" s="27"/>
      <c r="BC1835" s="27"/>
      <c r="BD1835" s="27"/>
      <c r="BE1835" s="27"/>
      <c r="BF1835" s="27"/>
      <c r="BG1835" s="27"/>
      <c r="BJ1835" s="27"/>
      <c r="BK1835" s="27"/>
      <c r="BL1835" s="27"/>
      <c r="BM1835" s="27"/>
      <c r="BN1835" s="27"/>
      <c r="BO1835" s="27"/>
      <c r="BP1835" s="27"/>
      <c r="BQ1835" s="27"/>
      <c r="BR1835" s="27"/>
      <c r="BS1835" s="27"/>
      <c r="BT1835" s="27"/>
      <c r="BW1835" s="27"/>
      <c r="BX1835" s="27"/>
      <c r="BY1835" s="27"/>
      <c r="BZ1835" s="27"/>
      <c r="CA1835" s="27"/>
      <c r="CB1835" s="27"/>
      <c r="CC1835" s="27"/>
      <c r="CD1835" s="27"/>
      <c r="CE1835" s="27"/>
      <c r="CF1835" s="27"/>
      <c r="CG1835" s="27"/>
      <c r="CI1835" s="71" t="s">
        <v>1552</v>
      </c>
      <c r="CJ1835" s="72">
        <v>1</v>
      </c>
      <c r="CK1835" s="23"/>
      <c r="CR1835" s="36">
        <f>AK1835*0.25</f>
        <v>0</v>
      </c>
      <c r="CS1835" s="36">
        <f>AK1835*0.5</f>
        <v>0</v>
      </c>
      <c r="CT1835" s="69">
        <f>CR1835/200*100</f>
        <v>0</v>
      </c>
      <c r="CU1835" s="69">
        <f>CR1835/300*100</f>
        <v>0</v>
      </c>
      <c r="CV1835" s="69">
        <f>CR1835/400*100</f>
        <v>0</v>
      </c>
      <c r="CW1835" s="69">
        <f>CR1835/500*100</f>
        <v>0</v>
      </c>
      <c r="CX1835" s="69">
        <f>CR1835/600*100</f>
        <v>0</v>
      </c>
      <c r="CY1835" s="69">
        <f>CR1835/700*100</f>
        <v>0</v>
      </c>
      <c r="CZ1835" s="69">
        <f>CR1835/800*100</f>
        <v>0</v>
      </c>
      <c r="DA1835" s="69">
        <f>CR1835/900*100</f>
        <v>0</v>
      </c>
      <c r="DB1835" s="69">
        <f>CR1835/1000*100</f>
        <v>0</v>
      </c>
      <c r="DC1835" s="27"/>
    </row>
    <row r="1836" spans="1:107" s="14" customFormat="1" ht="17.25" x14ac:dyDescent="0.3">
      <c r="A1836" s="8"/>
      <c r="B1836" s="8"/>
      <c r="C1836" s="8">
        <f t="shared" si="168"/>
        <v>0</v>
      </c>
      <c r="D1836" s="8"/>
      <c r="E1836" s="9" t="s">
        <v>811</v>
      </c>
      <c r="F1836" s="9"/>
      <c r="G1836" s="9"/>
      <c r="H1836" s="9"/>
      <c r="I1836" s="10"/>
      <c r="J1836" s="10"/>
      <c r="K1836" s="10"/>
      <c r="L1836" s="10"/>
      <c r="M1836" s="10"/>
      <c r="N1836" s="10"/>
      <c r="O1836" s="10"/>
      <c r="P1836" s="10"/>
      <c r="Q1836" s="10"/>
      <c r="R1836" s="10"/>
      <c r="S1836" s="10"/>
      <c r="T1836" s="10"/>
      <c r="U1836" s="10"/>
      <c r="V1836" s="10"/>
      <c r="W1836" s="10"/>
      <c r="X1836" s="10"/>
      <c r="Y1836" s="11"/>
      <c r="Z1836" s="10"/>
      <c r="AA1836" s="10"/>
      <c r="AB1836" s="10"/>
      <c r="AC1836" s="10"/>
      <c r="AD1836" s="10"/>
      <c r="AE1836" s="12"/>
      <c r="AF1836" s="12"/>
      <c r="AG1836" s="10"/>
      <c r="AH1836" s="13"/>
      <c r="AI1836" s="13"/>
      <c r="AJ1836" s="13"/>
      <c r="AK1836" s="15"/>
      <c r="AL1836" s="15"/>
      <c r="AM1836" s="15"/>
      <c r="AN1836" s="15"/>
      <c r="AO1836" s="15"/>
      <c r="AP1836" s="15"/>
      <c r="AQ1836" s="15"/>
      <c r="AR1836" s="15"/>
      <c r="AS1836" s="15"/>
      <c r="AT1836" s="15"/>
      <c r="AU1836" s="13"/>
      <c r="AV1836" s="13"/>
      <c r="AW1836" s="13"/>
      <c r="AX1836" s="31"/>
      <c r="AY1836" s="31"/>
      <c r="AZ1836" s="15"/>
      <c r="BA1836" s="15"/>
      <c r="BB1836" s="15"/>
      <c r="BC1836" s="15"/>
      <c r="BD1836" s="15"/>
      <c r="BE1836" s="15"/>
      <c r="BF1836" s="15"/>
      <c r="BG1836" s="15"/>
      <c r="BH1836" s="13"/>
      <c r="BI1836" s="13"/>
      <c r="BJ1836" s="13"/>
      <c r="BK1836" s="31"/>
      <c r="BL1836" s="31"/>
      <c r="BM1836" s="15"/>
      <c r="BN1836" s="15"/>
      <c r="BO1836" s="15"/>
      <c r="BP1836" s="15"/>
      <c r="BQ1836" s="15"/>
      <c r="BR1836" s="15"/>
      <c r="BS1836" s="15"/>
      <c r="BT1836" s="15"/>
      <c r="BU1836" s="13"/>
      <c r="BV1836" s="13"/>
      <c r="BW1836" s="13"/>
      <c r="BX1836" s="31"/>
      <c r="BY1836" s="31"/>
      <c r="BZ1836" s="15"/>
      <c r="CA1836" s="15"/>
      <c r="CB1836" s="15"/>
      <c r="CC1836" s="15"/>
      <c r="CD1836" s="15"/>
      <c r="CE1836" s="15"/>
      <c r="CF1836" s="15"/>
      <c r="CG1836" s="15"/>
      <c r="CH1836" s="10"/>
      <c r="CI1836" s="8"/>
      <c r="CJ1836" s="16"/>
      <c r="CK1836" s="8"/>
      <c r="CT1836" s="17"/>
      <c r="CU1836" s="17"/>
      <c r="CV1836" s="17"/>
      <c r="CW1836" s="17"/>
      <c r="CX1836" s="17"/>
      <c r="CY1836" s="17"/>
      <c r="CZ1836" s="17"/>
      <c r="DA1836" s="17"/>
      <c r="DB1836" s="17"/>
      <c r="DC1836" s="15"/>
    </row>
    <row r="1837" spans="1:107" x14ac:dyDescent="0.2">
      <c r="A1837" s="29">
        <v>30001</v>
      </c>
      <c r="B1837" s="29" t="s">
        <v>0</v>
      </c>
      <c r="C1837" s="29">
        <f t="shared" si="168"/>
        <v>300010001</v>
      </c>
      <c r="D1837" s="23" t="s">
        <v>818</v>
      </c>
      <c r="E1837" s="21" t="s">
        <v>841</v>
      </c>
      <c r="F1837" s="21"/>
      <c r="G1837" s="21"/>
      <c r="H1837" s="21"/>
      <c r="I1837" s="21" t="s">
        <v>207</v>
      </c>
      <c r="J1837" s="21" t="s">
        <v>704</v>
      </c>
      <c r="K1837" s="21"/>
      <c r="L1837" s="21"/>
      <c r="M1837" s="21"/>
      <c r="N1837" s="21" t="s">
        <v>819</v>
      </c>
      <c r="O1837" s="21" t="s">
        <v>158</v>
      </c>
      <c r="P1837" s="21"/>
      <c r="Q1837" s="21" t="s">
        <v>2041</v>
      </c>
      <c r="R1837" s="21"/>
      <c r="S1837" s="21"/>
      <c r="T1837" s="21" t="s">
        <v>811</v>
      </c>
      <c r="U1837" s="118" t="s">
        <v>2136</v>
      </c>
      <c r="V1837" s="21" t="s">
        <v>819</v>
      </c>
      <c r="W1837" s="21" t="s">
        <v>1</v>
      </c>
      <c r="X1837" s="21"/>
      <c r="Z1837" s="21"/>
      <c r="AA1837" s="21"/>
      <c r="AB1837" s="21"/>
      <c r="AC1837" s="21"/>
      <c r="AD1837" s="21"/>
      <c r="AE1837" s="39"/>
      <c r="AF1837" s="39" t="s">
        <v>2042</v>
      </c>
      <c r="AG1837" s="21"/>
      <c r="AH1837" s="25" t="s">
        <v>823</v>
      </c>
      <c r="AI1837" s="25" t="s">
        <v>341</v>
      </c>
      <c r="AK1837" s="27">
        <v>180</v>
      </c>
      <c r="AL1837" s="27"/>
      <c r="AU1837" s="25" t="s">
        <v>829</v>
      </c>
      <c r="AV1837" s="25" t="s">
        <v>123</v>
      </c>
      <c r="AX1837" s="27">
        <v>225</v>
      </c>
      <c r="AY1837" s="27"/>
      <c r="BH1837" s="25" t="s">
        <v>835</v>
      </c>
      <c r="BI1837" s="25" t="s">
        <v>123</v>
      </c>
      <c r="BK1837" s="27">
        <v>270</v>
      </c>
      <c r="BL1837" s="27"/>
      <c r="BU1837" s="25" t="s">
        <v>835</v>
      </c>
      <c r="BV1837" s="25" t="s">
        <v>2</v>
      </c>
      <c r="BX1837" s="27">
        <v>270</v>
      </c>
      <c r="BY1837" s="27"/>
      <c r="CH1837" s="29"/>
      <c r="CI1837" s="23" t="s">
        <v>821</v>
      </c>
      <c r="CJ1837" s="28" t="s">
        <v>339</v>
      </c>
    </row>
    <row r="1838" spans="1:107" x14ac:dyDescent="0.2">
      <c r="A1838" s="29">
        <v>30001</v>
      </c>
      <c r="B1838" s="29" t="s">
        <v>26</v>
      </c>
      <c r="C1838" s="29">
        <f t="shared" si="168"/>
        <v>300010002</v>
      </c>
      <c r="D1838" s="23" t="s">
        <v>813</v>
      </c>
      <c r="E1838" s="21" t="s">
        <v>841</v>
      </c>
      <c r="F1838" s="21"/>
      <c r="G1838" s="21"/>
      <c r="H1838" s="21"/>
      <c r="I1838" s="21" t="s">
        <v>207</v>
      </c>
      <c r="J1838" s="21"/>
      <c r="K1838" s="21"/>
      <c r="L1838" s="21"/>
      <c r="M1838" s="21"/>
      <c r="N1838" s="21" t="s">
        <v>819</v>
      </c>
      <c r="O1838" s="21" t="s">
        <v>158</v>
      </c>
      <c r="P1838" s="21"/>
      <c r="Q1838" s="21" t="s">
        <v>2041</v>
      </c>
      <c r="R1838" s="21"/>
      <c r="S1838" s="21"/>
      <c r="T1838" s="21" t="s">
        <v>811</v>
      </c>
      <c r="U1838" s="118" t="s">
        <v>2136</v>
      </c>
      <c r="V1838" s="21" t="s">
        <v>819</v>
      </c>
      <c r="W1838" s="21" t="s">
        <v>1</v>
      </c>
      <c r="X1838" s="21"/>
      <c r="Z1838" s="21"/>
      <c r="AA1838" s="21"/>
      <c r="AB1838" s="21"/>
      <c r="AC1838" s="21"/>
      <c r="AD1838" s="21"/>
      <c r="AE1838" s="39"/>
      <c r="AF1838" s="39" t="s">
        <v>2042</v>
      </c>
      <c r="AG1838" s="21"/>
      <c r="AH1838" s="25" t="s">
        <v>824</v>
      </c>
      <c r="AI1838" s="25" t="s">
        <v>340</v>
      </c>
      <c r="AK1838" s="27">
        <v>478</v>
      </c>
      <c r="AL1838" s="27"/>
      <c r="AU1838" s="25" t="s">
        <v>830</v>
      </c>
      <c r="AV1838" s="25" t="s">
        <v>340</v>
      </c>
      <c r="AX1838" s="27">
        <v>571</v>
      </c>
      <c r="AY1838" s="27"/>
      <c r="BH1838" s="25" t="s">
        <v>836</v>
      </c>
      <c r="BI1838" s="25" t="s">
        <v>340</v>
      </c>
      <c r="BK1838" s="27">
        <v>642</v>
      </c>
      <c r="BL1838" s="27"/>
      <c r="BU1838" s="25" t="s">
        <v>836</v>
      </c>
      <c r="BV1838" s="25" t="s">
        <v>12</v>
      </c>
      <c r="BX1838" s="27">
        <v>642</v>
      </c>
      <c r="BY1838" s="27"/>
      <c r="CH1838" s="29"/>
      <c r="CI1838" s="23" t="s">
        <v>821</v>
      </c>
      <c r="CJ1838" s="28" t="s">
        <v>339</v>
      </c>
    </row>
    <row r="1839" spans="1:107" x14ac:dyDescent="0.2">
      <c r="A1839" s="29">
        <v>30001</v>
      </c>
      <c r="B1839" s="29" t="s">
        <v>27</v>
      </c>
      <c r="C1839" s="29">
        <f t="shared" si="168"/>
        <v>300010003</v>
      </c>
      <c r="D1839" s="23" t="s">
        <v>814</v>
      </c>
      <c r="E1839" s="21" t="s">
        <v>841</v>
      </c>
      <c r="F1839" s="21"/>
      <c r="G1839" s="21"/>
      <c r="H1839" s="21"/>
      <c r="I1839" s="21" t="s">
        <v>207</v>
      </c>
      <c r="J1839" s="21" t="s">
        <v>704</v>
      </c>
      <c r="K1839" s="21"/>
      <c r="L1839" s="21"/>
      <c r="M1839" s="21"/>
      <c r="N1839" s="21" t="s">
        <v>819</v>
      </c>
      <c r="O1839" s="21" t="s">
        <v>158</v>
      </c>
      <c r="P1839" s="21"/>
      <c r="Q1839" s="21" t="s">
        <v>2041</v>
      </c>
      <c r="R1839" s="21"/>
      <c r="S1839" s="21"/>
      <c r="T1839" s="21" t="s">
        <v>811</v>
      </c>
      <c r="U1839" s="118" t="s">
        <v>2136</v>
      </c>
      <c r="V1839" s="21" t="s">
        <v>819</v>
      </c>
      <c r="W1839" s="21" t="s">
        <v>1</v>
      </c>
      <c r="X1839" s="21"/>
      <c r="Z1839" s="21"/>
      <c r="AA1839" s="21"/>
      <c r="AB1839" s="21"/>
      <c r="AC1839" s="21"/>
      <c r="AD1839" s="21"/>
      <c r="AE1839" s="39"/>
      <c r="AF1839" s="39" t="s">
        <v>2042</v>
      </c>
      <c r="AG1839" s="21"/>
      <c r="AH1839" s="25" t="s">
        <v>825</v>
      </c>
      <c r="AI1839" s="25" t="s">
        <v>343</v>
      </c>
      <c r="AK1839" s="27">
        <v>1365</v>
      </c>
      <c r="AL1839" s="27"/>
      <c r="AU1839" s="25" t="s">
        <v>831</v>
      </c>
      <c r="AV1839" s="25" t="s">
        <v>343</v>
      </c>
      <c r="AX1839" s="27">
        <v>1462</v>
      </c>
      <c r="AY1839" s="27"/>
      <c r="BH1839" s="25" t="s">
        <v>837</v>
      </c>
      <c r="BI1839" s="25" t="s">
        <v>343</v>
      </c>
      <c r="BK1839" s="27">
        <v>1560</v>
      </c>
      <c r="BL1839" s="27"/>
      <c r="BU1839" s="25" t="s">
        <v>837</v>
      </c>
      <c r="BV1839" s="25" t="s">
        <v>342</v>
      </c>
      <c r="BX1839" s="27">
        <v>1560</v>
      </c>
      <c r="BY1839" s="27"/>
      <c r="CH1839" s="29"/>
      <c r="CI1839" s="23" t="s">
        <v>821</v>
      </c>
      <c r="CJ1839" s="28" t="s">
        <v>0</v>
      </c>
    </row>
    <row r="1840" spans="1:107" x14ac:dyDescent="0.2">
      <c r="A1840" s="29">
        <v>30001</v>
      </c>
      <c r="B1840" s="29" t="s">
        <v>1</v>
      </c>
      <c r="C1840" s="29">
        <f t="shared" si="168"/>
        <v>300010004</v>
      </c>
      <c r="D1840" s="23" t="s">
        <v>815</v>
      </c>
      <c r="E1840" s="21" t="s">
        <v>841</v>
      </c>
      <c r="F1840" s="21"/>
      <c r="G1840" s="21"/>
      <c r="H1840" s="21"/>
      <c r="I1840" s="21" t="s">
        <v>207</v>
      </c>
      <c r="J1840" s="21"/>
      <c r="K1840" s="21"/>
      <c r="L1840" s="21"/>
      <c r="M1840" s="21"/>
      <c r="N1840" s="21" t="s">
        <v>819</v>
      </c>
      <c r="O1840" s="21" t="s">
        <v>158</v>
      </c>
      <c r="P1840" s="21"/>
      <c r="Q1840" s="21" t="s">
        <v>2041</v>
      </c>
      <c r="R1840" s="21"/>
      <c r="S1840" s="21"/>
      <c r="T1840" s="21" t="s">
        <v>811</v>
      </c>
      <c r="U1840" s="118" t="s">
        <v>2136</v>
      </c>
      <c r="V1840" s="21" t="s">
        <v>819</v>
      </c>
      <c r="W1840" s="21" t="s">
        <v>1</v>
      </c>
      <c r="X1840" s="21"/>
      <c r="Z1840" s="21"/>
      <c r="AA1840" s="21"/>
      <c r="AB1840" s="21"/>
      <c r="AC1840" s="21"/>
      <c r="AD1840" s="21"/>
      <c r="AE1840" s="39"/>
      <c r="AF1840" s="39" t="s">
        <v>2042</v>
      </c>
      <c r="AG1840" s="21"/>
      <c r="AH1840" s="25" t="s">
        <v>826</v>
      </c>
      <c r="AI1840" s="25" t="s">
        <v>265</v>
      </c>
      <c r="AK1840" s="27">
        <v>1615</v>
      </c>
      <c r="AL1840" s="27"/>
      <c r="AU1840" s="25" t="s">
        <v>832</v>
      </c>
      <c r="AV1840" s="25" t="s">
        <v>265</v>
      </c>
      <c r="AX1840" s="27">
        <v>2289</v>
      </c>
      <c r="AY1840" s="27"/>
      <c r="BH1840" s="25" t="s">
        <v>838</v>
      </c>
      <c r="BI1840" s="25" t="s">
        <v>265</v>
      </c>
      <c r="BK1840" s="27">
        <v>2477</v>
      </c>
      <c r="BL1840" s="27"/>
      <c r="BU1840" s="25" t="s">
        <v>838</v>
      </c>
      <c r="BV1840" s="25" t="s">
        <v>497</v>
      </c>
      <c r="BX1840" s="27">
        <v>2477</v>
      </c>
      <c r="BY1840" s="27"/>
      <c r="CH1840" s="29"/>
      <c r="CI1840" s="23" t="s">
        <v>821</v>
      </c>
      <c r="CJ1840" s="28" t="s">
        <v>0</v>
      </c>
    </row>
    <row r="1841" spans="1:107" x14ac:dyDescent="0.2">
      <c r="A1841" s="29">
        <v>30001</v>
      </c>
      <c r="B1841" s="29" t="s">
        <v>2</v>
      </c>
      <c r="C1841" s="29">
        <f t="shared" si="168"/>
        <v>300010005</v>
      </c>
      <c r="D1841" s="23" t="s">
        <v>816</v>
      </c>
      <c r="E1841" s="21" t="s">
        <v>841</v>
      </c>
      <c r="F1841" s="21"/>
      <c r="G1841" s="21"/>
      <c r="H1841" s="21"/>
      <c r="I1841" s="21" t="s">
        <v>207</v>
      </c>
      <c r="J1841" s="21"/>
      <c r="K1841" s="21"/>
      <c r="L1841" s="21"/>
      <c r="M1841" s="21"/>
      <c r="N1841" s="21" t="s">
        <v>819</v>
      </c>
      <c r="O1841" s="21" t="s">
        <v>158</v>
      </c>
      <c r="P1841" s="21"/>
      <c r="Q1841" s="21" t="s">
        <v>2041</v>
      </c>
      <c r="R1841" s="21"/>
      <c r="S1841" s="21"/>
      <c r="T1841" s="21" t="s">
        <v>811</v>
      </c>
      <c r="U1841" s="118" t="s">
        <v>2136</v>
      </c>
      <c r="V1841" s="21" t="s">
        <v>819</v>
      </c>
      <c r="W1841" s="21" t="s">
        <v>1</v>
      </c>
      <c r="X1841" s="21"/>
      <c r="Z1841" s="21"/>
      <c r="AA1841" s="21"/>
      <c r="AB1841" s="21"/>
      <c r="AC1841" s="21"/>
      <c r="AD1841" s="21"/>
      <c r="AE1841" s="39"/>
      <c r="AF1841" s="39" t="s">
        <v>2042</v>
      </c>
      <c r="AG1841" s="21"/>
      <c r="AH1841" s="25" t="s">
        <v>827</v>
      </c>
      <c r="AI1841" s="25" t="s">
        <v>346</v>
      </c>
      <c r="AK1841" s="27">
        <v>3750</v>
      </c>
      <c r="AL1841" s="27"/>
      <c r="AU1841" s="25" t="s">
        <v>833</v>
      </c>
      <c r="AV1841" s="25" t="s">
        <v>346</v>
      </c>
      <c r="AX1841" s="27">
        <v>3802</v>
      </c>
      <c r="AY1841" s="27"/>
      <c r="BH1841" s="25" t="s">
        <v>839</v>
      </c>
      <c r="BI1841" s="25" t="s">
        <v>346</v>
      </c>
      <c r="BK1841" s="27">
        <v>3900</v>
      </c>
      <c r="BL1841" s="27"/>
      <c r="BU1841" s="25" t="s">
        <v>839</v>
      </c>
      <c r="BV1841" s="25" t="s">
        <v>502</v>
      </c>
      <c r="BX1841" s="27">
        <v>3900</v>
      </c>
      <c r="BY1841" s="27"/>
      <c r="CH1841" s="29"/>
      <c r="CI1841" s="23" t="s">
        <v>821</v>
      </c>
      <c r="CJ1841" s="28" t="s">
        <v>0</v>
      </c>
    </row>
    <row r="1842" spans="1:107" x14ac:dyDescent="0.2">
      <c r="A1842" s="29">
        <v>30001</v>
      </c>
      <c r="B1842" s="29" t="s">
        <v>812</v>
      </c>
      <c r="C1842" s="29">
        <f t="shared" si="168"/>
        <v>300010006</v>
      </c>
      <c r="D1842" s="23" t="s">
        <v>817</v>
      </c>
      <c r="E1842" s="21" t="s">
        <v>841</v>
      </c>
      <c r="F1842" s="21"/>
      <c r="G1842" s="21"/>
      <c r="H1842" s="21"/>
      <c r="I1842" s="21" t="s">
        <v>207</v>
      </c>
      <c r="J1842" s="21" t="s">
        <v>704</v>
      </c>
      <c r="K1842" s="21"/>
      <c r="L1842" s="21"/>
      <c r="M1842" s="21"/>
      <c r="N1842" s="21" t="s">
        <v>820</v>
      </c>
      <c r="O1842" s="21" t="s">
        <v>158</v>
      </c>
      <c r="P1842" s="21"/>
      <c r="Q1842" s="21" t="s">
        <v>2041</v>
      </c>
      <c r="R1842" s="21"/>
      <c r="S1842" s="21"/>
      <c r="T1842" s="21" t="s">
        <v>811</v>
      </c>
      <c r="U1842" s="118" t="s">
        <v>2136</v>
      </c>
      <c r="V1842" s="21" t="s">
        <v>819</v>
      </c>
      <c r="W1842" s="21" t="s">
        <v>1</v>
      </c>
      <c r="X1842" s="21"/>
      <c r="Z1842" s="21"/>
      <c r="AA1842" s="21"/>
      <c r="AB1842" s="21"/>
      <c r="AC1842" s="21"/>
      <c r="AD1842" s="21"/>
      <c r="AE1842" s="39"/>
      <c r="AF1842" s="39" t="s">
        <v>2042</v>
      </c>
      <c r="AG1842" s="21"/>
      <c r="AH1842" s="25" t="s">
        <v>828</v>
      </c>
      <c r="AI1842" s="25" t="s">
        <v>266</v>
      </c>
      <c r="AK1842" s="27">
        <v>8721</v>
      </c>
      <c r="AL1842" s="27"/>
      <c r="AU1842" s="25" t="s">
        <v>834</v>
      </c>
      <c r="AV1842" s="25" t="s">
        <v>266</v>
      </c>
      <c r="AX1842" s="27">
        <v>8937</v>
      </c>
      <c r="AY1842" s="27"/>
      <c r="BH1842" s="25" t="s">
        <v>840</v>
      </c>
      <c r="BI1842" s="25" t="s">
        <v>266</v>
      </c>
      <c r="BK1842" s="27">
        <v>9153</v>
      </c>
      <c r="BL1842" s="27"/>
      <c r="BU1842" s="25" t="s">
        <v>840</v>
      </c>
      <c r="BV1842" s="25" t="s">
        <v>502</v>
      </c>
      <c r="BX1842" s="27">
        <v>9153</v>
      </c>
      <c r="BY1842" s="27"/>
      <c r="CH1842" s="29"/>
      <c r="CI1842" s="23" t="s">
        <v>821</v>
      </c>
      <c r="CJ1842" s="28" t="s">
        <v>0</v>
      </c>
    </row>
    <row r="1843" spans="1:107" s="74" customFormat="1" x14ac:dyDescent="0.2">
      <c r="A1843" s="73" t="s">
        <v>916</v>
      </c>
      <c r="B1843" s="73" t="s">
        <v>0</v>
      </c>
      <c r="C1843" s="73">
        <f t="shared" si="168"/>
        <v>300020001</v>
      </c>
      <c r="D1843" s="74" t="s">
        <v>917</v>
      </c>
      <c r="E1843" s="20" t="s">
        <v>923</v>
      </c>
      <c r="F1843" s="20"/>
      <c r="G1843" s="20"/>
      <c r="H1843" s="20"/>
      <c r="I1843" s="75" t="s">
        <v>918</v>
      </c>
      <c r="J1843" s="75" t="s">
        <v>548</v>
      </c>
      <c r="K1843" s="75"/>
      <c r="L1843" s="75"/>
      <c r="M1843" s="75"/>
      <c r="N1843" s="75" t="s">
        <v>819</v>
      </c>
      <c r="O1843" s="75" t="s">
        <v>158</v>
      </c>
      <c r="P1843" s="21"/>
      <c r="Q1843" s="21" t="s">
        <v>2041</v>
      </c>
      <c r="R1843" s="21"/>
      <c r="S1843" s="21"/>
      <c r="T1843" s="21" t="s">
        <v>811</v>
      </c>
      <c r="U1843" s="124" t="s">
        <v>3257</v>
      </c>
      <c r="V1843" s="75" t="s">
        <v>819</v>
      </c>
      <c r="W1843" s="75" t="s">
        <v>1</v>
      </c>
      <c r="X1843" s="75"/>
      <c r="Z1843" s="75"/>
      <c r="AA1843" s="75"/>
      <c r="AB1843" s="75"/>
      <c r="AC1843" s="75"/>
      <c r="AD1843" s="75"/>
      <c r="AE1843" s="76"/>
      <c r="AF1843" s="76" t="s">
        <v>2042</v>
      </c>
      <c r="AG1843" s="75"/>
      <c r="AH1843" s="57" t="s">
        <v>935</v>
      </c>
      <c r="AI1843" s="61" t="s">
        <v>942</v>
      </c>
      <c r="AJ1843" s="61"/>
      <c r="AK1843" s="62">
        <v>2427</v>
      </c>
      <c r="AL1843" s="62"/>
      <c r="AM1843" s="63"/>
      <c r="AN1843" s="63"/>
      <c r="AO1843" s="63"/>
      <c r="AP1843" s="63"/>
      <c r="AQ1843" s="63"/>
      <c r="AR1843" s="63"/>
      <c r="AS1843" s="63"/>
      <c r="AT1843" s="72"/>
      <c r="AU1843" s="57" t="s">
        <v>935</v>
      </c>
      <c r="AV1843" s="61" t="s">
        <v>942</v>
      </c>
      <c r="AW1843" s="71"/>
      <c r="AX1843" s="62">
        <v>2427</v>
      </c>
      <c r="AY1843" s="62"/>
      <c r="AZ1843" s="72"/>
      <c r="BA1843" s="72"/>
      <c r="BB1843" s="63"/>
      <c r="BC1843" s="63"/>
      <c r="BD1843" s="63"/>
      <c r="BE1843" s="63"/>
      <c r="BF1843" s="63"/>
      <c r="BG1843" s="72"/>
      <c r="BH1843" s="57" t="s">
        <v>935</v>
      </c>
      <c r="BI1843" s="61" t="s">
        <v>942</v>
      </c>
      <c r="BJ1843" s="71"/>
      <c r="BK1843" s="62">
        <v>2427</v>
      </c>
      <c r="BL1843" s="62"/>
      <c r="BM1843" s="72"/>
      <c r="BN1843" s="72"/>
      <c r="BO1843" s="63"/>
      <c r="BP1843" s="63"/>
      <c r="BQ1843" s="63"/>
      <c r="BR1843" s="63"/>
      <c r="BS1843" s="63"/>
      <c r="BT1843" s="72"/>
      <c r="BU1843" s="57" t="s">
        <v>935</v>
      </c>
      <c r="BV1843" s="61" t="s">
        <v>942</v>
      </c>
      <c r="BW1843" s="71"/>
      <c r="BX1843" s="62">
        <v>2427</v>
      </c>
      <c r="BY1843" s="62"/>
      <c r="BZ1843" s="72"/>
      <c r="CA1843" s="72"/>
      <c r="CB1843" s="63"/>
      <c r="CC1843" s="63"/>
      <c r="CD1843" s="63"/>
      <c r="CE1843" s="63"/>
      <c r="CF1843" s="63"/>
      <c r="CG1843" s="72"/>
      <c r="CH1843" s="73"/>
      <c r="CI1843" s="71" t="s">
        <v>397</v>
      </c>
      <c r="CJ1843" s="72">
        <v>12</v>
      </c>
      <c r="CT1843" s="77"/>
      <c r="CU1843" s="77"/>
      <c r="CV1843" s="77"/>
      <c r="CW1843" s="77"/>
      <c r="CX1843" s="77"/>
      <c r="CY1843" s="77"/>
      <c r="CZ1843" s="77"/>
      <c r="DA1843" s="77"/>
      <c r="DB1843" s="77"/>
      <c r="DC1843" s="72"/>
    </row>
    <row r="1844" spans="1:107" s="74" customFormat="1" x14ac:dyDescent="0.2">
      <c r="A1844" s="73" t="s">
        <v>916</v>
      </c>
      <c r="B1844" s="73" t="s">
        <v>26</v>
      </c>
      <c r="C1844" s="73">
        <f t="shared" si="168"/>
        <v>300020002</v>
      </c>
      <c r="D1844" s="74" t="s">
        <v>919</v>
      </c>
      <c r="E1844" s="20" t="s">
        <v>923</v>
      </c>
      <c r="F1844" s="20"/>
      <c r="G1844" s="20"/>
      <c r="H1844" s="20"/>
      <c r="I1844" s="75" t="s">
        <v>918</v>
      </c>
      <c r="J1844" s="75" t="s">
        <v>548</v>
      </c>
      <c r="K1844" s="75"/>
      <c r="L1844" s="75"/>
      <c r="M1844" s="75"/>
      <c r="N1844" s="75" t="s">
        <v>819</v>
      </c>
      <c r="O1844" s="75" t="s">
        <v>158</v>
      </c>
      <c r="P1844" s="21"/>
      <c r="Q1844" s="21" t="s">
        <v>2041</v>
      </c>
      <c r="R1844" s="21"/>
      <c r="S1844" s="21"/>
      <c r="T1844" s="21" t="s">
        <v>811</v>
      </c>
      <c r="U1844" s="124" t="s">
        <v>3257</v>
      </c>
      <c r="V1844" s="75" t="s">
        <v>819</v>
      </c>
      <c r="W1844" s="75" t="s">
        <v>1</v>
      </c>
      <c r="X1844" s="75"/>
      <c r="Z1844" s="75"/>
      <c r="AA1844" s="75"/>
      <c r="AB1844" s="75"/>
      <c r="AC1844" s="75"/>
      <c r="AD1844" s="75"/>
      <c r="AE1844" s="76"/>
      <c r="AF1844" s="76" t="s">
        <v>2042</v>
      </c>
      <c r="AG1844" s="75"/>
      <c r="AH1844" s="57" t="s">
        <v>936</v>
      </c>
      <c r="AI1844" s="61" t="s">
        <v>943</v>
      </c>
      <c r="AJ1844" s="71"/>
      <c r="AK1844" s="62">
        <v>3835</v>
      </c>
      <c r="AL1844" s="62"/>
      <c r="AM1844" s="72"/>
      <c r="AN1844" s="72"/>
      <c r="AO1844" s="72"/>
      <c r="AP1844" s="72"/>
      <c r="AQ1844" s="72"/>
      <c r="AR1844" s="72"/>
      <c r="AS1844" s="72"/>
      <c r="AT1844" s="72"/>
      <c r="AU1844" s="57" t="s">
        <v>936</v>
      </c>
      <c r="AV1844" s="61" t="s">
        <v>943</v>
      </c>
      <c r="AW1844" s="61"/>
      <c r="AX1844" s="62">
        <v>3835</v>
      </c>
      <c r="AY1844" s="62"/>
      <c r="AZ1844" s="63"/>
      <c r="BA1844" s="63"/>
      <c r="BB1844" s="72"/>
      <c r="BC1844" s="72"/>
      <c r="BD1844" s="72"/>
      <c r="BE1844" s="72"/>
      <c r="BF1844" s="72"/>
      <c r="BG1844" s="72"/>
      <c r="BH1844" s="57" t="s">
        <v>936</v>
      </c>
      <c r="BI1844" s="61" t="s">
        <v>943</v>
      </c>
      <c r="BJ1844" s="71"/>
      <c r="BK1844" s="62">
        <v>3835</v>
      </c>
      <c r="BL1844" s="62"/>
      <c r="BM1844" s="72"/>
      <c r="BN1844" s="72"/>
      <c r="BO1844" s="72"/>
      <c r="BP1844" s="72"/>
      <c r="BQ1844" s="72"/>
      <c r="BR1844" s="72"/>
      <c r="BS1844" s="72"/>
      <c r="BT1844" s="72"/>
      <c r="BU1844" s="57" t="s">
        <v>936</v>
      </c>
      <c r="BV1844" s="61" t="s">
        <v>943</v>
      </c>
      <c r="BW1844" s="71"/>
      <c r="BX1844" s="62">
        <v>3835</v>
      </c>
      <c r="BY1844" s="62"/>
      <c r="BZ1844" s="72"/>
      <c r="CA1844" s="72"/>
      <c r="CB1844" s="72"/>
      <c r="CC1844" s="72"/>
      <c r="CD1844" s="72"/>
      <c r="CE1844" s="72"/>
      <c r="CF1844" s="72"/>
      <c r="CG1844" s="72"/>
      <c r="CH1844" s="73"/>
      <c r="CI1844" s="71" t="s">
        <v>397</v>
      </c>
      <c r="CJ1844" s="72">
        <v>18</v>
      </c>
      <c r="CT1844" s="77"/>
      <c r="CU1844" s="77"/>
      <c r="CV1844" s="77"/>
      <c r="CW1844" s="77"/>
      <c r="CX1844" s="77"/>
      <c r="CY1844" s="77"/>
      <c r="CZ1844" s="77"/>
      <c r="DA1844" s="77"/>
      <c r="DB1844" s="77"/>
      <c r="DC1844" s="72"/>
    </row>
    <row r="1845" spans="1:107" s="74" customFormat="1" x14ac:dyDescent="0.2">
      <c r="A1845" s="73" t="s">
        <v>916</v>
      </c>
      <c r="B1845" s="73" t="s">
        <v>27</v>
      </c>
      <c r="C1845" s="73">
        <f t="shared" si="168"/>
        <v>300020003</v>
      </c>
      <c r="D1845" s="74" t="s">
        <v>920</v>
      </c>
      <c r="E1845" s="20" t="s">
        <v>923</v>
      </c>
      <c r="F1845" s="20"/>
      <c r="G1845" s="20"/>
      <c r="H1845" s="20"/>
      <c r="I1845" s="75" t="s">
        <v>918</v>
      </c>
      <c r="J1845" s="75" t="s">
        <v>548</v>
      </c>
      <c r="K1845" s="75"/>
      <c r="L1845" s="75"/>
      <c r="M1845" s="75"/>
      <c r="N1845" s="75" t="s">
        <v>819</v>
      </c>
      <c r="O1845" s="75" t="s">
        <v>158</v>
      </c>
      <c r="P1845" s="21"/>
      <c r="Q1845" s="21" t="s">
        <v>2041</v>
      </c>
      <c r="R1845" s="21"/>
      <c r="S1845" s="21"/>
      <c r="T1845" s="21" t="s">
        <v>811</v>
      </c>
      <c r="U1845" s="124" t="s">
        <v>3257</v>
      </c>
      <c r="V1845" s="75" t="s">
        <v>819</v>
      </c>
      <c r="W1845" s="75" t="s">
        <v>1</v>
      </c>
      <c r="X1845" s="75"/>
      <c r="Z1845" s="75"/>
      <c r="AA1845" s="75"/>
      <c r="AB1845" s="75"/>
      <c r="AC1845" s="75"/>
      <c r="AD1845" s="75"/>
      <c r="AE1845" s="76"/>
      <c r="AF1845" s="76" t="s">
        <v>2042</v>
      </c>
      <c r="AG1845" s="75"/>
      <c r="AH1845" s="57" t="s">
        <v>937</v>
      </c>
      <c r="AI1845" s="61" t="s">
        <v>944</v>
      </c>
      <c r="AJ1845" s="71"/>
      <c r="AK1845" s="62">
        <v>9063</v>
      </c>
      <c r="AL1845" s="62"/>
      <c r="AM1845" s="72"/>
      <c r="AN1845" s="72"/>
      <c r="AO1845" s="72"/>
      <c r="AP1845" s="72"/>
      <c r="AQ1845" s="72"/>
      <c r="AR1845" s="72"/>
      <c r="AS1845" s="72"/>
      <c r="AT1845" s="72"/>
      <c r="AU1845" s="57" t="s">
        <v>937</v>
      </c>
      <c r="AV1845" s="61" t="s">
        <v>944</v>
      </c>
      <c r="AW1845" s="71"/>
      <c r="AX1845" s="62">
        <v>9063</v>
      </c>
      <c r="AY1845" s="62"/>
      <c r="AZ1845" s="72"/>
      <c r="BA1845" s="72"/>
      <c r="BB1845" s="72"/>
      <c r="BC1845" s="72"/>
      <c r="BD1845" s="72"/>
      <c r="BE1845" s="72"/>
      <c r="BF1845" s="72"/>
      <c r="BG1845" s="72"/>
      <c r="BH1845" s="57" t="s">
        <v>937</v>
      </c>
      <c r="BI1845" s="61" t="s">
        <v>944</v>
      </c>
      <c r="BJ1845" s="61"/>
      <c r="BK1845" s="62">
        <v>9063</v>
      </c>
      <c r="BL1845" s="62"/>
      <c r="BM1845" s="63"/>
      <c r="BN1845" s="63"/>
      <c r="BO1845" s="72"/>
      <c r="BP1845" s="72"/>
      <c r="BQ1845" s="72"/>
      <c r="BR1845" s="72"/>
      <c r="BS1845" s="72"/>
      <c r="BT1845" s="72"/>
      <c r="BU1845" s="57" t="s">
        <v>937</v>
      </c>
      <c r="BV1845" s="61" t="s">
        <v>944</v>
      </c>
      <c r="BW1845" s="71"/>
      <c r="BX1845" s="62">
        <v>9063</v>
      </c>
      <c r="BY1845" s="62"/>
      <c r="BZ1845" s="72"/>
      <c r="CA1845" s="72"/>
      <c r="CB1845" s="72"/>
      <c r="CC1845" s="72"/>
      <c r="CD1845" s="72"/>
      <c r="CE1845" s="72"/>
      <c r="CF1845" s="72"/>
      <c r="CG1845" s="72"/>
      <c r="CH1845" s="73"/>
      <c r="CI1845" s="71" t="s">
        <v>397</v>
      </c>
      <c r="CJ1845" s="72">
        <v>24</v>
      </c>
      <c r="CT1845" s="77"/>
      <c r="CU1845" s="77"/>
      <c r="CV1845" s="77"/>
      <c r="CW1845" s="77"/>
      <c r="CX1845" s="77"/>
      <c r="CY1845" s="77"/>
      <c r="CZ1845" s="77"/>
      <c r="DA1845" s="77"/>
      <c r="DB1845" s="77"/>
      <c r="DC1845" s="72"/>
    </row>
    <row r="1846" spans="1:107" s="74" customFormat="1" x14ac:dyDescent="0.2">
      <c r="A1846" s="73" t="s">
        <v>916</v>
      </c>
      <c r="B1846" s="73" t="s">
        <v>1</v>
      </c>
      <c r="C1846" s="73">
        <f t="shared" si="168"/>
        <v>300020004</v>
      </c>
      <c r="D1846" s="74" t="s">
        <v>921</v>
      </c>
      <c r="E1846" s="20" t="s">
        <v>923</v>
      </c>
      <c r="F1846" s="20"/>
      <c r="G1846" s="20"/>
      <c r="H1846" s="20"/>
      <c r="I1846" s="75" t="s">
        <v>918</v>
      </c>
      <c r="J1846" s="75"/>
      <c r="K1846" s="75"/>
      <c r="L1846" s="75"/>
      <c r="M1846" s="75"/>
      <c r="N1846" s="75" t="s">
        <v>819</v>
      </c>
      <c r="O1846" s="75" t="s">
        <v>158</v>
      </c>
      <c r="P1846" s="21"/>
      <c r="Q1846" s="21" t="s">
        <v>2041</v>
      </c>
      <c r="R1846" s="21"/>
      <c r="S1846" s="21"/>
      <c r="T1846" s="21" t="s">
        <v>811</v>
      </c>
      <c r="U1846" s="124" t="s">
        <v>3257</v>
      </c>
      <c r="V1846" s="75" t="s">
        <v>819</v>
      </c>
      <c r="W1846" s="75" t="s">
        <v>1</v>
      </c>
      <c r="X1846" s="75"/>
      <c r="Z1846" s="75"/>
      <c r="AA1846" s="75"/>
      <c r="AB1846" s="75"/>
      <c r="AC1846" s="75"/>
      <c r="AD1846" s="75"/>
      <c r="AE1846" s="76"/>
      <c r="AF1846" s="76" t="s">
        <v>2042</v>
      </c>
      <c r="AG1846" s="75"/>
      <c r="AH1846" s="57" t="s">
        <v>938</v>
      </c>
      <c r="AI1846" s="61" t="s">
        <v>945</v>
      </c>
      <c r="AJ1846" s="61"/>
      <c r="AK1846" s="62">
        <v>16632</v>
      </c>
      <c r="AL1846" s="62"/>
      <c r="AM1846" s="63"/>
      <c r="AN1846" s="63"/>
      <c r="AO1846" s="63"/>
      <c r="AP1846" s="63"/>
      <c r="AQ1846" s="63"/>
      <c r="AR1846" s="63"/>
      <c r="AS1846" s="63"/>
      <c r="AT1846" s="63"/>
      <c r="AU1846" s="57" t="s">
        <v>939</v>
      </c>
      <c r="AV1846" s="61" t="s">
        <v>946</v>
      </c>
      <c r="AW1846" s="61"/>
      <c r="AX1846" s="62">
        <v>27189</v>
      </c>
      <c r="AY1846" s="62"/>
      <c r="AZ1846" s="63"/>
      <c r="BA1846" s="63"/>
      <c r="BB1846" s="63"/>
      <c r="BC1846" s="63"/>
      <c r="BD1846" s="63"/>
      <c r="BE1846" s="63"/>
      <c r="BF1846" s="63"/>
      <c r="BG1846" s="63"/>
      <c r="BH1846" s="57" t="s">
        <v>940</v>
      </c>
      <c r="BI1846" s="61" t="s">
        <v>947</v>
      </c>
      <c r="BJ1846" s="61"/>
      <c r="BK1846" s="62">
        <v>49611</v>
      </c>
      <c r="BL1846" s="62"/>
      <c r="BM1846" s="63"/>
      <c r="BN1846" s="63"/>
      <c r="BO1846" s="63"/>
      <c r="BP1846" s="63"/>
      <c r="BQ1846" s="63"/>
      <c r="BR1846" s="63"/>
      <c r="BS1846" s="63"/>
      <c r="BT1846" s="63"/>
      <c r="BU1846" s="57" t="s">
        <v>941</v>
      </c>
      <c r="BV1846" s="61" t="s">
        <v>922</v>
      </c>
      <c r="BW1846" s="61"/>
      <c r="BX1846" s="62">
        <v>84338</v>
      </c>
      <c r="BY1846" s="62"/>
      <c r="BZ1846" s="72"/>
      <c r="CA1846" s="72"/>
      <c r="CB1846" s="63"/>
      <c r="CC1846" s="63"/>
      <c r="CD1846" s="63"/>
      <c r="CE1846" s="63"/>
      <c r="CF1846" s="63"/>
      <c r="CG1846" s="72"/>
      <c r="CH1846" s="73"/>
      <c r="CI1846" s="71" t="s">
        <v>397</v>
      </c>
      <c r="CJ1846" s="72"/>
      <c r="CO1846" s="74" t="s">
        <v>181</v>
      </c>
      <c r="CP1846" s="74" t="s">
        <v>932</v>
      </c>
      <c r="CT1846" s="77"/>
      <c r="CU1846" s="77"/>
      <c r="CV1846" s="77"/>
      <c r="CW1846" s="77"/>
      <c r="CX1846" s="77"/>
      <c r="CY1846" s="77"/>
      <c r="CZ1846" s="77"/>
      <c r="DA1846" s="77"/>
      <c r="DB1846" s="77"/>
      <c r="DC1846" s="72"/>
    </row>
    <row r="1847" spans="1:107" x14ac:dyDescent="0.2">
      <c r="A1847" s="29" t="s">
        <v>1411</v>
      </c>
      <c r="B1847" s="29" t="s">
        <v>0</v>
      </c>
      <c r="C1847" s="29">
        <f t="shared" si="168"/>
        <v>300030001</v>
      </c>
      <c r="D1847" s="74" t="s">
        <v>1414</v>
      </c>
      <c r="E1847" s="21" t="s">
        <v>1433</v>
      </c>
      <c r="F1847" s="21"/>
      <c r="G1847" s="21"/>
      <c r="H1847" s="21"/>
      <c r="I1847" s="21" t="s">
        <v>1437</v>
      </c>
      <c r="J1847" s="21" t="s">
        <v>550</v>
      </c>
      <c r="K1847" s="21"/>
      <c r="L1847" s="21"/>
      <c r="M1847" s="21"/>
      <c r="N1847" s="21" t="s">
        <v>819</v>
      </c>
      <c r="O1847" s="21" t="s">
        <v>158</v>
      </c>
      <c r="P1847" s="21"/>
      <c r="Q1847" s="21" t="s">
        <v>2041</v>
      </c>
      <c r="R1847" s="21"/>
      <c r="S1847" s="21"/>
      <c r="T1847" s="21" t="s">
        <v>811</v>
      </c>
      <c r="U1847" s="118" t="s">
        <v>3258</v>
      </c>
      <c r="V1847" s="21" t="s">
        <v>819</v>
      </c>
      <c r="W1847" s="21" t="s">
        <v>1</v>
      </c>
      <c r="X1847" s="21"/>
      <c r="Z1847" s="21"/>
      <c r="AA1847" s="21"/>
      <c r="AB1847" s="21"/>
      <c r="AC1847" s="21"/>
      <c r="AD1847" s="21"/>
      <c r="AE1847" s="39"/>
      <c r="AF1847" s="39" t="s">
        <v>2042</v>
      </c>
      <c r="AG1847" s="21"/>
      <c r="AH1847" s="25" t="s">
        <v>1429</v>
      </c>
      <c r="AI1847" s="25" t="s">
        <v>123</v>
      </c>
      <c r="AK1847" s="27">
        <v>180</v>
      </c>
      <c r="AL1847" s="78" t="s">
        <v>1420</v>
      </c>
      <c r="AU1847" s="25" t="s">
        <v>1430</v>
      </c>
      <c r="AV1847" s="25" t="s">
        <v>123</v>
      </c>
      <c r="AX1847" s="27">
        <v>225</v>
      </c>
      <c r="AY1847" s="78" t="s">
        <v>1426</v>
      </c>
      <c r="BH1847" s="25" t="s">
        <v>1431</v>
      </c>
      <c r="BI1847" s="25" t="s">
        <v>123</v>
      </c>
      <c r="BK1847" s="27">
        <v>270</v>
      </c>
      <c r="BL1847" s="78" t="s">
        <v>1427</v>
      </c>
      <c r="BU1847" s="25" t="s">
        <v>1432</v>
      </c>
      <c r="BV1847" s="25" t="s">
        <v>2</v>
      </c>
      <c r="BX1847" s="27">
        <v>270</v>
      </c>
      <c r="BY1847" s="78" t="s">
        <v>1428</v>
      </c>
      <c r="CH1847" s="29"/>
      <c r="CI1847" s="23" t="s">
        <v>821</v>
      </c>
      <c r="CJ1847" s="28" t="s">
        <v>181</v>
      </c>
    </row>
    <row r="1848" spans="1:107" x14ac:dyDescent="0.2">
      <c r="A1848" s="29" t="s">
        <v>1411</v>
      </c>
      <c r="B1848" s="29" t="s">
        <v>26</v>
      </c>
      <c r="C1848" s="29">
        <f t="shared" si="168"/>
        <v>300030002</v>
      </c>
      <c r="D1848" s="74" t="s">
        <v>1415</v>
      </c>
      <c r="E1848" s="21" t="s">
        <v>1433</v>
      </c>
      <c r="F1848" s="21"/>
      <c r="G1848" s="21"/>
      <c r="H1848" s="21"/>
      <c r="I1848" s="21" t="s">
        <v>1437</v>
      </c>
      <c r="J1848" s="21" t="s">
        <v>550</v>
      </c>
      <c r="K1848" s="21"/>
      <c r="L1848" s="21"/>
      <c r="M1848" s="21"/>
      <c r="N1848" s="21" t="s">
        <v>819</v>
      </c>
      <c r="O1848" s="21" t="s">
        <v>158</v>
      </c>
      <c r="P1848" s="21"/>
      <c r="Q1848" s="21" t="s">
        <v>2041</v>
      </c>
      <c r="R1848" s="21"/>
      <c r="S1848" s="21"/>
      <c r="T1848" s="21" t="s">
        <v>811</v>
      </c>
      <c r="U1848" s="118" t="s">
        <v>3258</v>
      </c>
      <c r="V1848" s="21" t="s">
        <v>819</v>
      </c>
      <c r="W1848" s="21" t="s">
        <v>1</v>
      </c>
      <c r="X1848" s="21"/>
      <c r="Z1848" s="21"/>
      <c r="AA1848" s="21"/>
      <c r="AB1848" s="21"/>
      <c r="AC1848" s="21"/>
      <c r="AD1848" s="21"/>
      <c r="AE1848" s="39"/>
      <c r="AF1848" s="39" t="s">
        <v>2042</v>
      </c>
      <c r="AG1848" s="21"/>
      <c r="AH1848" s="25" t="s">
        <v>1429</v>
      </c>
      <c r="AI1848" s="25" t="s">
        <v>176</v>
      </c>
      <c r="AK1848" s="27">
        <v>478</v>
      </c>
      <c r="AL1848" s="78" t="s">
        <v>1420</v>
      </c>
      <c r="AU1848" s="25" t="s">
        <v>1430</v>
      </c>
      <c r="AV1848" s="25" t="s">
        <v>176</v>
      </c>
      <c r="AX1848" s="27">
        <v>571</v>
      </c>
      <c r="AY1848" s="78" t="s">
        <v>1426</v>
      </c>
      <c r="BH1848" s="25" t="s">
        <v>1431</v>
      </c>
      <c r="BI1848" s="25" t="s">
        <v>176</v>
      </c>
      <c r="BK1848" s="27">
        <v>642</v>
      </c>
      <c r="BL1848" s="78" t="s">
        <v>1427</v>
      </c>
      <c r="BU1848" s="25" t="s">
        <v>1432</v>
      </c>
      <c r="BV1848" s="25" t="s">
        <v>12</v>
      </c>
      <c r="BX1848" s="27">
        <v>642</v>
      </c>
      <c r="BY1848" s="78" t="s">
        <v>1428</v>
      </c>
      <c r="CH1848" s="29"/>
      <c r="CI1848" s="23" t="s">
        <v>821</v>
      </c>
      <c r="CJ1848" s="28" t="s">
        <v>181</v>
      </c>
    </row>
    <row r="1849" spans="1:107" x14ac:dyDescent="0.2">
      <c r="A1849" s="29" t="s">
        <v>1411</v>
      </c>
      <c r="B1849" s="29" t="s">
        <v>27</v>
      </c>
      <c r="C1849" s="29">
        <f t="shared" si="168"/>
        <v>300030003</v>
      </c>
      <c r="D1849" s="74" t="s">
        <v>1416</v>
      </c>
      <c r="E1849" s="21" t="s">
        <v>1433</v>
      </c>
      <c r="F1849" s="21"/>
      <c r="G1849" s="21"/>
      <c r="H1849" s="21"/>
      <c r="I1849" s="21" t="s">
        <v>1437</v>
      </c>
      <c r="J1849" s="21" t="s">
        <v>550</v>
      </c>
      <c r="K1849" s="21"/>
      <c r="L1849" s="21"/>
      <c r="M1849" s="21"/>
      <c r="N1849" s="21" t="s">
        <v>819</v>
      </c>
      <c r="O1849" s="21" t="s">
        <v>158</v>
      </c>
      <c r="P1849" s="21"/>
      <c r="Q1849" s="21" t="s">
        <v>2041</v>
      </c>
      <c r="R1849" s="21"/>
      <c r="S1849" s="21"/>
      <c r="T1849" s="21" t="s">
        <v>811</v>
      </c>
      <c r="U1849" s="118" t="s">
        <v>3258</v>
      </c>
      <c r="V1849" s="21" t="s">
        <v>819</v>
      </c>
      <c r="W1849" s="21" t="s">
        <v>1</v>
      </c>
      <c r="X1849" s="21"/>
      <c r="Z1849" s="21"/>
      <c r="AA1849" s="21"/>
      <c r="AB1849" s="21"/>
      <c r="AC1849" s="21"/>
      <c r="AD1849" s="21"/>
      <c r="AE1849" s="39"/>
      <c r="AF1849" s="39" t="s">
        <v>2042</v>
      </c>
      <c r="AG1849" s="21"/>
      <c r="AH1849" s="25" t="s">
        <v>1429</v>
      </c>
      <c r="AI1849" s="25" t="s">
        <v>263</v>
      </c>
      <c r="AK1849" s="27">
        <v>1365</v>
      </c>
      <c r="AL1849" s="78" t="s">
        <v>1420</v>
      </c>
      <c r="AU1849" s="25" t="s">
        <v>1430</v>
      </c>
      <c r="AV1849" s="25" t="s">
        <v>263</v>
      </c>
      <c r="AX1849" s="27">
        <v>1462</v>
      </c>
      <c r="AY1849" s="78" t="s">
        <v>1426</v>
      </c>
      <c r="BH1849" s="25" t="s">
        <v>1431</v>
      </c>
      <c r="BI1849" s="25" t="s">
        <v>263</v>
      </c>
      <c r="BK1849" s="27">
        <v>1560</v>
      </c>
      <c r="BL1849" s="78" t="s">
        <v>1427</v>
      </c>
      <c r="BU1849" s="25" t="s">
        <v>1432</v>
      </c>
      <c r="BV1849" s="25" t="s">
        <v>342</v>
      </c>
      <c r="BX1849" s="27">
        <v>1560</v>
      </c>
      <c r="BY1849" s="78" t="s">
        <v>1428</v>
      </c>
      <c r="CH1849" s="29"/>
      <c r="CI1849" s="23" t="s">
        <v>821</v>
      </c>
      <c r="CJ1849" s="28" t="s">
        <v>0</v>
      </c>
    </row>
    <row r="1850" spans="1:107" x14ac:dyDescent="0.2">
      <c r="A1850" s="29" t="s">
        <v>1411</v>
      </c>
      <c r="B1850" s="29" t="s">
        <v>1</v>
      </c>
      <c r="C1850" s="29">
        <f t="shared" si="168"/>
        <v>300030004</v>
      </c>
      <c r="D1850" s="74" t="s">
        <v>1417</v>
      </c>
      <c r="E1850" s="21" t="s">
        <v>1434</v>
      </c>
      <c r="F1850" s="21"/>
      <c r="G1850" s="21"/>
      <c r="H1850" s="21"/>
      <c r="I1850" s="21" t="s">
        <v>1438</v>
      </c>
      <c r="J1850" s="21" t="s">
        <v>550</v>
      </c>
      <c r="K1850" s="21"/>
      <c r="L1850" s="21"/>
      <c r="M1850" s="21"/>
      <c r="N1850" s="21" t="s">
        <v>819</v>
      </c>
      <c r="O1850" s="21" t="s">
        <v>158</v>
      </c>
      <c r="P1850" s="21"/>
      <c r="Q1850" s="21" t="s">
        <v>2041</v>
      </c>
      <c r="R1850" s="21"/>
      <c r="S1850" s="21"/>
      <c r="T1850" s="21" t="s">
        <v>811</v>
      </c>
      <c r="U1850" s="118" t="s">
        <v>3258</v>
      </c>
      <c r="V1850" s="21" t="s">
        <v>819</v>
      </c>
      <c r="W1850" s="21" t="s">
        <v>1</v>
      </c>
      <c r="X1850" s="21"/>
      <c r="Z1850" s="21"/>
      <c r="AA1850" s="21"/>
      <c r="AB1850" s="21"/>
      <c r="AC1850" s="21"/>
      <c r="AD1850" s="21"/>
      <c r="AE1850" s="39"/>
      <c r="AF1850" s="39" t="s">
        <v>2042</v>
      </c>
      <c r="AG1850" s="21"/>
      <c r="AH1850" s="25" t="s">
        <v>1429</v>
      </c>
      <c r="AI1850" s="25" t="s">
        <v>265</v>
      </c>
      <c r="AK1850" s="27">
        <v>1615</v>
      </c>
      <c r="AL1850" s="78" t="s">
        <v>1420</v>
      </c>
      <c r="AU1850" s="25" t="s">
        <v>1430</v>
      </c>
      <c r="AV1850" s="25" t="s">
        <v>265</v>
      </c>
      <c r="AX1850" s="27">
        <v>2289</v>
      </c>
      <c r="AY1850" s="78" t="s">
        <v>1426</v>
      </c>
      <c r="BH1850" s="25" t="s">
        <v>1431</v>
      </c>
      <c r="BI1850" s="25" t="s">
        <v>265</v>
      </c>
      <c r="BK1850" s="27">
        <v>2477</v>
      </c>
      <c r="BL1850" s="78" t="s">
        <v>1427</v>
      </c>
      <c r="BU1850" s="25" t="s">
        <v>1432</v>
      </c>
      <c r="BV1850" s="25" t="s">
        <v>497</v>
      </c>
      <c r="BX1850" s="27">
        <v>2477</v>
      </c>
      <c r="BY1850" s="78" t="s">
        <v>1428</v>
      </c>
      <c r="CH1850" s="29"/>
      <c r="CI1850" s="23" t="s">
        <v>821</v>
      </c>
      <c r="CJ1850" s="28" t="s">
        <v>0</v>
      </c>
    </row>
    <row r="1851" spans="1:107" x14ac:dyDescent="0.2">
      <c r="A1851" s="29" t="s">
        <v>1411</v>
      </c>
      <c r="B1851" s="29" t="s">
        <v>2</v>
      </c>
      <c r="C1851" s="29">
        <f t="shared" si="168"/>
        <v>300030005</v>
      </c>
      <c r="D1851" s="74" t="s">
        <v>1418</v>
      </c>
      <c r="E1851" s="21" t="s">
        <v>1435</v>
      </c>
      <c r="F1851" s="21"/>
      <c r="G1851" s="21"/>
      <c r="H1851" s="21"/>
      <c r="I1851" s="21" t="s">
        <v>1439</v>
      </c>
      <c r="J1851" s="21" t="s">
        <v>550</v>
      </c>
      <c r="K1851" s="21"/>
      <c r="L1851" s="21"/>
      <c r="M1851" s="21"/>
      <c r="N1851" s="21" t="s">
        <v>819</v>
      </c>
      <c r="O1851" s="21" t="s">
        <v>158</v>
      </c>
      <c r="P1851" s="21"/>
      <c r="Q1851" s="21" t="s">
        <v>2041</v>
      </c>
      <c r="R1851" s="21"/>
      <c r="S1851" s="21"/>
      <c r="T1851" s="21" t="s">
        <v>811</v>
      </c>
      <c r="U1851" s="118" t="s">
        <v>3258</v>
      </c>
      <c r="V1851" s="21" t="s">
        <v>819</v>
      </c>
      <c r="W1851" s="21" t="s">
        <v>1</v>
      </c>
      <c r="X1851" s="21"/>
      <c r="Z1851" s="21"/>
      <c r="AA1851" s="21"/>
      <c r="AB1851" s="21"/>
      <c r="AC1851" s="21"/>
      <c r="AD1851" s="21"/>
      <c r="AE1851" s="39"/>
      <c r="AF1851" s="39" t="s">
        <v>2042</v>
      </c>
      <c r="AG1851" s="21"/>
      <c r="AH1851" s="25" t="s">
        <v>1429</v>
      </c>
      <c r="AI1851" s="25" t="s">
        <v>266</v>
      </c>
      <c r="AK1851" s="27">
        <v>3750</v>
      </c>
      <c r="AL1851" s="78" t="s">
        <v>1420</v>
      </c>
      <c r="AU1851" s="25" t="s">
        <v>1430</v>
      </c>
      <c r="AV1851" s="25" t="s">
        <v>266</v>
      </c>
      <c r="AX1851" s="27">
        <v>3802</v>
      </c>
      <c r="AY1851" s="78" t="s">
        <v>1426</v>
      </c>
      <c r="BH1851" s="25" t="s">
        <v>1431</v>
      </c>
      <c r="BI1851" s="25" t="s">
        <v>266</v>
      </c>
      <c r="BK1851" s="27">
        <v>3900</v>
      </c>
      <c r="BL1851" s="78" t="s">
        <v>1427</v>
      </c>
      <c r="BU1851" s="25" t="s">
        <v>1432</v>
      </c>
      <c r="BV1851" s="25" t="s">
        <v>502</v>
      </c>
      <c r="BX1851" s="27">
        <v>3900</v>
      </c>
      <c r="BY1851" s="78" t="s">
        <v>1428</v>
      </c>
      <c r="CH1851" s="29"/>
      <c r="CI1851" s="23" t="s">
        <v>821</v>
      </c>
      <c r="CJ1851" s="28" t="s">
        <v>0</v>
      </c>
    </row>
    <row r="1852" spans="1:107" x14ac:dyDescent="0.2">
      <c r="A1852" s="29" t="s">
        <v>1411</v>
      </c>
      <c r="B1852" s="29" t="s">
        <v>120</v>
      </c>
      <c r="C1852" s="29">
        <f t="shared" si="168"/>
        <v>300030006</v>
      </c>
      <c r="D1852" s="74" t="s">
        <v>1419</v>
      </c>
      <c r="E1852" s="21" t="s">
        <v>1436</v>
      </c>
      <c r="F1852" s="21"/>
      <c r="G1852" s="21"/>
      <c r="H1852" s="21"/>
      <c r="I1852" s="21" t="s">
        <v>1439</v>
      </c>
      <c r="J1852" s="21" t="s">
        <v>550</v>
      </c>
      <c r="K1852" s="21"/>
      <c r="L1852" s="21"/>
      <c r="M1852" s="21"/>
      <c r="N1852" s="21" t="s">
        <v>820</v>
      </c>
      <c r="O1852" s="21" t="s">
        <v>158</v>
      </c>
      <c r="P1852" s="21"/>
      <c r="Q1852" s="21" t="s">
        <v>2041</v>
      </c>
      <c r="R1852" s="21"/>
      <c r="S1852" s="21"/>
      <c r="T1852" s="21" t="s">
        <v>811</v>
      </c>
      <c r="U1852" s="118" t="s">
        <v>3258</v>
      </c>
      <c r="V1852" s="21" t="s">
        <v>819</v>
      </c>
      <c r="W1852" s="21" t="s">
        <v>1</v>
      </c>
      <c r="X1852" s="21"/>
      <c r="Z1852" s="21"/>
      <c r="AA1852" s="21"/>
      <c r="AB1852" s="21"/>
      <c r="AC1852" s="21"/>
      <c r="AD1852" s="21"/>
      <c r="AE1852" s="39"/>
      <c r="AF1852" s="39" t="s">
        <v>2042</v>
      </c>
      <c r="AG1852" s="21"/>
      <c r="AH1852" s="25" t="s">
        <v>1429</v>
      </c>
      <c r="AI1852" s="25" t="s">
        <v>266</v>
      </c>
      <c r="AK1852" s="27">
        <v>8721</v>
      </c>
      <c r="AL1852" s="78" t="s">
        <v>1420</v>
      </c>
      <c r="AU1852" s="25" t="s">
        <v>1430</v>
      </c>
      <c r="AV1852" s="25" t="s">
        <v>266</v>
      </c>
      <c r="AX1852" s="27">
        <v>8937</v>
      </c>
      <c r="AY1852" s="78" t="s">
        <v>1426</v>
      </c>
      <c r="BH1852" s="25" t="s">
        <v>1431</v>
      </c>
      <c r="BI1852" s="25" t="s">
        <v>266</v>
      </c>
      <c r="BK1852" s="27">
        <v>9153</v>
      </c>
      <c r="BL1852" s="78" t="s">
        <v>1427</v>
      </c>
      <c r="BU1852" s="25" t="s">
        <v>1432</v>
      </c>
      <c r="BV1852" s="25" t="s">
        <v>502</v>
      </c>
      <c r="BX1852" s="27">
        <v>9153</v>
      </c>
      <c r="BY1852" s="78" t="s">
        <v>1428</v>
      </c>
      <c r="CH1852" s="29"/>
      <c r="CI1852" s="23" t="s">
        <v>821</v>
      </c>
      <c r="CJ1852" s="28" t="s">
        <v>0</v>
      </c>
    </row>
    <row r="1853" spans="1:107" s="80" customFormat="1" x14ac:dyDescent="0.2">
      <c r="A1853" s="79" t="s">
        <v>3431</v>
      </c>
      <c r="B1853" s="79" t="s">
        <v>0</v>
      </c>
      <c r="C1853" s="79">
        <v>300100001</v>
      </c>
      <c r="D1853" s="80" t="s">
        <v>3432</v>
      </c>
      <c r="E1853" s="22" t="s">
        <v>841</v>
      </c>
      <c r="F1853" s="22"/>
      <c r="G1853" s="22"/>
      <c r="H1853" s="22"/>
      <c r="I1853" s="22" t="s">
        <v>1567</v>
      </c>
      <c r="J1853" s="22" t="s">
        <v>548</v>
      </c>
      <c r="K1853" s="22"/>
      <c r="L1853" s="22"/>
      <c r="M1853" s="22"/>
      <c r="N1853" s="22" t="s">
        <v>819</v>
      </c>
      <c r="O1853" s="22" t="s">
        <v>158</v>
      </c>
      <c r="P1853" s="21"/>
      <c r="Q1853" s="21" t="s">
        <v>2041</v>
      </c>
      <c r="R1853" s="21"/>
      <c r="S1853" s="21"/>
      <c r="T1853" s="21" t="s">
        <v>3433</v>
      </c>
      <c r="U1853" s="116" t="s">
        <v>3434</v>
      </c>
      <c r="V1853" s="22" t="s">
        <v>819</v>
      </c>
      <c r="W1853" s="22" t="s">
        <v>1</v>
      </c>
      <c r="X1853" s="22"/>
      <c r="Z1853" s="22"/>
      <c r="AA1853" s="22"/>
      <c r="AB1853" s="22"/>
      <c r="AC1853" s="22"/>
      <c r="AD1853" s="22"/>
      <c r="AE1853" s="24"/>
      <c r="AF1853" s="24" t="s">
        <v>2042</v>
      </c>
      <c r="AG1853" s="22"/>
      <c r="AH1853" s="26"/>
      <c r="AI1853" s="26" t="s">
        <v>2</v>
      </c>
      <c r="AJ1853" s="26"/>
      <c r="AK1853" s="40">
        <v>800</v>
      </c>
      <c r="AL1853" s="81" t="s">
        <v>3435</v>
      </c>
      <c r="AM1853" s="82"/>
      <c r="AN1853" s="82"/>
      <c r="AO1853" s="82"/>
      <c r="AP1853" s="82"/>
      <c r="AQ1853" s="82"/>
      <c r="AR1853" s="82"/>
      <c r="AS1853" s="82"/>
      <c r="AT1853" s="82"/>
      <c r="AU1853" s="26"/>
      <c r="AV1853" s="26" t="s">
        <v>2</v>
      </c>
      <c r="AW1853" s="26"/>
      <c r="AX1853" s="40">
        <v>4128</v>
      </c>
      <c r="AY1853" s="81" t="s">
        <v>3436</v>
      </c>
      <c r="AZ1853" s="82"/>
      <c r="BA1853" s="82"/>
      <c r="BB1853" s="82"/>
      <c r="BC1853" s="82"/>
      <c r="BD1853" s="82"/>
      <c r="BE1853" s="82"/>
      <c r="BF1853" s="82"/>
      <c r="BG1853" s="82"/>
      <c r="BH1853" s="26"/>
      <c r="BI1853" s="26" t="s">
        <v>2</v>
      </c>
      <c r="BJ1853" s="26"/>
      <c r="BK1853" s="40">
        <v>14970</v>
      </c>
      <c r="BL1853" s="81" t="s">
        <v>3437</v>
      </c>
      <c r="BM1853" s="82"/>
      <c r="BN1853" s="82"/>
      <c r="BO1853" s="82"/>
      <c r="BP1853" s="82"/>
      <c r="BQ1853" s="82"/>
      <c r="BR1853" s="82"/>
      <c r="BS1853" s="82"/>
      <c r="BT1853" s="82"/>
      <c r="BU1853" s="26"/>
      <c r="BV1853" s="26" t="s">
        <v>2</v>
      </c>
      <c r="BW1853" s="26"/>
      <c r="BX1853" s="40">
        <v>32949</v>
      </c>
      <c r="BY1853" s="81" t="s">
        <v>1566</v>
      </c>
      <c r="BZ1853" s="82"/>
      <c r="CA1853" s="82"/>
      <c r="CB1853" s="82"/>
      <c r="CC1853" s="82"/>
      <c r="CD1853" s="82"/>
      <c r="CE1853" s="82"/>
      <c r="CF1853" s="82"/>
      <c r="CG1853" s="82"/>
      <c r="CH1853" s="79"/>
      <c r="CI1853" s="80" t="s">
        <v>821</v>
      </c>
      <c r="CJ1853" s="82" t="s">
        <v>181</v>
      </c>
      <c r="CT1853" s="83"/>
      <c r="CU1853" s="83"/>
      <c r="CV1853" s="83"/>
      <c r="CW1853" s="83"/>
      <c r="CX1853" s="83"/>
      <c r="CY1853" s="83"/>
      <c r="CZ1853" s="83"/>
      <c r="DA1853" s="83"/>
      <c r="DB1853" s="83"/>
      <c r="DC1853" s="82"/>
    </row>
    <row r="1854" spans="1:107" s="80" customFormat="1" x14ac:dyDescent="0.2">
      <c r="A1854" s="79" t="s">
        <v>3431</v>
      </c>
      <c r="B1854" s="79" t="s">
        <v>26</v>
      </c>
      <c r="C1854" s="79">
        <v>300100002</v>
      </c>
      <c r="D1854" s="80" t="s">
        <v>3438</v>
      </c>
      <c r="E1854" s="22" t="s">
        <v>841</v>
      </c>
      <c r="F1854" s="22"/>
      <c r="G1854" s="22"/>
      <c r="H1854" s="22"/>
      <c r="I1854" s="22" t="s">
        <v>1567</v>
      </c>
      <c r="J1854" s="22" t="s">
        <v>548</v>
      </c>
      <c r="K1854" s="22"/>
      <c r="L1854" s="22"/>
      <c r="M1854" s="22"/>
      <c r="N1854" s="22" t="s">
        <v>819</v>
      </c>
      <c r="O1854" s="22" t="s">
        <v>158</v>
      </c>
      <c r="P1854" s="21"/>
      <c r="Q1854" s="21" t="s">
        <v>2041</v>
      </c>
      <c r="R1854" s="21"/>
      <c r="S1854" s="21"/>
      <c r="T1854" s="21" t="s">
        <v>3433</v>
      </c>
      <c r="U1854" s="116" t="s">
        <v>3434</v>
      </c>
      <c r="V1854" s="22" t="s">
        <v>819</v>
      </c>
      <c r="W1854" s="22" t="s">
        <v>1</v>
      </c>
      <c r="X1854" s="22"/>
      <c r="Z1854" s="22"/>
      <c r="AA1854" s="22"/>
      <c r="AB1854" s="22"/>
      <c r="AC1854" s="22"/>
      <c r="AD1854" s="22"/>
      <c r="AE1854" s="24"/>
      <c r="AF1854" s="24" t="s">
        <v>2042</v>
      </c>
      <c r="AG1854" s="22"/>
      <c r="AH1854" s="26"/>
      <c r="AI1854" s="26" t="s">
        <v>12</v>
      </c>
      <c r="AJ1854" s="26"/>
      <c r="AK1854" s="40">
        <v>800</v>
      </c>
      <c r="AL1854" s="81" t="s">
        <v>3435</v>
      </c>
      <c r="AM1854" s="82"/>
      <c r="AN1854" s="82"/>
      <c r="AO1854" s="82"/>
      <c r="AP1854" s="82"/>
      <c r="AQ1854" s="82"/>
      <c r="AR1854" s="82"/>
      <c r="AS1854" s="82"/>
      <c r="AT1854" s="82"/>
      <c r="AU1854" s="26"/>
      <c r="AV1854" s="26" t="s">
        <v>12</v>
      </c>
      <c r="AW1854" s="26"/>
      <c r="AX1854" s="40">
        <v>4128</v>
      </c>
      <c r="AY1854" s="81" t="s">
        <v>3436</v>
      </c>
      <c r="AZ1854" s="82"/>
      <c r="BA1854" s="82"/>
      <c r="BB1854" s="82"/>
      <c r="BC1854" s="82"/>
      <c r="BD1854" s="82"/>
      <c r="BE1854" s="82"/>
      <c r="BF1854" s="82"/>
      <c r="BG1854" s="82"/>
      <c r="BH1854" s="26"/>
      <c r="BI1854" s="26" t="s">
        <v>12</v>
      </c>
      <c r="BJ1854" s="26"/>
      <c r="BK1854" s="40">
        <v>14970</v>
      </c>
      <c r="BL1854" s="81" t="s">
        <v>3437</v>
      </c>
      <c r="BM1854" s="82"/>
      <c r="BN1854" s="82"/>
      <c r="BO1854" s="82"/>
      <c r="BP1854" s="82"/>
      <c r="BQ1854" s="82"/>
      <c r="BR1854" s="82"/>
      <c r="BS1854" s="82"/>
      <c r="BT1854" s="82"/>
      <c r="BU1854" s="26"/>
      <c r="BV1854" s="26" t="s">
        <v>12</v>
      </c>
      <c r="BW1854" s="26"/>
      <c r="BX1854" s="40">
        <v>32949</v>
      </c>
      <c r="BY1854" s="81" t="s">
        <v>1566</v>
      </c>
      <c r="BZ1854" s="82"/>
      <c r="CA1854" s="82"/>
      <c r="CB1854" s="82"/>
      <c r="CC1854" s="82"/>
      <c r="CD1854" s="82"/>
      <c r="CE1854" s="82"/>
      <c r="CF1854" s="82"/>
      <c r="CG1854" s="82"/>
      <c r="CH1854" s="79"/>
      <c r="CI1854" s="80" t="s">
        <v>821</v>
      </c>
      <c r="CJ1854" s="82" t="s">
        <v>181</v>
      </c>
      <c r="CT1854" s="83"/>
      <c r="CU1854" s="83"/>
      <c r="CV1854" s="83"/>
      <c r="CW1854" s="83"/>
      <c r="CX1854" s="83"/>
      <c r="CY1854" s="83"/>
      <c r="CZ1854" s="83"/>
      <c r="DA1854" s="83"/>
      <c r="DB1854" s="83"/>
      <c r="DC1854" s="82"/>
    </row>
    <row r="1855" spans="1:107" s="80" customFormat="1" x14ac:dyDescent="0.2">
      <c r="A1855" s="79" t="s">
        <v>3431</v>
      </c>
      <c r="B1855" s="79" t="s">
        <v>27</v>
      </c>
      <c r="C1855" s="79">
        <v>300100003</v>
      </c>
      <c r="D1855" s="80" t="s">
        <v>3439</v>
      </c>
      <c r="E1855" s="22" t="s">
        <v>841</v>
      </c>
      <c r="F1855" s="22"/>
      <c r="G1855" s="22"/>
      <c r="H1855" s="22"/>
      <c r="I1855" s="22" t="s">
        <v>1567</v>
      </c>
      <c r="J1855" s="22" t="s">
        <v>548</v>
      </c>
      <c r="K1855" s="22"/>
      <c r="L1855" s="22"/>
      <c r="M1855" s="22"/>
      <c r="N1855" s="22" t="s">
        <v>819</v>
      </c>
      <c r="O1855" s="22" t="s">
        <v>158</v>
      </c>
      <c r="P1855" s="21"/>
      <c r="Q1855" s="21" t="s">
        <v>2041</v>
      </c>
      <c r="R1855" s="21"/>
      <c r="S1855" s="21"/>
      <c r="T1855" s="21" t="s">
        <v>3433</v>
      </c>
      <c r="U1855" s="116" t="s">
        <v>3434</v>
      </c>
      <c r="V1855" s="22" t="s">
        <v>819</v>
      </c>
      <c r="W1855" s="22" t="s">
        <v>1</v>
      </c>
      <c r="X1855" s="22"/>
      <c r="Z1855" s="22"/>
      <c r="AA1855" s="22"/>
      <c r="AB1855" s="22"/>
      <c r="AC1855" s="22"/>
      <c r="AD1855" s="22"/>
      <c r="AE1855" s="24"/>
      <c r="AF1855" s="24" t="s">
        <v>2042</v>
      </c>
      <c r="AG1855" s="22"/>
      <c r="AH1855" s="26"/>
      <c r="AI1855" s="26" t="s">
        <v>342</v>
      </c>
      <c r="AJ1855" s="26"/>
      <c r="AK1855" s="40">
        <v>800</v>
      </c>
      <c r="AL1855" s="81" t="s">
        <v>3435</v>
      </c>
      <c r="AM1855" s="82"/>
      <c r="AN1855" s="82"/>
      <c r="AO1855" s="82"/>
      <c r="AP1855" s="82"/>
      <c r="AQ1855" s="82"/>
      <c r="AR1855" s="82"/>
      <c r="AS1855" s="82"/>
      <c r="AT1855" s="82"/>
      <c r="AU1855" s="26"/>
      <c r="AV1855" s="26" t="s">
        <v>342</v>
      </c>
      <c r="AW1855" s="26"/>
      <c r="AX1855" s="40">
        <v>4128</v>
      </c>
      <c r="AY1855" s="81" t="s">
        <v>3436</v>
      </c>
      <c r="AZ1855" s="82"/>
      <c r="BA1855" s="82"/>
      <c r="BB1855" s="82"/>
      <c r="BC1855" s="82"/>
      <c r="BD1855" s="82"/>
      <c r="BE1855" s="82"/>
      <c r="BF1855" s="82"/>
      <c r="BG1855" s="82"/>
      <c r="BH1855" s="26"/>
      <c r="BI1855" s="26" t="s">
        <v>342</v>
      </c>
      <c r="BJ1855" s="26"/>
      <c r="BK1855" s="40">
        <v>14970</v>
      </c>
      <c r="BL1855" s="81" t="s">
        <v>3437</v>
      </c>
      <c r="BM1855" s="82"/>
      <c r="BN1855" s="82"/>
      <c r="BO1855" s="82"/>
      <c r="BP1855" s="82"/>
      <c r="BQ1855" s="82"/>
      <c r="BR1855" s="82"/>
      <c r="BS1855" s="82"/>
      <c r="BT1855" s="82"/>
      <c r="BU1855" s="26"/>
      <c r="BV1855" s="26" t="s">
        <v>342</v>
      </c>
      <c r="BW1855" s="26"/>
      <c r="BX1855" s="40">
        <v>32949</v>
      </c>
      <c r="BY1855" s="81" t="s">
        <v>1566</v>
      </c>
      <c r="BZ1855" s="82"/>
      <c r="CA1855" s="82"/>
      <c r="CB1855" s="82"/>
      <c r="CC1855" s="82"/>
      <c r="CD1855" s="82"/>
      <c r="CE1855" s="82"/>
      <c r="CF1855" s="82"/>
      <c r="CG1855" s="82"/>
      <c r="CH1855" s="79"/>
      <c r="CI1855" s="80" t="s">
        <v>821</v>
      </c>
      <c r="CJ1855" s="82" t="s">
        <v>0</v>
      </c>
      <c r="CT1855" s="83"/>
      <c r="CU1855" s="83"/>
      <c r="CV1855" s="83"/>
      <c r="CW1855" s="83"/>
      <c r="CX1855" s="83"/>
      <c r="CY1855" s="83"/>
      <c r="CZ1855" s="83"/>
      <c r="DA1855" s="83"/>
      <c r="DB1855" s="83"/>
      <c r="DC1855" s="82"/>
    </row>
    <row r="1856" spans="1:107" s="80" customFormat="1" x14ac:dyDescent="0.2">
      <c r="A1856" s="79" t="s">
        <v>3431</v>
      </c>
      <c r="B1856" s="79" t="s">
        <v>1</v>
      </c>
      <c r="C1856" s="79">
        <v>300100004</v>
      </c>
      <c r="D1856" s="80" t="s">
        <v>3440</v>
      </c>
      <c r="E1856" s="22" t="s">
        <v>841</v>
      </c>
      <c r="F1856" s="22"/>
      <c r="G1856" s="22"/>
      <c r="H1856" s="22"/>
      <c r="I1856" s="22" t="s">
        <v>1567</v>
      </c>
      <c r="J1856" s="22" t="s">
        <v>548</v>
      </c>
      <c r="K1856" s="22"/>
      <c r="L1856" s="22"/>
      <c r="M1856" s="22"/>
      <c r="N1856" s="22" t="s">
        <v>819</v>
      </c>
      <c r="O1856" s="22" t="s">
        <v>158</v>
      </c>
      <c r="P1856" s="21"/>
      <c r="Q1856" s="21" t="s">
        <v>2041</v>
      </c>
      <c r="R1856" s="21"/>
      <c r="S1856" s="21"/>
      <c r="T1856" s="21" t="s">
        <v>3433</v>
      </c>
      <c r="U1856" s="116" t="s">
        <v>3434</v>
      </c>
      <c r="V1856" s="22" t="s">
        <v>819</v>
      </c>
      <c r="W1856" s="22" t="s">
        <v>1</v>
      </c>
      <c r="X1856" s="22"/>
      <c r="Z1856" s="22"/>
      <c r="AA1856" s="22"/>
      <c r="AB1856" s="22"/>
      <c r="AC1856" s="22"/>
      <c r="AD1856" s="22"/>
      <c r="AE1856" s="24"/>
      <c r="AF1856" s="24" t="s">
        <v>2042</v>
      </c>
      <c r="AG1856" s="22"/>
      <c r="AH1856" s="26"/>
      <c r="AI1856" s="26" t="s">
        <v>497</v>
      </c>
      <c r="AJ1856" s="26"/>
      <c r="AK1856" s="40">
        <v>800</v>
      </c>
      <c r="AL1856" s="81" t="s">
        <v>3435</v>
      </c>
      <c r="AM1856" s="82"/>
      <c r="AN1856" s="82"/>
      <c r="AO1856" s="82"/>
      <c r="AP1856" s="82"/>
      <c r="AQ1856" s="82"/>
      <c r="AR1856" s="82"/>
      <c r="AS1856" s="82"/>
      <c r="AT1856" s="82"/>
      <c r="AU1856" s="26"/>
      <c r="AV1856" s="26" t="s">
        <v>497</v>
      </c>
      <c r="AW1856" s="26"/>
      <c r="AX1856" s="40">
        <v>4128</v>
      </c>
      <c r="AY1856" s="81" t="s">
        <v>3436</v>
      </c>
      <c r="AZ1856" s="82"/>
      <c r="BA1856" s="82"/>
      <c r="BB1856" s="82"/>
      <c r="BC1856" s="82"/>
      <c r="BD1856" s="82"/>
      <c r="BE1856" s="82"/>
      <c r="BF1856" s="82"/>
      <c r="BG1856" s="82"/>
      <c r="BH1856" s="26"/>
      <c r="BI1856" s="26" t="s">
        <v>497</v>
      </c>
      <c r="BJ1856" s="26"/>
      <c r="BK1856" s="40">
        <v>14970</v>
      </c>
      <c r="BL1856" s="81" t="s">
        <v>3437</v>
      </c>
      <c r="BM1856" s="82"/>
      <c r="BN1856" s="82"/>
      <c r="BO1856" s="82"/>
      <c r="BP1856" s="82"/>
      <c r="BQ1856" s="82"/>
      <c r="BR1856" s="82"/>
      <c r="BS1856" s="82"/>
      <c r="BT1856" s="82"/>
      <c r="BU1856" s="26"/>
      <c r="BV1856" s="26" t="s">
        <v>497</v>
      </c>
      <c r="BW1856" s="26"/>
      <c r="BX1856" s="40">
        <v>32949</v>
      </c>
      <c r="BY1856" s="81" t="s">
        <v>1566</v>
      </c>
      <c r="BZ1856" s="82"/>
      <c r="CA1856" s="82"/>
      <c r="CB1856" s="82"/>
      <c r="CC1856" s="82"/>
      <c r="CD1856" s="82"/>
      <c r="CE1856" s="82"/>
      <c r="CF1856" s="82"/>
      <c r="CG1856" s="82"/>
      <c r="CH1856" s="79"/>
      <c r="CI1856" s="80" t="s">
        <v>821</v>
      </c>
      <c r="CJ1856" s="82" t="s">
        <v>0</v>
      </c>
      <c r="CT1856" s="83"/>
      <c r="CU1856" s="83"/>
      <c r="CV1856" s="83"/>
      <c r="CW1856" s="83"/>
      <c r="CX1856" s="83"/>
      <c r="CY1856" s="83"/>
      <c r="CZ1856" s="83"/>
      <c r="DA1856" s="83"/>
      <c r="DB1856" s="83"/>
      <c r="DC1856" s="82"/>
    </row>
    <row r="1857" spans="1:107" s="80" customFormat="1" x14ac:dyDescent="0.2">
      <c r="A1857" s="79" t="s">
        <v>3431</v>
      </c>
      <c r="B1857" s="79" t="s">
        <v>2</v>
      </c>
      <c r="C1857" s="79">
        <v>300100005</v>
      </c>
      <c r="D1857" s="80" t="s">
        <v>3441</v>
      </c>
      <c r="E1857" s="22" t="s">
        <v>841</v>
      </c>
      <c r="F1857" s="22"/>
      <c r="G1857" s="22"/>
      <c r="H1857" s="22"/>
      <c r="I1857" s="22" t="s">
        <v>1567</v>
      </c>
      <c r="J1857" s="22" t="s">
        <v>548</v>
      </c>
      <c r="K1857" s="22"/>
      <c r="L1857" s="22"/>
      <c r="M1857" s="22"/>
      <c r="N1857" s="22" t="s">
        <v>819</v>
      </c>
      <c r="O1857" s="22" t="s">
        <v>158</v>
      </c>
      <c r="P1857" s="21"/>
      <c r="Q1857" s="21" t="s">
        <v>2041</v>
      </c>
      <c r="R1857" s="21"/>
      <c r="S1857" s="21"/>
      <c r="T1857" s="21" t="s">
        <v>3433</v>
      </c>
      <c r="U1857" s="116" t="s">
        <v>3434</v>
      </c>
      <c r="V1857" s="22" t="s">
        <v>819</v>
      </c>
      <c r="W1857" s="22" t="s">
        <v>1</v>
      </c>
      <c r="X1857" s="22"/>
      <c r="Z1857" s="22"/>
      <c r="AA1857" s="22"/>
      <c r="AB1857" s="22"/>
      <c r="AC1857" s="22"/>
      <c r="AD1857" s="22"/>
      <c r="AE1857" s="24"/>
      <c r="AF1857" s="24" t="s">
        <v>2042</v>
      </c>
      <c r="AG1857" s="22"/>
      <c r="AH1857" s="26"/>
      <c r="AI1857" s="26" t="s">
        <v>502</v>
      </c>
      <c r="AJ1857" s="26"/>
      <c r="AK1857" s="40">
        <v>800</v>
      </c>
      <c r="AL1857" s="81" t="s">
        <v>3435</v>
      </c>
      <c r="AM1857" s="82"/>
      <c r="AN1857" s="82"/>
      <c r="AO1857" s="82"/>
      <c r="AP1857" s="82"/>
      <c r="AQ1857" s="82"/>
      <c r="AR1857" s="82"/>
      <c r="AS1857" s="82"/>
      <c r="AT1857" s="82"/>
      <c r="AU1857" s="26"/>
      <c r="AV1857" s="26" t="s">
        <v>502</v>
      </c>
      <c r="AW1857" s="26"/>
      <c r="AX1857" s="40">
        <v>4128</v>
      </c>
      <c r="AY1857" s="81" t="s">
        <v>3436</v>
      </c>
      <c r="AZ1857" s="82"/>
      <c r="BA1857" s="82"/>
      <c r="BB1857" s="82"/>
      <c r="BC1857" s="82"/>
      <c r="BD1857" s="82"/>
      <c r="BE1857" s="82"/>
      <c r="BF1857" s="82"/>
      <c r="BG1857" s="82"/>
      <c r="BH1857" s="26"/>
      <c r="BI1857" s="26" t="s">
        <v>502</v>
      </c>
      <c r="BJ1857" s="26"/>
      <c r="BK1857" s="40">
        <v>14970</v>
      </c>
      <c r="BL1857" s="81" t="s">
        <v>3437</v>
      </c>
      <c r="BM1857" s="82"/>
      <c r="BN1857" s="82"/>
      <c r="BO1857" s="82"/>
      <c r="BP1857" s="82"/>
      <c r="BQ1857" s="82"/>
      <c r="BR1857" s="82"/>
      <c r="BS1857" s="82"/>
      <c r="BT1857" s="82"/>
      <c r="BU1857" s="26"/>
      <c r="BV1857" s="26" t="s">
        <v>502</v>
      </c>
      <c r="BW1857" s="26"/>
      <c r="BX1857" s="40">
        <v>32949</v>
      </c>
      <c r="BY1857" s="81" t="s">
        <v>1566</v>
      </c>
      <c r="BZ1857" s="82"/>
      <c r="CA1857" s="82"/>
      <c r="CB1857" s="82"/>
      <c r="CC1857" s="82"/>
      <c r="CD1857" s="82"/>
      <c r="CE1857" s="82"/>
      <c r="CF1857" s="82"/>
      <c r="CG1857" s="82"/>
      <c r="CH1857" s="79"/>
      <c r="CI1857" s="80" t="s">
        <v>821</v>
      </c>
      <c r="CJ1857" s="82" t="s">
        <v>0</v>
      </c>
      <c r="CT1857" s="83"/>
      <c r="CU1857" s="83"/>
      <c r="CV1857" s="83"/>
      <c r="CW1857" s="83"/>
      <c r="CX1857" s="83"/>
      <c r="CY1857" s="83"/>
      <c r="CZ1857" s="83"/>
      <c r="DA1857" s="83"/>
      <c r="DB1857" s="83"/>
      <c r="DC1857" s="82"/>
    </row>
    <row r="1858" spans="1:107" s="80" customFormat="1" x14ac:dyDescent="0.2">
      <c r="A1858" s="79" t="s">
        <v>3431</v>
      </c>
      <c r="B1858" s="79" t="s">
        <v>3</v>
      </c>
      <c r="C1858" s="79">
        <v>300100006</v>
      </c>
      <c r="D1858" s="80" t="s">
        <v>3442</v>
      </c>
      <c r="E1858" s="22" t="s">
        <v>841</v>
      </c>
      <c r="F1858" s="22"/>
      <c r="G1858" s="22"/>
      <c r="H1858" s="22"/>
      <c r="I1858" s="22" t="s">
        <v>1567</v>
      </c>
      <c r="J1858" s="22" t="s">
        <v>548</v>
      </c>
      <c r="K1858" s="22"/>
      <c r="L1858" s="22"/>
      <c r="M1858" s="22"/>
      <c r="N1858" s="22" t="s">
        <v>819</v>
      </c>
      <c r="O1858" s="22" t="s">
        <v>158</v>
      </c>
      <c r="P1858" s="21"/>
      <c r="Q1858" s="21" t="s">
        <v>2041</v>
      </c>
      <c r="R1858" s="21"/>
      <c r="S1858" s="21"/>
      <c r="T1858" s="21" t="s">
        <v>3433</v>
      </c>
      <c r="U1858" s="116" t="s">
        <v>3434</v>
      </c>
      <c r="V1858" s="22" t="s">
        <v>819</v>
      </c>
      <c r="W1858" s="22" t="s">
        <v>1</v>
      </c>
      <c r="X1858" s="22"/>
      <c r="Z1858" s="22"/>
      <c r="AA1858" s="22"/>
      <c r="AB1858" s="22"/>
      <c r="AC1858" s="22"/>
      <c r="AD1858" s="22"/>
      <c r="AE1858" s="24"/>
      <c r="AF1858" s="24" t="s">
        <v>2042</v>
      </c>
      <c r="AG1858" s="22"/>
      <c r="AH1858" s="26"/>
      <c r="AI1858" s="26" t="s">
        <v>502</v>
      </c>
      <c r="AJ1858" s="26"/>
      <c r="AK1858" s="40">
        <v>800</v>
      </c>
      <c r="AL1858" s="81" t="s">
        <v>3443</v>
      </c>
      <c r="AM1858" s="82"/>
      <c r="AN1858" s="82"/>
      <c r="AO1858" s="82"/>
      <c r="AP1858" s="82"/>
      <c r="AQ1858" s="82"/>
      <c r="AR1858" s="82"/>
      <c r="AS1858" s="82"/>
      <c r="AT1858" s="82"/>
      <c r="AU1858" s="26"/>
      <c r="AV1858" s="26" t="s">
        <v>502</v>
      </c>
      <c r="AW1858" s="26"/>
      <c r="AX1858" s="40">
        <v>4128</v>
      </c>
      <c r="AY1858" s="81" t="s">
        <v>3444</v>
      </c>
      <c r="AZ1858" s="82"/>
      <c r="BA1858" s="82"/>
      <c r="BB1858" s="82"/>
      <c r="BC1858" s="82"/>
      <c r="BD1858" s="82"/>
      <c r="BE1858" s="82"/>
      <c r="BF1858" s="82"/>
      <c r="BG1858" s="82"/>
      <c r="BH1858" s="26"/>
      <c r="BI1858" s="26" t="s">
        <v>502</v>
      </c>
      <c r="BJ1858" s="26"/>
      <c r="BK1858" s="40">
        <v>14970</v>
      </c>
      <c r="BL1858" s="81" t="s">
        <v>3445</v>
      </c>
      <c r="BM1858" s="82"/>
      <c r="BN1858" s="82"/>
      <c r="BO1858" s="82"/>
      <c r="BP1858" s="82"/>
      <c r="BQ1858" s="82"/>
      <c r="BR1858" s="82"/>
      <c r="BS1858" s="82"/>
      <c r="BT1858" s="82"/>
      <c r="BU1858" s="26"/>
      <c r="BV1858" s="26" t="s">
        <v>502</v>
      </c>
      <c r="BW1858" s="26"/>
      <c r="BX1858" s="40">
        <v>32949</v>
      </c>
      <c r="BY1858" s="81" t="s">
        <v>3446</v>
      </c>
      <c r="BZ1858" s="82"/>
      <c r="CA1858" s="82"/>
      <c r="CB1858" s="82"/>
      <c r="CC1858" s="82"/>
      <c r="CD1858" s="82"/>
      <c r="CE1858" s="82"/>
      <c r="CF1858" s="82"/>
      <c r="CG1858" s="82"/>
      <c r="CH1858" s="79"/>
      <c r="CI1858" s="80" t="s">
        <v>821</v>
      </c>
      <c r="CJ1858" s="82" t="s">
        <v>0</v>
      </c>
      <c r="CT1858" s="83"/>
      <c r="CU1858" s="83"/>
      <c r="CV1858" s="83"/>
      <c r="CW1858" s="83"/>
      <c r="CX1858" s="83"/>
      <c r="CY1858" s="83"/>
      <c r="CZ1858" s="83"/>
      <c r="DA1858" s="83"/>
      <c r="DB1858" s="83"/>
      <c r="DC1858" s="82"/>
    </row>
    <row r="1859" spans="1:107" s="80" customFormat="1" x14ac:dyDescent="0.2">
      <c r="A1859" s="79" t="s">
        <v>3431</v>
      </c>
      <c r="B1859" s="79" t="s">
        <v>4</v>
      </c>
      <c r="C1859" s="79">
        <v>300100007</v>
      </c>
      <c r="D1859" s="80" t="s">
        <v>3447</v>
      </c>
      <c r="E1859" s="22" t="s">
        <v>841</v>
      </c>
      <c r="F1859" s="22"/>
      <c r="G1859" s="22"/>
      <c r="H1859" s="22"/>
      <c r="I1859" s="22" t="s">
        <v>1567</v>
      </c>
      <c r="J1859" s="22"/>
      <c r="K1859" s="22"/>
      <c r="L1859" s="22"/>
      <c r="M1859" s="22"/>
      <c r="N1859" s="22" t="s">
        <v>819</v>
      </c>
      <c r="O1859" s="22" t="s">
        <v>1897</v>
      </c>
      <c r="P1859" s="21"/>
      <c r="Q1859" s="21" t="s">
        <v>2041</v>
      </c>
      <c r="R1859" s="21"/>
      <c r="S1859" s="21"/>
      <c r="T1859" s="21" t="s">
        <v>3433</v>
      </c>
      <c r="U1859" s="116" t="s">
        <v>3434</v>
      </c>
      <c r="V1859" s="22" t="s">
        <v>3448</v>
      </c>
      <c r="W1859" s="22" t="s">
        <v>1</v>
      </c>
      <c r="X1859" s="22" t="s">
        <v>1</v>
      </c>
      <c r="Y1859" s="80" t="s">
        <v>5</v>
      </c>
      <c r="Z1859" s="22"/>
      <c r="AA1859" s="22"/>
      <c r="AB1859" s="22"/>
      <c r="AC1859" s="22"/>
      <c r="AD1859" s="22"/>
      <c r="AE1859" s="24"/>
      <c r="AF1859" s="24" t="s">
        <v>2042</v>
      </c>
      <c r="AG1859" s="22"/>
      <c r="AH1859" s="26"/>
      <c r="AI1859" s="26" t="s">
        <v>502</v>
      </c>
      <c r="AJ1859" s="26"/>
      <c r="AK1859" s="40">
        <v>800</v>
      </c>
      <c r="AL1859" s="81" t="s">
        <v>3449</v>
      </c>
      <c r="AM1859" s="82"/>
      <c r="AN1859" s="82"/>
      <c r="AO1859" s="82"/>
      <c r="AP1859" s="82"/>
      <c r="AQ1859" s="82"/>
      <c r="AR1859" s="82"/>
      <c r="AS1859" s="82"/>
      <c r="AT1859" s="82"/>
      <c r="AU1859" s="26"/>
      <c r="AV1859" s="26" t="s">
        <v>502</v>
      </c>
      <c r="AW1859" s="26"/>
      <c r="AX1859" s="40">
        <v>4128</v>
      </c>
      <c r="AY1859" s="81" t="s">
        <v>3450</v>
      </c>
      <c r="AZ1859" s="82"/>
      <c r="BA1859" s="82"/>
      <c r="BB1859" s="82"/>
      <c r="BC1859" s="82"/>
      <c r="BD1859" s="82"/>
      <c r="BE1859" s="82"/>
      <c r="BF1859" s="82"/>
      <c r="BG1859" s="82"/>
      <c r="BH1859" s="26"/>
      <c r="BI1859" s="26" t="s">
        <v>502</v>
      </c>
      <c r="BJ1859" s="26"/>
      <c r="BK1859" s="40">
        <v>14970</v>
      </c>
      <c r="BL1859" s="81" t="s">
        <v>3451</v>
      </c>
      <c r="BM1859" s="82"/>
      <c r="BN1859" s="82"/>
      <c r="BO1859" s="82"/>
      <c r="BP1859" s="82"/>
      <c r="BQ1859" s="82"/>
      <c r="BR1859" s="82"/>
      <c r="BS1859" s="82"/>
      <c r="BT1859" s="82"/>
      <c r="BU1859" s="26"/>
      <c r="BV1859" s="26" t="s">
        <v>502</v>
      </c>
      <c r="BW1859" s="26"/>
      <c r="BX1859" s="40">
        <v>32949</v>
      </c>
      <c r="BY1859" s="81" t="s">
        <v>3452</v>
      </c>
      <c r="BZ1859" s="82"/>
      <c r="CA1859" s="82"/>
      <c r="CB1859" s="82"/>
      <c r="CC1859" s="82"/>
      <c r="CD1859" s="82"/>
      <c r="CE1859" s="82"/>
      <c r="CF1859" s="82"/>
      <c r="CG1859" s="82"/>
      <c r="CH1859" s="79"/>
      <c r="CI1859" s="80" t="s">
        <v>821</v>
      </c>
      <c r="CJ1859" s="82" t="s">
        <v>0</v>
      </c>
      <c r="CT1859" s="83"/>
      <c r="CU1859" s="83"/>
      <c r="CV1859" s="83"/>
      <c r="CW1859" s="83"/>
      <c r="CX1859" s="83"/>
      <c r="CY1859" s="83"/>
      <c r="CZ1859" s="83"/>
      <c r="DA1859" s="83"/>
      <c r="DB1859" s="83"/>
      <c r="DC1859" s="82"/>
    </row>
    <row r="1860" spans="1:107" s="74" customFormat="1" x14ac:dyDescent="0.2">
      <c r="A1860" s="73" t="s">
        <v>1632</v>
      </c>
      <c r="B1860" s="73" t="s">
        <v>1625</v>
      </c>
      <c r="C1860" s="73">
        <f t="shared" si="168"/>
        <v>300200001</v>
      </c>
      <c r="D1860" s="74" t="s">
        <v>1635</v>
      </c>
      <c r="E1860" s="20" t="s">
        <v>923</v>
      </c>
      <c r="F1860" s="20"/>
      <c r="G1860" s="20"/>
      <c r="H1860" s="20"/>
      <c r="I1860" s="75" t="s">
        <v>1666</v>
      </c>
      <c r="J1860" s="75" t="s">
        <v>548</v>
      </c>
      <c r="K1860" s="75"/>
      <c r="L1860" s="75"/>
      <c r="M1860" s="75"/>
      <c r="N1860" s="75" t="s">
        <v>819</v>
      </c>
      <c r="O1860" s="75" t="s">
        <v>158</v>
      </c>
      <c r="P1860" s="21"/>
      <c r="Q1860" s="21" t="s">
        <v>2041</v>
      </c>
      <c r="R1860" s="21"/>
      <c r="S1860" s="21"/>
      <c r="T1860" s="21" t="s">
        <v>811</v>
      </c>
      <c r="U1860" s="124" t="s">
        <v>3259</v>
      </c>
      <c r="V1860" s="75" t="s">
        <v>819</v>
      </c>
      <c r="W1860" s="75" t="s">
        <v>1</v>
      </c>
      <c r="X1860" s="75"/>
      <c r="Y1860" s="75"/>
      <c r="Z1860" s="75"/>
      <c r="AA1860" s="75"/>
      <c r="AB1860" s="75"/>
      <c r="AC1860" s="75"/>
      <c r="AD1860" s="75"/>
      <c r="AE1860" s="76"/>
      <c r="AF1860" s="76" t="s">
        <v>2042</v>
      </c>
      <c r="AG1860" s="75"/>
      <c r="AH1860" s="57" t="s">
        <v>1652</v>
      </c>
      <c r="AI1860" s="26" t="s">
        <v>264</v>
      </c>
      <c r="AJ1860" s="26"/>
      <c r="AK1860" s="40">
        <v>2427</v>
      </c>
      <c r="AL1860" s="81" t="s">
        <v>1655</v>
      </c>
      <c r="AM1860" s="82"/>
      <c r="AN1860" s="82"/>
      <c r="AO1860" s="82"/>
      <c r="AP1860" s="82"/>
      <c r="AQ1860" s="82"/>
      <c r="AR1860" s="82"/>
      <c r="AS1860" s="82"/>
      <c r="AT1860" s="82"/>
      <c r="AU1860" s="26" t="s">
        <v>1656</v>
      </c>
      <c r="AV1860" s="26" t="s">
        <v>264</v>
      </c>
      <c r="AW1860" s="26"/>
      <c r="AX1860" s="40">
        <v>2427</v>
      </c>
      <c r="AY1860" s="81" t="s">
        <v>1658</v>
      </c>
      <c r="AZ1860" s="82"/>
      <c r="BA1860" s="82"/>
      <c r="BB1860" s="82"/>
      <c r="BC1860" s="82"/>
      <c r="BD1860" s="82"/>
      <c r="BE1860" s="82"/>
      <c r="BF1860" s="82"/>
      <c r="BG1860" s="82"/>
      <c r="BH1860" s="26" t="s">
        <v>1659</v>
      </c>
      <c r="BI1860" s="26" t="s">
        <v>264</v>
      </c>
      <c r="BJ1860" s="26"/>
      <c r="BK1860" s="40">
        <v>2427</v>
      </c>
      <c r="BL1860" s="81" t="s">
        <v>1653</v>
      </c>
      <c r="BM1860" s="82"/>
      <c r="BN1860" s="82"/>
      <c r="BO1860" s="82"/>
      <c r="BP1860" s="82"/>
      <c r="BQ1860" s="82"/>
      <c r="BR1860" s="82"/>
      <c r="BS1860" s="82"/>
      <c r="BT1860" s="82"/>
      <c r="BU1860" s="26" t="s">
        <v>1661</v>
      </c>
      <c r="BV1860" s="26" t="s">
        <v>264</v>
      </c>
      <c r="BW1860" s="26"/>
      <c r="BX1860" s="40">
        <v>2427</v>
      </c>
      <c r="BY1860" s="81" t="s">
        <v>1663</v>
      </c>
      <c r="BZ1860" s="82"/>
      <c r="CA1860" s="82"/>
      <c r="CB1860" s="82"/>
      <c r="CC1860" s="82"/>
      <c r="CD1860" s="82"/>
      <c r="CE1860" s="82"/>
      <c r="CF1860" s="82"/>
      <c r="CG1860" s="82"/>
      <c r="CH1860" s="79"/>
      <c r="CI1860" s="26" t="s">
        <v>1634</v>
      </c>
      <c r="CJ1860" s="26" t="s">
        <v>1651</v>
      </c>
      <c r="CK1860" s="40"/>
      <c r="CL1860" s="82"/>
      <c r="CM1860" s="82"/>
      <c r="CN1860" s="82"/>
      <c r="CO1860" s="26"/>
      <c r="CP1860" s="26"/>
      <c r="CQ1860" s="26"/>
      <c r="CR1860" s="40"/>
      <c r="CT1860" s="77"/>
      <c r="CU1860" s="77"/>
      <c r="CV1860" s="77"/>
      <c r="CW1860" s="77"/>
      <c r="CX1860" s="77"/>
      <c r="CY1860" s="77"/>
      <c r="CZ1860" s="77"/>
      <c r="DA1860" s="77"/>
      <c r="DB1860" s="77"/>
      <c r="DC1860" s="82"/>
    </row>
    <row r="1861" spans="1:107" s="74" customFormat="1" x14ac:dyDescent="0.2">
      <c r="A1861" s="73" t="s">
        <v>1632</v>
      </c>
      <c r="B1861" s="73" t="s">
        <v>1626</v>
      </c>
      <c r="C1861" s="73">
        <f t="shared" si="168"/>
        <v>300200002</v>
      </c>
      <c r="D1861" s="74" t="s">
        <v>1636</v>
      </c>
      <c r="E1861" s="20" t="s">
        <v>923</v>
      </c>
      <c r="F1861" s="20"/>
      <c r="G1861" s="20"/>
      <c r="H1861" s="20"/>
      <c r="I1861" s="75" t="s">
        <v>1666</v>
      </c>
      <c r="J1861" s="75" t="s">
        <v>548</v>
      </c>
      <c r="K1861" s="75"/>
      <c r="L1861" s="75"/>
      <c r="M1861" s="75"/>
      <c r="N1861" s="75" t="s">
        <v>819</v>
      </c>
      <c r="O1861" s="75" t="s">
        <v>158</v>
      </c>
      <c r="P1861" s="21"/>
      <c r="Q1861" s="21" t="s">
        <v>2041</v>
      </c>
      <c r="R1861" s="21"/>
      <c r="S1861" s="21"/>
      <c r="T1861" s="21" t="s">
        <v>811</v>
      </c>
      <c r="U1861" s="124" t="s">
        <v>3259</v>
      </c>
      <c r="V1861" s="75" t="s">
        <v>819</v>
      </c>
      <c r="W1861" s="75" t="s">
        <v>1</v>
      </c>
      <c r="X1861" s="75"/>
      <c r="Y1861" s="75"/>
      <c r="Z1861" s="75"/>
      <c r="AA1861" s="75"/>
      <c r="AB1861" s="75"/>
      <c r="AC1861" s="75"/>
      <c r="AD1861" s="75"/>
      <c r="AE1861" s="76"/>
      <c r="AF1861" s="76" t="s">
        <v>2042</v>
      </c>
      <c r="AG1861" s="75"/>
      <c r="AH1861" s="57" t="s">
        <v>1652</v>
      </c>
      <c r="AI1861" s="26" t="s">
        <v>265</v>
      </c>
      <c r="AJ1861" s="26"/>
      <c r="AK1861" s="40">
        <v>3835</v>
      </c>
      <c r="AL1861" s="81" t="s">
        <v>1655</v>
      </c>
      <c r="AM1861" s="82"/>
      <c r="AN1861" s="82"/>
      <c r="AO1861" s="82"/>
      <c r="AP1861" s="82"/>
      <c r="AQ1861" s="82"/>
      <c r="AR1861" s="82"/>
      <c r="AS1861" s="82"/>
      <c r="AT1861" s="82"/>
      <c r="AU1861" s="26" t="s">
        <v>1656</v>
      </c>
      <c r="AV1861" s="26" t="s">
        <v>265</v>
      </c>
      <c r="AW1861" s="26"/>
      <c r="AX1861" s="40">
        <v>3835</v>
      </c>
      <c r="AY1861" s="81" t="s">
        <v>1658</v>
      </c>
      <c r="AZ1861" s="82"/>
      <c r="BA1861" s="82"/>
      <c r="BB1861" s="82"/>
      <c r="BC1861" s="82"/>
      <c r="BD1861" s="82"/>
      <c r="BE1861" s="82"/>
      <c r="BF1861" s="82"/>
      <c r="BG1861" s="82"/>
      <c r="BH1861" s="26" t="s">
        <v>1659</v>
      </c>
      <c r="BI1861" s="26" t="s">
        <v>265</v>
      </c>
      <c r="BJ1861" s="26"/>
      <c r="BK1861" s="40">
        <v>3835</v>
      </c>
      <c r="BL1861" s="81" t="s">
        <v>1653</v>
      </c>
      <c r="BM1861" s="82"/>
      <c r="BN1861" s="82"/>
      <c r="BO1861" s="82"/>
      <c r="BP1861" s="82"/>
      <c r="BQ1861" s="82"/>
      <c r="BR1861" s="82"/>
      <c r="BS1861" s="82"/>
      <c r="BT1861" s="82"/>
      <c r="BU1861" s="26" t="s">
        <v>1661</v>
      </c>
      <c r="BV1861" s="26" t="s">
        <v>265</v>
      </c>
      <c r="BW1861" s="26"/>
      <c r="BX1861" s="40">
        <v>3835</v>
      </c>
      <c r="BY1861" s="81" t="s">
        <v>1663</v>
      </c>
      <c r="BZ1861" s="82"/>
      <c r="CA1861" s="82"/>
      <c r="CB1861" s="82"/>
      <c r="CC1861" s="82"/>
      <c r="CD1861" s="82"/>
      <c r="CE1861" s="82"/>
      <c r="CF1861" s="82"/>
      <c r="CG1861" s="82"/>
      <c r="CH1861" s="79"/>
      <c r="CI1861" s="26" t="s">
        <v>1634</v>
      </c>
      <c r="CJ1861" s="26" t="s">
        <v>1651</v>
      </c>
      <c r="CK1861" s="40"/>
      <c r="CL1861" s="82"/>
      <c r="CM1861" s="82"/>
      <c r="CN1861" s="82"/>
      <c r="CO1861" s="26"/>
      <c r="CP1861" s="26"/>
      <c r="CQ1861" s="26"/>
      <c r="CR1861" s="40"/>
      <c r="CT1861" s="77"/>
      <c r="CU1861" s="77"/>
      <c r="CV1861" s="77"/>
      <c r="CW1861" s="77"/>
      <c r="CX1861" s="77"/>
      <c r="CY1861" s="77"/>
      <c r="CZ1861" s="77"/>
      <c r="DA1861" s="77"/>
      <c r="DB1861" s="77"/>
      <c r="DC1861" s="82"/>
    </row>
    <row r="1862" spans="1:107" s="74" customFormat="1" x14ac:dyDescent="0.2">
      <c r="A1862" s="73" t="s">
        <v>1632</v>
      </c>
      <c r="B1862" s="73" t="s">
        <v>1627</v>
      </c>
      <c r="C1862" s="73">
        <f t="shared" si="168"/>
        <v>300200003</v>
      </c>
      <c r="D1862" s="74" t="s">
        <v>1637</v>
      </c>
      <c r="E1862" s="20" t="s">
        <v>923</v>
      </c>
      <c r="F1862" s="20"/>
      <c r="G1862" s="20"/>
      <c r="H1862" s="20"/>
      <c r="I1862" s="75" t="s">
        <v>1666</v>
      </c>
      <c r="J1862" s="75" t="s">
        <v>548</v>
      </c>
      <c r="K1862" s="75"/>
      <c r="L1862" s="75"/>
      <c r="M1862" s="75"/>
      <c r="N1862" s="75" t="s">
        <v>819</v>
      </c>
      <c r="O1862" s="75" t="s">
        <v>158</v>
      </c>
      <c r="P1862" s="21"/>
      <c r="Q1862" s="21" t="s">
        <v>2041</v>
      </c>
      <c r="R1862" s="21"/>
      <c r="S1862" s="21"/>
      <c r="T1862" s="21" t="s">
        <v>811</v>
      </c>
      <c r="U1862" s="124" t="s">
        <v>3259</v>
      </c>
      <c r="V1862" s="75" t="s">
        <v>819</v>
      </c>
      <c r="W1862" s="75" t="s">
        <v>1</v>
      </c>
      <c r="X1862" s="75"/>
      <c r="Y1862" s="75"/>
      <c r="Z1862" s="75"/>
      <c r="AA1862" s="75"/>
      <c r="AB1862" s="75"/>
      <c r="AC1862" s="75"/>
      <c r="AD1862" s="75"/>
      <c r="AE1862" s="76"/>
      <c r="AF1862" s="76" t="s">
        <v>2042</v>
      </c>
      <c r="AG1862" s="75"/>
      <c r="AH1862" s="57" t="s">
        <v>1652</v>
      </c>
      <c r="AI1862" s="26" t="s">
        <v>266</v>
      </c>
      <c r="AJ1862" s="26"/>
      <c r="AK1862" s="40">
        <v>9063</v>
      </c>
      <c r="AL1862" s="81" t="s">
        <v>1655</v>
      </c>
      <c r="AM1862" s="82"/>
      <c r="AN1862" s="82"/>
      <c r="AO1862" s="82"/>
      <c r="AP1862" s="82"/>
      <c r="AQ1862" s="82"/>
      <c r="AR1862" s="82"/>
      <c r="AS1862" s="82"/>
      <c r="AT1862" s="82"/>
      <c r="AU1862" s="26" t="s">
        <v>1656</v>
      </c>
      <c r="AV1862" s="26" t="s">
        <v>266</v>
      </c>
      <c r="AW1862" s="26"/>
      <c r="AX1862" s="40">
        <v>9063</v>
      </c>
      <c r="AY1862" s="81" t="s">
        <v>1658</v>
      </c>
      <c r="AZ1862" s="82"/>
      <c r="BA1862" s="82"/>
      <c r="BB1862" s="82"/>
      <c r="BC1862" s="82"/>
      <c r="BD1862" s="82"/>
      <c r="BE1862" s="82"/>
      <c r="BF1862" s="82"/>
      <c r="BG1862" s="82"/>
      <c r="BH1862" s="26" t="s">
        <v>1659</v>
      </c>
      <c r="BI1862" s="26" t="s">
        <v>266</v>
      </c>
      <c r="BJ1862" s="26"/>
      <c r="BK1862" s="40">
        <v>9063</v>
      </c>
      <c r="BL1862" s="81" t="s">
        <v>1653</v>
      </c>
      <c r="BM1862" s="82"/>
      <c r="BN1862" s="82"/>
      <c r="BO1862" s="82"/>
      <c r="BP1862" s="82"/>
      <c r="BQ1862" s="82"/>
      <c r="BR1862" s="82"/>
      <c r="BS1862" s="82"/>
      <c r="BT1862" s="82"/>
      <c r="BU1862" s="26" t="s">
        <v>1661</v>
      </c>
      <c r="BV1862" s="26" t="s">
        <v>266</v>
      </c>
      <c r="BW1862" s="26"/>
      <c r="BX1862" s="40">
        <v>9063</v>
      </c>
      <c r="BY1862" s="81" t="s">
        <v>1663</v>
      </c>
      <c r="BZ1862" s="82"/>
      <c r="CA1862" s="82"/>
      <c r="CB1862" s="82"/>
      <c r="CC1862" s="82"/>
      <c r="CD1862" s="82"/>
      <c r="CE1862" s="82"/>
      <c r="CF1862" s="82"/>
      <c r="CG1862" s="82"/>
      <c r="CH1862" s="79"/>
      <c r="CI1862" s="26" t="s">
        <v>1634</v>
      </c>
      <c r="CJ1862" s="26" t="s">
        <v>1651</v>
      </c>
      <c r="CK1862" s="40"/>
      <c r="CL1862" s="82"/>
      <c r="CM1862" s="82"/>
      <c r="CN1862" s="82"/>
      <c r="CO1862" s="26"/>
      <c r="CP1862" s="26"/>
      <c r="CQ1862" s="26"/>
      <c r="CR1862" s="40"/>
      <c r="CT1862" s="77"/>
      <c r="CU1862" s="77"/>
      <c r="CV1862" s="77"/>
      <c r="CW1862" s="77"/>
      <c r="CX1862" s="77"/>
      <c r="CY1862" s="77"/>
      <c r="CZ1862" s="77"/>
      <c r="DA1862" s="77"/>
      <c r="DB1862" s="77"/>
      <c r="DC1862" s="82"/>
    </row>
    <row r="1863" spans="1:107" s="74" customFormat="1" x14ac:dyDescent="0.2">
      <c r="A1863" s="73" t="s">
        <v>1632</v>
      </c>
      <c r="B1863" s="73" t="s">
        <v>1628</v>
      </c>
      <c r="C1863" s="73">
        <f t="shared" si="168"/>
        <v>300200004</v>
      </c>
      <c r="D1863" s="74" t="s">
        <v>1638</v>
      </c>
      <c r="E1863" s="20" t="s">
        <v>923</v>
      </c>
      <c r="F1863" s="20"/>
      <c r="G1863" s="20"/>
      <c r="H1863" s="20"/>
      <c r="I1863" s="75" t="s">
        <v>1666</v>
      </c>
      <c r="J1863" s="75" t="s">
        <v>548</v>
      </c>
      <c r="K1863" s="75"/>
      <c r="L1863" s="75"/>
      <c r="M1863" s="75"/>
      <c r="N1863" s="75" t="s">
        <v>819</v>
      </c>
      <c r="O1863" s="75" t="s">
        <v>158</v>
      </c>
      <c r="P1863" s="21"/>
      <c r="Q1863" s="21" t="s">
        <v>2041</v>
      </c>
      <c r="R1863" s="21"/>
      <c r="S1863" s="21"/>
      <c r="T1863" s="21" t="s">
        <v>811</v>
      </c>
      <c r="U1863" s="124" t="s">
        <v>3259</v>
      </c>
      <c r="V1863" s="75" t="s">
        <v>819</v>
      </c>
      <c r="W1863" s="75" t="s">
        <v>1</v>
      </c>
      <c r="X1863" s="75"/>
      <c r="Y1863" s="75"/>
      <c r="Z1863" s="75"/>
      <c r="AA1863" s="75"/>
      <c r="AB1863" s="75"/>
      <c r="AC1863" s="75"/>
      <c r="AD1863" s="75"/>
      <c r="AE1863" s="76"/>
      <c r="AF1863" s="76" t="s">
        <v>2042</v>
      </c>
      <c r="AG1863" s="75"/>
      <c r="AH1863" s="57" t="s">
        <v>1654</v>
      </c>
      <c r="AI1863" s="26" t="s">
        <v>268</v>
      </c>
      <c r="AJ1863" s="26"/>
      <c r="AK1863" s="40">
        <v>16632</v>
      </c>
      <c r="AL1863" s="81"/>
      <c r="AM1863" s="82"/>
      <c r="AN1863" s="82">
        <v>60</v>
      </c>
      <c r="AO1863" s="82"/>
      <c r="AP1863" s="82"/>
      <c r="AQ1863" s="82"/>
      <c r="AR1863" s="82"/>
      <c r="AS1863" s="82"/>
      <c r="AT1863" s="82"/>
      <c r="AU1863" s="26" t="s">
        <v>1657</v>
      </c>
      <c r="AV1863" s="26" t="s">
        <v>713</v>
      </c>
      <c r="AW1863" s="26"/>
      <c r="AX1863" s="40">
        <v>27189</v>
      </c>
      <c r="AY1863" s="81"/>
      <c r="AZ1863" s="82"/>
      <c r="BA1863" s="82">
        <v>70</v>
      </c>
      <c r="BB1863" s="82"/>
      <c r="BC1863" s="82"/>
      <c r="BD1863" s="82"/>
      <c r="BE1863" s="82"/>
      <c r="BF1863" s="82"/>
      <c r="BG1863" s="82"/>
      <c r="BH1863" s="26" t="s">
        <v>1660</v>
      </c>
      <c r="BI1863" s="26" t="s">
        <v>687</v>
      </c>
      <c r="BJ1863" s="26"/>
      <c r="BK1863" s="40">
        <v>49611</v>
      </c>
      <c r="BL1863" s="81"/>
      <c r="BM1863" s="82"/>
      <c r="BN1863" s="82">
        <v>80</v>
      </c>
      <c r="BO1863" s="82"/>
      <c r="BP1863" s="82"/>
      <c r="BQ1863" s="82"/>
      <c r="BR1863" s="82"/>
      <c r="BS1863" s="82"/>
      <c r="BT1863" s="82"/>
      <c r="BU1863" s="26" t="s">
        <v>1662</v>
      </c>
      <c r="BV1863" s="26" t="s">
        <v>687</v>
      </c>
      <c r="BW1863" s="26"/>
      <c r="BX1863" s="40">
        <v>84338</v>
      </c>
      <c r="BY1863" s="81"/>
      <c r="BZ1863" s="82"/>
      <c r="CA1863" s="82">
        <v>90</v>
      </c>
      <c r="CB1863" s="82"/>
      <c r="CC1863" s="82"/>
      <c r="CD1863" s="82"/>
      <c r="CE1863" s="82"/>
      <c r="CF1863" s="82"/>
      <c r="CG1863" s="82"/>
      <c r="CH1863" s="79"/>
      <c r="CI1863" s="26" t="s">
        <v>398</v>
      </c>
      <c r="CJ1863" s="26"/>
      <c r="CK1863" s="40"/>
      <c r="CL1863" s="82"/>
      <c r="CM1863" s="82"/>
      <c r="CN1863" s="82"/>
      <c r="CO1863" s="26"/>
      <c r="CP1863" s="26"/>
      <c r="CQ1863" s="26"/>
      <c r="CR1863" s="40"/>
      <c r="CT1863" s="77"/>
      <c r="CU1863" s="77"/>
      <c r="CV1863" s="77"/>
      <c r="CW1863" s="77"/>
      <c r="CX1863" s="77"/>
      <c r="CY1863" s="77"/>
      <c r="CZ1863" s="77"/>
      <c r="DA1863" s="77"/>
      <c r="DB1863" s="77"/>
      <c r="DC1863" s="82"/>
    </row>
    <row r="1864" spans="1:107" s="74" customFormat="1" x14ac:dyDescent="0.2">
      <c r="A1864" s="73" t="s">
        <v>1633</v>
      </c>
      <c r="B1864" s="73" t="s">
        <v>1625</v>
      </c>
      <c r="C1864" s="73">
        <f t="shared" si="168"/>
        <v>300210001</v>
      </c>
      <c r="D1864" s="74" t="s">
        <v>1639</v>
      </c>
      <c r="E1864" s="20" t="s">
        <v>923</v>
      </c>
      <c r="F1864" s="20"/>
      <c r="G1864" s="20"/>
      <c r="H1864" s="20"/>
      <c r="I1864" s="75" t="s">
        <v>1666</v>
      </c>
      <c r="J1864" s="75" t="s">
        <v>548</v>
      </c>
      <c r="K1864" s="75"/>
      <c r="L1864" s="75"/>
      <c r="M1864" s="75"/>
      <c r="N1864" s="75" t="s">
        <v>819</v>
      </c>
      <c r="O1864" s="75" t="s">
        <v>158</v>
      </c>
      <c r="P1864" s="21"/>
      <c r="Q1864" s="21" t="s">
        <v>2041</v>
      </c>
      <c r="R1864" s="21"/>
      <c r="S1864" s="21"/>
      <c r="T1864" s="21" t="s">
        <v>811</v>
      </c>
      <c r="U1864" s="124" t="s">
        <v>3259</v>
      </c>
      <c r="V1864" s="75" t="s">
        <v>819</v>
      </c>
      <c r="W1864" s="75" t="s">
        <v>1</v>
      </c>
      <c r="X1864" s="75"/>
      <c r="Y1864" s="75"/>
      <c r="Z1864" s="75"/>
      <c r="AA1864" s="75"/>
      <c r="AB1864" s="75"/>
      <c r="AC1864" s="75"/>
      <c r="AD1864" s="75"/>
      <c r="AE1864" s="76"/>
      <c r="AF1864" s="76" t="s">
        <v>2042</v>
      </c>
      <c r="AG1864" s="75"/>
      <c r="AH1864" s="57" t="s">
        <v>1652</v>
      </c>
      <c r="AI1864" s="26" t="s">
        <v>264</v>
      </c>
      <c r="AJ1864" s="26"/>
      <c r="AK1864" s="40">
        <v>1235</v>
      </c>
      <c r="AL1864" s="81" t="s">
        <v>1655</v>
      </c>
      <c r="AM1864" s="82"/>
      <c r="AN1864" s="82"/>
      <c r="AO1864" s="82"/>
      <c r="AP1864" s="82"/>
      <c r="AQ1864" s="82"/>
      <c r="AR1864" s="82"/>
      <c r="AS1864" s="82"/>
      <c r="AT1864" s="82"/>
      <c r="AU1864" s="26" t="s">
        <v>1656</v>
      </c>
      <c r="AV1864" s="26" t="s">
        <v>264</v>
      </c>
      <c r="AW1864" s="26"/>
      <c r="AX1864" s="40">
        <v>4128</v>
      </c>
      <c r="AY1864" s="81" t="s">
        <v>1658</v>
      </c>
      <c r="AZ1864" s="82"/>
      <c r="BA1864" s="82"/>
      <c r="BB1864" s="82"/>
      <c r="BC1864" s="82"/>
      <c r="BD1864" s="82"/>
      <c r="BE1864" s="82"/>
      <c r="BF1864" s="82"/>
      <c r="BG1864" s="82"/>
      <c r="BH1864" s="26" t="s">
        <v>1659</v>
      </c>
      <c r="BI1864" s="26" t="s">
        <v>264</v>
      </c>
      <c r="BJ1864" s="26"/>
      <c r="BK1864" s="40">
        <v>15063</v>
      </c>
      <c r="BL1864" s="81" t="s">
        <v>1653</v>
      </c>
      <c r="BM1864" s="82"/>
      <c r="BN1864" s="82"/>
      <c r="BO1864" s="82"/>
      <c r="BP1864" s="82"/>
      <c r="BQ1864" s="82"/>
      <c r="BR1864" s="82"/>
      <c r="BS1864" s="82"/>
      <c r="BT1864" s="82"/>
      <c r="BU1864" s="26" t="s">
        <v>1661</v>
      </c>
      <c r="BV1864" s="26" t="s">
        <v>264</v>
      </c>
      <c r="BW1864" s="26"/>
      <c r="BX1864" s="40">
        <v>27189</v>
      </c>
      <c r="BY1864" s="81" t="s">
        <v>1663</v>
      </c>
      <c r="BZ1864" s="82"/>
      <c r="CA1864" s="82"/>
      <c r="CB1864" s="82"/>
      <c r="CC1864" s="82"/>
      <c r="CD1864" s="82"/>
      <c r="CE1864" s="82"/>
      <c r="CF1864" s="82"/>
      <c r="CG1864" s="82"/>
      <c r="CH1864" s="79"/>
      <c r="CI1864" s="26" t="s">
        <v>1634</v>
      </c>
      <c r="CJ1864" s="26" t="s">
        <v>1651</v>
      </c>
      <c r="CK1864" s="40"/>
      <c r="CL1864" s="82"/>
      <c r="CM1864" s="82"/>
      <c r="CN1864" s="82"/>
      <c r="CO1864" s="26"/>
      <c r="CP1864" s="26"/>
      <c r="CQ1864" s="26"/>
      <c r="CR1864" s="40"/>
      <c r="CT1864" s="77"/>
      <c r="CU1864" s="77"/>
      <c r="CV1864" s="77"/>
      <c r="CW1864" s="77"/>
      <c r="CX1864" s="77"/>
      <c r="CY1864" s="77"/>
      <c r="CZ1864" s="77"/>
      <c r="DA1864" s="77"/>
      <c r="DB1864" s="77"/>
      <c r="DC1864" s="82"/>
    </row>
    <row r="1865" spans="1:107" s="74" customFormat="1" x14ac:dyDescent="0.2">
      <c r="A1865" s="73" t="s">
        <v>1633</v>
      </c>
      <c r="B1865" s="73" t="s">
        <v>1626</v>
      </c>
      <c r="C1865" s="73">
        <f t="shared" si="168"/>
        <v>300210002</v>
      </c>
      <c r="D1865" s="74" t="s">
        <v>1640</v>
      </c>
      <c r="E1865" s="20" t="s">
        <v>923</v>
      </c>
      <c r="F1865" s="20"/>
      <c r="G1865" s="20"/>
      <c r="H1865" s="20"/>
      <c r="I1865" s="75" t="s">
        <v>1666</v>
      </c>
      <c r="J1865" s="75" t="s">
        <v>548</v>
      </c>
      <c r="K1865" s="75"/>
      <c r="L1865" s="75"/>
      <c r="M1865" s="75"/>
      <c r="N1865" s="75" t="s">
        <v>819</v>
      </c>
      <c r="O1865" s="75" t="s">
        <v>158</v>
      </c>
      <c r="P1865" s="21"/>
      <c r="Q1865" s="21" t="s">
        <v>2041</v>
      </c>
      <c r="R1865" s="21"/>
      <c r="S1865" s="21"/>
      <c r="T1865" s="21" t="s">
        <v>811</v>
      </c>
      <c r="U1865" s="124" t="s">
        <v>3259</v>
      </c>
      <c r="V1865" s="75" t="s">
        <v>819</v>
      </c>
      <c r="W1865" s="75" t="s">
        <v>1</v>
      </c>
      <c r="X1865" s="75"/>
      <c r="Y1865" s="75"/>
      <c r="Z1865" s="75"/>
      <c r="AA1865" s="75"/>
      <c r="AB1865" s="75"/>
      <c r="AC1865" s="75"/>
      <c r="AD1865" s="75"/>
      <c r="AE1865" s="76"/>
      <c r="AF1865" s="76" t="s">
        <v>2042</v>
      </c>
      <c r="AG1865" s="75"/>
      <c r="AH1865" s="57" t="s">
        <v>1652</v>
      </c>
      <c r="AI1865" s="26" t="s">
        <v>265</v>
      </c>
      <c r="AJ1865" s="26"/>
      <c r="AK1865" s="40">
        <v>1235</v>
      </c>
      <c r="AL1865" s="81" t="s">
        <v>1655</v>
      </c>
      <c r="AM1865" s="82"/>
      <c r="AN1865" s="82"/>
      <c r="AO1865" s="82"/>
      <c r="AP1865" s="82"/>
      <c r="AQ1865" s="82"/>
      <c r="AR1865" s="82"/>
      <c r="AS1865" s="82"/>
      <c r="AT1865" s="82"/>
      <c r="AU1865" s="26" t="s">
        <v>1656</v>
      </c>
      <c r="AV1865" s="26" t="s">
        <v>265</v>
      </c>
      <c r="AW1865" s="26"/>
      <c r="AX1865" s="40">
        <v>4128</v>
      </c>
      <c r="AY1865" s="81" t="s">
        <v>1658</v>
      </c>
      <c r="AZ1865" s="82"/>
      <c r="BA1865" s="82"/>
      <c r="BB1865" s="82"/>
      <c r="BC1865" s="82"/>
      <c r="BD1865" s="82"/>
      <c r="BE1865" s="82"/>
      <c r="BF1865" s="82"/>
      <c r="BG1865" s="82"/>
      <c r="BH1865" s="26" t="s">
        <v>1659</v>
      </c>
      <c r="BI1865" s="26" t="s">
        <v>265</v>
      </c>
      <c r="BJ1865" s="26"/>
      <c r="BK1865" s="40">
        <v>15063</v>
      </c>
      <c r="BL1865" s="81" t="s">
        <v>1653</v>
      </c>
      <c r="BM1865" s="82"/>
      <c r="BN1865" s="82"/>
      <c r="BO1865" s="82"/>
      <c r="BP1865" s="82"/>
      <c r="BQ1865" s="82"/>
      <c r="BR1865" s="82"/>
      <c r="BS1865" s="82"/>
      <c r="BT1865" s="82"/>
      <c r="BU1865" s="26" t="s">
        <v>1661</v>
      </c>
      <c r="BV1865" s="26" t="s">
        <v>265</v>
      </c>
      <c r="BW1865" s="26"/>
      <c r="BX1865" s="40">
        <v>27189</v>
      </c>
      <c r="BY1865" s="81" t="s">
        <v>1663</v>
      </c>
      <c r="BZ1865" s="82"/>
      <c r="CA1865" s="82"/>
      <c r="CB1865" s="82"/>
      <c r="CC1865" s="82"/>
      <c r="CD1865" s="82"/>
      <c r="CE1865" s="82"/>
      <c r="CF1865" s="82"/>
      <c r="CG1865" s="82"/>
      <c r="CH1865" s="79"/>
      <c r="CI1865" s="26" t="s">
        <v>1634</v>
      </c>
      <c r="CJ1865" s="26" t="s">
        <v>1651</v>
      </c>
      <c r="CK1865" s="40"/>
      <c r="CL1865" s="82"/>
      <c r="CM1865" s="82"/>
      <c r="CN1865" s="82"/>
      <c r="CO1865" s="26"/>
      <c r="CP1865" s="26"/>
      <c r="CQ1865" s="26"/>
      <c r="CR1865" s="40"/>
      <c r="CT1865" s="77"/>
      <c r="CU1865" s="77"/>
      <c r="CV1865" s="77"/>
      <c r="CW1865" s="77"/>
      <c r="CX1865" s="77"/>
      <c r="CY1865" s="77"/>
      <c r="CZ1865" s="77"/>
      <c r="DA1865" s="77"/>
      <c r="DB1865" s="77"/>
      <c r="DC1865" s="82"/>
    </row>
    <row r="1866" spans="1:107" s="74" customFormat="1" x14ac:dyDescent="0.2">
      <c r="A1866" s="73" t="s">
        <v>1633</v>
      </c>
      <c r="B1866" s="73" t="s">
        <v>1627</v>
      </c>
      <c r="C1866" s="73">
        <f t="shared" si="168"/>
        <v>300210003</v>
      </c>
      <c r="D1866" s="74" t="s">
        <v>1641</v>
      </c>
      <c r="E1866" s="20" t="s">
        <v>923</v>
      </c>
      <c r="F1866" s="20"/>
      <c r="G1866" s="20"/>
      <c r="H1866" s="20"/>
      <c r="I1866" s="75" t="s">
        <v>1666</v>
      </c>
      <c r="J1866" s="75" t="s">
        <v>548</v>
      </c>
      <c r="K1866" s="75"/>
      <c r="L1866" s="75"/>
      <c r="M1866" s="75"/>
      <c r="N1866" s="75" t="s">
        <v>819</v>
      </c>
      <c r="O1866" s="75" t="s">
        <v>158</v>
      </c>
      <c r="P1866" s="21"/>
      <c r="Q1866" s="21" t="s">
        <v>2041</v>
      </c>
      <c r="R1866" s="21"/>
      <c r="S1866" s="21"/>
      <c r="T1866" s="21" t="s">
        <v>811</v>
      </c>
      <c r="U1866" s="124" t="s">
        <v>3259</v>
      </c>
      <c r="V1866" s="75" t="s">
        <v>819</v>
      </c>
      <c r="W1866" s="75" t="s">
        <v>1</v>
      </c>
      <c r="X1866" s="75"/>
      <c r="Y1866" s="75"/>
      <c r="Z1866" s="75"/>
      <c r="AA1866" s="75"/>
      <c r="AB1866" s="75"/>
      <c r="AC1866" s="75"/>
      <c r="AD1866" s="75"/>
      <c r="AE1866" s="76"/>
      <c r="AF1866" s="76" t="s">
        <v>2042</v>
      </c>
      <c r="AG1866" s="75"/>
      <c r="AH1866" s="57" t="s">
        <v>1652</v>
      </c>
      <c r="AI1866" s="26" t="s">
        <v>266</v>
      </c>
      <c r="AJ1866" s="26"/>
      <c r="AK1866" s="40">
        <v>1235</v>
      </c>
      <c r="AL1866" s="81" t="s">
        <v>1655</v>
      </c>
      <c r="AM1866" s="82"/>
      <c r="AN1866" s="82"/>
      <c r="AO1866" s="82"/>
      <c r="AP1866" s="82"/>
      <c r="AQ1866" s="82"/>
      <c r="AR1866" s="82"/>
      <c r="AS1866" s="82"/>
      <c r="AT1866" s="82"/>
      <c r="AU1866" s="26" t="s">
        <v>1656</v>
      </c>
      <c r="AV1866" s="26" t="s">
        <v>266</v>
      </c>
      <c r="AW1866" s="26"/>
      <c r="AX1866" s="40">
        <v>4128</v>
      </c>
      <c r="AY1866" s="81" t="s">
        <v>1658</v>
      </c>
      <c r="AZ1866" s="82"/>
      <c r="BA1866" s="82"/>
      <c r="BB1866" s="82"/>
      <c r="BC1866" s="82"/>
      <c r="BD1866" s="82"/>
      <c r="BE1866" s="82"/>
      <c r="BF1866" s="82"/>
      <c r="BG1866" s="82"/>
      <c r="BH1866" s="26" t="s">
        <v>1659</v>
      </c>
      <c r="BI1866" s="26" t="s">
        <v>266</v>
      </c>
      <c r="BJ1866" s="26"/>
      <c r="BK1866" s="40">
        <v>15063</v>
      </c>
      <c r="BL1866" s="81" t="s">
        <v>1653</v>
      </c>
      <c r="BM1866" s="82"/>
      <c r="BN1866" s="82"/>
      <c r="BO1866" s="82"/>
      <c r="BP1866" s="82"/>
      <c r="BQ1866" s="82"/>
      <c r="BR1866" s="82"/>
      <c r="BS1866" s="82"/>
      <c r="BT1866" s="82"/>
      <c r="BU1866" s="26" t="s">
        <v>1661</v>
      </c>
      <c r="BV1866" s="26" t="s">
        <v>266</v>
      </c>
      <c r="BW1866" s="26"/>
      <c r="BX1866" s="40">
        <v>27189</v>
      </c>
      <c r="BY1866" s="81" t="s">
        <v>1663</v>
      </c>
      <c r="BZ1866" s="82"/>
      <c r="CA1866" s="82"/>
      <c r="CB1866" s="82"/>
      <c r="CC1866" s="82"/>
      <c r="CD1866" s="82"/>
      <c r="CE1866" s="82"/>
      <c r="CF1866" s="82"/>
      <c r="CG1866" s="82"/>
      <c r="CH1866" s="79"/>
      <c r="CI1866" s="26" t="s">
        <v>1634</v>
      </c>
      <c r="CJ1866" s="26" t="s">
        <v>1651</v>
      </c>
      <c r="CK1866" s="40"/>
      <c r="CL1866" s="82"/>
      <c r="CM1866" s="82"/>
      <c r="CN1866" s="82"/>
      <c r="CO1866" s="26"/>
      <c r="CP1866" s="26"/>
      <c r="CQ1866" s="26"/>
      <c r="CR1866" s="40"/>
      <c r="CT1866" s="77"/>
      <c r="CU1866" s="77"/>
      <c r="CV1866" s="77"/>
      <c r="CW1866" s="77"/>
      <c r="CX1866" s="77"/>
      <c r="CY1866" s="77"/>
      <c r="CZ1866" s="77"/>
      <c r="DA1866" s="77"/>
      <c r="DB1866" s="77"/>
      <c r="DC1866" s="82"/>
    </row>
    <row r="1867" spans="1:107" s="74" customFormat="1" x14ac:dyDescent="0.2">
      <c r="A1867" s="73" t="s">
        <v>1633</v>
      </c>
      <c r="B1867" s="73" t="s">
        <v>1628</v>
      </c>
      <c r="C1867" s="73">
        <f t="shared" si="168"/>
        <v>300210004</v>
      </c>
      <c r="D1867" s="74" t="s">
        <v>1642</v>
      </c>
      <c r="E1867" s="20" t="s">
        <v>923</v>
      </c>
      <c r="F1867" s="20"/>
      <c r="G1867" s="20"/>
      <c r="H1867" s="20"/>
      <c r="I1867" s="75" t="s">
        <v>1666</v>
      </c>
      <c r="J1867" s="75" t="s">
        <v>548</v>
      </c>
      <c r="K1867" s="75"/>
      <c r="L1867" s="75"/>
      <c r="M1867" s="75"/>
      <c r="N1867" s="75" t="s">
        <v>819</v>
      </c>
      <c r="O1867" s="75" t="s">
        <v>158</v>
      </c>
      <c r="P1867" s="21"/>
      <c r="Q1867" s="21" t="s">
        <v>2041</v>
      </c>
      <c r="R1867" s="21"/>
      <c r="S1867" s="21"/>
      <c r="T1867" s="21" t="s">
        <v>811</v>
      </c>
      <c r="U1867" s="124" t="s">
        <v>3259</v>
      </c>
      <c r="V1867" s="75" t="s">
        <v>819</v>
      </c>
      <c r="W1867" s="75" t="s">
        <v>1</v>
      </c>
      <c r="X1867" s="75"/>
      <c r="Y1867" s="75"/>
      <c r="Z1867" s="75"/>
      <c r="AA1867" s="75"/>
      <c r="AB1867" s="75"/>
      <c r="AC1867" s="75"/>
      <c r="AD1867" s="75"/>
      <c r="AE1867" s="76"/>
      <c r="AF1867" s="76" t="s">
        <v>2042</v>
      </c>
      <c r="AG1867" s="75"/>
      <c r="AH1867" s="57" t="s">
        <v>1652</v>
      </c>
      <c r="AI1867" s="26" t="s">
        <v>268</v>
      </c>
      <c r="AJ1867" s="26"/>
      <c r="AK1867" s="40">
        <v>1235</v>
      </c>
      <c r="AL1867" s="81" t="s">
        <v>1655</v>
      </c>
      <c r="AM1867" s="82"/>
      <c r="AN1867" s="82"/>
      <c r="AO1867" s="82"/>
      <c r="AP1867" s="82"/>
      <c r="AQ1867" s="82"/>
      <c r="AR1867" s="82"/>
      <c r="AS1867" s="82"/>
      <c r="AT1867" s="82"/>
      <c r="AU1867" s="26" t="s">
        <v>1656</v>
      </c>
      <c r="AV1867" s="26" t="s">
        <v>713</v>
      </c>
      <c r="AW1867" s="26"/>
      <c r="AX1867" s="40">
        <v>4128</v>
      </c>
      <c r="AY1867" s="81" t="s">
        <v>1658</v>
      </c>
      <c r="AZ1867" s="82"/>
      <c r="BA1867" s="82"/>
      <c r="BB1867" s="82"/>
      <c r="BC1867" s="82"/>
      <c r="BD1867" s="82"/>
      <c r="BE1867" s="82"/>
      <c r="BF1867" s="82"/>
      <c r="BG1867" s="82"/>
      <c r="BH1867" s="26" t="s">
        <v>1659</v>
      </c>
      <c r="BI1867" s="26" t="s">
        <v>687</v>
      </c>
      <c r="BJ1867" s="26"/>
      <c r="BK1867" s="40">
        <v>15063</v>
      </c>
      <c r="BL1867" s="81" t="s">
        <v>1653</v>
      </c>
      <c r="BM1867" s="82"/>
      <c r="BN1867" s="82"/>
      <c r="BO1867" s="82"/>
      <c r="BP1867" s="82"/>
      <c r="BQ1867" s="82"/>
      <c r="BR1867" s="82"/>
      <c r="BS1867" s="82"/>
      <c r="BT1867" s="82"/>
      <c r="BU1867" s="26" t="s">
        <v>1661</v>
      </c>
      <c r="BV1867" s="26" t="s">
        <v>687</v>
      </c>
      <c r="BW1867" s="26"/>
      <c r="BX1867" s="40">
        <v>27189</v>
      </c>
      <c r="BY1867" s="81" t="s">
        <v>1663</v>
      </c>
      <c r="BZ1867" s="82"/>
      <c r="CA1867" s="82"/>
      <c r="CB1867" s="82"/>
      <c r="CC1867" s="82"/>
      <c r="CD1867" s="82"/>
      <c r="CE1867" s="82"/>
      <c r="CF1867" s="82"/>
      <c r="CG1867" s="82"/>
      <c r="CH1867" s="79"/>
      <c r="CI1867" s="26" t="s">
        <v>1634</v>
      </c>
      <c r="CJ1867" s="26" t="s">
        <v>1651</v>
      </c>
      <c r="CK1867" s="40"/>
      <c r="CL1867" s="82"/>
      <c r="CM1867" s="82"/>
      <c r="CN1867" s="82"/>
      <c r="CO1867" s="26"/>
      <c r="CP1867" s="26"/>
      <c r="CQ1867" s="26"/>
      <c r="CR1867" s="40"/>
      <c r="CT1867" s="77"/>
      <c r="CU1867" s="77"/>
      <c r="CV1867" s="77"/>
      <c r="CW1867" s="77"/>
      <c r="CX1867" s="77"/>
      <c r="CY1867" s="77"/>
      <c r="CZ1867" s="77"/>
      <c r="DA1867" s="77"/>
      <c r="DB1867" s="77"/>
      <c r="DC1867" s="82"/>
    </row>
    <row r="1868" spans="1:107" s="74" customFormat="1" x14ac:dyDescent="0.2">
      <c r="A1868" s="73" t="s">
        <v>1633</v>
      </c>
      <c r="B1868" s="73" t="s">
        <v>1629</v>
      </c>
      <c r="C1868" s="73">
        <f t="shared" si="168"/>
        <v>300210005</v>
      </c>
      <c r="D1868" s="74" t="s">
        <v>1643</v>
      </c>
      <c r="E1868" s="20" t="s">
        <v>923</v>
      </c>
      <c r="F1868" s="20"/>
      <c r="G1868" s="20"/>
      <c r="H1868" s="20"/>
      <c r="I1868" s="75" t="s">
        <v>1666</v>
      </c>
      <c r="J1868" s="75" t="s">
        <v>548</v>
      </c>
      <c r="K1868" s="75"/>
      <c r="L1868" s="75"/>
      <c r="M1868" s="75"/>
      <c r="N1868" s="75" t="s">
        <v>819</v>
      </c>
      <c r="O1868" s="75" t="s">
        <v>158</v>
      </c>
      <c r="P1868" s="21"/>
      <c r="Q1868" s="21" t="s">
        <v>2041</v>
      </c>
      <c r="R1868" s="21"/>
      <c r="S1868" s="21"/>
      <c r="T1868" s="21" t="s">
        <v>811</v>
      </c>
      <c r="U1868" s="124" t="s">
        <v>3259</v>
      </c>
      <c r="V1868" s="75" t="s">
        <v>819</v>
      </c>
      <c r="W1868" s="75" t="s">
        <v>1</v>
      </c>
      <c r="X1868" s="75"/>
      <c r="Y1868" s="75"/>
      <c r="Z1868" s="75"/>
      <c r="AA1868" s="75"/>
      <c r="AB1868" s="75"/>
      <c r="AC1868" s="75"/>
      <c r="AD1868" s="75"/>
      <c r="AE1868" s="76"/>
      <c r="AF1868" s="76" t="s">
        <v>2042</v>
      </c>
      <c r="AG1868" s="75"/>
      <c r="AH1868" s="57" t="s">
        <v>1652</v>
      </c>
      <c r="AI1868" s="26" t="s">
        <v>268</v>
      </c>
      <c r="AJ1868" s="26"/>
      <c r="AK1868" s="40">
        <v>1235</v>
      </c>
      <c r="AL1868" s="81" t="s">
        <v>1655</v>
      </c>
      <c r="AM1868" s="82"/>
      <c r="AN1868" s="82"/>
      <c r="AO1868" s="82"/>
      <c r="AP1868" s="82"/>
      <c r="AQ1868" s="82"/>
      <c r="AR1868" s="82"/>
      <c r="AS1868" s="82"/>
      <c r="AT1868" s="82"/>
      <c r="AU1868" s="26" t="s">
        <v>1656</v>
      </c>
      <c r="AV1868" s="26" t="s">
        <v>713</v>
      </c>
      <c r="AW1868" s="26"/>
      <c r="AX1868" s="40">
        <v>4128</v>
      </c>
      <c r="AY1868" s="81" t="s">
        <v>1658</v>
      </c>
      <c r="AZ1868" s="82"/>
      <c r="BA1868" s="82"/>
      <c r="BB1868" s="82"/>
      <c r="BC1868" s="82"/>
      <c r="BD1868" s="82"/>
      <c r="BE1868" s="82"/>
      <c r="BF1868" s="82"/>
      <c r="BG1868" s="82"/>
      <c r="BH1868" s="26" t="s">
        <v>1659</v>
      </c>
      <c r="BI1868" s="26" t="s">
        <v>687</v>
      </c>
      <c r="BJ1868" s="26"/>
      <c r="BK1868" s="40">
        <v>15063</v>
      </c>
      <c r="BL1868" s="81" t="s">
        <v>1653</v>
      </c>
      <c r="BM1868" s="82"/>
      <c r="BN1868" s="82"/>
      <c r="BO1868" s="82"/>
      <c r="BP1868" s="82"/>
      <c r="BQ1868" s="82"/>
      <c r="BR1868" s="82"/>
      <c r="BS1868" s="82"/>
      <c r="BT1868" s="82"/>
      <c r="BU1868" s="26" t="s">
        <v>1661</v>
      </c>
      <c r="BV1868" s="26" t="s">
        <v>687</v>
      </c>
      <c r="BW1868" s="26"/>
      <c r="BX1868" s="40">
        <v>27189</v>
      </c>
      <c r="BY1868" s="81" t="s">
        <v>1663</v>
      </c>
      <c r="BZ1868" s="82"/>
      <c r="CA1868" s="82"/>
      <c r="CB1868" s="82"/>
      <c r="CC1868" s="82"/>
      <c r="CD1868" s="82"/>
      <c r="CE1868" s="82"/>
      <c r="CF1868" s="82"/>
      <c r="CG1868" s="82"/>
      <c r="CH1868" s="79"/>
      <c r="CI1868" s="26" t="s">
        <v>1634</v>
      </c>
      <c r="CJ1868" s="26" t="s">
        <v>1651</v>
      </c>
      <c r="CK1868" s="40"/>
      <c r="CL1868" s="82"/>
      <c r="CM1868" s="82"/>
      <c r="CN1868" s="82"/>
      <c r="CO1868" s="26"/>
      <c r="CP1868" s="26"/>
      <c r="CQ1868" s="26"/>
      <c r="CR1868" s="40"/>
      <c r="CT1868" s="77"/>
      <c r="CU1868" s="77"/>
      <c r="CV1868" s="77"/>
      <c r="CW1868" s="77"/>
      <c r="CX1868" s="77"/>
      <c r="CY1868" s="77"/>
      <c r="CZ1868" s="77"/>
      <c r="DA1868" s="77"/>
      <c r="DB1868" s="77"/>
      <c r="DC1868" s="82"/>
    </row>
    <row r="1869" spans="1:107" s="74" customFormat="1" x14ac:dyDescent="0.2">
      <c r="A1869" s="73" t="s">
        <v>1633</v>
      </c>
      <c r="B1869" s="73" t="s">
        <v>1630</v>
      </c>
      <c r="C1869" s="73">
        <f t="shared" si="168"/>
        <v>300210006</v>
      </c>
      <c r="D1869" s="74" t="s">
        <v>1644</v>
      </c>
      <c r="E1869" s="20" t="s">
        <v>923</v>
      </c>
      <c r="F1869" s="20"/>
      <c r="G1869" s="20"/>
      <c r="H1869" s="20"/>
      <c r="I1869" s="75" t="s">
        <v>1666</v>
      </c>
      <c r="J1869" s="75" t="s">
        <v>548</v>
      </c>
      <c r="K1869" s="75"/>
      <c r="L1869" s="75"/>
      <c r="M1869" s="75"/>
      <c r="N1869" s="75" t="s">
        <v>819</v>
      </c>
      <c r="O1869" s="75" t="s">
        <v>158</v>
      </c>
      <c r="P1869" s="21"/>
      <c r="Q1869" s="21" t="s">
        <v>2041</v>
      </c>
      <c r="R1869" s="21"/>
      <c r="S1869" s="21"/>
      <c r="T1869" s="21" t="s">
        <v>811</v>
      </c>
      <c r="U1869" s="124" t="s">
        <v>3259</v>
      </c>
      <c r="V1869" s="75" t="s">
        <v>819</v>
      </c>
      <c r="W1869" s="75" t="s">
        <v>1</v>
      </c>
      <c r="X1869" s="75"/>
      <c r="Y1869" s="75"/>
      <c r="Z1869" s="75"/>
      <c r="AA1869" s="75"/>
      <c r="AB1869" s="75"/>
      <c r="AC1869" s="75"/>
      <c r="AD1869" s="75"/>
      <c r="AE1869" s="76"/>
      <c r="AF1869" s="76" t="s">
        <v>2042</v>
      </c>
      <c r="AG1869" s="75"/>
      <c r="AH1869" s="57" t="s">
        <v>1652</v>
      </c>
      <c r="AI1869" s="26" t="s">
        <v>268</v>
      </c>
      <c r="AJ1869" s="26"/>
      <c r="AK1869" s="40">
        <v>1235</v>
      </c>
      <c r="AL1869" s="81" t="s">
        <v>1655</v>
      </c>
      <c r="AM1869" s="82"/>
      <c r="AN1869" s="82"/>
      <c r="AO1869" s="82"/>
      <c r="AP1869" s="82"/>
      <c r="AQ1869" s="82"/>
      <c r="AR1869" s="82"/>
      <c r="AS1869" s="82"/>
      <c r="AT1869" s="82"/>
      <c r="AU1869" s="26" t="s">
        <v>1656</v>
      </c>
      <c r="AV1869" s="26" t="s">
        <v>713</v>
      </c>
      <c r="AW1869" s="26"/>
      <c r="AX1869" s="40">
        <v>4128</v>
      </c>
      <c r="AY1869" s="81" t="s">
        <v>1658</v>
      </c>
      <c r="AZ1869" s="82"/>
      <c r="BA1869" s="82"/>
      <c r="BB1869" s="82"/>
      <c r="BC1869" s="82"/>
      <c r="BD1869" s="82"/>
      <c r="BE1869" s="82"/>
      <c r="BF1869" s="82"/>
      <c r="BG1869" s="82"/>
      <c r="BH1869" s="26" t="s">
        <v>1659</v>
      </c>
      <c r="BI1869" s="26" t="s">
        <v>687</v>
      </c>
      <c r="BJ1869" s="26"/>
      <c r="BK1869" s="40">
        <v>15063</v>
      </c>
      <c r="BL1869" s="81" t="s">
        <v>1653</v>
      </c>
      <c r="BM1869" s="82"/>
      <c r="BN1869" s="82"/>
      <c r="BO1869" s="82"/>
      <c r="BP1869" s="82"/>
      <c r="BQ1869" s="82"/>
      <c r="BR1869" s="82"/>
      <c r="BS1869" s="82"/>
      <c r="BT1869" s="82"/>
      <c r="BU1869" s="26" t="s">
        <v>1661</v>
      </c>
      <c r="BV1869" s="26" t="s">
        <v>687</v>
      </c>
      <c r="BW1869" s="26"/>
      <c r="BX1869" s="40">
        <v>27189</v>
      </c>
      <c r="BY1869" s="81" t="s">
        <v>1663</v>
      </c>
      <c r="BZ1869" s="82"/>
      <c r="CA1869" s="82"/>
      <c r="CB1869" s="82"/>
      <c r="CC1869" s="82"/>
      <c r="CD1869" s="82"/>
      <c r="CE1869" s="82"/>
      <c r="CF1869" s="82"/>
      <c r="CG1869" s="82"/>
      <c r="CH1869" s="79"/>
      <c r="CI1869" s="26" t="s">
        <v>1634</v>
      </c>
      <c r="CJ1869" s="26" t="s">
        <v>1651</v>
      </c>
      <c r="CK1869" s="40"/>
      <c r="CL1869" s="82"/>
      <c r="CM1869" s="82"/>
      <c r="CN1869" s="82"/>
      <c r="CO1869" s="26"/>
      <c r="CP1869" s="26"/>
      <c r="CQ1869" s="26"/>
      <c r="CR1869" s="40"/>
      <c r="CT1869" s="77"/>
      <c r="CU1869" s="77"/>
      <c r="CV1869" s="77"/>
      <c r="CW1869" s="77"/>
      <c r="CX1869" s="77"/>
      <c r="CY1869" s="77"/>
      <c r="CZ1869" s="77"/>
      <c r="DA1869" s="77"/>
      <c r="DB1869" s="77"/>
      <c r="DC1869" s="82"/>
    </row>
    <row r="1870" spans="1:107" s="74" customFormat="1" x14ac:dyDescent="0.2">
      <c r="A1870" s="73" t="s">
        <v>1633</v>
      </c>
      <c r="B1870" s="73" t="s">
        <v>1631</v>
      </c>
      <c r="C1870" s="73">
        <f t="shared" si="168"/>
        <v>300210007</v>
      </c>
      <c r="D1870" s="74" t="s">
        <v>1645</v>
      </c>
      <c r="E1870" s="20" t="s">
        <v>923</v>
      </c>
      <c r="F1870" s="20"/>
      <c r="G1870" s="20"/>
      <c r="H1870" s="20"/>
      <c r="I1870" s="75" t="s">
        <v>1666</v>
      </c>
      <c r="J1870" s="75"/>
      <c r="K1870" s="75"/>
      <c r="L1870" s="75"/>
      <c r="M1870" s="75"/>
      <c r="N1870" s="75" t="s">
        <v>819</v>
      </c>
      <c r="O1870" s="75" t="s">
        <v>1897</v>
      </c>
      <c r="P1870" s="21"/>
      <c r="Q1870" s="21" t="s">
        <v>2041</v>
      </c>
      <c r="R1870" s="21"/>
      <c r="S1870" s="21"/>
      <c r="T1870" s="21" t="s">
        <v>811</v>
      </c>
      <c r="U1870" s="124" t="s">
        <v>3259</v>
      </c>
      <c r="V1870" s="75" t="s">
        <v>1841</v>
      </c>
      <c r="W1870" s="75" t="s">
        <v>1840</v>
      </c>
      <c r="X1870" s="75" t="s">
        <v>1836</v>
      </c>
      <c r="Y1870" s="75" t="s">
        <v>5</v>
      </c>
      <c r="Z1870" s="75"/>
      <c r="AA1870" s="75"/>
      <c r="AB1870" s="75"/>
      <c r="AC1870" s="75"/>
      <c r="AD1870" s="75"/>
      <c r="AE1870" s="76"/>
      <c r="AF1870" s="76" t="s">
        <v>2042</v>
      </c>
      <c r="AG1870" s="75"/>
      <c r="AH1870" s="57" t="s">
        <v>1654</v>
      </c>
      <c r="AI1870" s="26"/>
      <c r="AJ1870" s="26"/>
      <c r="AK1870" s="40">
        <v>2427</v>
      </c>
      <c r="AL1870" s="81"/>
      <c r="AM1870" s="82"/>
      <c r="AN1870" s="82">
        <v>100</v>
      </c>
      <c r="AO1870" s="82"/>
      <c r="AP1870" s="82"/>
      <c r="AQ1870" s="82"/>
      <c r="AR1870" s="82"/>
      <c r="AS1870" s="82"/>
      <c r="AT1870" s="82"/>
      <c r="AU1870" s="26" t="s">
        <v>1657</v>
      </c>
      <c r="AV1870" s="26"/>
      <c r="AW1870" s="26"/>
      <c r="AX1870" s="40">
        <f>AX1869*5</f>
        <v>20640</v>
      </c>
      <c r="AY1870" s="81"/>
      <c r="AZ1870" s="82"/>
      <c r="BA1870" s="82">
        <v>100</v>
      </c>
      <c r="BB1870" s="82"/>
      <c r="BC1870" s="82"/>
      <c r="BD1870" s="82"/>
      <c r="BE1870" s="82"/>
      <c r="BF1870" s="82"/>
      <c r="BG1870" s="82"/>
      <c r="BH1870" s="26" t="s">
        <v>1667</v>
      </c>
      <c r="BI1870" s="26" t="s">
        <v>267</v>
      </c>
      <c r="BJ1870" s="26"/>
      <c r="BK1870" s="40">
        <v>36720</v>
      </c>
      <c r="BL1870" s="81"/>
      <c r="BM1870" s="82"/>
      <c r="BN1870" s="82">
        <v>100</v>
      </c>
      <c r="BO1870" s="82"/>
      <c r="BP1870" s="82"/>
      <c r="BQ1870" s="82"/>
      <c r="BR1870" s="82"/>
      <c r="BS1870" s="82"/>
      <c r="BT1870" s="82"/>
      <c r="BU1870" s="26" t="s">
        <v>1668</v>
      </c>
      <c r="BV1870" s="26" t="s">
        <v>711</v>
      </c>
      <c r="BW1870" s="26"/>
      <c r="BX1870" s="40">
        <f>184770/5</f>
        <v>36954</v>
      </c>
      <c r="BY1870" s="81"/>
      <c r="BZ1870" s="82"/>
      <c r="CA1870" s="82">
        <v>100</v>
      </c>
      <c r="CB1870" s="82"/>
      <c r="CC1870" s="82"/>
      <c r="CD1870" s="82"/>
      <c r="CE1870" s="82"/>
      <c r="CF1870" s="82"/>
      <c r="CG1870" s="82"/>
      <c r="CH1870" s="79"/>
      <c r="CI1870" s="26" t="s">
        <v>398</v>
      </c>
      <c r="CJ1870" s="26"/>
      <c r="CK1870" s="40"/>
      <c r="CL1870" s="82"/>
      <c r="CM1870" s="82"/>
      <c r="CN1870" s="82"/>
      <c r="CO1870" s="26"/>
      <c r="CP1870" s="26"/>
      <c r="CQ1870" s="26"/>
      <c r="CR1870" s="40"/>
      <c r="CT1870" s="77"/>
      <c r="CU1870" s="77"/>
      <c r="CV1870" s="77"/>
      <c r="CW1870" s="77"/>
      <c r="CX1870" s="77"/>
      <c r="CY1870" s="77"/>
      <c r="CZ1870" s="77"/>
      <c r="DA1870" s="77"/>
      <c r="DB1870" s="77"/>
      <c r="DC1870" s="82"/>
    </row>
    <row r="1871" spans="1:107" s="85" customFormat="1" x14ac:dyDescent="0.2">
      <c r="A1871" s="84" t="s">
        <v>1899</v>
      </c>
      <c r="B1871" s="84" t="s">
        <v>0</v>
      </c>
      <c r="C1871" s="84">
        <f t="shared" si="168"/>
        <v>300220001</v>
      </c>
      <c r="D1871" s="85" t="s">
        <v>1900</v>
      </c>
      <c r="E1871" s="86" t="s">
        <v>1910</v>
      </c>
      <c r="F1871" s="86"/>
      <c r="G1871" s="86"/>
      <c r="H1871" s="86"/>
      <c r="I1871" s="87" t="s">
        <v>157</v>
      </c>
      <c r="J1871" s="87"/>
      <c r="K1871" s="87"/>
      <c r="L1871" s="87"/>
      <c r="M1871" s="87"/>
      <c r="N1871" s="87" t="s">
        <v>819</v>
      </c>
      <c r="O1871" s="87" t="s">
        <v>158</v>
      </c>
      <c r="P1871" s="21"/>
      <c r="Q1871" s="21" t="s">
        <v>2041</v>
      </c>
      <c r="R1871" s="21"/>
      <c r="S1871" s="21"/>
      <c r="T1871" s="21" t="s">
        <v>811</v>
      </c>
      <c r="U1871" s="125" t="s">
        <v>3260</v>
      </c>
      <c r="V1871" s="87" t="s">
        <v>819</v>
      </c>
      <c r="W1871" s="87" t="s">
        <v>1</v>
      </c>
      <c r="X1871" s="87"/>
      <c r="Y1871" s="87"/>
      <c r="Z1871" s="87"/>
      <c r="AA1871" s="87"/>
      <c r="AB1871" s="87"/>
      <c r="AC1871" s="87"/>
      <c r="AD1871" s="87"/>
      <c r="AE1871" s="88"/>
      <c r="AF1871" s="88" t="s">
        <v>2042</v>
      </c>
      <c r="AG1871" s="87"/>
      <c r="AH1871" s="85" t="s">
        <v>1901</v>
      </c>
      <c r="AI1871" s="89"/>
      <c r="AJ1871" s="89"/>
      <c r="AK1871" s="90">
        <v>27189</v>
      </c>
      <c r="AL1871" s="91" t="s">
        <v>1902</v>
      </c>
      <c r="AM1871" s="92"/>
      <c r="AN1871" s="92"/>
      <c r="AO1871" s="92"/>
      <c r="AP1871" s="92"/>
      <c r="AQ1871" s="92"/>
      <c r="AR1871" s="92"/>
      <c r="AS1871" s="92"/>
      <c r="AT1871" s="92"/>
      <c r="AU1871" s="89"/>
      <c r="AV1871" s="89"/>
      <c r="AW1871" s="89"/>
      <c r="AX1871" s="90"/>
      <c r="AY1871" s="91"/>
      <c r="AZ1871" s="92"/>
      <c r="BA1871" s="92"/>
      <c r="BB1871" s="92"/>
      <c r="BC1871" s="92"/>
      <c r="BD1871" s="92"/>
      <c r="BE1871" s="92"/>
      <c r="BF1871" s="92"/>
      <c r="BG1871" s="92"/>
      <c r="BH1871" s="89"/>
      <c r="BI1871" s="89"/>
      <c r="BJ1871" s="89"/>
      <c r="BK1871" s="90"/>
      <c r="BL1871" s="91"/>
      <c r="BM1871" s="92"/>
      <c r="BN1871" s="92"/>
      <c r="BO1871" s="92"/>
      <c r="BP1871" s="92"/>
      <c r="BQ1871" s="92"/>
      <c r="BR1871" s="92"/>
      <c r="BS1871" s="92"/>
      <c r="BT1871" s="92"/>
      <c r="BU1871" s="89"/>
      <c r="BV1871" s="89"/>
      <c r="BW1871" s="89"/>
      <c r="BX1871" s="90"/>
      <c r="BY1871" s="91"/>
      <c r="BZ1871" s="92"/>
      <c r="CA1871" s="92"/>
      <c r="CB1871" s="92"/>
      <c r="CC1871" s="92"/>
      <c r="CD1871" s="92"/>
      <c r="CE1871" s="92"/>
      <c r="CF1871" s="92"/>
      <c r="CG1871" s="92"/>
      <c r="CH1871" s="84"/>
      <c r="CI1871" s="89" t="s">
        <v>821</v>
      </c>
      <c r="CJ1871" s="89" t="s">
        <v>0</v>
      </c>
      <c r="CK1871" s="40"/>
      <c r="CL1871" s="82"/>
      <c r="CM1871" s="82"/>
      <c r="CN1871" s="82"/>
      <c r="CO1871" s="26"/>
      <c r="CP1871" s="26"/>
      <c r="CQ1871" s="26"/>
      <c r="CR1871" s="40"/>
      <c r="CT1871" s="93"/>
      <c r="CU1871" s="93"/>
      <c r="CV1871" s="93"/>
      <c r="CW1871" s="93"/>
      <c r="CX1871" s="93"/>
      <c r="CY1871" s="93"/>
      <c r="CZ1871" s="93"/>
      <c r="DA1871" s="93"/>
      <c r="DB1871" s="93"/>
      <c r="DC1871" s="92"/>
    </row>
    <row r="1872" spans="1:107" s="85" customFormat="1" x14ac:dyDescent="0.2">
      <c r="A1872" s="84" t="s">
        <v>1911</v>
      </c>
      <c r="B1872" s="84" t="s">
        <v>26</v>
      </c>
      <c r="C1872" s="84">
        <f t="shared" si="168"/>
        <v>300220002</v>
      </c>
      <c r="D1872" s="85" t="s">
        <v>1903</v>
      </c>
      <c r="E1872" s="86" t="s">
        <v>1910</v>
      </c>
      <c r="F1872" s="86"/>
      <c r="G1872" s="86"/>
      <c r="H1872" s="86"/>
      <c r="I1872" s="87" t="s">
        <v>157</v>
      </c>
      <c r="J1872" s="87"/>
      <c r="K1872" s="87"/>
      <c r="L1872" s="87"/>
      <c r="M1872" s="87"/>
      <c r="N1872" s="87" t="s">
        <v>819</v>
      </c>
      <c r="O1872" s="87" t="s">
        <v>158</v>
      </c>
      <c r="P1872" s="21"/>
      <c r="Q1872" s="21" t="s">
        <v>2041</v>
      </c>
      <c r="R1872" s="21"/>
      <c r="S1872" s="21"/>
      <c r="T1872" s="21" t="s">
        <v>811</v>
      </c>
      <c r="U1872" s="125" t="s">
        <v>3260</v>
      </c>
      <c r="V1872" s="87" t="s">
        <v>819</v>
      </c>
      <c r="W1872" s="87" t="s">
        <v>1</v>
      </c>
      <c r="X1872" s="87"/>
      <c r="Y1872" s="87"/>
      <c r="Z1872" s="87"/>
      <c r="AA1872" s="87"/>
      <c r="AB1872" s="87"/>
      <c r="AC1872" s="87"/>
      <c r="AD1872" s="87"/>
      <c r="AE1872" s="88"/>
      <c r="AF1872" s="88" t="s">
        <v>2042</v>
      </c>
      <c r="AG1872" s="87"/>
      <c r="AH1872" s="85" t="s">
        <v>1901</v>
      </c>
      <c r="AI1872" s="89"/>
      <c r="AJ1872" s="89"/>
      <c r="AK1872" s="90">
        <v>27189</v>
      </c>
      <c r="AL1872" s="91" t="s">
        <v>1902</v>
      </c>
      <c r="AM1872" s="92"/>
      <c r="AN1872" s="92"/>
      <c r="AO1872" s="92"/>
      <c r="AP1872" s="92"/>
      <c r="AQ1872" s="92"/>
      <c r="AR1872" s="92"/>
      <c r="AS1872" s="92"/>
      <c r="AT1872" s="92"/>
      <c r="AU1872" s="89"/>
      <c r="AV1872" s="89"/>
      <c r="AW1872" s="89"/>
      <c r="AX1872" s="90"/>
      <c r="AY1872" s="91"/>
      <c r="AZ1872" s="92"/>
      <c r="BA1872" s="92"/>
      <c r="BB1872" s="92"/>
      <c r="BC1872" s="92"/>
      <c r="BD1872" s="92"/>
      <c r="BE1872" s="92"/>
      <c r="BF1872" s="92"/>
      <c r="BG1872" s="92"/>
      <c r="BH1872" s="89"/>
      <c r="BI1872" s="89"/>
      <c r="BJ1872" s="89"/>
      <c r="BK1872" s="90"/>
      <c r="BL1872" s="91"/>
      <c r="BM1872" s="92"/>
      <c r="BN1872" s="92"/>
      <c r="BO1872" s="92"/>
      <c r="BP1872" s="92"/>
      <c r="BQ1872" s="92"/>
      <c r="BR1872" s="92"/>
      <c r="BS1872" s="92"/>
      <c r="BT1872" s="92"/>
      <c r="BU1872" s="89"/>
      <c r="BV1872" s="89"/>
      <c r="BW1872" s="89"/>
      <c r="BX1872" s="90"/>
      <c r="BY1872" s="91"/>
      <c r="BZ1872" s="92"/>
      <c r="CA1872" s="92"/>
      <c r="CB1872" s="92"/>
      <c r="CC1872" s="92"/>
      <c r="CD1872" s="92"/>
      <c r="CE1872" s="92"/>
      <c r="CF1872" s="92"/>
      <c r="CG1872" s="92"/>
      <c r="CH1872" s="84"/>
      <c r="CI1872" s="89" t="s">
        <v>821</v>
      </c>
      <c r="CJ1872" s="89" t="s">
        <v>0</v>
      </c>
      <c r="CK1872" s="40"/>
      <c r="CL1872" s="82"/>
      <c r="CM1872" s="82"/>
      <c r="CN1872" s="82"/>
      <c r="CO1872" s="26"/>
      <c r="CP1872" s="26"/>
      <c r="CQ1872" s="26"/>
      <c r="CR1872" s="40"/>
      <c r="CT1872" s="93"/>
      <c r="CU1872" s="93"/>
      <c r="CV1872" s="93"/>
      <c r="CW1872" s="93"/>
      <c r="CX1872" s="93"/>
      <c r="CY1872" s="93"/>
      <c r="CZ1872" s="93"/>
      <c r="DA1872" s="93"/>
      <c r="DB1872" s="93"/>
      <c r="DC1872" s="92"/>
    </row>
    <row r="1873" spans="1:107" s="85" customFormat="1" x14ac:dyDescent="0.2">
      <c r="A1873" s="84" t="s">
        <v>1899</v>
      </c>
      <c r="B1873" s="84" t="s">
        <v>27</v>
      </c>
      <c r="C1873" s="84">
        <f t="shared" si="168"/>
        <v>300220003</v>
      </c>
      <c r="D1873" s="85" t="s">
        <v>1904</v>
      </c>
      <c r="E1873" s="86" t="s">
        <v>1910</v>
      </c>
      <c r="F1873" s="86"/>
      <c r="G1873" s="86"/>
      <c r="H1873" s="86"/>
      <c r="I1873" s="87" t="s">
        <v>157</v>
      </c>
      <c r="J1873" s="87"/>
      <c r="K1873" s="87"/>
      <c r="L1873" s="87"/>
      <c r="M1873" s="87"/>
      <c r="N1873" s="87" t="s">
        <v>819</v>
      </c>
      <c r="O1873" s="87" t="s">
        <v>158</v>
      </c>
      <c r="P1873" s="21"/>
      <c r="Q1873" s="21" t="s">
        <v>2041</v>
      </c>
      <c r="R1873" s="21"/>
      <c r="S1873" s="21"/>
      <c r="T1873" s="21" t="s">
        <v>811</v>
      </c>
      <c r="U1873" s="125" t="s">
        <v>3260</v>
      </c>
      <c r="V1873" s="87" t="s">
        <v>819</v>
      </c>
      <c r="W1873" s="87" t="s">
        <v>1</v>
      </c>
      <c r="X1873" s="87"/>
      <c r="Y1873" s="87"/>
      <c r="Z1873" s="87"/>
      <c r="AA1873" s="87"/>
      <c r="AB1873" s="87"/>
      <c r="AC1873" s="87"/>
      <c r="AD1873" s="87"/>
      <c r="AE1873" s="88"/>
      <c r="AF1873" s="88" t="s">
        <v>2042</v>
      </c>
      <c r="AG1873" s="87"/>
      <c r="AH1873" s="85" t="s">
        <v>1901</v>
      </c>
      <c r="AI1873" s="89"/>
      <c r="AJ1873" s="89"/>
      <c r="AK1873" s="90">
        <v>27189</v>
      </c>
      <c r="AL1873" s="91" t="s">
        <v>1902</v>
      </c>
      <c r="AM1873" s="92"/>
      <c r="AN1873" s="92"/>
      <c r="AO1873" s="92"/>
      <c r="AP1873" s="92"/>
      <c r="AQ1873" s="92"/>
      <c r="AR1873" s="92"/>
      <c r="AS1873" s="92"/>
      <c r="AT1873" s="92"/>
      <c r="AU1873" s="89"/>
      <c r="AV1873" s="89"/>
      <c r="AW1873" s="89"/>
      <c r="AX1873" s="90"/>
      <c r="AY1873" s="91"/>
      <c r="AZ1873" s="92"/>
      <c r="BA1873" s="92"/>
      <c r="BB1873" s="92"/>
      <c r="BC1873" s="92"/>
      <c r="BD1873" s="92"/>
      <c r="BE1873" s="92"/>
      <c r="BF1873" s="92"/>
      <c r="BG1873" s="92"/>
      <c r="BH1873" s="89"/>
      <c r="BI1873" s="89"/>
      <c r="BJ1873" s="89"/>
      <c r="BK1873" s="90"/>
      <c r="BL1873" s="91"/>
      <c r="BM1873" s="92"/>
      <c r="BN1873" s="92"/>
      <c r="BO1873" s="92"/>
      <c r="BP1873" s="92"/>
      <c r="BQ1873" s="92"/>
      <c r="BR1873" s="92"/>
      <c r="BS1873" s="92"/>
      <c r="BT1873" s="92"/>
      <c r="BU1873" s="89"/>
      <c r="BV1873" s="89"/>
      <c r="BW1873" s="89"/>
      <c r="BX1873" s="90"/>
      <c r="BY1873" s="91"/>
      <c r="BZ1873" s="92"/>
      <c r="CA1873" s="92"/>
      <c r="CB1873" s="92"/>
      <c r="CC1873" s="92"/>
      <c r="CD1873" s="92"/>
      <c r="CE1873" s="92"/>
      <c r="CF1873" s="92"/>
      <c r="CG1873" s="92"/>
      <c r="CH1873" s="84"/>
      <c r="CI1873" s="89" t="s">
        <v>821</v>
      </c>
      <c r="CJ1873" s="89" t="s">
        <v>0</v>
      </c>
      <c r="CK1873" s="40"/>
      <c r="CL1873" s="82"/>
      <c r="CM1873" s="82"/>
      <c r="CN1873" s="82"/>
      <c r="CO1873" s="26"/>
      <c r="CP1873" s="26"/>
      <c r="CQ1873" s="26"/>
      <c r="CR1873" s="40"/>
      <c r="CT1873" s="93"/>
      <c r="CU1873" s="93"/>
      <c r="CV1873" s="93"/>
      <c r="CW1873" s="93"/>
      <c r="CX1873" s="93"/>
      <c r="CY1873" s="93"/>
      <c r="CZ1873" s="93"/>
      <c r="DA1873" s="93"/>
      <c r="DB1873" s="93"/>
      <c r="DC1873" s="92"/>
    </row>
    <row r="1874" spans="1:107" s="85" customFormat="1" x14ac:dyDescent="0.2">
      <c r="A1874" s="84" t="s">
        <v>1899</v>
      </c>
      <c r="B1874" s="84" t="s">
        <v>1</v>
      </c>
      <c r="C1874" s="84">
        <f t="shared" si="168"/>
        <v>300220004</v>
      </c>
      <c r="D1874" s="85" t="s">
        <v>1905</v>
      </c>
      <c r="E1874" s="86" t="s">
        <v>1910</v>
      </c>
      <c r="F1874" s="86"/>
      <c r="G1874" s="86"/>
      <c r="H1874" s="86"/>
      <c r="I1874" s="87" t="s">
        <v>157</v>
      </c>
      <c r="J1874" s="87"/>
      <c r="K1874" s="87"/>
      <c r="L1874" s="87"/>
      <c r="M1874" s="87"/>
      <c r="N1874" s="87" t="s">
        <v>819</v>
      </c>
      <c r="O1874" s="87" t="s">
        <v>158</v>
      </c>
      <c r="P1874" s="21"/>
      <c r="Q1874" s="21" t="s">
        <v>2041</v>
      </c>
      <c r="R1874" s="21"/>
      <c r="S1874" s="21"/>
      <c r="T1874" s="21" t="s">
        <v>811</v>
      </c>
      <c r="U1874" s="125" t="s">
        <v>3260</v>
      </c>
      <c r="V1874" s="87" t="s">
        <v>819</v>
      </c>
      <c r="W1874" s="87" t="s">
        <v>1</v>
      </c>
      <c r="X1874" s="87"/>
      <c r="Y1874" s="87"/>
      <c r="Z1874" s="87"/>
      <c r="AA1874" s="87"/>
      <c r="AB1874" s="87"/>
      <c r="AC1874" s="87"/>
      <c r="AD1874" s="87"/>
      <c r="AE1874" s="88"/>
      <c r="AF1874" s="88" t="s">
        <v>2042</v>
      </c>
      <c r="AG1874" s="87"/>
      <c r="AH1874" s="85" t="s">
        <v>1906</v>
      </c>
      <c r="AI1874" s="89"/>
      <c r="AJ1874" s="89"/>
      <c r="AK1874" s="90">
        <v>2427</v>
      </c>
      <c r="AL1874" s="91"/>
      <c r="AM1874" s="92"/>
      <c r="AN1874" s="92">
        <v>100</v>
      </c>
      <c r="AO1874" s="92"/>
      <c r="AP1874" s="92"/>
      <c r="AQ1874" s="92"/>
      <c r="AR1874" s="92"/>
      <c r="AS1874" s="92"/>
      <c r="AT1874" s="92"/>
      <c r="AU1874" s="89" t="s">
        <v>1907</v>
      </c>
      <c r="AV1874" s="89"/>
      <c r="AW1874" s="89"/>
      <c r="AX1874" s="90">
        <v>20640</v>
      </c>
      <c r="AY1874" s="91"/>
      <c r="AZ1874" s="92"/>
      <c r="BA1874" s="92">
        <v>100</v>
      </c>
      <c r="BB1874" s="92"/>
      <c r="BC1874" s="92"/>
      <c r="BD1874" s="92"/>
      <c r="BE1874" s="92"/>
      <c r="BF1874" s="92"/>
      <c r="BG1874" s="92"/>
      <c r="BH1874" s="89" t="s">
        <v>1908</v>
      </c>
      <c r="BI1874" s="89"/>
      <c r="BJ1874" s="89"/>
      <c r="BK1874" s="90">
        <v>36720</v>
      </c>
      <c r="BL1874" s="91"/>
      <c r="BM1874" s="92"/>
      <c r="BN1874" s="92">
        <v>100</v>
      </c>
      <c r="BO1874" s="92"/>
      <c r="BP1874" s="92"/>
      <c r="BQ1874" s="92"/>
      <c r="BR1874" s="92"/>
      <c r="BS1874" s="92"/>
      <c r="BT1874" s="92"/>
      <c r="BU1874" s="89" t="s">
        <v>1909</v>
      </c>
      <c r="BV1874" s="89"/>
      <c r="BW1874" s="89"/>
      <c r="BX1874" s="90">
        <v>36954</v>
      </c>
      <c r="BY1874" s="91"/>
      <c r="BZ1874" s="92"/>
      <c r="CA1874" s="92">
        <v>100</v>
      </c>
      <c r="CB1874" s="92"/>
      <c r="CC1874" s="92"/>
      <c r="CD1874" s="92"/>
      <c r="CE1874" s="92"/>
      <c r="CF1874" s="92"/>
      <c r="CG1874" s="92"/>
      <c r="CH1874" s="84"/>
      <c r="CI1874" s="89" t="s">
        <v>397</v>
      </c>
      <c r="CJ1874" s="89"/>
      <c r="CK1874" s="40"/>
      <c r="CL1874" s="82"/>
      <c r="CM1874" s="82"/>
      <c r="CN1874" s="82"/>
      <c r="CO1874" s="26"/>
      <c r="CP1874" s="26"/>
      <c r="CQ1874" s="26"/>
      <c r="CR1874" s="40"/>
      <c r="CT1874" s="93"/>
      <c r="CU1874" s="93"/>
      <c r="CV1874" s="93"/>
      <c r="CW1874" s="93"/>
      <c r="CX1874" s="93"/>
      <c r="CY1874" s="93"/>
      <c r="CZ1874" s="93"/>
      <c r="DA1874" s="93"/>
      <c r="DB1874" s="93"/>
      <c r="DC1874" s="92"/>
    </row>
    <row r="1875" spans="1:107" s="85" customFormat="1" x14ac:dyDescent="0.2">
      <c r="A1875" s="84" t="s">
        <v>1914</v>
      </c>
      <c r="B1875" s="84" t="s">
        <v>0</v>
      </c>
      <c r="C1875" s="84">
        <f t="shared" si="168"/>
        <v>300230001</v>
      </c>
      <c r="D1875" s="85" t="s">
        <v>1916</v>
      </c>
      <c r="E1875" s="86" t="s">
        <v>1910</v>
      </c>
      <c r="F1875" s="86"/>
      <c r="G1875" s="86"/>
      <c r="H1875" s="86"/>
      <c r="I1875" s="87" t="s">
        <v>157</v>
      </c>
      <c r="J1875" s="87"/>
      <c r="K1875" s="87"/>
      <c r="L1875" s="87"/>
      <c r="M1875" s="87"/>
      <c r="N1875" s="87" t="s">
        <v>819</v>
      </c>
      <c r="O1875" s="87" t="s">
        <v>158</v>
      </c>
      <c r="P1875" s="21"/>
      <c r="Q1875" s="21" t="s">
        <v>2041</v>
      </c>
      <c r="R1875" s="21"/>
      <c r="S1875" s="21"/>
      <c r="T1875" s="21" t="s">
        <v>811</v>
      </c>
      <c r="U1875" s="125" t="s">
        <v>3260</v>
      </c>
      <c r="V1875" s="87" t="s">
        <v>819</v>
      </c>
      <c r="W1875" s="87" t="s">
        <v>1</v>
      </c>
      <c r="X1875" s="87"/>
      <c r="Y1875" s="87"/>
      <c r="Z1875" s="87"/>
      <c r="AA1875" s="87"/>
      <c r="AB1875" s="87"/>
      <c r="AC1875" s="87"/>
      <c r="AD1875" s="87"/>
      <c r="AE1875" s="88"/>
      <c r="AF1875" s="88" t="s">
        <v>2042</v>
      </c>
      <c r="AG1875" s="87"/>
      <c r="AH1875" s="85" t="s">
        <v>1901</v>
      </c>
      <c r="AI1875" s="89"/>
      <c r="AJ1875" s="89"/>
      <c r="AK1875" s="90">
        <v>27189</v>
      </c>
      <c r="AL1875" s="91" t="s">
        <v>1902</v>
      </c>
      <c r="AM1875" s="92"/>
      <c r="AN1875" s="92"/>
      <c r="AO1875" s="92"/>
      <c r="AP1875" s="92"/>
      <c r="AQ1875" s="92"/>
      <c r="AR1875" s="92"/>
      <c r="AS1875" s="92"/>
      <c r="AT1875" s="92"/>
      <c r="AU1875" s="89"/>
      <c r="AV1875" s="89"/>
      <c r="AW1875" s="89"/>
      <c r="AX1875" s="90"/>
      <c r="AY1875" s="91"/>
      <c r="AZ1875" s="92"/>
      <c r="BA1875" s="92"/>
      <c r="BB1875" s="92"/>
      <c r="BC1875" s="92"/>
      <c r="BD1875" s="92"/>
      <c r="BE1875" s="92"/>
      <c r="BF1875" s="92"/>
      <c r="BG1875" s="92"/>
      <c r="BH1875" s="89"/>
      <c r="BI1875" s="89"/>
      <c r="BJ1875" s="89"/>
      <c r="BK1875" s="90"/>
      <c r="BL1875" s="91"/>
      <c r="BM1875" s="92"/>
      <c r="BN1875" s="92"/>
      <c r="BO1875" s="92"/>
      <c r="BP1875" s="92"/>
      <c r="BQ1875" s="92"/>
      <c r="BR1875" s="92"/>
      <c r="BS1875" s="92"/>
      <c r="BT1875" s="92"/>
      <c r="BU1875" s="89"/>
      <c r="BV1875" s="89"/>
      <c r="BW1875" s="89"/>
      <c r="BX1875" s="90"/>
      <c r="BY1875" s="91"/>
      <c r="BZ1875" s="92"/>
      <c r="CA1875" s="92"/>
      <c r="CB1875" s="92"/>
      <c r="CC1875" s="92"/>
      <c r="CD1875" s="92"/>
      <c r="CE1875" s="92"/>
      <c r="CF1875" s="92"/>
      <c r="CG1875" s="92"/>
      <c r="CH1875" s="84"/>
      <c r="CI1875" s="89" t="s">
        <v>821</v>
      </c>
      <c r="CJ1875" s="89" t="s">
        <v>0</v>
      </c>
      <c r="CK1875" s="40"/>
      <c r="CL1875" s="82"/>
      <c r="CM1875" s="82"/>
      <c r="CN1875" s="82"/>
      <c r="CO1875" s="26"/>
      <c r="CP1875" s="26"/>
      <c r="CQ1875" s="26"/>
      <c r="CR1875" s="40"/>
      <c r="CT1875" s="93"/>
      <c r="CU1875" s="93"/>
      <c r="CV1875" s="93"/>
      <c r="CW1875" s="93"/>
      <c r="CX1875" s="93"/>
      <c r="CY1875" s="93"/>
      <c r="CZ1875" s="93"/>
      <c r="DA1875" s="93"/>
      <c r="DB1875" s="93"/>
      <c r="DC1875" s="92"/>
    </row>
    <row r="1876" spans="1:107" s="85" customFormat="1" x14ac:dyDescent="0.2">
      <c r="A1876" s="84" t="s">
        <v>1915</v>
      </c>
      <c r="B1876" s="84" t="s">
        <v>26</v>
      </c>
      <c r="C1876" s="84">
        <f t="shared" si="168"/>
        <v>300230002</v>
      </c>
      <c r="D1876" s="85" t="s">
        <v>1917</v>
      </c>
      <c r="E1876" s="86" t="s">
        <v>1910</v>
      </c>
      <c r="F1876" s="86"/>
      <c r="G1876" s="86"/>
      <c r="H1876" s="86"/>
      <c r="I1876" s="87" t="s">
        <v>157</v>
      </c>
      <c r="J1876" s="87"/>
      <c r="K1876" s="87"/>
      <c r="L1876" s="87"/>
      <c r="M1876" s="87"/>
      <c r="N1876" s="87" t="s">
        <v>819</v>
      </c>
      <c r="O1876" s="87" t="s">
        <v>158</v>
      </c>
      <c r="P1876" s="21"/>
      <c r="Q1876" s="21" t="s">
        <v>2041</v>
      </c>
      <c r="R1876" s="21"/>
      <c r="S1876" s="21"/>
      <c r="T1876" s="21" t="s">
        <v>811</v>
      </c>
      <c r="U1876" s="125" t="s">
        <v>3260</v>
      </c>
      <c r="V1876" s="87" t="s">
        <v>819</v>
      </c>
      <c r="W1876" s="87" t="s">
        <v>1</v>
      </c>
      <c r="X1876" s="87"/>
      <c r="Y1876" s="87"/>
      <c r="Z1876" s="87"/>
      <c r="AA1876" s="87"/>
      <c r="AB1876" s="87"/>
      <c r="AC1876" s="87"/>
      <c r="AD1876" s="87"/>
      <c r="AE1876" s="88"/>
      <c r="AF1876" s="88" t="s">
        <v>2042</v>
      </c>
      <c r="AG1876" s="87"/>
      <c r="AH1876" s="85" t="s">
        <v>1901</v>
      </c>
      <c r="AI1876" s="89"/>
      <c r="AJ1876" s="89"/>
      <c r="AK1876" s="90">
        <v>27189</v>
      </c>
      <c r="AL1876" s="91" t="s">
        <v>1902</v>
      </c>
      <c r="AM1876" s="92"/>
      <c r="AN1876" s="92"/>
      <c r="AO1876" s="92"/>
      <c r="AP1876" s="92"/>
      <c r="AQ1876" s="92"/>
      <c r="AR1876" s="92"/>
      <c r="AS1876" s="92"/>
      <c r="AT1876" s="92"/>
      <c r="AU1876" s="89"/>
      <c r="AV1876" s="89"/>
      <c r="AW1876" s="89"/>
      <c r="AX1876" s="90"/>
      <c r="AY1876" s="91"/>
      <c r="AZ1876" s="92"/>
      <c r="BA1876" s="92"/>
      <c r="BB1876" s="92"/>
      <c r="BC1876" s="92"/>
      <c r="BD1876" s="92"/>
      <c r="BE1876" s="92"/>
      <c r="BF1876" s="92"/>
      <c r="BG1876" s="92"/>
      <c r="BH1876" s="89"/>
      <c r="BI1876" s="89"/>
      <c r="BJ1876" s="89"/>
      <c r="BK1876" s="90"/>
      <c r="BL1876" s="91"/>
      <c r="BM1876" s="92"/>
      <c r="BN1876" s="92"/>
      <c r="BO1876" s="92"/>
      <c r="BP1876" s="92"/>
      <c r="BQ1876" s="92"/>
      <c r="BR1876" s="92"/>
      <c r="BS1876" s="92"/>
      <c r="BT1876" s="92"/>
      <c r="BU1876" s="89"/>
      <c r="BV1876" s="89"/>
      <c r="BW1876" s="89"/>
      <c r="BX1876" s="90"/>
      <c r="BY1876" s="91"/>
      <c r="BZ1876" s="92"/>
      <c r="CA1876" s="92"/>
      <c r="CB1876" s="92"/>
      <c r="CC1876" s="92"/>
      <c r="CD1876" s="92"/>
      <c r="CE1876" s="92"/>
      <c r="CF1876" s="92"/>
      <c r="CG1876" s="92"/>
      <c r="CH1876" s="84"/>
      <c r="CI1876" s="89" t="s">
        <v>821</v>
      </c>
      <c r="CJ1876" s="89" t="s">
        <v>0</v>
      </c>
      <c r="CK1876" s="40"/>
      <c r="CL1876" s="82"/>
      <c r="CM1876" s="82"/>
      <c r="CN1876" s="82"/>
      <c r="CO1876" s="26"/>
      <c r="CP1876" s="26"/>
      <c r="CQ1876" s="26"/>
      <c r="CR1876" s="40"/>
      <c r="CT1876" s="93"/>
      <c r="CU1876" s="93"/>
      <c r="CV1876" s="93"/>
      <c r="CW1876" s="93"/>
      <c r="CX1876" s="93"/>
      <c r="CY1876" s="93"/>
      <c r="CZ1876" s="93"/>
      <c r="DA1876" s="93"/>
      <c r="DB1876" s="93"/>
      <c r="DC1876" s="92"/>
    </row>
    <row r="1877" spans="1:107" s="85" customFormat="1" x14ac:dyDescent="0.2">
      <c r="A1877" s="84" t="s">
        <v>1914</v>
      </c>
      <c r="B1877" s="84" t="s">
        <v>27</v>
      </c>
      <c r="C1877" s="84">
        <f t="shared" si="168"/>
        <v>300230003</v>
      </c>
      <c r="D1877" s="85" t="s">
        <v>1918</v>
      </c>
      <c r="E1877" s="86" t="s">
        <v>1910</v>
      </c>
      <c r="F1877" s="86"/>
      <c r="G1877" s="86"/>
      <c r="H1877" s="86"/>
      <c r="I1877" s="87" t="s">
        <v>157</v>
      </c>
      <c r="J1877" s="87"/>
      <c r="K1877" s="87"/>
      <c r="L1877" s="87"/>
      <c r="M1877" s="87"/>
      <c r="N1877" s="87" t="s">
        <v>819</v>
      </c>
      <c r="O1877" s="87" t="s">
        <v>158</v>
      </c>
      <c r="P1877" s="21"/>
      <c r="Q1877" s="21" t="s">
        <v>2041</v>
      </c>
      <c r="R1877" s="21"/>
      <c r="S1877" s="21"/>
      <c r="T1877" s="21" t="s">
        <v>811</v>
      </c>
      <c r="U1877" s="125" t="s">
        <v>3260</v>
      </c>
      <c r="V1877" s="87" t="s">
        <v>819</v>
      </c>
      <c r="W1877" s="87" t="s">
        <v>1</v>
      </c>
      <c r="X1877" s="87"/>
      <c r="Y1877" s="87"/>
      <c r="Z1877" s="87"/>
      <c r="AA1877" s="87"/>
      <c r="AB1877" s="87"/>
      <c r="AC1877" s="87"/>
      <c r="AD1877" s="87"/>
      <c r="AE1877" s="88"/>
      <c r="AF1877" s="88" t="s">
        <v>2042</v>
      </c>
      <c r="AG1877" s="87"/>
      <c r="AH1877" s="85" t="s">
        <v>1901</v>
      </c>
      <c r="AI1877" s="89"/>
      <c r="AJ1877" s="89"/>
      <c r="AK1877" s="90">
        <v>27189</v>
      </c>
      <c r="AL1877" s="91" t="s">
        <v>1902</v>
      </c>
      <c r="AM1877" s="92"/>
      <c r="AN1877" s="92"/>
      <c r="AO1877" s="92"/>
      <c r="AP1877" s="92"/>
      <c r="AQ1877" s="92"/>
      <c r="AR1877" s="92"/>
      <c r="AS1877" s="92"/>
      <c r="AT1877" s="92"/>
      <c r="AU1877" s="89"/>
      <c r="AV1877" s="89"/>
      <c r="AW1877" s="89"/>
      <c r="AX1877" s="90"/>
      <c r="AY1877" s="91"/>
      <c r="AZ1877" s="92"/>
      <c r="BA1877" s="92"/>
      <c r="BB1877" s="92"/>
      <c r="BC1877" s="92"/>
      <c r="BD1877" s="92"/>
      <c r="BE1877" s="92"/>
      <c r="BF1877" s="92"/>
      <c r="BG1877" s="92"/>
      <c r="BH1877" s="89"/>
      <c r="BI1877" s="89"/>
      <c r="BJ1877" s="89"/>
      <c r="BK1877" s="90"/>
      <c r="BL1877" s="91"/>
      <c r="BM1877" s="92"/>
      <c r="BN1877" s="92"/>
      <c r="BO1877" s="92"/>
      <c r="BP1877" s="92"/>
      <c r="BQ1877" s="92"/>
      <c r="BR1877" s="92"/>
      <c r="BS1877" s="92"/>
      <c r="BT1877" s="92"/>
      <c r="BU1877" s="89"/>
      <c r="BV1877" s="89"/>
      <c r="BW1877" s="89"/>
      <c r="BX1877" s="90"/>
      <c r="BY1877" s="91"/>
      <c r="BZ1877" s="92"/>
      <c r="CA1877" s="92"/>
      <c r="CB1877" s="92"/>
      <c r="CC1877" s="92"/>
      <c r="CD1877" s="92"/>
      <c r="CE1877" s="92"/>
      <c r="CF1877" s="92"/>
      <c r="CG1877" s="92"/>
      <c r="CH1877" s="84"/>
      <c r="CI1877" s="89" t="s">
        <v>821</v>
      </c>
      <c r="CJ1877" s="89" t="s">
        <v>0</v>
      </c>
      <c r="CK1877" s="40"/>
      <c r="CL1877" s="82"/>
      <c r="CM1877" s="82"/>
      <c r="CN1877" s="82"/>
      <c r="CO1877" s="26"/>
      <c r="CP1877" s="26"/>
      <c r="CQ1877" s="26"/>
      <c r="CR1877" s="40"/>
      <c r="CT1877" s="93"/>
      <c r="CU1877" s="93"/>
      <c r="CV1877" s="93"/>
      <c r="CW1877" s="93"/>
      <c r="CX1877" s="93"/>
      <c r="CY1877" s="93"/>
      <c r="CZ1877" s="93"/>
      <c r="DA1877" s="93"/>
      <c r="DB1877" s="93"/>
      <c r="DC1877" s="92"/>
    </row>
    <row r="1878" spans="1:107" s="85" customFormat="1" x14ac:dyDescent="0.2">
      <c r="A1878" s="84" t="s">
        <v>1914</v>
      </c>
      <c r="B1878" s="84" t="s">
        <v>1</v>
      </c>
      <c r="C1878" s="84">
        <f t="shared" si="168"/>
        <v>300230004</v>
      </c>
      <c r="D1878" s="85" t="s">
        <v>1919</v>
      </c>
      <c r="E1878" s="86" t="s">
        <v>1910</v>
      </c>
      <c r="F1878" s="86"/>
      <c r="G1878" s="86"/>
      <c r="H1878" s="86"/>
      <c r="I1878" s="87" t="s">
        <v>157</v>
      </c>
      <c r="J1878" s="87"/>
      <c r="K1878" s="87"/>
      <c r="L1878" s="87"/>
      <c r="M1878" s="87"/>
      <c r="N1878" s="87" t="s">
        <v>819</v>
      </c>
      <c r="O1878" s="87" t="s">
        <v>158</v>
      </c>
      <c r="P1878" s="21"/>
      <c r="Q1878" s="21" t="s">
        <v>2041</v>
      </c>
      <c r="R1878" s="21"/>
      <c r="S1878" s="21"/>
      <c r="T1878" s="21" t="s">
        <v>811</v>
      </c>
      <c r="U1878" s="125" t="s">
        <v>3260</v>
      </c>
      <c r="V1878" s="87" t="s">
        <v>819</v>
      </c>
      <c r="W1878" s="87" t="s">
        <v>1</v>
      </c>
      <c r="X1878" s="87"/>
      <c r="Y1878" s="87"/>
      <c r="Z1878" s="87"/>
      <c r="AA1878" s="87"/>
      <c r="AB1878" s="87"/>
      <c r="AC1878" s="87"/>
      <c r="AD1878" s="87"/>
      <c r="AE1878" s="88"/>
      <c r="AF1878" s="88" t="s">
        <v>2042</v>
      </c>
      <c r="AG1878" s="87"/>
      <c r="AH1878" s="85" t="s">
        <v>1920</v>
      </c>
      <c r="AI1878" s="89"/>
      <c r="AJ1878" s="89"/>
      <c r="AK1878" s="90">
        <v>2427</v>
      </c>
      <c r="AL1878" s="91"/>
      <c r="AM1878" s="92"/>
      <c r="AN1878" s="92">
        <v>150</v>
      </c>
      <c r="AO1878" s="92"/>
      <c r="AP1878" s="92"/>
      <c r="AQ1878" s="92"/>
      <c r="AR1878" s="92"/>
      <c r="AS1878" s="92"/>
      <c r="AT1878" s="92"/>
      <c r="AU1878" s="89" t="s">
        <v>1921</v>
      </c>
      <c r="AV1878" s="89"/>
      <c r="AW1878" s="89"/>
      <c r="AX1878" s="90">
        <v>20640</v>
      </c>
      <c r="AY1878" s="91"/>
      <c r="AZ1878" s="92"/>
      <c r="BA1878" s="92">
        <v>150</v>
      </c>
      <c r="BB1878" s="92"/>
      <c r="BC1878" s="92"/>
      <c r="BD1878" s="92"/>
      <c r="BE1878" s="92"/>
      <c r="BF1878" s="92"/>
      <c r="BG1878" s="92"/>
      <c r="BH1878" s="89" t="s">
        <v>1922</v>
      </c>
      <c r="BI1878" s="89"/>
      <c r="BJ1878" s="89"/>
      <c r="BK1878" s="90">
        <v>36720</v>
      </c>
      <c r="BL1878" s="91"/>
      <c r="BM1878" s="92"/>
      <c r="BN1878" s="92">
        <v>150</v>
      </c>
      <c r="BO1878" s="92"/>
      <c r="BP1878" s="92"/>
      <c r="BQ1878" s="92"/>
      <c r="BR1878" s="92"/>
      <c r="BS1878" s="92"/>
      <c r="BT1878" s="92"/>
      <c r="BU1878" s="89" t="s">
        <v>1923</v>
      </c>
      <c r="BV1878" s="89"/>
      <c r="BW1878" s="89"/>
      <c r="BX1878" s="90">
        <v>36954</v>
      </c>
      <c r="BY1878" s="91"/>
      <c r="BZ1878" s="92"/>
      <c r="CA1878" s="92">
        <v>150</v>
      </c>
      <c r="CB1878" s="92"/>
      <c r="CC1878" s="92"/>
      <c r="CD1878" s="92"/>
      <c r="CE1878" s="92"/>
      <c r="CF1878" s="92"/>
      <c r="CG1878" s="92"/>
      <c r="CH1878" s="84"/>
      <c r="CI1878" s="89" t="s">
        <v>397</v>
      </c>
      <c r="CJ1878" s="89"/>
      <c r="CK1878" s="40"/>
      <c r="CL1878" s="82"/>
      <c r="CM1878" s="82"/>
      <c r="CN1878" s="82"/>
      <c r="CO1878" s="26"/>
      <c r="CP1878" s="26"/>
      <c r="CQ1878" s="26"/>
      <c r="CR1878" s="40"/>
      <c r="CT1878" s="93"/>
      <c r="CU1878" s="93"/>
      <c r="CV1878" s="93"/>
      <c r="CW1878" s="93"/>
      <c r="CX1878" s="93"/>
      <c r="CY1878" s="93"/>
      <c r="CZ1878" s="93"/>
      <c r="DA1878" s="93"/>
      <c r="DB1878" s="93"/>
      <c r="DC1878" s="92"/>
    </row>
    <row r="1879" spans="1:107" s="85" customFormat="1" x14ac:dyDescent="0.2">
      <c r="A1879" s="84" t="s">
        <v>1926</v>
      </c>
      <c r="B1879" s="84" t="s">
        <v>0</v>
      </c>
      <c r="C1879" s="84">
        <f t="shared" si="168"/>
        <v>300240001</v>
      </c>
      <c r="D1879" s="85" t="s">
        <v>1936</v>
      </c>
      <c r="E1879" s="86" t="s">
        <v>1119</v>
      </c>
      <c r="F1879" s="86"/>
      <c r="G1879" s="86"/>
      <c r="H1879" s="86"/>
      <c r="I1879" s="87" t="s">
        <v>157</v>
      </c>
      <c r="J1879" s="87" t="s">
        <v>548</v>
      </c>
      <c r="K1879" s="87"/>
      <c r="L1879" s="87"/>
      <c r="M1879" s="87"/>
      <c r="N1879" s="87" t="s">
        <v>819</v>
      </c>
      <c r="O1879" s="87" t="s">
        <v>158</v>
      </c>
      <c r="P1879" s="21"/>
      <c r="Q1879" s="21" t="s">
        <v>2041</v>
      </c>
      <c r="R1879" s="21"/>
      <c r="S1879" s="21"/>
      <c r="T1879" s="21" t="s">
        <v>811</v>
      </c>
      <c r="U1879" s="125" t="s">
        <v>3261</v>
      </c>
      <c r="V1879" s="87" t="s">
        <v>819</v>
      </c>
      <c r="W1879" s="87" t="s">
        <v>1</v>
      </c>
      <c r="X1879" s="87"/>
      <c r="Y1879" s="87"/>
      <c r="Z1879" s="87"/>
      <c r="AA1879" s="87"/>
      <c r="AB1879" s="87"/>
      <c r="AC1879" s="87"/>
      <c r="AD1879" s="87"/>
      <c r="AE1879" s="88"/>
      <c r="AF1879" s="88" t="s">
        <v>2042</v>
      </c>
      <c r="AG1879" s="87"/>
      <c r="AI1879" s="89"/>
      <c r="AJ1879" s="89"/>
      <c r="AK1879" s="90"/>
      <c r="AL1879" s="91"/>
      <c r="AM1879" s="92"/>
      <c r="AN1879" s="92"/>
      <c r="AO1879" s="92"/>
      <c r="AP1879" s="92"/>
      <c r="AQ1879" s="92"/>
      <c r="AR1879" s="92"/>
      <c r="AS1879" s="92"/>
      <c r="AT1879" s="92"/>
      <c r="AU1879" s="89" t="s">
        <v>1927</v>
      </c>
      <c r="AV1879" s="89"/>
      <c r="AW1879" s="89"/>
      <c r="AX1879" s="90" t="s">
        <v>1937</v>
      </c>
      <c r="AY1879" s="91" t="s">
        <v>1928</v>
      </c>
      <c r="AZ1879" s="92"/>
      <c r="BA1879" s="92"/>
      <c r="BB1879" s="92"/>
      <c r="BC1879" s="92"/>
      <c r="BD1879" s="92"/>
      <c r="BE1879" s="92"/>
      <c r="BF1879" s="92"/>
      <c r="BG1879" s="92"/>
      <c r="BH1879" s="89" t="s">
        <v>1929</v>
      </c>
      <c r="BI1879" s="89"/>
      <c r="BJ1879" s="89"/>
      <c r="BK1879" s="90" t="s">
        <v>1938</v>
      </c>
      <c r="BL1879" s="91" t="s">
        <v>1930</v>
      </c>
      <c r="BM1879" s="92"/>
      <c r="BN1879" s="92"/>
      <c r="BO1879" s="92"/>
      <c r="BP1879" s="92"/>
      <c r="BQ1879" s="92"/>
      <c r="BR1879" s="92"/>
      <c r="BS1879" s="92"/>
      <c r="BT1879" s="92"/>
      <c r="BU1879" s="89"/>
      <c r="BV1879" s="89"/>
      <c r="BW1879" s="89"/>
      <c r="BX1879" s="90"/>
      <c r="BY1879" s="91"/>
      <c r="BZ1879" s="92"/>
      <c r="CA1879" s="92"/>
      <c r="CB1879" s="92"/>
      <c r="CC1879" s="92"/>
      <c r="CD1879" s="92"/>
      <c r="CE1879" s="92"/>
      <c r="CF1879" s="92"/>
      <c r="CG1879" s="92"/>
      <c r="CH1879" s="84"/>
      <c r="CI1879" s="89" t="s">
        <v>821</v>
      </c>
      <c r="CJ1879" s="89" t="s">
        <v>0</v>
      </c>
      <c r="CK1879" s="40"/>
      <c r="CL1879" s="82"/>
      <c r="CM1879" s="82"/>
      <c r="CN1879" s="82"/>
      <c r="CO1879" s="26"/>
      <c r="CP1879" s="26"/>
      <c r="CQ1879" s="26"/>
      <c r="CR1879" s="40"/>
      <c r="CT1879" s="93"/>
      <c r="CU1879" s="93"/>
      <c r="CV1879" s="93"/>
      <c r="CW1879" s="93"/>
      <c r="CX1879" s="93"/>
      <c r="CY1879" s="93"/>
      <c r="CZ1879" s="93"/>
      <c r="DA1879" s="93"/>
      <c r="DB1879" s="93"/>
      <c r="DC1879" s="92"/>
    </row>
    <row r="1880" spans="1:107" s="85" customFormat="1" x14ac:dyDescent="0.2">
      <c r="A1880" s="84" t="s">
        <v>1926</v>
      </c>
      <c r="B1880" s="84" t="s">
        <v>26</v>
      </c>
      <c r="C1880" s="84">
        <f t="shared" si="168"/>
        <v>300240002</v>
      </c>
      <c r="D1880" s="85" t="s">
        <v>1939</v>
      </c>
      <c r="E1880" s="86" t="s">
        <v>1119</v>
      </c>
      <c r="F1880" s="86"/>
      <c r="G1880" s="86"/>
      <c r="H1880" s="86"/>
      <c r="I1880" s="87" t="s">
        <v>157</v>
      </c>
      <c r="J1880" s="87" t="s">
        <v>548</v>
      </c>
      <c r="K1880" s="87"/>
      <c r="L1880" s="87"/>
      <c r="M1880" s="87"/>
      <c r="N1880" s="87" t="s">
        <v>819</v>
      </c>
      <c r="O1880" s="87" t="s">
        <v>158</v>
      </c>
      <c r="P1880" s="21"/>
      <c r="Q1880" s="21" t="s">
        <v>2041</v>
      </c>
      <c r="R1880" s="21"/>
      <c r="S1880" s="21"/>
      <c r="T1880" s="21" t="s">
        <v>811</v>
      </c>
      <c r="U1880" s="125" t="s">
        <v>3261</v>
      </c>
      <c r="V1880" s="87" t="s">
        <v>819</v>
      </c>
      <c r="W1880" s="87" t="s">
        <v>1</v>
      </c>
      <c r="X1880" s="87"/>
      <c r="Y1880" s="87"/>
      <c r="Z1880" s="87"/>
      <c r="AA1880" s="87"/>
      <c r="AB1880" s="87"/>
      <c r="AC1880" s="87"/>
      <c r="AD1880" s="87"/>
      <c r="AE1880" s="88"/>
      <c r="AF1880" s="88" t="s">
        <v>2042</v>
      </c>
      <c r="AG1880" s="87"/>
      <c r="AI1880" s="89"/>
      <c r="AJ1880" s="89"/>
      <c r="AK1880" s="90"/>
      <c r="AL1880" s="91"/>
      <c r="AM1880" s="92"/>
      <c r="AN1880" s="92"/>
      <c r="AO1880" s="92"/>
      <c r="AP1880" s="92"/>
      <c r="AQ1880" s="92"/>
      <c r="AR1880" s="92"/>
      <c r="AS1880" s="92"/>
      <c r="AT1880" s="92"/>
      <c r="AU1880" s="89" t="s">
        <v>1927</v>
      </c>
      <c r="AV1880" s="89"/>
      <c r="AW1880" s="89"/>
      <c r="AX1880" s="90" t="s">
        <v>1937</v>
      </c>
      <c r="AY1880" s="91" t="s">
        <v>1928</v>
      </c>
      <c r="AZ1880" s="92"/>
      <c r="BA1880" s="92"/>
      <c r="BB1880" s="92"/>
      <c r="BC1880" s="92"/>
      <c r="BD1880" s="92"/>
      <c r="BE1880" s="92"/>
      <c r="BF1880" s="92"/>
      <c r="BG1880" s="92"/>
      <c r="BH1880" s="89" t="s">
        <v>1929</v>
      </c>
      <c r="BI1880" s="89"/>
      <c r="BJ1880" s="89"/>
      <c r="BK1880" s="90" t="s">
        <v>1938</v>
      </c>
      <c r="BL1880" s="91" t="s">
        <v>1930</v>
      </c>
      <c r="BM1880" s="92"/>
      <c r="BN1880" s="92"/>
      <c r="BO1880" s="92"/>
      <c r="BP1880" s="92"/>
      <c r="BQ1880" s="92"/>
      <c r="BR1880" s="92"/>
      <c r="BS1880" s="92"/>
      <c r="BT1880" s="92"/>
      <c r="BU1880" s="89"/>
      <c r="BV1880" s="89"/>
      <c r="BW1880" s="89"/>
      <c r="BX1880" s="90"/>
      <c r="BY1880" s="91"/>
      <c r="BZ1880" s="92"/>
      <c r="CA1880" s="92"/>
      <c r="CB1880" s="92"/>
      <c r="CC1880" s="92"/>
      <c r="CD1880" s="92"/>
      <c r="CE1880" s="92"/>
      <c r="CF1880" s="92"/>
      <c r="CG1880" s="92"/>
      <c r="CH1880" s="84"/>
      <c r="CI1880" s="89" t="s">
        <v>821</v>
      </c>
      <c r="CJ1880" s="89" t="s">
        <v>0</v>
      </c>
      <c r="CK1880" s="40"/>
      <c r="CL1880" s="82"/>
      <c r="CM1880" s="82"/>
      <c r="CN1880" s="82"/>
      <c r="CO1880" s="26"/>
      <c r="CP1880" s="26"/>
      <c r="CQ1880" s="26"/>
      <c r="CR1880" s="40"/>
      <c r="CT1880" s="93"/>
      <c r="CU1880" s="93"/>
      <c r="CV1880" s="93"/>
      <c r="CW1880" s="93"/>
      <c r="CX1880" s="93"/>
      <c r="CY1880" s="93"/>
      <c r="CZ1880" s="93"/>
      <c r="DA1880" s="93"/>
      <c r="DB1880" s="93"/>
      <c r="DC1880" s="92"/>
    </row>
    <row r="1881" spans="1:107" s="85" customFormat="1" x14ac:dyDescent="0.2">
      <c r="A1881" s="84" t="s">
        <v>1926</v>
      </c>
      <c r="B1881" s="84" t="s">
        <v>27</v>
      </c>
      <c r="C1881" s="84">
        <f t="shared" si="168"/>
        <v>300240003</v>
      </c>
      <c r="D1881" s="85" t="s">
        <v>1940</v>
      </c>
      <c r="E1881" s="86" t="s">
        <v>1119</v>
      </c>
      <c r="F1881" s="86"/>
      <c r="G1881" s="86"/>
      <c r="H1881" s="86"/>
      <c r="I1881" s="87" t="s">
        <v>157</v>
      </c>
      <c r="J1881" s="87" t="s">
        <v>548</v>
      </c>
      <c r="K1881" s="87"/>
      <c r="L1881" s="87"/>
      <c r="M1881" s="87"/>
      <c r="N1881" s="87" t="s">
        <v>819</v>
      </c>
      <c r="O1881" s="87" t="s">
        <v>158</v>
      </c>
      <c r="P1881" s="21"/>
      <c r="Q1881" s="21" t="s">
        <v>2041</v>
      </c>
      <c r="R1881" s="21"/>
      <c r="S1881" s="21"/>
      <c r="T1881" s="21" t="s">
        <v>811</v>
      </c>
      <c r="U1881" s="125" t="s">
        <v>3261</v>
      </c>
      <c r="V1881" s="87" t="s">
        <v>819</v>
      </c>
      <c r="W1881" s="87" t="s">
        <v>1</v>
      </c>
      <c r="X1881" s="87"/>
      <c r="Y1881" s="87"/>
      <c r="Z1881" s="87"/>
      <c r="AA1881" s="87"/>
      <c r="AB1881" s="87"/>
      <c r="AC1881" s="87"/>
      <c r="AD1881" s="87"/>
      <c r="AE1881" s="88"/>
      <c r="AF1881" s="88" t="s">
        <v>2042</v>
      </c>
      <c r="AG1881" s="87"/>
      <c r="AI1881" s="89"/>
      <c r="AJ1881" s="89"/>
      <c r="AK1881" s="90"/>
      <c r="AL1881" s="91"/>
      <c r="AM1881" s="92"/>
      <c r="AN1881" s="92"/>
      <c r="AO1881" s="92"/>
      <c r="AP1881" s="92"/>
      <c r="AQ1881" s="92"/>
      <c r="AR1881" s="92"/>
      <c r="AS1881" s="92"/>
      <c r="AT1881" s="92"/>
      <c r="AU1881" s="89" t="s">
        <v>1927</v>
      </c>
      <c r="AV1881" s="89"/>
      <c r="AW1881" s="89"/>
      <c r="AX1881" s="90" t="s">
        <v>1937</v>
      </c>
      <c r="AY1881" s="91" t="s">
        <v>1928</v>
      </c>
      <c r="AZ1881" s="92"/>
      <c r="BA1881" s="92"/>
      <c r="BB1881" s="92"/>
      <c r="BC1881" s="92"/>
      <c r="BD1881" s="92"/>
      <c r="BE1881" s="92"/>
      <c r="BF1881" s="92"/>
      <c r="BG1881" s="92"/>
      <c r="BH1881" s="89" t="s">
        <v>1929</v>
      </c>
      <c r="BI1881" s="89"/>
      <c r="BJ1881" s="89"/>
      <c r="BK1881" s="90" t="s">
        <v>1938</v>
      </c>
      <c r="BL1881" s="91" t="s">
        <v>1930</v>
      </c>
      <c r="BM1881" s="92"/>
      <c r="BN1881" s="92"/>
      <c r="BO1881" s="92"/>
      <c r="BP1881" s="92"/>
      <c r="BQ1881" s="92"/>
      <c r="BR1881" s="92"/>
      <c r="BS1881" s="92"/>
      <c r="BT1881" s="92"/>
      <c r="BU1881" s="89"/>
      <c r="BV1881" s="89"/>
      <c r="BW1881" s="89"/>
      <c r="BX1881" s="90"/>
      <c r="BY1881" s="91"/>
      <c r="BZ1881" s="92"/>
      <c r="CA1881" s="92"/>
      <c r="CB1881" s="92"/>
      <c r="CC1881" s="92"/>
      <c r="CD1881" s="92"/>
      <c r="CE1881" s="92"/>
      <c r="CF1881" s="92"/>
      <c r="CG1881" s="92"/>
      <c r="CH1881" s="84"/>
      <c r="CI1881" s="89" t="s">
        <v>821</v>
      </c>
      <c r="CJ1881" s="89" t="s">
        <v>0</v>
      </c>
      <c r="CK1881" s="40"/>
      <c r="CL1881" s="82"/>
      <c r="CM1881" s="82"/>
      <c r="CN1881" s="82"/>
      <c r="CO1881" s="26"/>
      <c r="CP1881" s="26"/>
      <c r="CQ1881" s="26"/>
      <c r="CR1881" s="40"/>
      <c r="CT1881" s="93"/>
      <c r="CU1881" s="93"/>
      <c r="CV1881" s="93"/>
      <c r="CW1881" s="93"/>
      <c r="CX1881" s="93"/>
      <c r="CY1881" s="93"/>
      <c r="CZ1881" s="93"/>
      <c r="DA1881" s="93"/>
      <c r="DB1881" s="93"/>
      <c r="DC1881" s="92"/>
    </row>
    <row r="1882" spans="1:107" s="85" customFormat="1" x14ac:dyDescent="0.2">
      <c r="A1882" s="84" t="s">
        <v>1926</v>
      </c>
      <c r="B1882" s="84" t="s">
        <v>1</v>
      </c>
      <c r="C1882" s="84">
        <f t="shared" si="168"/>
        <v>300240004</v>
      </c>
      <c r="D1882" s="85" t="s">
        <v>1941</v>
      </c>
      <c r="E1882" s="86" t="s">
        <v>1942</v>
      </c>
      <c r="F1882" s="86"/>
      <c r="G1882" s="86"/>
      <c r="H1882" s="86"/>
      <c r="I1882" s="87" t="s">
        <v>157</v>
      </c>
      <c r="J1882" s="87"/>
      <c r="K1882" s="87"/>
      <c r="L1882" s="87"/>
      <c r="M1882" s="87"/>
      <c r="N1882" s="87" t="s">
        <v>819</v>
      </c>
      <c r="O1882" s="87" t="s">
        <v>1943</v>
      </c>
      <c r="P1882" s="21"/>
      <c r="Q1882" s="21" t="s">
        <v>2041</v>
      </c>
      <c r="R1882" s="21"/>
      <c r="S1882" s="21"/>
      <c r="T1882" s="21" t="s">
        <v>811</v>
      </c>
      <c r="U1882" s="125" t="s">
        <v>3261</v>
      </c>
      <c r="V1882" s="87" t="s">
        <v>819</v>
      </c>
      <c r="W1882" s="87" t="s">
        <v>1</v>
      </c>
      <c r="X1882" s="87"/>
      <c r="Y1882" s="87"/>
      <c r="Z1882" s="87"/>
      <c r="AA1882" s="87"/>
      <c r="AB1882" s="87"/>
      <c r="AC1882" s="87"/>
      <c r="AD1882" s="87"/>
      <c r="AE1882" s="88"/>
      <c r="AF1882" s="88" t="s">
        <v>2042</v>
      </c>
      <c r="AG1882" s="87"/>
      <c r="AH1882" s="85" t="s">
        <v>1931</v>
      </c>
      <c r="AI1882" s="89"/>
      <c r="AJ1882" s="89"/>
      <c r="AK1882" s="90"/>
      <c r="AL1882" s="91" t="s">
        <v>1932</v>
      </c>
      <c r="AM1882" s="92"/>
      <c r="AN1882" s="92"/>
      <c r="AO1882" s="92"/>
      <c r="AP1882" s="92"/>
      <c r="AQ1882" s="92"/>
      <c r="AR1882" s="92"/>
      <c r="AS1882" s="92"/>
      <c r="AT1882" s="92"/>
      <c r="AU1882" s="89" t="s">
        <v>1931</v>
      </c>
      <c r="AV1882" s="89"/>
      <c r="AW1882" s="89"/>
      <c r="AX1882" s="90"/>
      <c r="AY1882" s="91" t="s">
        <v>1933</v>
      </c>
      <c r="AZ1882" s="92"/>
      <c r="BA1882" s="92"/>
      <c r="BB1882" s="92"/>
      <c r="BC1882" s="92"/>
      <c r="BD1882" s="92"/>
      <c r="BE1882" s="92"/>
      <c r="BF1882" s="92"/>
      <c r="BG1882" s="92"/>
      <c r="BH1882" s="89" t="s">
        <v>1931</v>
      </c>
      <c r="BI1882" s="89"/>
      <c r="BJ1882" s="89"/>
      <c r="BK1882" s="90"/>
      <c r="BL1882" s="91" t="s">
        <v>1934</v>
      </c>
      <c r="BM1882" s="92"/>
      <c r="BN1882" s="92"/>
      <c r="BO1882" s="92"/>
      <c r="BP1882" s="92"/>
      <c r="BQ1882" s="92"/>
      <c r="BR1882" s="92"/>
      <c r="BS1882" s="92"/>
      <c r="BT1882" s="92"/>
      <c r="BU1882" s="89" t="s">
        <v>1931</v>
      </c>
      <c r="BV1882" s="89"/>
      <c r="BW1882" s="89"/>
      <c r="BX1882" s="90"/>
      <c r="BY1882" s="91" t="s">
        <v>1935</v>
      </c>
      <c r="BZ1882" s="92"/>
      <c r="CA1882" s="92"/>
      <c r="CB1882" s="92"/>
      <c r="CC1882" s="92"/>
      <c r="CD1882" s="92"/>
      <c r="CE1882" s="92"/>
      <c r="CF1882" s="92"/>
      <c r="CG1882" s="92"/>
      <c r="CH1882" s="84"/>
      <c r="CI1882" s="89" t="s">
        <v>821</v>
      </c>
      <c r="CJ1882" s="89" t="s">
        <v>0</v>
      </c>
      <c r="CK1882" s="40"/>
      <c r="CL1882" s="82"/>
      <c r="CM1882" s="82"/>
      <c r="CN1882" s="82"/>
      <c r="CO1882" s="26"/>
      <c r="CP1882" s="26" t="s">
        <v>1945</v>
      </c>
      <c r="CQ1882" s="26"/>
      <c r="CR1882" s="40"/>
      <c r="CT1882" s="93"/>
      <c r="CU1882" s="93"/>
      <c r="CV1882" s="93"/>
      <c r="CW1882" s="93"/>
      <c r="CX1882" s="93"/>
      <c r="CY1882" s="93"/>
      <c r="CZ1882" s="93"/>
      <c r="DA1882" s="93"/>
      <c r="DB1882" s="93"/>
      <c r="DC1882" s="92"/>
    </row>
    <row r="1883" spans="1:107" s="200" customFormat="1" x14ac:dyDescent="0.2">
      <c r="A1883" s="199" t="s">
        <v>2105</v>
      </c>
      <c r="B1883" s="199" t="s">
        <v>2106</v>
      </c>
      <c r="C1883" s="199">
        <f t="shared" si="168"/>
        <v>300250001</v>
      </c>
      <c r="D1883" s="200" t="s">
        <v>2110</v>
      </c>
      <c r="E1883" s="201" t="s">
        <v>1433</v>
      </c>
      <c r="F1883" s="201"/>
      <c r="G1883" s="201"/>
      <c r="H1883" s="201"/>
      <c r="I1883" s="202" t="s">
        <v>1437</v>
      </c>
      <c r="J1883" s="202" t="s">
        <v>548</v>
      </c>
      <c r="K1883" s="202"/>
      <c r="L1883" s="202"/>
      <c r="M1883" s="202"/>
      <c r="N1883" s="202" t="s">
        <v>819</v>
      </c>
      <c r="O1883" s="202" t="s">
        <v>158</v>
      </c>
      <c r="P1883" s="202"/>
      <c r="Q1883" s="202" t="s">
        <v>2041</v>
      </c>
      <c r="R1883" s="202"/>
      <c r="S1883" s="202"/>
      <c r="T1883" s="202" t="s">
        <v>811</v>
      </c>
      <c r="U1883" s="203" t="s">
        <v>3262</v>
      </c>
      <c r="V1883" s="202" t="s">
        <v>819</v>
      </c>
      <c r="W1883" s="202" t="s">
        <v>1</v>
      </c>
      <c r="X1883" s="202"/>
      <c r="Y1883" s="202"/>
      <c r="Z1883" s="202"/>
      <c r="AA1883" s="202"/>
      <c r="AB1883" s="202"/>
      <c r="AC1883" s="202"/>
      <c r="AD1883" s="202"/>
      <c r="AE1883" s="204"/>
      <c r="AF1883" s="204" t="s">
        <v>2042</v>
      </c>
      <c r="AG1883" s="202"/>
      <c r="AH1883" s="200" t="s">
        <v>2127</v>
      </c>
      <c r="AI1883" s="205" t="s">
        <v>2</v>
      </c>
      <c r="AJ1883" s="205"/>
      <c r="AK1883" s="206" t="s">
        <v>1937</v>
      </c>
      <c r="AL1883" s="207"/>
      <c r="AM1883" s="208"/>
      <c r="AN1883" s="208"/>
      <c r="AO1883" s="208"/>
      <c r="AP1883" s="208"/>
      <c r="AQ1883" s="208"/>
      <c r="AR1883" s="208"/>
      <c r="AS1883" s="208"/>
      <c r="AT1883" s="208"/>
      <c r="AV1883" s="205"/>
      <c r="AW1883" s="205"/>
      <c r="AX1883" s="206"/>
      <c r="AY1883" s="207"/>
      <c r="AZ1883" s="208"/>
      <c r="BA1883" s="208"/>
      <c r="BB1883" s="208"/>
      <c r="BC1883" s="208"/>
      <c r="BD1883" s="208"/>
      <c r="BE1883" s="208"/>
      <c r="BF1883" s="208"/>
      <c r="BG1883" s="208"/>
      <c r="BI1883" s="205"/>
      <c r="BJ1883" s="205"/>
      <c r="BK1883" s="206"/>
      <c r="BL1883" s="207"/>
      <c r="BM1883" s="208"/>
      <c r="BN1883" s="208"/>
      <c r="BO1883" s="208"/>
      <c r="BP1883" s="208"/>
      <c r="BQ1883" s="208"/>
      <c r="BR1883" s="208"/>
      <c r="BS1883" s="208"/>
      <c r="BT1883" s="208"/>
      <c r="BV1883" s="205"/>
      <c r="BW1883" s="205"/>
      <c r="BX1883" s="206"/>
      <c r="BY1883" s="207"/>
      <c r="BZ1883" s="208"/>
      <c r="CA1883" s="208"/>
      <c r="CB1883" s="208"/>
      <c r="CC1883" s="208"/>
      <c r="CD1883" s="208"/>
      <c r="CE1883" s="208"/>
      <c r="CF1883" s="208"/>
      <c r="CG1883" s="208"/>
      <c r="CH1883" s="199"/>
      <c r="CI1883" s="205" t="s">
        <v>821</v>
      </c>
      <c r="CJ1883" s="205" t="s">
        <v>0</v>
      </c>
      <c r="CK1883" s="206"/>
      <c r="CL1883" s="208"/>
      <c r="CM1883" s="208"/>
      <c r="CN1883" s="208"/>
      <c r="CO1883" s="205"/>
      <c r="CP1883" s="205"/>
      <c r="CQ1883" s="205"/>
      <c r="CR1883" s="206"/>
      <c r="CT1883" s="209"/>
      <c r="CU1883" s="209"/>
      <c r="CV1883" s="209"/>
      <c r="CW1883" s="209"/>
      <c r="CX1883" s="209"/>
      <c r="CY1883" s="209"/>
      <c r="CZ1883" s="209"/>
      <c r="DA1883" s="209"/>
      <c r="DB1883" s="209"/>
      <c r="DC1883" s="208"/>
    </row>
    <row r="1884" spans="1:107" s="200" customFormat="1" x14ac:dyDescent="0.2">
      <c r="A1884" s="199" t="s">
        <v>2105</v>
      </c>
      <c r="B1884" s="199" t="s">
        <v>2107</v>
      </c>
      <c r="C1884" s="199">
        <f t="shared" si="168"/>
        <v>300250002</v>
      </c>
      <c r="D1884" s="200" t="s">
        <v>2111</v>
      </c>
      <c r="E1884" s="201" t="s">
        <v>1433</v>
      </c>
      <c r="F1884" s="201"/>
      <c r="G1884" s="201"/>
      <c r="H1884" s="201"/>
      <c r="I1884" s="202" t="s">
        <v>1437</v>
      </c>
      <c r="J1884" s="202" t="s">
        <v>548</v>
      </c>
      <c r="K1884" s="202"/>
      <c r="L1884" s="202"/>
      <c r="M1884" s="202"/>
      <c r="N1884" s="202" t="s">
        <v>819</v>
      </c>
      <c r="O1884" s="202" t="s">
        <v>158</v>
      </c>
      <c r="P1884" s="202"/>
      <c r="Q1884" s="202" t="s">
        <v>2041</v>
      </c>
      <c r="R1884" s="202"/>
      <c r="S1884" s="202"/>
      <c r="T1884" s="202" t="s">
        <v>811</v>
      </c>
      <c r="U1884" s="203" t="s">
        <v>3262</v>
      </c>
      <c r="V1884" s="202" t="s">
        <v>819</v>
      </c>
      <c r="W1884" s="202" t="s">
        <v>1</v>
      </c>
      <c r="X1884" s="202"/>
      <c r="Y1884" s="202"/>
      <c r="Z1884" s="202"/>
      <c r="AA1884" s="202"/>
      <c r="AB1884" s="202"/>
      <c r="AC1884" s="202"/>
      <c r="AD1884" s="202"/>
      <c r="AE1884" s="204"/>
      <c r="AF1884" s="204" t="s">
        <v>2042</v>
      </c>
      <c r="AG1884" s="202"/>
      <c r="AH1884" s="200" t="s">
        <v>2127</v>
      </c>
      <c r="AI1884" s="205" t="s">
        <v>2</v>
      </c>
      <c r="AJ1884" s="205"/>
      <c r="AK1884" s="206" t="s">
        <v>1937</v>
      </c>
      <c r="AL1884" s="207"/>
      <c r="AM1884" s="208"/>
      <c r="AN1884" s="208"/>
      <c r="AO1884" s="208"/>
      <c r="AP1884" s="208"/>
      <c r="AQ1884" s="208"/>
      <c r="AR1884" s="208"/>
      <c r="AS1884" s="208"/>
      <c r="AT1884" s="208"/>
      <c r="AV1884" s="205"/>
      <c r="AW1884" s="205"/>
      <c r="AX1884" s="206"/>
      <c r="AY1884" s="207"/>
      <c r="AZ1884" s="208"/>
      <c r="BA1884" s="208"/>
      <c r="BB1884" s="208"/>
      <c r="BC1884" s="208"/>
      <c r="BD1884" s="208"/>
      <c r="BE1884" s="208"/>
      <c r="BF1884" s="208"/>
      <c r="BG1884" s="208"/>
      <c r="BI1884" s="205"/>
      <c r="BJ1884" s="205"/>
      <c r="BK1884" s="206"/>
      <c r="BL1884" s="207"/>
      <c r="BM1884" s="208"/>
      <c r="BN1884" s="208"/>
      <c r="BO1884" s="208"/>
      <c r="BP1884" s="208"/>
      <c r="BQ1884" s="208"/>
      <c r="BR1884" s="208"/>
      <c r="BS1884" s="208"/>
      <c r="BT1884" s="208"/>
      <c r="BV1884" s="205"/>
      <c r="BW1884" s="205"/>
      <c r="BX1884" s="206"/>
      <c r="BY1884" s="207"/>
      <c r="BZ1884" s="208"/>
      <c r="CA1884" s="208"/>
      <c r="CB1884" s="208"/>
      <c r="CC1884" s="208"/>
      <c r="CD1884" s="208"/>
      <c r="CE1884" s="208"/>
      <c r="CF1884" s="208"/>
      <c r="CG1884" s="208"/>
      <c r="CH1884" s="199"/>
      <c r="CI1884" s="205" t="s">
        <v>821</v>
      </c>
      <c r="CJ1884" s="205" t="s">
        <v>0</v>
      </c>
      <c r="CK1884" s="206"/>
      <c r="CL1884" s="208"/>
      <c r="CM1884" s="208"/>
      <c r="CN1884" s="208"/>
      <c r="CO1884" s="205"/>
      <c r="CP1884" s="205"/>
      <c r="CQ1884" s="205"/>
      <c r="CR1884" s="206"/>
      <c r="CT1884" s="209"/>
      <c r="CU1884" s="209"/>
      <c r="CV1884" s="209"/>
      <c r="CW1884" s="209"/>
      <c r="CX1884" s="209"/>
      <c r="CY1884" s="209"/>
      <c r="CZ1884" s="209"/>
      <c r="DA1884" s="209"/>
      <c r="DB1884" s="209"/>
      <c r="DC1884" s="208"/>
    </row>
    <row r="1885" spans="1:107" s="200" customFormat="1" x14ac:dyDescent="0.2">
      <c r="A1885" s="199" t="s">
        <v>2105</v>
      </c>
      <c r="B1885" s="199" t="s">
        <v>2108</v>
      </c>
      <c r="C1885" s="199">
        <f t="shared" si="168"/>
        <v>300250003</v>
      </c>
      <c r="D1885" s="200" t="s">
        <v>2112</v>
      </c>
      <c r="E1885" s="201" t="s">
        <v>1433</v>
      </c>
      <c r="F1885" s="201"/>
      <c r="G1885" s="201"/>
      <c r="H1885" s="201"/>
      <c r="I1885" s="202" t="s">
        <v>1437</v>
      </c>
      <c r="J1885" s="202" t="s">
        <v>548</v>
      </c>
      <c r="K1885" s="202"/>
      <c r="L1885" s="202"/>
      <c r="M1885" s="202"/>
      <c r="N1885" s="202" t="s">
        <v>819</v>
      </c>
      <c r="O1885" s="202" t="s">
        <v>158</v>
      </c>
      <c r="P1885" s="202"/>
      <c r="Q1885" s="202" t="s">
        <v>2041</v>
      </c>
      <c r="R1885" s="202"/>
      <c r="S1885" s="202"/>
      <c r="T1885" s="202" t="s">
        <v>811</v>
      </c>
      <c r="U1885" s="203" t="s">
        <v>3262</v>
      </c>
      <c r="V1885" s="202" t="s">
        <v>819</v>
      </c>
      <c r="W1885" s="202" t="s">
        <v>1</v>
      </c>
      <c r="X1885" s="202"/>
      <c r="Y1885" s="202"/>
      <c r="Z1885" s="202"/>
      <c r="AA1885" s="202"/>
      <c r="AB1885" s="202"/>
      <c r="AC1885" s="202"/>
      <c r="AD1885" s="202"/>
      <c r="AE1885" s="204"/>
      <c r="AF1885" s="204" t="s">
        <v>2042</v>
      </c>
      <c r="AG1885" s="202"/>
      <c r="AH1885" s="200" t="s">
        <v>2127</v>
      </c>
      <c r="AI1885" s="205" t="s">
        <v>2</v>
      </c>
      <c r="AJ1885" s="205"/>
      <c r="AK1885" s="206" t="s">
        <v>1937</v>
      </c>
      <c r="AL1885" s="207"/>
      <c r="AM1885" s="208"/>
      <c r="AN1885" s="208"/>
      <c r="AO1885" s="208"/>
      <c r="AP1885" s="208"/>
      <c r="AQ1885" s="208"/>
      <c r="AR1885" s="208"/>
      <c r="AS1885" s="208"/>
      <c r="AT1885" s="208"/>
      <c r="AV1885" s="205"/>
      <c r="AW1885" s="205"/>
      <c r="AX1885" s="206"/>
      <c r="AY1885" s="207"/>
      <c r="AZ1885" s="208"/>
      <c r="BA1885" s="208"/>
      <c r="BB1885" s="208"/>
      <c r="BC1885" s="208"/>
      <c r="BD1885" s="208"/>
      <c r="BE1885" s="208"/>
      <c r="BF1885" s="208"/>
      <c r="BG1885" s="208"/>
      <c r="BI1885" s="205"/>
      <c r="BJ1885" s="205"/>
      <c r="BK1885" s="206"/>
      <c r="BL1885" s="207"/>
      <c r="BM1885" s="208"/>
      <c r="BN1885" s="208"/>
      <c r="BO1885" s="208"/>
      <c r="BP1885" s="208"/>
      <c r="BQ1885" s="208"/>
      <c r="BR1885" s="208"/>
      <c r="BS1885" s="208"/>
      <c r="BT1885" s="208"/>
      <c r="BV1885" s="205"/>
      <c r="BW1885" s="205"/>
      <c r="BX1885" s="206"/>
      <c r="BY1885" s="207"/>
      <c r="BZ1885" s="208"/>
      <c r="CA1885" s="208"/>
      <c r="CB1885" s="208"/>
      <c r="CC1885" s="208"/>
      <c r="CD1885" s="208"/>
      <c r="CE1885" s="208"/>
      <c r="CF1885" s="208"/>
      <c r="CG1885" s="208"/>
      <c r="CH1885" s="199"/>
      <c r="CI1885" s="205" t="s">
        <v>821</v>
      </c>
      <c r="CJ1885" s="205" t="s">
        <v>0</v>
      </c>
      <c r="CK1885" s="206"/>
      <c r="CL1885" s="208"/>
      <c r="CM1885" s="208"/>
      <c r="CN1885" s="208"/>
      <c r="CO1885" s="205"/>
      <c r="CP1885" s="205"/>
      <c r="CQ1885" s="205"/>
      <c r="CR1885" s="206"/>
      <c r="CT1885" s="209"/>
      <c r="CU1885" s="209"/>
      <c r="CV1885" s="209"/>
      <c r="CW1885" s="209"/>
      <c r="CX1885" s="209"/>
      <c r="CY1885" s="209"/>
      <c r="CZ1885" s="209"/>
      <c r="DA1885" s="209"/>
      <c r="DB1885" s="209"/>
      <c r="DC1885" s="208"/>
    </row>
    <row r="1886" spans="1:107" s="200" customFormat="1" x14ac:dyDescent="0.2">
      <c r="A1886" s="199" t="s">
        <v>2105</v>
      </c>
      <c r="B1886" s="199" t="s">
        <v>1</v>
      </c>
      <c r="C1886" s="199">
        <f t="shared" si="168"/>
        <v>300250004</v>
      </c>
      <c r="D1886" s="200" t="s">
        <v>2113</v>
      </c>
      <c r="E1886" s="201" t="s">
        <v>1433</v>
      </c>
      <c r="F1886" s="201"/>
      <c r="G1886" s="201"/>
      <c r="H1886" s="201"/>
      <c r="I1886" s="202" t="s">
        <v>1437</v>
      </c>
      <c r="J1886" s="202" t="s">
        <v>548</v>
      </c>
      <c r="K1886" s="202"/>
      <c r="L1886" s="202"/>
      <c r="M1886" s="202"/>
      <c r="N1886" s="202" t="s">
        <v>819</v>
      </c>
      <c r="O1886" s="202" t="s">
        <v>158</v>
      </c>
      <c r="P1886" s="202"/>
      <c r="Q1886" s="202" t="s">
        <v>2041</v>
      </c>
      <c r="R1886" s="202"/>
      <c r="S1886" s="202"/>
      <c r="T1886" s="202" t="s">
        <v>811</v>
      </c>
      <c r="U1886" s="203" t="s">
        <v>3262</v>
      </c>
      <c r="V1886" s="202" t="s">
        <v>819</v>
      </c>
      <c r="W1886" s="202" t="s">
        <v>1</v>
      </c>
      <c r="X1886" s="202"/>
      <c r="Y1886" s="202"/>
      <c r="Z1886" s="202"/>
      <c r="AA1886" s="202"/>
      <c r="AB1886" s="202"/>
      <c r="AC1886" s="202"/>
      <c r="AD1886" s="202"/>
      <c r="AE1886" s="204"/>
      <c r="AF1886" s="204" t="s">
        <v>2042</v>
      </c>
      <c r="AG1886" s="202"/>
      <c r="AH1886" s="200" t="s">
        <v>2127</v>
      </c>
      <c r="AI1886" s="205" t="s">
        <v>2</v>
      </c>
      <c r="AJ1886" s="205"/>
      <c r="AK1886" s="206" t="s">
        <v>1937</v>
      </c>
      <c r="AL1886" s="207"/>
      <c r="AM1886" s="208"/>
      <c r="AN1886" s="208"/>
      <c r="AO1886" s="208"/>
      <c r="AP1886" s="208"/>
      <c r="AQ1886" s="208"/>
      <c r="AR1886" s="208"/>
      <c r="AS1886" s="208"/>
      <c r="AT1886" s="208"/>
      <c r="AV1886" s="205"/>
      <c r="AW1886" s="205"/>
      <c r="AX1886" s="206"/>
      <c r="AY1886" s="207"/>
      <c r="AZ1886" s="208"/>
      <c r="BA1886" s="208"/>
      <c r="BB1886" s="208"/>
      <c r="BC1886" s="208"/>
      <c r="BD1886" s="208"/>
      <c r="BE1886" s="208"/>
      <c r="BF1886" s="208"/>
      <c r="BG1886" s="208"/>
      <c r="BI1886" s="205"/>
      <c r="BJ1886" s="205"/>
      <c r="BK1886" s="206"/>
      <c r="BL1886" s="207"/>
      <c r="BM1886" s="208"/>
      <c r="BN1886" s="208"/>
      <c r="BO1886" s="208"/>
      <c r="BP1886" s="208"/>
      <c r="BQ1886" s="208"/>
      <c r="BR1886" s="208"/>
      <c r="BS1886" s="208"/>
      <c r="BT1886" s="208"/>
      <c r="BV1886" s="205"/>
      <c r="BW1886" s="205"/>
      <c r="BX1886" s="206"/>
      <c r="BY1886" s="207"/>
      <c r="BZ1886" s="208"/>
      <c r="CA1886" s="208"/>
      <c r="CB1886" s="208"/>
      <c r="CC1886" s="208"/>
      <c r="CD1886" s="208"/>
      <c r="CE1886" s="208"/>
      <c r="CF1886" s="208"/>
      <c r="CG1886" s="208"/>
      <c r="CH1886" s="199"/>
      <c r="CI1886" s="205" t="s">
        <v>821</v>
      </c>
      <c r="CJ1886" s="205" t="s">
        <v>0</v>
      </c>
      <c r="CK1886" s="206"/>
      <c r="CL1886" s="208"/>
      <c r="CM1886" s="208"/>
      <c r="CN1886" s="208"/>
      <c r="CO1886" s="205"/>
      <c r="CP1886" s="205"/>
      <c r="CQ1886" s="205"/>
      <c r="CR1886" s="206"/>
      <c r="CT1886" s="209"/>
      <c r="CU1886" s="209"/>
      <c r="CV1886" s="209"/>
      <c r="CW1886" s="209"/>
      <c r="CX1886" s="209"/>
      <c r="CY1886" s="209"/>
      <c r="CZ1886" s="209"/>
      <c r="DA1886" s="209"/>
      <c r="DB1886" s="209"/>
      <c r="DC1886" s="208"/>
    </row>
    <row r="1887" spans="1:107" s="200" customFormat="1" x14ac:dyDescent="0.2">
      <c r="A1887" s="199" t="s">
        <v>2105</v>
      </c>
      <c r="B1887" s="199" t="s">
        <v>2</v>
      </c>
      <c r="C1887" s="199">
        <f t="shared" si="168"/>
        <v>300250005</v>
      </c>
      <c r="D1887" s="200" t="s">
        <v>2114</v>
      </c>
      <c r="E1887" s="201" t="s">
        <v>1433</v>
      </c>
      <c r="F1887" s="201"/>
      <c r="G1887" s="201"/>
      <c r="H1887" s="201"/>
      <c r="I1887" s="202" t="s">
        <v>1437</v>
      </c>
      <c r="J1887" s="202" t="s">
        <v>548</v>
      </c>
      <c r="K1887" s="202"/>
      <c r="L1887" s="202"/>
      <c r="M1887" s="202"/>
      <c r="N1887" s="202" t="s">
        <v>819</v>
      </c>
      <c r="O1887" s="202" t="s">
        <v>158</v>
      </c>
      <c r="P1887" s="202"/>
      <c r="Q1887" s="202" t="s">
        <v>2041</v>
      </c>
      <c r="R1887" s="202"/>
      <c r="S1887" s="202"/>
      <c r="T1887" s="202" t="s">
        <v>811</v>
      </c>
      <c r="U1887" s="203" t="s">
        <v>3262</v>
      </c>
      <c r="V1887" s="202" t="s">
        <v>819</v>
      </c>
      <c r="W1887" s="202" t="s">
        <v>1</v>
      </c>
      <c r="X1887" s="202"/>
      <c r="Y1887" s="202"/>
      <c r="Z1887" s="202"/>
      <c r="AA1887" s="202"/>
      <c r="AB1887" s="202"/>
      <c r="AC1887" s="202"/>
      <c r="AD1887" s="202"/>
      <c r="AE1887" s="204"/>
      <c r="AF1887" s="204" t="s">
        <v>2042</v>
      </c>
      <c r="AG1887" s="202"/>
      <c r="AH1887" s="200" t="s">
        <v>2127</v>
      </c>
      <c r="AI1887" s="205" t="s">
        <v>2</v>
      </c>
      <c r="AJ1887" s="205"/>
      <c r="AK1887" s="206" t="s">
        <v>1937</v>
      </c>
      <c r="AL1887" s="207"/>
      <c r="AM1887" s="208"/>
      <c r="AN1887" s="208"/>
      <c r="AO1887" s="208"/>
      <c r="AP1887" s="208"/>
      <c r="AQ1887" s="208"/>
      <c r="AR1887" s="208"/>
      <c r="AS1887" s="208"/>
      <c r="AT1887" s="208"/>
      <c r="AV1887" s="205"/>
      <c r="AW1887" s="205"/>
      <c r="AX1887" s="206"/>
      <c r="AY1887" s="207"/>
      <c r="AZ1887" s="208"/>
      <c r="BA1887" s="208"/>
      <c r="BB1887" s="208"/>
      <c r="BC1887" s="208"/>
      <c r="BD1887" s="208"/>
      <c r="BE1887" s="208"/>
      <c r="BF1887" s="208"/>
      <c r="BG1887" s="208"/>
      <c r="BI1887" s="205"/>
      <c r="BJ1887" s="205"/>
      <c r="BK1887" s="206"/>
      <c r="BL1887" s="207"/>
      <c r="BM1887" s="208"/>
      <c r="BN1887" s="208"/>
      <c r="BO1887" s="208"/>
      <c r="BP1887" s="208"/>
      <c r="BQ1887" s="208"/>
      <c r="BR1887" s="208"/>
      <c r="BS1887" s="208"/>
      <c r="BT1887" s="208"/>
      <c r="BV1887" s="205"/>
      <c r="BW1887" s="205"/>
      <c r="BX1887" s="206"/>
      <c r="BY1887" s="207"/>
      <c r="BZ1887" s="208"/>
      <c r="CA1887" s="208"/>
      <c r="CB1887" s="208"/>
      <c r="CC1887" s="208"/>
      <c r="CD1887" s="208"/>
      <c r="CE1887" s="208"/>
      <c r="CF1887" s="208"/>
      <c r="CG1887" s="208"/>
      <c r="CH1887" s="199"/>
      <c r="CI1887" s="205" t="s">
        <v>821</v>
      </c>
      <c r="CJ1887" s="205" t="s">
        <v>0</v>
      </c>
      <c r="CK1887" s="206"/>
      <c r="CL1887" s="208"/>
      <c r="CM1887" s="208"/>
      <c r="CN1887" s="208"/>
      <c r="CO1887" s="205"/>
      <c r="CP1887" s="205"/>
      <c r="CQ1887" s="205"/>
      <c r="CR1887" s="206"/>
      <c r="CT1887" s="209"/>
      <c r="CU1887" s="209"/>
      <c r="CV1887" s="209"/>
      <c r="CW1887" s="209"/>
      <c r="CX1887" s="209"/>
      <c r="CY1887" s="209"/>
      <c r="CZ1887" s="209"/>
      <c r="DA1887" s="209"/>
      <c r="DB1887" s="209"/>
      <c r="DC1887" s="208"/>
    </row>
    <row r="1888" spans="1:107" s="200" customFormat="1" x14ac:dyDescent="0.2">
      <c r="A1888" s="199" t="s">
        <v>2105</v>
      </c>
      <c r="B1888" s="199" t="s">
        <v>3</v>
      </c>
      <c r="C1888" s="199">
        <f t="shared" si="168"/>
        <v>300250006</v>
      </c>
      <c r="D1888" s="200" t="s">
        <v>2109</v>
      </c>
      <c r="E1888" s="201" t="s">
        <v>2119</v>
      </c>
      <c r="F1888" s="201"/>
      <c r="G1888" s="201"/>
      <c r="H1888" s="201"/>
      <c r="I1888" s="202" t="s">
        <v>2120</v>
      </c>
      <c r="J1888" s="202" t="s">
        <v>548</v>
      </c>
      <c r="K1888" s="202"/>
      <c r="L1888" s="202"/>
      <c r="M1888" s="202"/>
      <c r="N1888" s="202" t="s">
        <v>819</v>
      </c>
      <c r="O1888" s="202" t="s">
        <v>158</v>
      </c>
      <c r="P1888" s="202"/>
      <c r="Q1888" s="202" t="s">
        <v>2041</v>
      </c>
      <c r="R1888" s="202"/>
      <c r="S1888" s="202"/>
      <c r="T1888" s="202" t="s">
        <v>811</v>
      </c>
      <c r="U1888" s="203" t="s">
        <v>3262</v>
      </c>
      <c r="V1888" s="202" t="s">
        <v>819</v>
      </c>
      <c r="W1888" s="202" t="s">
        <v>1</v>
      </c>
      <c r="X1888" s="202"/>
      <c r="Y1888" s="202"/>
      <c r="Z1888" s="202"/>
      <c r="AA1888" s="202"/>
      <c r="AB1888" s="202"/>
      <c r="AC1888" s="202"/>
      <c r="AD1888" s="202"/>
      <c r="AE1888" s="204"/>
      <c r="AF1888" s="204" t="s">
        <v>2042</v>
      </c>
      <c r="AG1888" s="202"/>
      <c r="AH1888" s="200" t="s">
        <v>2127</v>
      </c>
      <c r="AI1888" s="205" t="s">
        <v>2128</v>
      </c>
      <c r="AJ1888" s="205"/>
      <c r="AK1888" s="206" t="s">
        <v>1937</v>
      </c>
      <c r="AL1888" s="207"/>
      <c r="AM1888" s="208"/>
      <c r="AN1888" s="208"/>
      <c r="AO1888" s="208"/>
      <c r="AP1888" s="208"/>
      <c r="AQ1888" s="208"/>
      <c r="AR1888" s="208"/>
      <c r="AS1888" s="208"/>
      <c r="AT1888" s="208"/>
      <c r="AV1888" s="205"/>
      <c r="AW1888" s="205"/>
      <c r="AX1888" s="206"/>
      <c r="AY1888" s="207"/>
      <c r="AZ1888" s="208"/>
      <c r="BA1888" s="208"/>
      <c r="BB1888" s="208"/>
      <c r="BC1888" s="208"/>
      <c r="BD1888" s="208"/>
      <c r="BE1888" s="208"/>
      <c r="BF1888" s="208"/>
      <c r="BG1888" s="208"/>
      <c r="BI1888" s="205"/>
      <c r="BJ1888" s="205"/>
      <c r="BK1888" s="206"/>
      <c r="BL1888" s="207"/>
      <c r="BM1888" s="208"/>
      <c r="BN1888" s="208"/>
      <c r="BO1888" s="208"/>
      <c r="BP1888" s="208"/>
      <c r="BQ1888" s="208"/>
      <c r="BR1888" s="208"/>
      <c r="BS1888" s="208"/>
      <c r="BT1888" s="208"/>
      <c r="BV1888" s="205"/>
      <c r="BW1888" s="205"/>
      <c r="BX1888" s="206"/>
      <c r="BY1888" s="207"/>
      <c r="BZ1888" s="208"/>
      <c r="CA1888" s="208"/>
      <c r="CB1888" s="208"/>
      <c r="CC1888" s="208"/>
      <c r="CD1888" s="208"/>
      <c r="CE1888" s="208"/>
      <c r="CF1888" s="208"/>
      <c r="CG1888" s="208"/>
      <c r="CH1888" s="199"/>
      <c r="CI1888" s="205" t="s">
        <v>821</v>
      </c>
      <c r="CJ1888" s="205" t="s">
        <v>0</v>
      </c>
      <c r="CK1888" s="206"/>
      <c r="CL1888" s="208"/>
      <c r="CM1888" s="208"/>
      <c r="CN1888" s="208"/>
      <c r="CO1888" s="205"/>
      <c r="CP1888" s="205"/>
      <c r="CQ1888" s="205"/>
      <c r="CR1888" s="206"/>
      <c r="CT1888" s="209"/>
      <c r="CU1888" s="209"/>
      <c r="CV1888" s="209"/>
      <c r="CW1888" s="209"/>
      <c r="CX1888" s="209"/>
      <c r="CY1888" s="209"/>
      <c r="CZ1888" s="209"/>
      <c r="DA1888" s="209"/>
      <c r="DB1888" s="209"/>
      <c r="DC1888" s="208"/>
    </row>
    <row r="1889" spans="1:109" s="200" customFormat="1" x14ac:dyDescent="0.2">
      <c r="A1889" s="199" t="s">
        <v>2105</v>
      </c>
      <c r="B1889" s="199" t="s">
        <v>4</v>
      </c>
      <c r="C1889" s="199">
        <f t="shared" si="168"/>
        <v>300250007</v>
      </c>
      <c r="D1889" s="200" t="s">
        <v>2115</v>
      </c>
      <c r="E1889" s="201" t="s">
        <v>2119</v>
      </c>
      <c r="F1889" s="201"/>
      <c r="G1889" s="201"/>
      <c r="H1889" s="201"/>
      <c r="I1889" s="202" t="s">
        <v>2120</v>
      </c>
      <c r="J1889" s="202"/>
      <c r="K1889" s="202"/>
      <c r="L1889" s="202"/>
      <c r="M1889" s="202"/>
      <c r="N1889" s="202" t="s">
        <v>819</v>
      </c>
      <c r="O1889" s="202" t="s">
        <v>2129</v>
      </c>
      <c r="P1889" s="202"/>
      <c r="Q1889" s="202" t="s">
        <v>2041</v>
      </c>
      <c r="R1889" s="202"/>
      <c r="S1889" s="202"/>
      <c r="T1889" s="202" t="s">
        <v>811</v>
      </c>
      <c r="U1889" s="203" t="s">
        <v>3263</v>
      </c>
      <c r="V1889" s="202" t="s">
        <v>3337</v>
      </c>
      <c r="W1889" s="202" t="s">
        <v>1</v>
      </c>
      <c r="X1889" s="202"/>
      <c r="Y1889" s="202"/>
      <c r="Z1889" s="202"/>
      <c r="AA1889" s="202"/>
      <c r="AB1889" s="202"/>
      <c r="AC1889" s="202"/>
      <c r="AD1889" s="202"/>
      <c r="AE1889" s="204"/>
      <c r="AF1889" s="204" t="s">
        <v>2042</v>
      </c>
      <c r="AG1889" s="202"/>
      <c r="AH1889" s="200" t="s">
        <v>2127</v>
      </c>
      <c r="AI1889" s="205" t="s">
        <v>497</v>
      </c>
      <c r="AJ1889" s="205"/>
      <c r="AK1889" s="206"/>
      <c r="AL1889" s="207" t="s">
        <v>2123</v>
      </c>
      <c r="AM1889" s="208"/>
      <c r="AN1889" s="208"/>
      <c r="AO1889" s="208"/>
      <c r="AP1889" s="208"/>
      <c r="AQ1889" s="208"/>
      <c r="AR1889" s="208"/>
      <c r="AS1889" s="208"/>
      <c r="AT1889" s="208"/>
      <c r="AV1889" s="205"/>
      <c r="AW1889" s="205"/>
      <c r="AX1889" s="206"/>
      <c r="AY1889" s="207"/>
      <c r="AZ1889" s="208"/>
      <c r="BA1889" s="208"/>
      <c r="BB1889" s="208"/>
      <c r="BC1889" s="208"/>
      <c r="BD1889" s="208"/>
      <c r="BE1889" s="208"/>
      <c r="BF1889" s="208"/>
      <c r="BG1889" s="208"/>
      <c r="BI1889" s="205"/>
      <c r="BJ1889" s="205"/>
      <c r="BK1889" s="206"/>
      <c r="BL1889" s="207"/>
      <c r="BM1889" s="208"/>
      <c r="BN1889" s="208"/>
      <c r="BO1889" s="208"/>
      <c r="BP1889" s="208"/>
      <c r="BQ1889" s="208"/>
      <c r="BR1889" s="208"/>
      <c r="BS1889" s="208"/>
      <c r="BT1889" s="208"/>
      <c r="BV1889" s="205"/>
      <c r="BW1889" s="205"/>
      <c r="BX1889" s="206"/>
      <c r="BY1889" s="207"/>
      <c r="BZ1889" s="208"/>
      <c r="CA1889" s="208"/>
      <c r="CB1889" s="208"/>
      <c r="CC1889" s="208"/>
      <c r="CD1889" s="208"/>
      <c r="CE1889" s="208"/>
      <c r="CF1889" s="208"/>
      <c r="CG1889" s="208"/>
      <c r="CH1889" s="199"/>
      <c r="CI1889" s="205" t="s">
        <v>821</v>
      </c>
      <c r="CJ1889" s="205" t="s">
        <v>0</v>
      </c>
      <c r="CK1889" s="206"/>
      <c r="CL1889" s="208"/>
      <c r="CM1889" s="208"/>
      <c r="CN1889" s="208"/>
      <c r="CO1889" s="205"/>
      <c r="CP1889" s="205"/>
      <c r="CQ1889" s="205"/>
      <c r="CR1889" s="206"/>
      <c r="CT1889" s="209"/>
      <c r="CU1889" s="209"/>
      <c r="CV1889" s="209"/>
      <c r="CW1889" s="209"/>
      <c r="CX1889" s="209"/>
      <c r="CY1889" s="209"/>
      <c r="CZ1889" s="209"/>
      <c r="DA1889" s="209"/>
      <c r="DB1889" s="209"/>
      <c r="DC1889" s="208"/>
      <c r="DE1889" s="200" t="s">
        <v>2122</v>
      </c>
    </row>
    <row r="1890" spans="1:109" s="200" customFormat="1" x14ac:dyDescent="0.2">
      <c r="A1890" s="199" t="s">
        <v>2105</v>
      </c>
      <c r="B1890" s="199" t="s">
        <v>5</v>
      </c>
      <c r="C1890" s="199">
        <f t="shared" si="168"/>
        <v>300250008</v>
      </c>
      <c r="D1890" s="200" t="s">
        <v>2116</v>
      </c>
      <c r="E1890" s="201" t="s">
        <v>2119</v>
      </c>
      <c r="F1890" s="201"/>
      <c r="G1890" s="201"/>
      <c r="H1890" s="201"/>
      <c r="I1890" s="202" t="s">
        <v>2120</v>
      </c>
      <c r="J1890" s="202"/>
      <c r="K1890" s="202"/>
      <c r="L1890" s="202"/>
      <c r="M1890" s="202"/>
      <c r="N1890" s="202" t="s">
        <v>819</v>
      </c>
      <c r="O1890" s="202" t="s">
        <v>2129</v>
      </c>
      <c r="P1890" s="202"/>
      <c r="Q1890" s="202" t="s">
        <v>2041</v>
      </c>
      <c r="R1890" s="202"/>
      <c r="S1890" s="202"/>
      <c r="T1890" s="202" t="s">
        <v>811</v>
      </c>
      <c r="U1890" s="203" t="s">
        <v>3263</v>
      </c>
      <c r="V1890" s="202" t="s">
        <v>3338</v>
      </c>
      <c r="W1890" s="202" t="s">
        <v>1</v>
      </c>
      <c r="X1890" s="202"/>
      <c r="Y1890" s="202"/>
      <c r="Z1890" s="202"/>
      <c r="AA1890" s="202"/>
      <c r="AB1890" s="202"/>
      <c r="AC1890" s="202"/>
      <c r="AD1890" s="202"/>
      <c r="AE1890" s="204"/>
      <c r="AF1890" s="204" t="s">
        <v>2042</v>
      </c>
      <c r="AG1890" s="202"/>
      <c r="AH1890" s="200" t="s">
        <v>2127</v>
      </c>
      <c r="AI1890" s="205" t="s">
        <v>497</v>
      </c>
      <c r="AJ1890" s="205"/>
      <c r="AK1890" s="206"/>
      <c r="AL1890" s="207" t="s">
        <v>2124</v>
      </c>
      <c r="AM1890" s="208"/>
      <c r="AN1890" s="208"/>
      <c r="AO1890" s="208"/>
      <c r="AP1890" s="208"/>
      <c r="AQ1890" s="208"/>
      <c r="AR1890" s="208"/>
      <c r="AS1890" s="208"/>
      <c r="AT1890" s="208"/>
      <c r="AV1890" s="205"/>
      <c r="AW1890" s="205"/>
      <c r="AX1890" s="206"/>
      <c r="AY1890" s="207"/>
      <c r="AZ1890" s="208"/>
      <c r="BA1890" s="208"/>
      <c r="BB1890" s="208"/>
      <c r="BC1890" s="208"/>
      <c r="BD1890" s="208"/>
      <c r="BE1890" s="208"/>
      <c r="BF1890" s="208"/>
      <c r="BG1890" s="208"/>
      <c r="BI1890" s="205"/>
      <c r="BJ1890" s="205"/>
      <c r="BK1890" s="206"/>
      <c r="BL1890" s="207"/>
      <c r="BM1890" s="208"/>
      <c r="BN1890" s="208"/>
      <c r="BO1890" s="208"/>
      <c r="BP1890" s="208"/>
      <c r="BQ1890" s="208"/>
      <c r="BR1890" s="208"/>
      <c r="BS1890" s="208"/>
      <c r="BT1890" s="208"/>
      <c r="BV1890" s="205"/>
      <c r="BW1890" s="205"/>
      <c r="BX1890" s="206"/>
      <c r="BY1890" s="207"/>
      <c r="BZ1890" s="208"/>
      <c r="CA1890" s="208"/>
      <c r="CB1890" s="208"/>
      <c r="CC1890" s="208"/>
      <c r="CD1890" s="208"/>
      <c r="CE1890" s="208"/>
      <c r="CF1890" s="208"/>
      <c r="CG1890" s="208"/>
      <c r="CH1890" s="199"/>
      <c r="CI1890" s="205" t="s">
        <v>821</v>
      </c>
      <c r="CJ1890" s="205" t="s">
        <v>0</v>
      </c>
      <c r="CK1890" s="206"/>
      <c r="CL1890" s="208"/>
      <c r="CM1890" s="208"/>
      <c r="CN1890" s="208"/>
      <c r="CO1890" s="205"/>
      <c r="CP1890" s="205"/>
      <c r="CQ1890" s="205"/>
      <c r="CR1890" s="206"/>
      <c r="CT1890" s="209"/>
      <c r="CU1890" s="209"/>
      <c r="CV1890" s="209"/>
      <c r="CW1890" s="209"/>
      <c r="CX1890" s="209"/>
      <c r="CY1890" s="209"/>
      <c r="CZ1890" s="209"/>
      <c r="DA1890" s="209"/>
      <c r="DB1890" s="209"/>
      <c r="DC1890" s="208"/>
      <c r="DE1890" s="200" t="s">
        <v>2122</v>
      </c>
    </row>
    <row r="1891" spans="1:109" s="200" customFormat="1" x14ac:dyDescent="0.2">
      <c r="A1891" s="199" t="s">
        <v>2105</v>
      </c>
      <c r="B1891" s="199" t="s">
        <v>6</v>
      </c>
      <c r="C1891" s="199">
        <f t="shared" si="168"/>
        <v>300250009</v>
      </c>
      <c r="D1891" s="200" t="s">
        <v>2117</v>
      </c>
      <c r="E1891" s="201" t="s">
        <v>2119</v>
      </c>
      <c r="F1891" s="201"/>
      <c r="G1891" s="201"/>
      <c r="H1891" s="201"/>
      <c r="I1891" s="202" t="s">
        <v>2120</v>
      </c>
      <c r="J1891" s="202"/>
      <c r="K1891" s="202"/>
      <c r="L1891" s="202"/>
      <c r="M1891" s="202"/>
      <c r="N1891" s="202" t="s">
        <v>819</v>
      </c>
      <c r="O1891" s="202" t="s">
        <v>2129</v>
      </c>
      <c r="P1891" s="202"/>
      <c r="Q1891" s="202" t="s">
        <v>2041</v>
      </c>
      <c r="R1891" s="202"/>
      <c r="S1891" s="202"/>
      <c r="T1891" s="202" t="s">
        <v>811</v>
      </c>
      <c r="U1891" s="203" t="s">
        <v>3263</v>
      </c>
      <c r="V1891" s="202" t="s">
        <v>3339</v>
      </c>
      <c r="W1891" s="202" t="s">
        <v>1</v>
      </c>
      <c r="X1891" s="202"/>
      <c r="Y1891" s="202"/>
      <c r="Z1891" s="202"/>
      <c r="AA1891" s="202"/>
      <c r="AB1891" s="202"/>
      <c r="AC1891" s="202"/>
      <c r="AD1891" s="202"/>
      <c r="AE1891" s="204"/>
      <c r="AF1891" s="204" t="s">
        <v>2042</v>
      </c>
      <c r="AG1891" s="202"/>
      <c r="AH1891" s="200" t="s">
        <v>2127</v>
      </c>
      <c r="AI1891" s="205" t="s">
        <v>497</v>
      </c>
      <c r="AJ1891" s="205"/>
      <c r="AK1891" s="206"/>
      <c r="AL1891" s="207" t="s">
        <v>2125</v>
      </c>
      <c r="AM1891" s="208"/>
      <c r="AN1891" s="208"/>
      <c r="AO1891" s="208"/>
      <c r="AP1891" s="208"/>
      <c r="AQ1891" s="208"/>
      <c r="AR1891" s="208"/>
      <c r="AS1891" s="208"/>
      <c r="AT1891" s="208"/>
      <c r="AV1891" s="205"/>
      <c r="AW1891" s="205"/>
      <c r="AX1891" s="206"/>
      <c r="AY1891" s="207"/>
      <c r="AZ1891" s="208"/>
      <c r="BA1891" s="208"/>
      <c r="BB1891" s="208"/>
      <c r="BC1891" s="208"/>
      <c r="BD1891" s="208"/>
      <c r="BE1891" s="208"/>
      <c r="BF1891" s="208"/>
      <c r="BG1891" s="208"/>
      <c r="BI1891" s="205"/>
      <c r="BJ1891" s="205"/>
      <c r="BK1891" s="206"/>
      <c r="BL1891" s="207"/>
      <c r="BM1891" s="208"/>
      <c r="BN1891" s="208"/>
      <c r="BO1891" s="208"/>
      <c r="BP1891" s="208"/>
      <c r="BQ1891" s="208"/>
      <c r="BR1891" s="208"/>
      <c r="BS1891" s="208"/>
      <c r="BT1891" s="208"/>
      <c r="BV1891" s="205"/>
      <c r="BW1891" s="205"/>
      <c r="BX1891" s="206"/>
      <c r="BY1891" s="207"/>
      <c r="BZ1891" s="208"/>
      <c r="CA1891" s="208"/>
      <c r="CB1891" s="208"/>
      <c r="CC1891" s="208"/>
      <c r="CD1891" s="208"/>
      <c r="CE1891" s="208"/>
      <c r="CF1891" s="208"/>
      <c r="CG1891" s="208"/>
      <c r="CH1891" s="199"/>
      <c r="CI1891" s="205" t="s">
        <v>821</v>
      </c>
      <c r="CJ1891" s="205" t="s">
        <v>0</v>
      </c>
      <c r="CK1891" s="206"/>
      <c r="CL1891" s="208"/>
      <c r="CM1891" s="208"/>
      <c r="CN1891" s="208"/>
      <c r="CO1891" s="205"/>
      <c r="CP1891" s="205"/>
      <c r="CQ1891" s="205"/>
      <c r="CR1891" s="206"/>
      <c r="CT1891" s="209"/>
      <c r="CU1891" s="209"/>
      <c r="CV1891" s="209"/>
      <c r="CW1891" s="209"/>
      <c r="CX1891" s="209"/>
      <c r="CY1891" s="209"/>
      <c r="CZ1891" s="209"/>
      <c r="DA1891" s="209"/>
      <c r="DB1891" s="209"/>
      <c r="DC1891" s="208"/>
      <c r="DE1891" s="200" t="s">
        <v>2122</v>
      </c>
    </row>
    <row r="1892" spans="1:109" s="200" customFormat="1" x14ac:dyDescent="0.2">
      <c r="A1892" s="199" t="s">
        <v>2105</v>
      </c>
      <c r="B1892" s="199" t="s">
        <v>7</v>
      </c>
      <c r="C1892" s="199">
        <f t="shared" si="168"/>
        <v>300250010</v>
      </c>
      <c r="D1892" s="200" t="s">
        <v>2118</v>
      </c>
      <c r="E1892" s="201" t="s">
        <v>2119</v>
      </c>
      <c r="F1892" s="201"/>
      <c r="G1892" s="201"/>
      <c r="H1892" s="201"/>
      <c r="I1892" s="202" t="s">
        <v>2120</v>
      </c>
      <c r="J1892" s="202"/>
      <c r="K1892" s="202"/>
      <c r="L1892" s="202"/>
      <c r="M1892" s="202"/>
      <c r="N1892" s="202" t="s">
        <v>819</v>
      </c>
      <c r="O1892" s="202" t="s">
        <v>2129</v>
      </c>
      <c r="P1892" s="202"/>
      <c r="Q1892" s="202" t="s">
        <v>2041</v>
      </c>
      <c r="R1892" s="202"/>
      <c r="S1892" s="202"/>
      <c r="T1892" s="202" t="s">
        <v>811</v>
      </c>
      <c r="U1892" s="203" t="s">
        <v>3263</v>
      </c>
      <c r="V1892" s="202" t="s">
        <v>3340</v>
      </c>
      <c r="W1892" s="202" t="s">
        <v>1</v>
      </c>
      <c r="X1892" s="202"/>
      <c r="Y1892" s="202"/>
      <c r="Z1892" s="202"/>
      <c r="AA1892" s="202"/>
      <c r="AB1892" s="202"/>
      <c r="AC1892" s="202"/>
      <c r="AD1892" s="202"/>
      <c r="AE1892" s="204"/>
      <c r="AF1892" s="204" t="s">
        <v>2042</v>
      </c>
      <c r="AG1892" s="202"/>
      <c r="AH1892" s="200" t="s">
        <v>2127</v>
      </c>
      <c r="AI1892" s="205" t="s">
        <v>497</v>
      </c>
      <c r="AJ1892" s="205"/>
      <c r="AK1892" s="206"/>
      <c r="AL1892" s="207" t="s">
        <v>2126</v>
      </c>
      <c r="AM1892" s="208"/>
      <c r="AN1892" s="208"/>
      <c r="AO1892" s="208"/>
      <c r="AP1892" s="208"/>
      <c r="AQ1892" s="208"/>
      <c r="AR1892" s="208"/>
      <c r="AS1892" s="208"/>
      <c r="AT1892" s="208"/>
      <c r="AV1892" s="205"/>
      <c r="AW1892" s="205"/>
      <c r="AX1892" s="206"/>
      <c r="AY1892" s="207"/>
      <c r="AZ1892" s="208"/>
      <c r="BA1892" s="208"/>
      <c r="BB1892" s="208"/>
      <c r="BC1892" s="208"/>
      <c r="BD1892" s="208"/>
      <c r="BE1892" s="208"/>
      <c r="BF1892" s="208"/>
      <c r="BG1892" s="208"/>
      <c r="BI1892" s="205"/>
      <c r="BJ1892" s="205"/>
      <c r="BK1892" s="206"/>
      <c r="BL1892" s="207"/>
      <c r="BM1892" s="208"/>
      <c r="BN1892" s="208"/>
      <c r="BO1892" s="208"/>
      <c r="BP1892" s="208"/>
      <c r="BQ1892" s="208"/>
      <c r="BR1892" s="208"/>
      <c r="BS1892" s="208"/>
      <c r="BT1892" s="208"/>
      <c r="BV1892" s="205"/>
      <c r="BW1892" s="205"/>
      <c r="BX1892" s="206"/>
      <c r="BY1892" s="207"/>
      <c r="BZ1892" s="208"/>
      <c r="CA1892" s="208"/>
      <c r="CB1892" s="208"/>
      <c r="CC1892" s="208"/>
      <c r="CD1892" s="208"/>
      <c r="CE1892" s="208"/>
      <c r="CF1892" s="208"/>
      <c r="CG1892" s="208"/>
      <c r="CH1892" s="199"/>
      <c r="CI1892" s="205" t="s">
        <v>821</v>
      </c>
      <c r="CJ1892" s="205" t="s">
        <v>0</v>
      </c>
      <c r="CK1892" s="206"/>
      <c r="CL1892" s="208"/>
      <c r="CM1892" s="208"/>
      <c r="CN1892" s="208"/>
      <c r="CO1892" s="205"/>
      <c r="CP1892" s="205"/>
      <c r="CQ1892" s="205"/>
      <c r="CR1892" s="206"/>
      <c r="CT1892" s="209"/>
      <c r="CU1892" s="209"/>
      <c r="CV1892" s="209"/>
      <c r="CW1892" s="209"/>
      <c r="CX1892" s="209"/>
      <c r="CY1892" s="209"/>
      <c r="CZ1892" s="209"/>
      <c r="DA1892" s="209"/>
      <c r="DB1892" s="209"/>
      <c r="DC1892" s="208"/>
      <c r="DE1892" s="200" t="s">
        <v>2122</v>
      </c>
    </row>
    <row r="1893" spans="1:109" s="85" customFormat="1" x14ac:dyDescent="0.2">
      <c r="A1893" s="84" t="s">
        <v>3341</v>
      </c>
      <c r="B1893" s="84" t="s">
        <v>0</v>
      </c>
      <c r="C1893" s="84">
        <f t="shared" ref="C1893:C1921" si="169">A1893*10000+B1893</f>
        <v>300260001</v>
      </c>
      <c r="D1893" s="85" t="s">
        <v>3343</v>
      </c>
      <c r="E1893" s="86" t="s">
        <v>1910</v>
      </c>
      <c r="F1893" s="86"/>
      <c r="G1893" s="86"/>
      <c r="H1893" s="86"/>
      <c r="I1893" s="87" t="s">
        <v>157</v>
      </c>
      <c r="J1893" s="87"/>
      <c r="K1893" s="87"/>
      <c r="L1893" s="87"/>
      <c r="M1893" s="87"/>
      <c r="N1893" s="87" t="s">
        <v>819</v>
      </c>
      <c r="O1893" s="87" t="s">
        <v>158</v>
      </c>
      <c r="P1893" s="21"/>
      <c r="Q1893" s="21" t="s">
        <v>2041</v>
      </c>
      <c r="R1893" s="21"/>
      <c r="S1893" s="21"/>
      <c r="T1893" s="21" t="s">
        <v>811</v>
      </c>
      <c r="U1893" s="125" t="s">
        <v>3342</v>
      </c>
      <c r="V1893" s="87" t="s">
        <v>819</v>
      </c>
      <c r="W1893" s="87" t="s">
        <v>1</v>
      </c>
      <c r="X1893" s="87"/>
      <c r="Y1893" s="87"/>
      <c r="Z1893" s="87"/>
      <c r="AA1893" s="87"/>
      <c r="AB1893" s="87"/>
      <c r="AC1893" s="87"/>
      <c r="AD1893" s="87"/>
      <c r="AE1893" s="88"/>
      <c r="AF1893" s="88" t="s">
        <v>2042</v>
      </c>
      <c r="AG1893" s="87"/>
      <c r="AH1893" s="85" t="s">
        <v>1901</v>
      </c>
      <c r="AI1893" s="89"/>
      <c r="AJ1893" s="89"/>
      <c r="AK1893" s="90">
        <v>27189</v>
      </c>
      <c r="AL1893" s="91" t="s">
        <v>1902</v>
      </c>
      <c r="AM1893" s="92"/>
      <c r="AN1893" s="92"/>
      <c r="AO1893" s="92"/>
      <c r="AP1893" s="92"/>
      <c r="AQ1893" s="92"/>
      <c r="AR1893" s="92"/>
      <c r="AS1893" s="92"/>
      <c r="AT1893" s="92"/>
      <c r="AU1893" s="89"/>
      <c r="AV1893" s="89"/>
      <c r="AW1893" s="89"/>
      <c r="AX1893" s="90"/>
      <c r="AY1893" s="91"/>
      <c r="AZ1893" s="92"/>
      <c r="BA1893" s="92"/>
      <c r="BB1893" s="92"/>
      <c r="BC1893" s="92"/>
      <c r="BD1893" s="92"/>
      <c r="BE1893" s="92"/>
      <c r="BF1893" s="92"/>
      <c r="BG1893" s="92"/>
      <c r="BH1893" s="89"/>
      <c r="BI1893" s="89"/>
      <c r="BJ1893" s="89"/>
      <c r="BK1893" s="90"/>
      <c r="BL1893" s="91"/>
      <c r="BM1893" s="92"/>
      <c r="BN1893" s="92"/>
      <c r="BO1893" s="92"/>
      <c r="BP1893" s="92"/>
      <c r="BQ1893" s="92"/>
      <c r="BR1893" s="92"/>
      <c r="BS1893" s="92"/>
      <c r="BT1893" s="92"/>
      <c r="BU1893" s="89"/>
      <c r="BV1893" s="89"/>
      <c r="BW1893" s="89"/>
      <c r="BX1893" s="90"/>
      <c r="BY1893" s="91"/>
      <c r="BZ1893" s="92"/>
      <c r="CA1893" s="92"/>
      <c r="CB1893" s="92"/>
      <c r="CC1893" s="92"/>
      <c r="CD1893" s="92"/>
      <c r="CE1893" s="92"/>
      <c r="CF1893" s="92"/>
      <c r="CG1893" s="92"/>
      <c r="CH1893" s="84"/>
      <c r="CI1893" s="89" t="s">
        <v>821</v>
      </c>
      <c r="CJ1893" s="89" t="s">
        <v>0</v>
      </c>
      <c r="CK1893" s="40"/>
      <c r="CL1893" s="82"/>
      <c r="CM1893" s="82"/>
      <c r="CN1893" s="82"/>
      <c r="CO1893" s="26"/>
      <c r="CP1893" s="26"/>
      <c r="CQ1893" s="26"/>
      <c r="CR1893" s="40"/>
      <c r="CT1893" s="93"/>
      <c r="CU1893" s="93"/>
      <c r="CV1893" s="93"/>
      <c r="CW1893" s="93"/>
      <c r="CX1893" s="93"/>
      <c r="CY1893" s="93"/>
      <c r="CZ1893" s="93"/>
      <c r="DA1893" s="93"/>
      <c r="DB1893" s="93"/>
      <c r="DC1893" s="92"/>
    </row>
    <row r="1894" spans="1:109" s="85" customFormat="1" x14ac:dyDescent="0.2">
      <c r="A1894" s="84" t="s">
        <v>3341</v>
      </c>
      <c r="B1894" s="84" t="s">
        <v>26</v>
      </c>
      <c r="C1894" s="84">
        <f t="shared" si="169"/>
        <v>300260002</v>
      </c>
      <c r="D1894" s="85" t="s">
        <v>3344</v>
      </c>
      <c r="E1894" s="86" t="s">
        <v>1910</v>
      </c>
      <c r="F1894" s="86"/>
      <c r="G1894" s="86"/>
      <c r="H1894" s="86"/>
      <c r="I1894" s="87" t="s">
        <v>157</v>
      </c>
      <c r="J1894" s="87"/>
      <c r="K1894" s="87"/>
      <c r="L1894" s="87"/>
      <c r="M1894" s="87"/>
      <c r="N1894" s="87" t="s">
        <v>819</v>
      </c>
      <c r="O1894" s="87" t="s">
        <v>158</v>
      </c>
      <c r="P1894" s="21"/>
      <c r="Q1894" s="21" t="s">
        <v>2041</v>
      </c>
      <c r="R1894" s="21"/>
      <c r="S1894" s="21"/>
      <c r="T1894" s="21" t="s">
        <v>811</v>
      </c>
      <c r="U1894" s="125" t="s">
        <v>3342</v>
      </c>
      <c r="V1894" s="87" t="s">
        <v>819</v>
      </c>
      <c r="W1894" s="87" t="s">
        <v>1</v>
      </c>
      <c r="X1894" s="87"/>
      <c r="Y1894" s="87"/>
      <c r="Z1894" s="87"/>
      <c r="AA1894" s="87"/>
      <c r="AB1894" s="87"/>
      <c r="AC1894" s="87"/>
      <c r="AD1894" s="87"/>
      <c r="AE1894" s="88"/>
      <c r="AF1894" s="88" t="s">
        <v>2042</v>
      </c>
      <c r="AG1894" s="87"/>
      <c r="AH1894" s="85" t="s">
        <v>1901</v>
      </c>
      <c r="AI1894" s="89"/>
      <c r="AJ1894" s="89"/>
      <c r="AK1894" s="90">
        <v>27189</v>
      </c>
      <c r="AL1894" s="91" t="s">
        <v>1902</v>
      </c>
      <c r="AM1894" s="92"/>
      <c r="AN1894" s="92"/>
      <c r="AO1894" s="92"/>
      <c r="AP1894" s="92"/>
      <c r="AQ1894" s="92"/>
      <c r="AR1894" s="92"/>
      <c r="AS1894" s="92"/>
      <c r="AT1894" s="92"/>
      <c r="AU1894" s="89"/>
      <c r="AV1894" s="89"/>
      <c r="AW1894" s="89"/>
      <c r="AX1894" s="90"/>
      <c r="AY1894" s="91"/>
      <c r="AZ1894" s="92"/>
      <c r="BA1894" s="92"/>
      <c r="BB1894" s="92"/>
      <c r="BC1894" s="92"/>
      <c r="BD1894" s="92"/>
      <c r="BE1894" s="92"/>
      <c r="BF1894" s="92"/>
      <c r="BG1894" s="92"/>
      <c r="BH1894" s="89"/>
      <c r="BI1894" s="89"/>
      <c r="BJ1894" s="89"/>
      <c r="BK1894" s="90"/>
      <c r="BL1894" s="91"/>
      <c r="BM1894" s="92"/>
      <c r="BN1894" s="92"/>
      <c r="BO1894" s="92"/>
      <c r="BP1894" s="92"/>
      <c r="BQ1894" s="92"/>
      <c r="BR1894" s="92"/>
      <c r="BS1894" s="92"/>
      <c r="BT1894" s="92"/>
      <c r="BU1894" s="89"/>
      <c r="BV1894" s="89"/>
      <c r="BW1894" s="89"/>
      <c r="BX1894" s="90"/>
      <c r="BY1894" s="91"/>
      <c r="BZ1894" s="92"/>
      <c r="CA1894" s="92"/>
      <c r="CB1894" s="92"/>
      <c r="CC1894" s="92"/>
      <c r="CD1894" s="92"/>
      <c r="CE1894" s="92"/>
      <c r="CF1894" s="92"/>
      <c r="CG1894" s="92"/>
      <c r="CH1894" s="84"/>
      <c r="CI1894" s="89" t="s">
        <v>821</v>
      </c>
      <c r="CJ1894" s="89" t="s">
        <v>0</v>
      </c>
      <c r="CK1894" s="40"/>
      <c r="CL1894" s="82"/>
      <c r="CM1894" s="82"/>
      <c r="CN1894" s="82"/>
      <c r="CO1894" s="26"/>
      <c r="CP1894" s="26"/>
      <c r="CQ1894" s="26"/>
      <c r="CR1894" s="40"/>
      <c r="CT1894" s="93"/>
      <c r="CU1894" s="93"/>
      <c r="CV1894" s="93"/>
      <c r="CW1894" s="93"/>
      <c r="CX1894" s="93"/>
      <c r="CY1894" s="93"/>
      <c r="CZ1894" s="93"/>
      <c r="DA1894" s="93"/>
      <c r="DB1894" s="93"/>
      <c r="DC1894" s="92"/>
    </row>
    <row r="1895" spans="1:109" s="85" customFormat="1" x14ac:dyDescent="0.2">
      <c r="A1895" s="84" t="s">
        <v>3341</v>
      </c>
      <c r="B1895" s="84" t="s">
        <v>27</v>
      </c>
      <c r="C1895" s="84">
        <f t="shared" si="169"/>
        <v>300260003</v>
      </c>
      <c r="D1895" s="85" t="s">
        <v>3345</v>
      </c>
      <c r="E1895" s="86" t="s">
        <v>1910</v>
      </c>
      <c r="F1895" s="86"/>
      <c r="G1895" s="86"/>
      <c r="H1895" s="86"/>
      <c r="I1895" s="87" t="s">
        <v>157</v>
      </c>
      <c r="J1895" s="87"/>
      <c r="K1895" s="87"/>
      <c r="L1895" s="87"/>
      <c r="M1895" s="87"/>
      <c r="N1895" s="87" t="s">
        <v>819</v>
      </c>
      <c r="O1895" s="87" t="s">
        <v>158</v>
      </c>
      <c r="P1895" s="21"/>
      <c r="Q1895" s="21" t="s">
        <v>2041</v>
      </c>
      <c r="R1895" s="21"/>
      <c r="S1895" s="21"/>
      <c r="T1895" s="21" t="s">
        <v>811</v>
      </c>
      <c r="U1895" s="125" t="s">
        <v>3342</v>
      </c>
      <c r="V1895" s="87" t="s">
        <v>819</v>
      </c>
      <c r="W1895" s="87" t="s">
        <v>1</v>
      </c>
      <c r="X1895" s="87"/>
      <c r="Y1895" s="87"/>
      <c r="Z1895" s="87"/>
      <c r="AA1895" s="87"/>
      <c r="AB1895" s="87"/>
      <c r="AC1895" s="87"/>
      <c r="AD1895" s="87"/>
      <c r="AE1895" s="88"/>
      <c r="AF1895" s="88" t="s">
        <v>2042</v>
      </c>
      <c r="AG1895" s="87"/>
      <c r="AH1895" s="85" t="s">
        <v>1901</v>
      </c>
      <c r="AI1895" s="89"/>
      <c r="AJ1895" s="89"/>
      <c r="AK1895" s="90">
        <v>27189</v>
      </c>
      <c r="AL1895" s="91" t="s">
        <v>1902</v>
      </c>
      <c r="AM1895" s="92"/>
      <c r="AN1895" s="92"/>
      <c r="AO1895" s="92"/>
      <c r="AP1895" s="92"/>
      <c r="AQ1895" s="92"/>
      <c r="AR1895" s="92"/>
      <c r="AS1895" s="92"/>
      <c r="AT1895" s="92"/>
      <c r="AU1895" s="89"/>
      <c r="AV1895" s="89"/>
      <c r="AW1895" s="89"/>
      <c r="AX1895" s="90"/>
      <c r="AY1895" s="91"/>
      <c r="AZ1895" s="92"/>
      <c r="BA1895" s="92"/>
      <c r="BB1895" s="92"/>
      <c r="BC1895" s="92"/>
      <c r="BD1895" s="92"/>
      <c r="BE1895" s="92"/>
      <c r="BF1895" s="92"/>
      <c r="BG1895" s="92"/>
      <c r="BH1895" s="89"/>
      <c r="BI1895" s="89"/>
      <c r="BJ1895" s="89"/>
      <c r="BK1895" s="90"/>
      <c r="BL1895" s="91"/>
      <c r="BM1895" s="92"/>
      <c r="BN1895" s="92"/>
      <c r="BO1895" s="92"/>
      <c r="BP1895" s="92"/>
      <c r="BQ1895" s="92"/>
      <c r="BR1895" s="92"/>
      <c r="BS1895" s="92"/>
      <c r="BT1895" s="92"/>
      <c r="BU1895" s="89"/>
      <c r="BV1895" s="89"/>
      <c r="BW1895" s="89"/>
      <c r="BX1895" s="90"/>
      <c r="BY1895" s="91"/>
      <c r="BZ1895" s="92"/>
      <c r="CA1895" s="92"/>
      <c r="CB1895" s="92"/>
      <c r="CC1895" s="92"/>
      <c r="CD1895" s="92"/>
      <c r="CE1895" s="92"/>
      <c r="CF1895" s="92"/>
      <c r="CG1895" s="92"/>
      <c r="CH1895" s="84"/>
      <c r="CI1895" s="89" t="s">
        <v>821</v>
      </c>
      <c r="CJ1895" s="89" t="s">
        <v>0</v>
      </c>
      <c r="CK1895" s="40"/>
      <c r="CL1895" s="82"/>
      <c r="CM1895" s="82"/>
      <c r="CN1895" s="82"/>
      <c r="CO1895" s="26"/>
      <c r="CP1895" s="26"/>
      <c r="CQ1895" s="26"/>
      <c r="CR1895" s="40"/>
      <c r="CT1895" s="93"/>
      <c r="CU1895" s="93"/>
      <c r="CV1895" s="93"/>
      <c r="CW1895" s="93"/>
      <c r="CX1895" s="93"/>
      <c r="CY1895" s="93"/>
      <c r="CZ1895" s="93"/>
      <c r="DA1895" s="93"/>
      <c r="DB1895" s="93"/>
      <c r="DC1895" s="92"/>
    </row>
    <row r="1896" spans="1:109" s="85" customFormat="1" x14ac:dyDescent="0.2">
      <c r="A1896" s="84" t="s">
        <v>3341</v>
      </c>
      <c r="B1896" s="84" t="s">
        <v>1</v>
      </c>
      <c r="C1896" s="84">
        <f t="shared" si="169"/>
        <v>300260004</v>
      </c>
      <c r="D1896" s="85" t="s">
        <v>3346</v>
      </c>
      <c r="E1896" s="86" t="s">
        <v>1910</v>
      </c>
      <c r="F1896" s="86"/>
      <c r="G1896" s="86"/>
      <c r="H1896" s="86"/>
      <c r="I1896" s="87" t="s">
        <v>157</v>
      </c>
      <c r="J1896" s="87"/>
      <c r="K1896" s="87"/>
      <c r="L1896" s="87"/>
      <c r="M1896" s="87"/>
      <c r="N1896" s="87" t="s">
        <v>819</v>
      </c>
      <c r="O1896" s="87" t="s">
        <v>158</v>
      </c>
      <c r="P1896" s="21"/>
      <c r="Q1896" s="21" t="s">
        <v>2041</v>
      </c>
      <c r="R1896" s="21"/>
      <c r="S1896" s="21"/>
      <c r="T1896" s="21" t="s">
        <v>811</v>
      </c>
      <c r="U1896" s="125" t="s">
        <v>3342</v>
      </c>
      <c r="V1896" s="87" t="s">
        <v>819</v>
      </c>
      <c r="W1896" s="87" t="s">
        <v>1</v>
      </c>
      <c r="X1896" s="87"/>
      <c r="Y1896" s="87"/>
      <c r="Z1896" s="87"/>
      <c r="AA1896" s="87"/>
      <c r="AB1896" s="87"/>
      <c r="AC1896" s="87"/>
      <c r="AD1896" s="87"/>
      <c r="AE1896" s="88"/>
      <c r="AF1896" s="88" t="s">
        <v>2042</v>
      </c>
      <c r="AG1896" s="87"/>
      <c r="AH1896" s="85" t="s">
        <v>1920</v>
      </c>
      <c r="AI1896" s="89"/>
      <c r="AJ1896" s="89"/>
      <c r="AK1896" s="90">
        <v>2427</v>
      </c>
      <c r="AL1896" s="91"/>
      <c r="AM1896" s="92"/>
      <c r="AN1896" s="92">
        <v>150</v>
      </c>
      <c r="AO1896" s="92"/>
      <c r="AP1896" s="92"/>
      <c r="AQ1896" s="92"/>
      <c r="AR1896" s="92"/>
      <c r="AS1896" s="92"/>
      <c r="AT1896" s="92"/>
      <c r="AU1896" s="89" t="s">
        <v>1921</v>
      </c>
      <c r="AV1896" s="89"/>
      <c r="AW1896" s="89"/>
      <c r="AX1896" s="90">
        <v>20640</v>
      </c>
      <c r="AY1896" s="91"/>
      <c r="AZ1896" s="92"/>
      <c r="BA1896" s="92">
        <v>150</v>
      </c>
      <c r="BB1896" s="92"/>
      <c r="BC1896" s="92"/>
      <c r="BD1896" s="92"/>
      <c r="BE1896" s="92"/>
      <c r="BF1896" s="92"/>
      <c r="BG1896" s="92"/>
      <c r="BH1896" s="89" t="s">
        <v>1922</v>
      </c>
      <c r="BI1896" s="89"/>
      <c r="BJ1896" s="89"/>
      <c r="BK1896" s="90">
        <v>36720</v>
      </c>
      <c r="BL1896" s="91"/>
      <c r="BM1896" s="92"/>
      <c r="BN1896" s="92">
        <v>150</v>
      </c>
      <c r="BO1896" s="92"/>
      <c r="BP1896" s="92"/>
      <c r="BQ1896" s="92"/>
      <c r="BR1896" s="92"/>
      <c r="BS1896" s="92"/>
      <c r="BT1896" s="92"/>
      <c r="BU1896" s="89" t="s">
        <v>1923</v>
      </c>
      <c r="BV1896" s="89"/>
      <c r="BW1896" s="89"/>
      <c r="BX1896" s="90">
        <v>36954</v>
      </c>
      <c r="BY1896" s="91"/>
      <c r="BZ1896" s="92"/>
      <c r="CA1896" s="92">
        <v>150</v>
      </c>
      <c r="CB1896" s="92"/>
      <c r="CC1896" s="92"/>
      <c r="CD1896" s="92"/>
      <c r="CE1896" s="92"/>
      <c r="CF1896" s="92"/>
      <c r="CG1896" s="92"/>
      <c r="CH1896" s="84"/>
      <c r="CI1896" s="89" t="s">
        <v>397</v>
      </c>
      <c r="CJ1896" s="89"/>
      <c r="CK1896" s="40"/>
      <c r="CL1896" s="82"/>
      <c r="CM1896" s="82"/>
      <c r="CN1896" s="82"/>
      <c r="CO1896" s="26"/>
      <c r="CP1896" s="26"/>
      <c r="CQ1896" s="26"/>
      <c r="CR1896" s="40"/>
      <c r="CT1896" s="93"/>
      <c r="CU1896" s="93"/>
      <c r="CV1896" s="93"/>
      <c r="CW1896" s="93"/>
      <c r="CX1896" s="93"/>
      <c r="CY1896" s="93"/>
      <c r="CZ1896" s="93"/>
      <c r="DA1896" s="93"/>
      <c r="DB1896" s="93"/>
      <c r="DC1896" s="92"/>
    </row>
    <row r="1897" spans="1:109" s="85" customFormat="1" x14ac:dyDescent="0.2">
      <c r="A1897" s="84" t="s">
        <v>3358</v>
      </c>
      <c r="B1897" s="84" t="s">
        <v>3359</v>
      </c>
      <c r="C1897" s="84">
        <f t="shared" si="169"/>
        <v>300270001</v>
      </c>
      <c r="D1897" s="85" t="s">
        <v>3360</v>
      </c>
      <c r="E1897" s="86" t="s">
        <v>3372</v>
      </c>
      <c r="F1897" s="86"/>
      <c r="G1897" s="86"/>
      <c r="H1897" s="86"/>
      <c r="I1897" s="87" t="s">
        <v>157</v>
      </c>
      <c r="J1897" s="87" t="s">
        <v>548</v>
      </c>
      <c r="K1897" s="87"/>
      <c r="L1897" s="87"/>
      <c r="M1897" s="87"/>
      <c r="N1897" s="87" t="s">
        <v>819</v>
      </c>
      <c r="O1897" s="87" t="s">
        <v>158</v>
      </c>
      <c r="P1897" s="21"/>
      <c r="Q1897" s="21" t="s">
        <v>2041</v>
      </c>
      <c r="R1897" s="21"/>
      <c r="S1897" s="21"/>
      <c r="T1897" s="21" t="s">
        <v>811</v>
      </c>
      <c r="U1897" s="125" t="s">
        <v>3366</v>
      </c>
      <c r="V1897" s="87" t="s">
        <v>819</v>
      </c>
      <c r="W1897" s="87" t="s">
        <v>1</v>
      </c>
      <c r="X1897" s="87"/>
      <c r="Y1897" s="87"/>
      <c r="Z1897" s="87"/>
      <c r="AA1897" s="87"/>
      <c r="AB1897" s="87"/>
      <c r="AC1897" s="87"/>
      <c r="AD1897" s="87"/>
      <c r="AE1897" s="88"/>
      <c r="AF1897" s="88" t="s">
        <v>2042</v>
      </c>
      <c r="AG1897" s="87"/>
      <c r="AH1897" s="85" t="s">
        <v>3367</v>
      </c>
      <c r="AI1897" s="89"/>
      <c r="AJ1897" s="89"/>
      <c r="AK1897" s="90">
        <v>12211</v>
      </c>
      <c r="AL1897" s="91"/>
      <c r="AM1897" s="92"/>
      <c r="AN1897" s="92"/>
      <c r="AO1897" s="92"/>
      <c r="AP1897" s="92"/>
      <c r="AQ1897" s="92"/>
      <c r="AR1897" s="92"/>
      <c r="AS1897" s="92"/>
      <c r="AT1897" s="92"/>
      <c r="AU1897" s="85" t="s">
        <v>3367</v>
      </c>
      <c r="AV1897" s="89"/>
      <c r="AW1897" s="89"/>
      <c r="AX1897" s="90">
        <v>12211</v>
      </c>
      <c r="AY1897" s="91"/>
      <c r="AZ1897" s="92"/>
      <c r="BA1897" s="92"/>
      <c r="BB1897" s="92"/>
      <c r="BC1897" s="92"/>
      <c r="BD1897" s="92"/>
      <c r="BE1897" s="92"/>
      <c r="BF1897" s="92"/>
      <c r="BG1897" s="92"/>
      <c r="BH1897" s="85" t="s">
        <v>3367</v>
      </c>
      <c r="BI1897" s="89"/>
      <c r="BJ1897" s="89"/>
      <c r="BK1897" s="90">
        <v>12211</v>
      </c>
      <c r="BL1897" s="91"/>
      <c r="BM1897" s="92"/>
      <c r="BN1897" s="92"/>
      <c r="BO1897" s="92"/>
      <c r="BP1897" s="92"/>
      <c r="BQ1897" s="92"/>
      <c r="BR1897" s="92"/>
      <c r="BS1897" s="92"/>
      <c r="BT1897" s="92"/>
      <c r="BU1897" s="89"/>
      <c r="BV1897" s="89"/>
      <c r="BW1897" s="89"/>
      <c r="BX1897" s="90"/>
      <c r="BY1897" s="91"/>
      <c r="BZ1897" s="92"/>
      <c r="CA1897" s="92"/>
      <c r="CB1897" s="92"/>
      <c r="CC1897" s="92"/>
      <c r="CD1897" s="92"/>
      <c r="CE1897" s="92"/>
      <c r="CF1897" s="92"/>
      <c r="CG1897" s="92"/>
      <c r="CH1897" s="84"/>
      <c r="CI1897" s="89" t="s">
        <v>821</v>
      </c>
      <c r="CJ1897" s="89" t="s">
        <v>0</v>
      </c>
      <c r="CK1897" s="40"/>
      <c r="CL1897" s="82"/>
      <c r="CM1897" s="82"/>
      <c r="CN1897" s="82"/>
      <c r="CO1897" s="26"/>
      <c r="CP1897" s="26"/>
      <c r="CQ1897" s="26"/>
      <c r="CR1897" s="40"/>
      <c r="CT1897" s="93"/>
      <c r="CU1897" s="93"/>
      <c r="CV1897" s="93"/>
      <c r="CW1897" s="93"/>
      <c r="CX1897" s="93"/>
      <c r="CY1897" s="93"/>
      <c r="CZ1897" s="93"/>
      <c r="DA1897" s="93"/>
      <c r="DB1897" s="93"/>
      <c r="DC1897" s="92"/>
      <c r="DE1897" s="85" t="s">
        <v>550</v>
      </c>
    </row>
    <row r="1898" spans="1:109" s="85" customFormat="1" x14ac:dyDescent="0.2">
      <c r="A1898" s="84" t="s">
        <v>3358</v>
      </c>
      <c r="B1898" s="84" t="s">
        <v>26</v>
      </c>
      <c r="C1898" s="84">
        <f t="shared" si="169"/>
        <v>300270002</v>
      </c>
      <c r="D1898" s="85" t="s">
        <v>3361</v>
      </c>
      <c r="E1898" s="86" t="s">
        <v>3371</v>
      </c>
      <c r="F1898" s="86"/>
      <c r="G1898" s="86"/>
      <c r="H1898" s="86"/>
      <c r="I1898" s="87" t="s">
        <v>157</v>
      </c>
      <c r="J1898" s="87" t="s">
        <v>548</v>
      </c>
      <c r="K1898" s="87"/>
      <c r="L1898" s="87"/>
      <c r="M1898" s="87"/>
      <c r="N1898" s="87" t="s">
        <v>819</v>
      </c>
      <c r="O1898" s="87" t="s">
        <v>158</v>
      </c>
      <c r="P1898" s="21"/>
      <c r="Q1898" s="21" t="s">
        <v>2041</v>
      </c>
      <c r="R1898" s="21"/>
      <c r="S1898" s="21"/>
      <c r="T1898" s="21" t="s">
        <v>811</v>
      </c>
      <c r="U1898" s="125" t="s">
        <v>3366</v>
      </c>
      <c r="V1898" s="87" t="s">
        <v>819</v>
      </c>
      <c r="W1898" s="87" t="s">
        <v>1</v>
      </c>
      <c r="X1898" s="87"/>
      <c r="Y1898" s="87"/>
      <c r="Z1898" s="87"/>
      <c r="AA1898" s="87"/>
      <c r="AB1898" s="87"/>
      <c r="AC1898" s="87"/>
      <c r="AD1898" s="87"/>
      <c r="AE1898" s="88"/>
      <c r="AF1898" s="88" t="s">
        <v>2042</v>
      </c>
      <c r="AG1898" s="87"/>
      <c r="AH1898" s="85" t="s">
        <v>3367</v>
      </c>
      <c r="AI1898" s="89"/>
      <c r="AJ1898" s="89"/>
      <c r="AK1898" s="90">
        <v>12211</v>
      </c>
      <c r="AL1898" s="91"/>
      <c r="AM1898" s="92"/>
      <c r="AN1898" s="92"/>
      <c r="AO1898" s="92"/>
      <c r="AP1898" s="92"/>
      <c r="AQ1898" s="92"/>
      <c r="AR1898" s="92"/>
      <c r="AS1898" s="92"/>
      <c r="AT1898" s="92"/>
      <c r="AU1898" s="85" t="s">
        <v>3367</v>
      </c>
      <c r="AV1898" s="89"/>
      <c r="AW1898" s="89"/>
      <c r="AX1898" s="90">
        <v>12211</v>
      </c>
      <c r="AY1898" s="91"/>
      <c r="AZ1898" s="92"/>
      <c r="BA1898" s="92"/>
      <c r="BB1898" s="92"/>
      <c r="BC1898" s="92"/>
      <c r="BD1898" s="92"/>
      <c r="BE1898" s="92"/>
      <c r="BF1898" s="92"/>
      <c r="BG1898" s="92"/>
      <c r="BH1898" s="85" t="s">
        <v>3367</v>
      </c>
      <c r="BI1898" s="89"/>
      <c r="BJ1898" s="89"/>
      <c r="BK1898" s="90">
        <v>12211</v>
      </c>
      <c r="BL1898" s="91"/>
      <c r="BM1898" s="92"/>
      <c r="BN1898" s="92"/>
      <c r="BO1898" s="92"/>
      <c r="BP1898" s="92"/>
      <c r="BQ1898" s="92"/>
      <c r="BR1898" s="92"/>
      <c r="BS1898" s="92"/>
      <c r="BT1898" s="92"/>
      <c r="BU1898" s="89"/>
      <c r="BV1898" s="89"/>
      <c r="BW1898" s="89"/>
      <c r="BX1898" s="90"/>
      <c r="BY1898" s="91"/>
      <c r="BZ1898" s="92"/>
      <c r="CA1898" s="92"/>
      <c r="CB1898" s="92"/>
      <c r="CC1898" s="92"/>
      <c r="CD1898" s="92"/>
      <c r="CE1898" s="92"/>
      <c r="CF1898" s="92"/>
      <c r="CG1898" s="92"/>
      <c r="CH1898" s="84"/>
      <c r="CI1898" s="89" t="s">
        <v>821</v>
      </c>
      <c r="CJ1898" s="89" t="s">
        <v>0</v>
      </c>
      <c r="CK1898" s="40"/>
      <c r="CL1898" s="82"/>
      <c r="CM1898" s="82"/>
      <c r="CN1898" s="82"/>
      <c r="CO1898" s="26"/>
      <c r="CP1898" s="26"/>
      <c r="CQ1898" s="26"/>
      <c r="CR1898" s="40"/>
      <c r="CT1898" s="93"/>
      <c r="CU1898" s="93"/>
      <c r="CV1898" s="93"/>
      <c r="CW1898" s="93"/>
      <c r="CX1898" s="93"/>
      <c r="CY1898" s="93"/>
      <c r="CZ1898" s="93"/>
      <c r="DA1898" s="93"/>
      <c r="DB1898" s="93"/>
      <c r="DC1898" s="92"/>
      <c r="DE1898" s="85" t="s">
        <v>550</v>
      </c>
    </row>
    <row r="1899" spans="1:109" s="85" customFormat="1" x14ac:dyDescent="0.2">
      <c r="A1899" s="84" t="s">
        <v>3358</v>
      </c>
      <c r="B1899" s="84" t="s">
        <v>27</v>
      </c>
      <c r="C1899" s="84">
        <f t="shared" si="169"/>
        <v>300270003</v>
      </c>
      <c r="D1899" s="85" t="s">
        <v>3362</v>
      </c>
      <c r="E1899" s="86" t="s">
        <v>3373</v>
      </c>
      <c r="F1899" s="86"/>
      <c r="G1899" s="86"/>
      <c r="H1899" s="86"/>
      <c r="I1899" s="87" t="s">
        <v>157</v>
      </c>
      <c r="J1899" s="87" t="s">
        <v>548</v>
      </c>
      <c r="K1899" s="87"/>
      <c r="L1899" s="87"/>
      <c r="M1899" s="87"/>
      <c r="N1899" s="87" t="s">
        <v>819</v>
      </c>
      <c r="O1899" s="87" t="s">
        <v>158</v>
      </c>
      <c r="P1899" s="21"/>
      <c r="Q1899" s="21" t="s">
        <v>2041</v>
      </c>
      <c r="R1899" s="21"/>
      <c r="S1899" s="21"/>
      <c r="T1899" s="21" t="s">
        <v>811</v>
      </c>
      <c r="U1899" s="125" t="s">
        <v>3366</v>
      </c>
      <c r="V1899" s="87" t="s">
        <v>819</v>
      </c>
      <c r="W1899" s="87" t="s">
        <v>1</v>
      </c>
      <c r="X1899" s="87"/>
      <c r="Y1899" s="87"/>
      <c r="Z1899" s="87"/>
      <c r="AA1899" s="87"/>
      <c r="AB1899" s="87"/>
      <c r="AC1899" s="87"/>
      <c r="AD1899" s="87"/>
      <c r="AE1899" s="88"/>
      <c r="AF1899" s="88" t="s">
        <v>2042</v>
      </c>
      <c r="AG1899" s="87"/>
      <c r="AH1899" s="85" t="s">
        <v>3367</v>
      </c>
      <c r="AI1899" s="89"/>
      <c r="AJ1899" s="89"/>
      <c r="AK1899" s="90">
        <v>12211</v>
      </c>
      <c r="AL1899" s="91"/>
      <c r="AM1899" s="92"/>
      <c r="AN1899" s="92"/>
      <c r="AO1899" s="92"/>
      <c r="AP1899" s="92"/>
      <c r="AQ1899" s="92"/>
      <c r="AR1899" s="92"/>
      <c r="AS1899" s="92"/>
      <c r="AT1899" s="92"/>
      <c r="AU1899" s="85" t="s">
        <v>3367</v>
      </c>
      <c r="AV1899" s="89"/>
      <c r="AW1899" s="89"/>
      <c r="AX1899" s="90">
        <v>12211</v>
      </c>
      <c r="AY1899" s="91"/>
      <c r="AZ1899" s="92"/>
      <c r="BA1899" s="92"/>
      <c r="BB1899" s="92"/>
      <c r="BC1899" s="92"/>
      <c r="BD1899" s="92"/>
      <c r="BE1899" s="92"/>
      <c r="BF1899" s="92"/>
      <c r="BG1899" s="92"/>
      <c r="BH1899" s="85" t="s">
        <v>3367</v>
      </c>
      <c r="BI1899" s="89"/>
      <c r="BJ1899" s="89"/>
      <c r="BK1899" s="90">
        <v>12211</v>
      </c>
      <c r="BL1899" s="91"/>
      <c r="BM1899" s="92"/>
      <c r="BN1899" s="92"/>
      <c r="BO1899" s="92"/>
      <c r="BP1899" s="92"/>
      <c r="BQ1899" s="92"/>
      <c r="BR1899" s="92"/>
      <c r="BS1899" s="92"/>
      <c r="BT1899" s="92"/>
      <c r="BU1899" s="89"/>
      <c r="BV1899" s="89"/>
      <c r="BW1899" s="89"/>
      <c r="BX1899" s="90"/>
      <c r="BY1899" s="91"/>
      <c r="BZ1899" s="92"/>
      <c r="CA1899" s="92"/>
      <c r="CB1899" s="92"/>
      <c r="CC1899" s="92"/>
      <c r="CD1899" s="92"/>
      <c r="CE1899" s="92"/>
      <c r="CF1899" s="92"/>
      <c r="CG1899" s="92"/>
      <c r="CH1899" s="84"/>
      <c r="CI1899" s="89" t="s">
        <v>821</v>
      </c>
      <c r="CJ1899" s="89" t="s">
        <v>0</v>
      </c>
      <c r="CK1899" s="40"/>
      <c r="CL1899" s="82"/>
      <c r="CM1899" s="82"/>
      <c r="CN1899" s="82"/>
      <c r="CO1899" s="26"/>
      <c r="CP1899" s="26"/>
      <c r="CQ1899" s="26"/>
      <c r="CR1899" s="40"/>
      <c r="CT1899" s="93"/>
      <c r="CU1899" s="93"/>
      <c r="CV1899" s="93"/>
      <c r="CW1899" s="93"/>
      <c r="CX1899" s="93"/>
      <c r="CY1899" s="93"/>
      <c r="CZ1899" s="93"/>
      <c r="DA1899" s="93"/>
      <c r="DB1899" s="93"/>
      <c r="DC1899" s="92"/>
      <c r="DE1899" s="85" t="s">
        <v>550</v>
      </c>
    </row>
    <row r="1900" spans="1:109" s="85" customFormat="1" x14ac:dyDescent="0.2">
      <c r="A1900" s="84" t="s">
        <v>3358</v>
      </c>
      <c r="B1900" s="84" t="s">
        <v>1</v>
      </c>
      <c r="C1900" s="84">
        <f t="shared" si="169"/>
        <v>300270004</v>
      </c>
      <c r="D1900" s="85" t="s">
        <v>3363</v>
      </c>
      <c r="E1900" s="86" t="s">
        <v>1910</v>
      </c>
      <c r="F1900" s="86"/>
      <c r="G1900" s="86"/>
      <c r="H1900" s="86"/>
      <c r="I1900" s="87" t="s">
        <v>157</v>
      </c>
      <c r="J1900" s="87" t="s">
        <v>548</v>
      </c>
      <c r="K1900" s="87"/>
      <c r="L1900" s="87"/>
      <c r="M1900" s="87"/>
      <c r="N1900" s="87" t="s">
        <v>819</v>
      </c>
      <c r="O1900" s="87" t="s">
        <v>158</v>
      </c>
      <c r="P1900" s="21"/>
      <c r="Q1900" s="21" t="s">
        <v>2041</v>
      </c>
      <c r="R1900" s="21"/>
      <c r="S1900" s="21"/>
      <c r="T1900" s="21" t="s">
        <v>811</v>
      </c>
      <c r="U1900" s="125" t="s">
        <v>3366</v>
      </c>
      <c r="V1900" s="87" t="s">
        <v>819</v>
      </c>
      <c r="W1900" s="87" t="s">
        <v>1</v>
      </c>
      <c r="X1900" s="87"/>
      <c r="Y1900" s="87"/>
      <c r="Z1900" s="87"/>
      <c r="AA1900" s="87"/>
      <c r="AB1900" s="87"/>
      <c r="AC1900" s="87"/>
      <c r="AD1900" s="87"/>
      <c r="AE1900" s="88"/>
      <c r="AF1900" s="88" t="s">
        <v>2042</v>
      </c>
      <c r="AG1900" s="87"/>
      <c r="AH1900" s="85" t="s">
        <v>3368</v>
      </c>
      <c r="AI1900" s="89"/>
      <c r="AJ1900" s="89"/>
      <c r="AK1900" s="90">
        <v>20640</v>
      </c>
      <c r="AL1900" s="91"/>
      <c r="AM1900" s="92"/>
      <c r="AN1900" s="92">
        <v>100</v>
      </c>
      <c r="AO1900" s="92"/>
      <c r="AP1900" s="92"/>
      <c r="AQ1900" s="92"/>
      <c r="AR1900" s="92"/>
      <c r="AS1900" s="92"/>
      <c r="AT1900" s="92"/>
      <c r="AU1900" s="89"/>
      <c r="AV1900" s="89"/>
      <c r="AW1900" s="89"/>
      <c r="AX1900" s="90"/>
      <c r="AY1900" s="91"/>
      <c r="AZ1900" s="92"/>
      <c r="BA1900" s="92"/>
      <c r="BB1900" s="92"/>
      <c r="BC1900" s="92"/>
      <c r="BD1900" s="92"/>
      <c r="BE1900" s="92"/>
      <c r="BF1900" s="92"/>
      <c r="BG1900" s="92"/>
      <c r="BH1900" s="89"/>
      <c r="BI1900" s="89"/>
      <c r="BJ1900" s="89"/>
      <c r="BK1900" s="90"/>
      <c r="BL1900" s="91"/>
      <c r="BM1900" s="92"/>
      <c r="BN1900" s="92"/>
      <c r="BO1900" s="92"/>
      <c r="BP1900" s="92"/>
      <c r="BQ1900" s="92"/>
      <c r="BR1900" s="92"/>
      <c r="BS1900" s="92"/>
      <c r="BT1900" s="92"/>
      <c r="BU1900" s="89"/>
      <c r="BV1900" s="89"/>
      <c r="BW1900" s="89"/>
      <c r="BX1900" s="90"/>
      <c r="BY1900" s="91"/>
      <c r="BZ1900" s="92"/>
      <c r="CA1900" s="92"/>
      <c r="CB1900" s="92"/>
      <c r="CC1900" s="92"/>
      <c r="CD1900" s="92"/>
      <c r="CE1900" s="92"/>
      <c r="CF1900" s="92"/>
      <c r="CG1900" s="92"/>
      <c r="CH1900" s="84"/>
      <c r="CI1900" s="89" t="s">
        <v>397</v>
      </c>
      <c r="CJ1900" s="89"/>
      <c r="CK1900" s="40"/>
      <c r="CL1900" s="82"/>
      <c r="CM1900" s="82"/>
      <c r="CN1900" s="82"/>
      <c r="CO1900" s="26"/>
      <c r="CP1900" s="26"/>
      <c r="CQ1900" s="26"/>
      <c r="CR1900" s="40"/>
      <c r="CT1900" s="93"/>
      <c r="CU1900" s="93"/>
      <c r="CV1900" s="93"/>
      <c r="CW1900" s="93"/>
      <c r="CX1900" s="93"/>
      <c r="CY1900" s="93"/>
      <c r="CZ1900" s="93"/>
      <c r="DA1900" s="93"/>
      <c r="DB1900" s="93"/>
      <c r="DC1900" s="92"/>
      <c r="DE1900" s="85" t="s">
        <v>550</v>
      </c>
    </row>
    <row r="1901" spans="1:109" s="85" customFormat="1" x14ac:dyDescent="0.2">
      <c r="A1901" s="84" t="s">
        <v>3358</v>
      </c>
      <c r="B1901" s="84" t="s">
        <v>2</v>
      </c>
      <c r="C1901" s="84">
        <f t="shared" si="169"/>
        <v>300270005</v>
      </c>
      <c r="D1901" s="85" t="s">
        <v>3364</v>
      </c>
      <c r="E1901" s="86" t="s">
        <v>1910</v>
      </c>
      <c r="F1901" s="86"/>
      <c r="G1901" s="86"/>
      <c r="H1901" s="86"/>
      <c r="I1901" s="87" t="s">
        <v>157</v>
      </c>
      <c r="J1901" s="87"/>
      <c r="K1901" s="87"/>
      <c r="L1901" s="87"/>
      <c r="M1901" s="87"/>
      <c r="N1901" s="87" t="s">
        <v>819</v>
      </c>
      <c r="O1901" s="87" t="s">
        <v>158</v>
      </c>
      <c r="P1901" s="21"/>
      <c r="Q1901" s="21" t="s">
        <v>2041</v>
      </c>
      <c r="R1901" s="21"/>
      <c r="S1901" s="21"/>
      <c r="T1901" s="21" t="s">
        <v>811</v>
      </c>
      <c r="U1901" s="125" t="s">
        <v>3366</v>
      </c>
      <c r="V1901" s="87" t="s">
        <v>819</v>
      </c>
      <c r="W1901" s="87" t="s">
        <v>1</v>
      </c>
      <c r="X1901" s="87"/>
      <c r="Y1901" s="87"/>
      <c r="Z1901" s="87"/>
      <c r="AA1901" s="87"/>
      <c r="AB1901" s="87"/>
      <c r="AC1901" s="87"/>
      <c r="AD1901" s="87"/>
      <c r="AE1901" s="88"/>
      <c r="AF1901" s="88" t="s">
        <v>2042</v>
      </c>
      <c r="AG1901" s="87"/>
      <c r="AH1901" s="85" t="s">
        <v>3369</v>
      </c>
      <c r="AI1901" s="89"/>
      <c r="AJ1901" s="89"/>
      <c r="AK1901" s="90">
        <v>36720</v>
      </c>
      <c r="AL1901" s="91"/>
      <c r="AM1901" s="92"/>
      <c r="AN1901" s="92">
        <v>100</v>
      </c>
      <c r="AO1901" s="92"/>
      <c r="AP1901" s="92"/>
      <c r="AQ1901" s="92"/>
      <c r="AR1901" s="92"/>
      <c r="AS1901" s="92"/>
      <c r="AT1901" s="92"/>
      <c r="AU1901" s="89"/>
      <c r="AV1901" s="89"/>
      <c r="AW1901" s="89"/>
      <c r="AX1901" s="90"/>
      <c r="AY1901" s="91"/>
      <c r="AZ1901" s="92"/>
      <c r="BA1901" s="92"/>
      <c r="BB1901" s="92"/>
      <c r="BC1901" s="92"/>
      <c r="BD1901" s="92"/>
      <c r="BE1901" s="92"/>
      <c r="BF1901" s="92"/>
      <c r="BG1901" s="92"/>
      <c r="BH1901" s="89"/>
      <c r="BI1901" s="89"/>
      <c r="BJ1901" s="89"/>
      <c r="BK1901" s="90"/>
      <c r="BL1901" s="91"/>
      <c r="BM1901" s="92"/>
      <c r="BN1901" s="92"/>
      <c r="BO1901" s="92"/>
      <c r="BP1901" s="92"/>
      <c r="BQ1901" s="92"/>
      <c r="BR1901" s="92"/>
      <c r="BS1901" s="92"/>
      <c r="BT1901" s="92"/>
      <c r="BU1901" s="89"/>
      <c r="BV1901" s="89"/>
      <c r="BW1901" s="89"/>
      <c r="BX1901" s="90"/>
      <c r="BY1901" s="91"/>
      <c r="BZ1901" s="92"/>
      <c r="CA1901" s="92"/>
      <c r="CB1901" s="92"/>
      <c r="CC1901" s="92"/>
      <c r="CD1901" s="92"/>
      <c r="CE1901" s="92"/>
      <c r="CF1901" s="92"/>
      <c r="CG1901" s="92"/>
      <c r="CH1901" s="84"/>
      <c r="CI1901" s="89" t="s">
        <v>397</v>
      </c>
      <c r="CJ1901" s="89"/>
      <c r="CK1901" s="40"/>
      <c r="CL1901" s="82"/>
      <c r="CM1901" s="82"/>
      <c r="CN1901" s="82"/>
      <c r="CO1901" s="26"/>
      <c r="CP1901" s="26"/>
      <c r="CQ1901" s="26"/>
      <c r="CR1901" s="40"/>
      <c r="CT1901" s="93"/>
      <c r="CU1901" s="93"/>
      <c r="CV1901" s="93"/>
      <c r="CW1901" s="93"/>
      <c r="CX1901" s="93"/>
      <c r="CY1901" s="93"/>
      <c r="CZ1901" s="93"/>
      <c r="DA1901" s="93"/>
      <c r="DB1901" s="93"/>
      <c r="DC1901" s="92"/>
      <c r="DE1901" s="85" t="s">
        <v>550</v>
      </c>
    </row>
    <row r="1902" spans="1:109" s="85" customFormat="1" x14ac:dyDescent="0.2">
      <c r="A1902" s="84" t="s">
        <v>3358</v>
      </c>
      <c r="B1902" s="84" t="s">
        <v>3</v>
      </c>
      <c r="C1902" s="84">
        <f t="shared" si="169"/>
        <v>300270006</v>
      </c>
      <c r="D1902" s="85" t="s">
        <v>3365</v>
      </c>
      <c r="E1902" s="86" t="s">
        <v>1910</v>
      </c>
      <c r="F1902" s="86"/>
      <c r="G1902" s="86"/>
      <c r="H1902" s="86"/>
      <c r="I1902" s="87" t="s">
        <v>157</v>
      </c>
      <c r="J1902" s="87"/>
      <c r="K1902" s="87"/>
      <c r="L1902" s="87"/>
      <c r="M1902" s="87"/>
      <c r="N1902" s="87" t="s">
        <v>819</v>
      </c>
      <c r="O1902" s="87" t="s">
        <v>158</v>
      </c>
      <c r="P1902" s="21"/>
      <c r="Q1902" s="21" t="s">
        <v>2041</v>
      </c>
      <c r="R1902" s="21"/>
      <c r="S1902" s="21"/>
      <c r="T1902" s="21" t="s">
        <v>811</v>
      </c>
      <c r="U1902" s="125" t="s">
        <v>3366</v>
      </c>
      <c r="V1902" s="87" t="s">
        <v>819</v>
      </c>
      <c r="W1902" s="87" t="s">
        <v>1</v>
      </c>
      <c r="X1902" s="87"/>
      <c r="Y1902" s="87"/>
      <c r="Z1902" s="87"/>
      <c r="AA1902" s="87"/>
      <c r="AB1902" s="87"/>
      <c r="AC1902" s="87"/>
      <c r="AD1902" s="87"/>
      <c r="AE1902" s="88"/>
      <c r="AF1902" s="88" t="s">
        <v>2042</v>
      </c>
      <c r="AG1902" s="87"/>
      <c r="AH1902" s="85" t="s">
        <v>3370</v>
      </c>
      <c r="AI1902" s="89"/>
      <c r="AJ1902" s="89"/>
      <c r="AK1902" s="90">
        <v>36954</v>
      </c>
      <c r="AL1902" s="91"/>
      <c r="AM1902" s="92"/>
      <c r="AN1902" s="92">
        <v>100</v>
      </c>
      <c r="AO1902" s="92"/>
      <c r="AP1902" s="92"/>
      <c r="AQ1902" s="92"/>
      <c r="AR1902" s="92"/>
      <c r="AS1902" s="92"/>
      <c r="AT1902" s="92"/>
      <c r="AU1902" s="89"/>
      <c r="AV1902" s="89"/>
      <c r="AW1902" s="89"/>
      <c r="AX1902" s="90"/>
      <c r="AY1902" s="91"/>
      <c r="AZ1902" s="92"/>
      <c r="BA1902" s="92"/>
      <c r="BB1902" s="92"/>
      <c r="BC1902" s="92"/>
      <c r="BD1902" s="92"/>
      <c r="BE1902" s="92"/>
      <c r="BF1902" s="92"/>
      <c r="BG1902" s="92"/>
      <c r="BH1902" s="89"/>
      <c r="BI1902" s="89"/>
      <c r="BJ1902" s="89"/>
      <c r="BK1902" s="90"/>
      <c r="BL1902" s="91"/>
      <c r="BM1902" s="92"/>
      <c r="BN1902" s="92"/>
      <c r="BO1902" s="92"/>
      <c r="BP1902" s="92"/>
      <c r="BQ1902" s="92"/>
      <c r="BR1902" s="92"/>
      <c r="BS1902" s="92"/>
      <c r="BT1902" s="92"/>
      <c r="BU1902" s="89"/>
      <c r="BV1902" s="89"/>
      <c r="BW1902" s="89"/>
      <c r="BX1902" s="90"/>
      <c r="BY1902" s="91"/>
      <c r="BZ1902" s="92"/>
      <c r="CA1902" s="92"/>
      <c r="CB1902" s="92"/>
      <c r="CC1902" s="92"/>
      <c r="CD1902" s="92"/>
      <c r="CE1902" s="92"/>
      <c r="CF1902" s="92"/>
      <c r="CG1902" s="92"/>
      <c r="CH1902" s="84"/>
      <c r="CI1902" s="89" t="s">
        <v>397</v>
      </c>
      <c r="CJ1902" s="89"/>
      <c r="CK1902" s="40"/>
      <c r="CL1902" s="82"/>
      <c r="CM1902" s="82"/>
      <c r="CN1902" s="82"/>
      <c r="CO1902" s="26"/>
      <c r="CP1902" s="26"/>
      <c r="CQ1902" s="26"/>
      <c r="CR1902" s="40"/>
      <c r="CT1902" s="93"/>
      <c r="CU1902" s="93"/>
      <c r="CV1902" s="93"/>
      <c r="CW1902" s="93"/>
      <c r="CX1902" s="93"/>
      <c r="CY1902" s="93"/>
      <c r="CZ1902" s="93"/>
      <c r="DA1902" s="93"/>
      <c r="DB1902" s="93"/>
      <c r="DC1902" s="92"/>
      <c r="DE1902" s="85" t="s">
        <v>550</v>
      </c>
    </row>
    <row r="1903" spans="1:109" s="215" customFormat="1" x14ac:dyDescent="0.2">
      <c r="A1903" s="214" t="s">
        <v>3473</v>
      </c>
      <c r="B1903" s="214" t="s">
        <v>181</v>
      </c>
      <c r="C1903" s="214">
        <f t="shared" si="169"/>
        <v>300280001</v>
      </c>
      <c r="D1903" s="215" t="s">
        <v>3474</v>
      </c>
      <c r="E1903" s="216" t="s">
        <v>3505</v>
      </c>
      <c r="F1903" s="216"/>
      <c r="G1903" s="216"/>
      <c r="H1903" s="216"/>
      <c r="I1903" s="217" t="s">
        <v>1567</v>
      </c>
      <c r="J1903" s="217" t="s">
        <v>548</v>
      </c>
      <c r="K1903" s="217"/>
      <c r="L1903" s="217"/>
      <c r="M1903" s="217"/>
      <c r="N1903" s="217" t="s">
        <v>819</v>
      </c>
      <c r="O1903" s="217" t="s">
        <v>158</v>
      </c>
      <c r="P1903" s="217"/>
      <c r="Q1903" s="217" t="s">
        <v>2041</v>
      </c>
      <c r="R1903" s="217"/>
      <c r="S1903" s="217"/>
      <c r="T1903" s="217" t="s">
        <v>811</v>
      </c>
      <c r="U1903" s="218" t="s">
        <v>3475</v>
      </c>
      <c r="V1903" s="217" t="s">
        <v>819</v>
      </c>
      <c r="W1903" s="217" t="s">
        <v>1</v>
      </c>
      <c r="X1903" s="217"/>
      <c r="Y1903" s="217"/>
      <c r="Z1903" s="217"/>
      <c r="AA1903" s="217"/>
      <c r="AB1903" s="217"/>
      <c r="AC1903" s="217"/>
      <c r="AD1903" s="217"/>
      <c r="AE1903" s="219"/>
      <c r="AF1903" s="219" t="s">
        <v>2042</v>
      </c>
      <c r="AG1903" s="217"/>
      <c r="AH1903" s="215" t="s">
        <v>3489</v>
      </c>
      <c r="AI1903" s="220"/>
      <c r="AJ1903" s="220"/>
      <c r="AK1903" s="221"/>
      <c r="AL1903" s="222"/>
      <c r="AM1903" s="223"/>
      <c r="AN1903" s="223"/>
      <c r="AO1903" s="223"/>
      <c r="AP1903" s="223"/>
      <c r="AQ1903" s="223"/>
      <c r="AR1903" s="223"/>
      <c r="AS1903" s="223"/>
      <c r="AT1903" s="223"/>
      <c r="AU1903" s="215" t="s">
        <v>3476</v>
      </c>
      <c r="AV1903" s="220"/>
      <c r="AW1903" s="220"/>
      <c r="AX1903" s="221"/>
      <c r="AY1903" s="222" t="s">
        <v>3477</v>
      </c>
      <c r="AZ1903" s="223"/>
      <c r="BA1903" s="223"/>
      <c r="BB1903" s="223"/>
      <c r="BC1903" s="223"/>
      <c r="BD1903" s="223"/>
      <c r="BE1903" s="223"/>
      <c r="BF1903" s="223"/>
      <c r="BG1903" s="223"/>
      <c r="BH1903" s="215" t="s">
        <v>3478</v>
      </c>
      <c r="BI1903" s="220"/>
      <c r="BJ1903" s="220"/>
      <c r="BK1903" s="221"/>
      <c r="BL1903" s="222" t="s">
        <v>3479</v>
      </c>
      <c r="BM1903" s="223"/>
      <c r="BN1903" s="223"/>
      <c r="BO1903" s="223"/>
      <c r="BP1903" s="223"/>
      <c r="BQ1903" s="223"/>
      <c r="BR1903" s="223"/>
      <c r="BS1903" s="223"/>
      <c r="BT1903" s="223"/>
      <c r="BV1903" s="220"/>
      <c r="BW1903" s="220"/>
      <c r="BX1903" s="221"/>
      <c r="BY1903" s="222"/>
      <c r="BZ1903" s="223"/>
      <c r="CA1903" s="223"/>
      <c r="CB1903" s="223"/>
      <c r="CC1903" s="223"/>
      <c r="CD1903" s="223"/>
      <c r="CE1903" s="223"/>
      <c r="CF1903" s="223"/>
      <c r="CG1903" s="223"/>
      <c r="CH1903" s="214"/>
      <c r="CI1903" s="220" t="s">
        <v>821</v>
      </c>
      <c r="CJ1903" s="220" t="s">
        <v>0</v>
      </c>
      <c r="CK1903" s="221"/>
      <c r="CL1903" s="223"/>
      <c r="CM1903" s="223"/>
      <c r="CN1903" s="223"/>
      <c r="CO1903" s="220"/>
      <c r="CP1903" s="220"/>
      <c r="CQ1903" s="220"/>
      <c r="CR1903" s="221"/>
      <c r="CT1903" s="224"/>
      <c r="CU1903" s="224"/>
      <c r="CV1903" s="224"/>
      <c r="CW1903" s="224"/>
      <c r="CX1903" s="224"/>
      <c r="CY1903" s="224"/>
      <c r="CZ1903" s="224"/>
      <c r="DA1903" s="224"/>
      <c r="DB1903" s="224"/>
      <c r="DC1903" s="223"/>
    </row>
    <row r="1904" spans="1:109" s="215" customFormat="1" x14ac:dyDescent="0.2">
      <c r="A1904" s="214" t="s">
        <v>3473</v>
      </c>
      <c r="B1904" s="214" t="s">
        <v>22</v>
      </c>
      <c r="C1904" s="214">
        <f t="shared" si="169"/>
        <v>300280002</v>
      </c>
      <c r="D1904" s="215" t="s">
        <v>3480</v>
      </c>
      <c r="E1904" s="216" t="s">
        <v>3505</v>
      </c>
      <c r="F1904" s="216"/>
      <c r="G1904" s="216"/>
      <c r="H1904" s="216"/>
      <c r="I1904" s="217" t="s">
        <v>1567</v>
      </c>
      <c r="J1904" s="217" t="s">
        <v>548</v>
      </c>
      <c r="K1904" s="217"/>
      <c r="L1904" s="217"/>
      <c r="M1904" s="217"/>
      <c r="N1904" s="217" t="s">
        <v>819</v>
      </c>
      <c r="O1904" s="217" t="s">
        <v>158</v>
      </c>
      <c r="P1904" s="217"/>
      <c r="Q1904" s="217" t="s">
        <v>2041</v>
      </c>
      <c r="R1904" s="217"/>
      <c r="S1904" s="217"/>
      <c r="T1904" s="217" t="s">
        <v>811</v>
      </c>
      <c r="U1904" s="218" t="s">
        <v>3475</v>
      </c>
      <c r="V1904" s="217" t="s">
        <v>819</v>
      </c>
      <c r="W1904" s="217" t="s">
        <v>1</v>
      </c>
      <c r="X1904" s="217"/>
      <c r="Y1904" s="217"/>
      <c r="Z1904" s="217"/>
      <c r="AA1904" s="217"/>
      <c r="AB1904" s="217"/>
      <c r="AC1904" s="217"/>
      <c r="AD1904" s="217"/>
      <c r="AE1904" s="219"/>
      <c r="AF1904" s="219" t="s">
        <v>2042</v>
      </c>
      <c r="AG1904" s="217"/>
      <c r="AH1904" s="215" t="s">
        <v>3489</v>
      </c>
      <c r="AI1904" s="220"/>
      <c r="AJ1904" s="220"/>
      <c r="AK1904" s="221"/>
      <c r="AL1904" s="222"/>
      <c r="AM1904" s="223"/>
      <c r="AN1904" s="223"/>
      <c r="AO1904" s="223"/>
      <c r="AP1904" s="223"/>
      <c r="AQ1904" s="223"/>
      <c r="AR1904" s="223"/>
      <c r="AS1904" s="223"/>
      <c r="AT1904" s="223"/>
      <c r="AU1904" s="215" t="s">
        <v>3481</v>
      </c>
      <c r="AV1904" s="220"/>
      <c r="AW1904" s="220"/>
      <c r="AX1904" s="221"/>
      <c r="AY1904" s="222" t="s">
        <v>3477</v>
      </c>
      <c r="AZ1904" s="223"/>
      <c r="BA1904" s="223"/>
      <c r="BB1904" s="223"/>
      <c r="BC1904" s="223"/>
      <c r="BD1904" s="223"/>
      <c r="BE1904" s="223"/>
      <c r="BF1904" s="223"/>
      <c r="BG1904" s="223"/>
      <c r="BH1904" s="215" t="s">
        <v>3478</v>
      </c>
      <c r="BI1904" s="220"/>
      <c r="BJ1904" s="220"/>
      <c r="BK1904" s="221"/>
      <c r="BL1904" s="222" t="s">
        <v>3479</v>
      </c>
      <c r="BM1904" s="223"/>
      <c r="BN1904" s="223"/>
      <c r="BO1904" s="223"/>
      <c r="BP1904" s="223"/>
      <c r="BQ1904" s="223"/>
      <c r="BR1904" s="223"/>
      <c r="BS1904" s="223"/>
      <c r="BT1904" s="223"/>
      <c r="BV1904" s="220"/>
      <c r="BW1904" s="220"/>
      <c r="BX1904" s="221"/>
      <c r="BY1904" s="222"/>
      <c r="BZ1904" s="223"/>
      <c r="CA1904" s="223"/>
      <c r="CB1904" s="223"/>
      <c r="CC1904" s="223"/>
      <c r="CD1904" s="223"/>
      <c r="CE1904" s="223"/>
      <c r="CF1904" s="223"/>
      <c r="CG1904" s="223"/>
      <c r="CH1904" s="214"/>
      <c r="CI1904" s="220" t="s">
        <v>821</v>
      </c>
      <c r="CJ1904" s="220" t="s">
        <v>0</v>
      </c>
      <c r="CK1904" s="221"/>
      <c r="CL1904" s="223"/>
      <c r="CM1904" s="223"/>
      <c r="CN1904" s="223"/>
      <c r="CO1904" s="220"/>
      <c r="CP1904" s="220"/>
      <c r="CQ1904" s="220"/>
      <c r="CR1904" s="221"/>
      <c r="CT1904" s="224"/>
      <c r="CU1904" s="224"/>
      <c r="CV1904" s="224"/>
      <c r="CW1904" s="224"/>
      <c r="CX1904" s="224"/>
      <c r="CY1904" s="224"/>
      <c r="CZ1904" s="224"/>
      <c r="DA1904" s="224"/>
      <c r="DB1904" s="224"/>
      <c r="DC1904" s="223"/>
    </row>
    <row r="1905" spans="1:109" s="215" customFormat="1" x14ac:dyDescent="0.2">
      <c r="A1905" s="214" t="s">
        <v>3473</v>
      </c>
      <c r="B1905" s="214" t="s">
        <v>122</v>
      </c>
      <c r="C1905" s="214">
        <f t="shared" si="169"/>
        <v>300280003</v>
      </c>
      <c r="D1905" s="215" t="s">
        <v>3482</v>
      </c>
      <c r="E1905" s="216" t="s">
        <v>3505</v>
      </c>
      <c r="F1905" s="216"/>
      <c r="G1905" s="216"/>
      <c r="H1905" s="216"/>
      <c r="I1905" s="217" t="s">
        <v>1567</v>
      </c>
      <c r="J1905" s="217" t="s">
        <v>548</v>
      </c>
      <c r="K1905" s="217"/>
      <c r="L1905" s="217"/>
      <c r="M1905" s="217"/>
      <c r="N1905" s="217" t="s">
        <v>819</v>
      </c>
      <c r="O1905" s="217" t="s">
        <v>158</v>
      </c>
      <c r="P1905" s="217"/>
      <c r="Q1905" s="217" t="s">
        <v>2041</v>
      </c>
      <c r="R1905" s="217"/>
      <c r="S1905" s="217"/>
      <c r="T1905" s="217" t="s">
        <v>811</v>
      </c>
      <c r="U1905" s="218" t="s">
        <v>3475</v>
      </c>
      <c r="V1905" s="217" t="s">
        <v>819</v>
      </c>
      <c r="W1905" s="217" t="s">
        <v>1</v>
      </c>
      <c r="X1905" s="217"/>
      <c r="Y1905" s="217"/>
      <c r="Z1905" s="217"/>
      <c r="AA1905" s="217"/>
      <c r="AB1905" s="217"/>
      <c r="AC1905" s="217"/>
      <c r="AD1905" s="217"/>
      <c r="AE1905" s="219"/>
      <c r="AF1905" s="219" t="s">
        <v>2042</v>
      </c>
      <c r="AG1905" s="217"/>
      <c r="AH1905" s="215" t="s">
        <v>3489</v>
      </c>
      <c r="AI1905" s="220"/>
      <c r="AJ1905" s="220"/>
      <c r="AK1905" s="221"/>
      <c r="AL1905" s="222"/>
      <c r="AM1905" s="223"/>
      <c r="AN1905" s="223"/>
      <c r="AO1905" s="223"/>
      <c r="AP1905" s="223"/>
      <c r="AQ1905" s="223"/>
      <c r="AR1905" s="223"/>
      <c r="AS1905" s="223"/>
      <c r="AT1905" s="223"/>
      <c r="AU1905" s="215" t="s">
        <v>3481</v>
      </c>
      <c r="AV1905" s="220"/>
      <c r="AW1905" s="220"/>
      <c r="AX1905" s="221"/>
      <c r="AY1905" s="222" t="s">
        <v>3477</v>
      </c>
      <c r="AZ1905" s="223"/>
      <c r="BA1905" s="223"/>
      <c r="BB1905" s="223"/>
      <c r="BC1905" s="223"/>
      <c r="BD1905" s="223"/>
      <c r="BE1905" s="223"/>
      <c r="BF1905" s="223"/>
      <c r="BG1905" s="223"/>
      <c r="BH1905" s="215" t="s">
        <v>3478</v>
      </c>
      <c r="BI1905" s="220"/>
      <c r="BJ1905" s="220"/>
      <c r="BK1905" s="221"/>
      <c r="BL1905" s="222" t="s">
        <v>3479</v>
      </c>
      <c r="BM1905" s="223"/>
      <c r="BN1905" s="223"/>
      <c r="BO1905" s="223"/>
      <c r="BP1905" s="223"/>
      <c r="BQ1905" s="223"/>
      <c r="BR1905" s="223"/>
      <c r="BS1905" s="223"/>
      <c r="BT1905" s="223"/>
      <c r="BV1905" s="220"/>
      <c r="BW1905" s="220"/>
      <c r="BX1905" s="221"/>
      <c r="BY1905" s="222"/>
      <c r="BZ1905" s="223"/>
      <c r="CA1905" s="223"/>
      <c r="CB1905" s="223"/>
      <c r="CC1905" s="223"/>
      <c r="CD1905" s="223"/>
      <c r="CE1905" s="223"/>
      <c r="CF1905" s="223"/>
      <c r="CG1905" s="223"/>
      <c r="CH1905" s="214"/>
      <c r="CI1905" s="220" t="s">
        <v>821</v>
      </c>
      <c r="CJ1905" s="220" t="s">
        <v>0</v>
      </c>
      <c r="CK1905" s="221"/>
      <c r="CL1905" s="223"/>
      <c r="CM1905" s="223"/>
      <c r="CN1905" s="223"/>
      <c r="CO1905" s="220"/>
      <c r="CP1905" s="220"/>
      <c r="CQ1905" s="220"/>
      <c r="CR1905" s="221"/>
      <c r="CT1905" s="224"/>
      <c r="CU1905" s="224"/>
      <c r="CV1905" s="224"/>
      <c r="CW1905" s="224"/>
      <c r="CX1905" s="224"/>
      <c r="CY1905" s="224"/>
      <c r="CZ1905" s="224"/>
      <c r="DA1905" s="224"/>
      <c r="DB1905" s="224"/>
      <c r="DC1905" s="223"/>
    </row>
    <row r="1906" spans="1:109" s="215" customFormat="1" x14ac:dyDescent="0.2">
      <c r="A1906" s="214" t="s">
        <v>3473</v>
      </c>
      <c r="B1906" s="214" t="s">
        <v>1</v>
      </c>
      <c r="C1906" s="214">
        <f t="shared" si="169"/>
        <v>300280004</v>
      </c>
      <c r="D1906" s="215" t="s">
        <v>3483</v>
      </c>
      <c r="E1906" s="216" t="s">
        <v>3505</v>
      </c>
      <c r="F1906" s="216"/>
      <c r="G1906" s="216"/>
      <c r="H1906" s="216"/>
      <c r="I1906" s="217" t="s">
        <v>1567</v>
      </c>
      <c r="J1906" s="217" t="s">
        <v>548</v>
      </c>
      <c r="K1906" s="217"/>
      <c r="L1906" s="217"/>
      <c r="M1906" s="217"/>
      <c r="N1906" s="217" t="s">
        <v>819</v>
      </c>
      <c r="O1906" s="217" t="s">
        <v>158</v>
      </c>
      <c r="P1906" s="217"/>
      <c r="Q1906" s="217" t="s">
        <v>2041</v>
      </c>
      <c r="R1906" s="217"/>
      <c r="S1906" s="217"/>
      <c r="T1906" s="217" t="s">
        <v>811</v>
      </c>
      <c r="U1906" s="218" t="s">
        <v>3475</v>
      </c>
      <c r="V1906" s="217" t="s">
        <v>819</v>
      </c>
      <c r="W1906" s="217" t="s">
        <v>1</v>
      </c>
      <c r="X1906" s="217"/>
      <c r="Y1906" s="217"/>
      <c r="Z1906" s="217"/>
      <c r="AA1906" s="217"/>
      <c r="AB1906" s="217"/>
      <c r="AC1906" s="217"/>
      <c r="AD1906" s="217"/>
      <c r="AE1906" s="219"/>
      <c r="AF1906" s="219" t="s">
        <v>2042</v>
      </c>
      <c r="AG1906" s="217"/>
      <c r="AH1906" s="215" t="s">
        <v>3489</v>
      </c>
      <c r="AI1906" s="220"/>
      <c r="AJ1906" s="220"/>
      <c r="AK1906" s="221"/>
      <c r="AL1906" s="222"/>
      <c r="AM1906" s="223"/>
      <c r="AN1906" s="223"/>
      <c r="AO1906" s="223"/>
      <c r="AP1906" s="223"/>
      <c r="AQ1906" s="223"/>
      <c r="AR1906" s="223"/>
      <c r="AS1906" s="223"/>
      <c r="AT1906" s="223"/>
      <c r="AU1906" s="215" t="s">
        <v>3481</v>
      </c>
      <c r="AV1906" s="220"/>
      <c r="AW1906" s="220"/>
      <c r="AX1906" s="221"/>
      <c r="AY1906" s="222" t="s">
        <v>3477</v>
      </c>
      <c r="AZ1906" s="223"/>
      <c r="BA1906" s="223"/>
      <c r="BB1906" s="223"/>
      <c r="BC1906" s="223"/>
      <c r="BD1906" s="223"/>
      <c r="BE1906" s="223"/>
      <c r="BF1906" s="223"/>
      <c r="BG1906" s="223"/>
      <c r="BH1906" s="215" t="s">
        <v>3478</v>
      </c>
      <c r="BI1906" s="220"/>
      <c r="BJ1906" s="220"/>
      <c r="BK1906" s="221"/>
      <c r="BL1906" s="222" t="s">
        <v>3479</v>
      </c>
      <c r="BM1906" s="223"/>
      <c r="BN1906" s="223"/>
      <c r="BO1906" s="223"/>
      <c r="BP1906" s="223"/>
      <c r="BQ1906" s="223"/>
      <c r="BR1906" s="223"/>
      <c r="BS1906" s="223"/>
      <c r="BT1906" s="223"/>
      <c r="BV1906" s="220"/>
      <c r="BW1906" s="220"/>
      <c r="BX1906" s="221"/>
      <c r="BY1906" s="222"/>
      <c r="BZ1906" s="223"/>
      <c r="CA1906" s="223"/>
      <c r="CB1906" s="223"/>
      <c r="CC1906" s="223"/>
      <c r="CD1906" s="223"/>
      <c r="CE1906" s="223"/>
      <c r="CF1906" s="223"/>
      <c r="CG1906" s="223"/>
      <c r="CH1906" s="214"/>
      <c r="CI1906" s="220" t="s">
        <v>821</v>
      </c>
      <c r="CJ1906" s="220" t="s">
        <v>0</v>
      </c>
      <c r="CK1906" s="221"/>
      <c r="CL1906" s="223"/>
      <c r="CM1906" s="223"/>
      <c r="CN1906" s="223"/>
      <c r="CO1906" s="220"/>
      <c r="CP1906" s="220"/>
      <c r="CQ1906" s="220"/>
      <c r="CR1906" s="221"/>
      <c r="CT1906" s="224"/>
      <c r="CU1906" s="224"/>
      <c r="CV1906" s="224"/>
      <c r="CW1906" s="224"/>
      <c r="CX1906" s="224"/>
      <c r="CY1906" s="224"/>
      <c r="CZ1906" s="224"/>
      <c r="DA1906" s="224"/>
      <c r="DB1906" s="224"/>
      <c r="DC1906" s="223"/>
    </row>
    <row r="1907" spans="1:109" s="215" customFormat="1" x14ac:dyDescent="0.2">
      <c r="A1907" s="214" t="s">
        <v>3473</v>
      </c>
      <c r="B1907" s="214" t="s">
        <v>2</v>
      </c>
      <c r="C1907" s="214">
        <f t="shared" si="169"/>
        <v>300280005</v>
      </c>
      <c r="D1907" s="215" t="s">
        <v>3484</v>
      </c>
      <c r="E1907" s="216" t="s">
        <v>3505</v>
      </c>
      <c r="F1907" s="216"/>
      <c r="G1907" s="216"/>
      <c r="H1907" s="216"/>
      <c r="I1907" s="217" t="s">
        <v>1567</v>
      </c>
      <c r="J1907" s="217" t="s">
        <v>548</v>
      </c>
      <c r="K1907" s="217"/>
      <c r="L1907" s="217"/>
      <c r="M1907" s="217"/>
      <c r="N1907" s="217" t="s">
        <v>819</v>
      </c>
      <c r="O1907" s="217" t="s">
        <v>158</v>
      </c>
      <c r="P1907" s="217"/>
      <c r="Q1907" s="217" t="s">
        <v>2041</v>
      </c>
      <c r="R1907" s="217"/>
      <c r="S1907" s="217"/>
      <c r="T1907" s="217" t="s">
        <v>811</v>
      </c>
      <c r="U1907" s="218" t="s">
        <v>3475</v>
      </c>
      <c r="V1907" s="217" t="s">
        <v>819</v>
      </c>
      <c r="W1907" s="217" t="s">
        <v>1</v>
      </c>
      <c r="X1907" s="217"/>
      <c r="Y1907" s="217"/>
      <c r="Z1907" s="217"/>
      <c r="AA1907" s="217"/>
      <c r="AB1907" s="217"/>
      <c r="AC1907" s="217"/>
      <c r="AD1907" s="217"/>
      <c r="AE1907" s="219"/>
      <c r="AF1907" s="219" t="s">
        <v>2042</v>
      </c>
      <c r="AG1907" s="217"/>
      <c r="AH1907" s="215" t="s">
        <v>3489</v>
      </c>
      <c r="AI1907" s="220"/>
      <c r="AJ1907" s="220"/>
      <c r="AK1907" s="221"/>
      <c r="AL1907" s="222"/>
      <c r="AM1907" s="223"/>
      <c r="AN1907" s="223"/>
      <c r="AO1907" s="223"/>
      <c r="AP1907" s="223"/>
      <c r="AQ1907" s="223"/>
      <c r="AR1907" s="223"/>
      <c r="AS1907" s="223"/>
      <c r="AT1907" s="223"/>
      <c r="AU1907" s="215" t="s">
        <v>3481</v>
      </c>
      <c r="AV1907" s="220"/>
      <c r="AW1907" s="220"/>
      <c r="AX1907" s="221"/>
      <c r="AY1907" s="222" t="s">
        <v>3477</v>
      </c>
      <c r="AZ1907" s="223"/>
      <c r="BA1907" s="223"/>
      <c r="BB1907" s="223"/>
      <c r="BC1907" s="223"/>
      <c r="BD1907" s="223"/>
      <c r="BE1907" s="223"/>
      <c r="BF1907" s="223"/>
      <c r="BG1907" s="223"/>
      <c r="BH1907" s="215" t="s">
        <v>3478</v>
      </c>
      <c r="BI1907" s="220"/>
      <c r="BJ1907" s="220"/>
      <c r="BK1907" s="221"/>
      <c r="BL1907" s="222" t="s">
        <v>3479</v>
      </c>
      <c r="BM1907" s="223"/>
      <c r="BN1907" s="223"/>
      <c r="BO1907" s="223"/>
      <c r="BP1907" s="223"/>
      <c r="BQ1907" s="223"/>
      <c r="BR1907" s="223"/>
      <c r="BS1907" s="223"/>
      <c r="BT1907" s="223"/>
      <c r="BV1907" s="220"/>
      <c r="BW1907" s="220"/>
      <c r="BX1907" s="221"/>
      <c r="BY1907" s="222"/>
      <c r="BZ1907" s="223"/>
      <c r="CA1907" s="223"/>
      <c r="CB1907" s="223"/>
      <c r="CC1907" s="223"/>
      <c r="CD1907" s="223"/>
      <c r="CE1907" s="223"/>
      <c r="CF1907" s="223"/>
      <c r="CG1907" s="223"/>
      <c r="CH1907" s="214"/>
      <c r="CI1907" s="220" t="s">
        <v>821</v>
      </c>
      <c r="CJ1907" s="220" t="s">
        <v>0</v>
      </c>
      <c r="CK1907" s="221"/>
      <c r="CL1907" s="223"/>
      <c r="CM1907" s="223"/>
      <c r="CN1907" s="223"/>
      <c r="CO1907" s="220"/>
      <c r="CP1907" s="220"/>
      <c r="CQ1907" s="220"/>
      <c r="CR1907" s="221"/>
      <c r="CT1907" s="224"/>
      <c r="CU1907" s="224"/>
      <c r="CV1907" s="224"/>
      <c r="CW1907" s="224"/>
      <c r="CX1907" s="224"/>
      <c r="CY1907" s="224"/>
      <c r="CZ1907" s="224"/>
      <c r="DA1907" s="224"/>
      <c r="DB1907" s="224"/>
      <c r="DC1907" s="223"/>
    </row>
    <row r="1908" spans="1:109" s="215" customFormat="1" x14ac:dyDescent="0.2">
      <c r="A1908" s="214" t="s">
        <v>3473</v>
      </c>
      <c r="B1908" s="214" t="s">
        <v>3</v>
      </c>
      <c r="C1908" s="214">
        <f t="shared" si="169"/>
        <v>300280006</v>
      </c>
      <c r="D1908" s="215" t="s">
        <v>3485</v>
      </c>
      <c r="E1908" s="216" t="s">
        <v>3505</v>
      </c>
      <c r="F1908" s="216"/>
      <c r="G1908" s="216"/>
      <c r="H1908" s="216"/>
      <c r="I1908" s="217" t="s">
        <v>1567</v>
      </c>
      <c r="J1908" s="217" t="s">
        <v>548</v>
      </c>
      <c r="K1908" s="217"/>
      <c r="L1908" s="217"/>
      <c r="M1908" s="217"/>
      <c r="N1908" s="217" t="s">
        <v>819</v>
      </c>
      <c r="O1908" s="217" t="s">
        <v>158</v>
      </c>
      <c r="P1908" s="217"/>
      <c r="Q1908" s="217" t="s">
        <v>2041</v>
      </c>
      <c r="R1908" s="217"/>
      <c r="S1908" s="217"/>
      <c r="T1908" s="217" t="s">
        <v>811</v>
      </c>
      <c r="U1908" s="218" t="s">
        <v>3475</v>
      </c>
      <c r="V1908" s="217" t="s">
        <v>819</v>
      </c>
      <c r="W1908" s="217" t="s">
        <v>1</v>
      </c>
      <c r="X1908" s="217"/>
      <c r="Y1908" s="217"/>
      <c r="Z1908" s="217"/>
      <c r="AA1908" s="217"/>
      <c r="AB1908" s="217"/>
      <c r="AC1908" s="217"/>
      <c r="AD1908" s="217"/>
      <c r="AE1908" s="219"/>
      <c r="AF1908" s="219" t="s">
        <v>2042</v>
      </c>
      <c r="AG1908" s="217"/>
      <c r="AH1908" s="215" t="s">
        <v>3489</v>
      </c>
      <c r="AI1908" s="220"/>
      <c r="AJ1908" s="220"/>
      <c r="AK1908" s="221"/>
      <c r="AL1908" s="222"/>
      <c r="AM1908" s="223"/>
      <c r="AN1908" s="223"/>
      <c r="AO1908" s="223"/>
      <c r="AP1908" s="223"/>
      <c r="AQ1908" s="223"/>
      <c r="AR1908" s="223"/>
      <c r="AS1908" s="223"/>
      <c r="AT1908" s="223"/>
      <c r="AU1908" s="215" t="s">
        <v>3481</v>
      </c>
      <c r="AV1908" s="220"/>
      <c r="AW1908" s="220"/>
      <c r="AX1908" s="221"/>
      <c r="AY1908" s="222" t="s">
        <v>3477</v>
      </c>
      <c r="AZ1908" s="223"/>
      <c r="BA1908" s="223"/>
      <c r="BB1908" s="223"/>
      <c r="BC1908" s="223"/>
      <c r="BD1908" s="223"/>
      <c r="BE1908" s="223"/>
      <c r="BF1908" s="223"/>
      <c r="BG1908" s="223"/>
      <c r="BH1908" s="215" t="s">
        <v>3478</v>
      </c>
      <c r="BI1908" s="220"/>
      <c r="BJ1908" s="220"/>
      <c r="BK1908" s="221"/>
      <c r="BL1908" s="222" t="s">
        <v>3479</v>
      </c>
      <c r="BM1908" s="223"/>
      <c r="BN1908" s="223"/>
      <c r="BO1908" s="223"/>
      <c r="BP1908" s="223"/>
      <c r="BQ1908" s="223"/>
      <c r="BR1908" s="223"/>
      <c r="BS1908" s="223"/>
      <c r="BT1908" s="223"/>
      <c r="BV1908" s="220"/>
      <c r="BW1908" s="220"/>
      <c r="BX1908" s="221"/>
      <c r="BY1908" s="222"/>
      <c r="BZ1908" s="223"/>
      <c r="CA1908" s="223"/>
      <c r="CB1908" s="223"/>
      <c r="CC1908" s="223"/>
      <c r="CD1908" s="223"/>
      <c r="CE1908" s="223"/>
      <c r="CF1908" s="223"/>
      <c r="CG1908" s="223"/>
      <c r="CH1908" s="214"/>
      <c r="CI1908" s="220" t="s">
        <v>821</v>
      </c>
      <c r="CJ1908" s="220" t="s">
        <v>0</v>
      </c>
      <c r="CK1908" s="221"/>
      <c r="CL1908" s="223"/>
      <c r="CM1908" s="223"/>
      <c r="CN1908" s="223"/>
      <c r="CO1908" s="220"/>
      <c r="CP1908" s="220"/>
      <c r="CQ1908" s="220"/>
      <c r="CR1908" s="221"/>
      <c r="CT1908" s="224"/>
      <c r="CU1908" s="224"/>
      <c r="CV1908" s="224"/>
      <c r="CW1908" s="224"/>
      <c r="CX1908" s="224"/>
      <c r="CY1908" s="224"/>
      <c r="CZ1908" s="224"/>
      <c r="DA1908" s="224"/>
      <c r="DB1908" s="224"/>
      <c r="DC1908" s="223"/>
    </row>
    <row r="1909" spans="1:109" s="215" customFormat="1" x14ac:dyDescent="0.2">
      <c r="A1909" s="214" t="s">
        <v>3473</v>
      </c>
      <c r="B1909" s="214" t="s">
        <v>4</v>
      </c>
      <c r="C1909" s="214">
        <f t="shared" si="169"/>
        <v>300280007</v>
      </c>
      <c r="D1909" s="215" t="s">
        <v>3486</v>
      </c>
      <c r="E1909" s="216" t="s">
        <v>3505</v>
      </c>
      <c r="F1909" s="216"/>
      <c r="G1909" s="216"/>
      <c r="H1909" s="216"/>
      <c r="I1909" s="217" t="s">
        <v>1567</v>
      </c>
      <c r="J1909" s="217"/>
      <c r="K1909" s="217"/>
      <c r="L1909" s="217"/>
      <c r="M1909" s="217"/>
      <c r="N1909" s="217" t="s">
        <v>819</v>
      </c>
      <c r="O1909" s="217" t="s">
        <v>3506</v>
      </c>
      <c r="P1909" s="217"/>
      <c r="Q1909" s="217" t="s">
        <v>2041</v>
      </c>
      <c r="R1909" s="217"/>
      <c r="S1909" s="217"/>
      <c r="T1909" s="217" t="s">
        <v>811</v>
      </c>
      <c r="U1909" s="218" t="s">
        <v>3487</v>
      </c>
      <c r="V1909" s="217" t="s">
        <v>3488</v>
      </c>
      <c r="W1909" s="217" t="s">
        <v>1</v>
      </c>
      <c r="X1909" s="217"/>
      <c r="Y1909" s="217"/>
      <c r="Z1909" s="217"/>
      <c r="AA1909" s="217"/>
      <c r="AB1909" s="217"/>
      <c r="AC1909" s="217"/>
      <c r="AD1909" s="217"/>
      <c r="AE1909" s="219"/>
      <c r="AF1909" s="219" t="s">
        <v>2042</v>
      </c>
      <c r="AG1909" s="217"/>
      <c r="AH1909" s="215" t="s">
        <v>3489</v>
      </c>
      <c r="AI1909" s="220"/>
      <c r="AJ1909" s="220"/>
      <c r="AK1909" s="221"/>
      <c r="AL1909" s="222" t="s">
        <v>3490</v>
      </c>
      <c r="AM1909" s="223"/>
      <c r="AN1909" s="223"/>
      <c r="AO1909" s="223"/>
      <c r="AP1909" s="223"/>
      <c r="AQ1909" s="223"/>
      <c r="AR1909" s="223"/>
      <c r="AS1909" s="223"/>
      <c r="AT1909" s="223"/>
      <c r="AV1909" s="220"/>
      <c r="AW1909" s="220"/>
      <c r="AX1909" s="221"/>
      <c r="AY1909" s="222"/>
      <c r="AZ1909" s="223"/>
      <c r="BA1909" s="223"/>
      <c r="BB1909" s="223"/>
      <c r="BC1909" s="223"/>
      <c r="BD1909" s="223"/>
      <c r="BE1909" s="223"/>
      <c r="BF1909" s="223"/>
      <c r="BG1909" s="223"/>
      <c r="BI1909" s="220"/>
      <c r="BJ1909" s="220"/>
      <c r="BK1909" s="221"/>
      <c r="BL1909" s="222"/>
      <c r="BM1909" s="223"/>
      <c r="BN1909" s="223"/>
      <c r="BO1909" s="223"/>
      <c r="BP1909" s="223"/>
      <c r="BQ1909" s="223"/>
      <c r="BR1909" s="223"/>
      <c r="BS1909" s="223"/>
      <c r="BT1909" s="223"/>
      <c r="BV1909" s="220"/>
      <c r="BW1909" s="220"/>
      <c r="BX1909" s="221"/>
      <c r="BY1909" s="222"/>
      <c r="BZ1909" s="223"/>
      <c r="CA1909" s="223"/>
      <c r="CB1909" s="223"/>
      <c r="CC1909" s="223"/>
      <c r="CD1909" s="223"/>
      <c r="CE1909" s="223"/>
      <c r="CF1909" s="223"/>
      <c r="CG1909" s="223"/>
      <c r="CH1909" s="214"/>
      <c r="CI1909" s="220" t="s">
        <v>821</v>
      </c>
      <c r="CJ1909" s="220" t="s">
        <v>0</v>
      </c>
      <c r="CK1909" s="221"/>
      <c r="CL1909" s="223"/>
      <c r="CM1909" s="223"/>
      <c r="CN1909" s="223"/>
      <c r="CO1909" s="220"/>
      <c r="CP1909" s="220"/>
      <c r="CQ1909" s="220"/>
      <c r="CR1909" s="221"/>
      <c r="CT1909" s="224"/>
      <c r="CU1909" s="224"/>
      <c r="CV1909" s="224"/>
      <c r="CW1909" s="224"/>
      <c r="CX1909" s="224"/>
      <c r="CY1909" s="224"/>
      <c r="CZ1909" s="224"/>
      <c r="DA1909" s="224"/>
      <c r="DB1909" s="224"/>
      <c r="DC1909" s="223"/>
      <c r="DE1909" s="215" t="s">
        <v>550</v>
      </c>
    </row>
    <row r="1910" spans="1:109" s="215" customFormat="1" x14ac:dyDescent="0.2">
      <c r="A1910" s="214" t="s">
        <v>3473</v>
      </c>
      <c r="B1910" s="214" t="s">
        <v>5</v>
      </c>
      <c r="C1910" s="214">
        <f t="shared" si="169"/>
        <v>300280008</v>
      </c>
      <c r="D1910" s="215" t="s">
        <v>3491</v>
      </c>
      <c r="E1910" s="216" t="s">
        <v>3505</v>
      </c>
      <c r="F1910" s="216"/>
      <c r="G1910" s="216"/>
      <c r="H1910" s="216"/>
      <c r="I1910" s="217" t="s">
        <v>1567</v>
      </c>
      <c r="J1910" s="217"/>
      <c r="K1910" s="217"/>
      <c r="L1910" s="217"/>
      <c r="M1910" s="217"/>
      <c r="N1910" s="217" t="s">
        <v>819</v>
      </c>
      <c r="O1910" s="217" t="s">
        <v>3506</v>
      </c>
      <c r="P1910" s="217"/>
      <c r="Q1910" s="217" t="s">
        <v>2041</v>
      </c>
      <c r="R1910" s="217"/>
      <c r="S1910" s="217"/>
      <c r="T1910" s="217" t="s">
        <v>811</v>
      </c>
      <c r="U1910" s="218" t="s">
        <v>3487</v>
      </c>
      <c r="V1910" s="217" t="s">
        <v>3492</v>
      </c>
      <c r="W1910" s="217" t="s">
        <v>1</v>
      </c>
      <c r="X1910" s="217"/>
      <c r="Y1910" s="217"/>
      <c r="Z1910" s="217"/>
      <c r="AA1910" s="217"/>
      <c r="AB1910" s="217"/>
      <c r="AC1910" s="217"/>
      <c r="AD1910" s="217"/>
      <c r="AE1910" s="219"/>
      <c r="AF1910" s="219" t="s">
        <v>2042</v>
      </c>
      <c r="AG1910" s="217"/>
      <c r="AH1910" s="215" t="s">
        <v>3493</v>
      </c>
      <c r="AI1910" s="220"/>
      <c r="AJ1910" s="220"/>
      <c r="AK1910" s="221"/>
      <c r="AL1910" s="222" t="s">
        <v>3490</v>
      </c>
      <c r="AM1910" s="223"/>
      <c r="AN1910" s="223"/>
      <c r="AO1910" s="223"/>
      <c r="AP1910" s="223"/>
      <c r="AQ1910" s="223"/>
      <c r="AR1910" s="223"/>
      <c r="AS1910" s="223"/>
      <c r="AT1910" s="223"/>
      <c r="AV1910" s="220"/>
      <c r="AW1910" s="220"/>
      <c r="AX1910" s="221"/>
      <c r="AY1910" s="222"/>
      <c r="AZ1910" s="223"/>
      <c r="BA1910" s="223"/>
      <c r="BB1910" s="223"/>
      <c r="BC1910" s="223"/>
      <c r="BD1910" s="223"/>
      <c r="BE1910" s="223"/>
      <c r="BF1910" s="223"/>
      <c r="BG1910" s="223"/>
      <c r="BI1910" s="220"/>
      <c r="BJ1910" s="220"/>
      <c r="BK1910" s="221"/>
      <c r="BL1910" s="222"/>
      <c r="BM1910" s="223"/>
      <c r="BN1910" s="223"/>
      <c r="BO1910" s="223"/>
      <c r="BP1910" s="223"/>
      <c r="BQ1910" s="223"/>
      <c r="BR1910" s="223"/>
      <c r="BS1910" s="223"/>
      <c r="BT1910" s="223"/>
      <c r="BV1910" s="220"/>
      <c r="BW1910" s="220"/>
      <c r="BX1910" s="221"/>
      <c r="BY1910" s="222"/>
      <c r="BZ1910" s="223"/>
      <c r="CA1910" s="223"/>
      <c r="CB1910" s="223"/>
      <c r="CC1910" s="223"/>
      <c r="CD1910" s="223"/>
      <c r="CE1910" s="223"/>
      <c r="CF1910" s="223"/>
      <c r="CG1910" s="223"/>
      <c r="CH1910" s="214"/>
      <c r="CI1910" s="220" t="s">
        <v>821</v>
      </c>
      <c r="CJ1910" s="220" t="s">
        <v>0</v>
      </c>
      <c r="CK1910" s="221"/>
      <c r="CL1910" s="223"/>
      <c r="CM1910" s="223"/>
      <c r="CN1910" s="223"/>
      <c r="CO1910" s="220"/>
      <c r="CP1910" s="220"/>
      <c r="CQ1910" s="220"/>
      <c r="CR1910" s="221"/>
      <c r="CT1910" s="224"/>
      <c r="CU1910" s="224"/>
      <c r="CV1910" s="224"/>
      <c r="CW1910" s="224"/>
      <c r="CX1910" s="224"/>
      <c r="CY1910" s="224"/>
      <c r="CZ1910" s="224"/>
      <c r="DA1910" s="224"/>
      <c r="DB1910" s="224"/>
      <c r="DC1910" s="223"/>
      <c r="DE1910" s="215" t="s">
        <v>550</v>
      </c>
    </row>
    <row r="1911" spans="1:109" s="215" customFormat="1" x14ac:dyDescent="0.2">
      <c r="A1911" s="214" t="s">
        <v>3473</v>
      </c>
      <c r="B1911" s="214" t="s">
        <v>6</v>
      </c>
      <c r="C1911" s="214">
        <f t="shared" si="169"/>
        <v>300280009</v>
      </c>
      <c r="D1911" s="215" t="s">
        <v>3494</v>
      </c>
      <c r="E1911" s="216" t="s">
        <v>3505</v>
      </c>
      <c r="F1911" s="216"/>
      <c r="G1911" s="216"/>
      <c r="H1911" s="216"/>
      <c r="I1911" s="217" t="s">
        <v>1567</v>
      </c>
      <c r="J1911" s="217"/>
      <c r="K1911" s="217"/>
      <c r="L1911" s="217"/>
      <c r="M1911" s="217"/>
      <c r="N1911" s="217" t="s">
        <v>819</v>
      </c>
      <c r="O1911" s="217" t="s">
        <v>3506</v>
      </c>
      <c r="P1911" s="217"/>
      <c r="Q1911" s="217" t="s">
        <v>2041</v>
      </c>
      <c r="R1911" s="217"/>
      <c r="S1911" s="217"/>
      <c r="T1911" s="217" t="s">
        <v>811</v>
      </c>
      <c r="U1911" s="218" t="s">
        <v>3487</v>
      </c>
      <c r="V1911" s="217" t="s">
        <v>3495</v>
      </c>
      <c r="W1911" s="217" t="s">
        <v>1</v>
      </c>
      <c r="X1911" s="217"/>
      <c r="Y1911" s="217"/>
      <c r="Z1911" s="217"/>
      <c r="AA1911" s="217"/>
      <c r="AB1911" s="217"/>
      <c r="AC1911" s="217"/>
      <c r="AD1911" s="217"/>
      <c r="AE1911" s="219"/>
      <c r="AF1911" s="219" t="s">
        <v>2042</v>
      </c>
      <c r="AG1911" s="217"/>
      <c r="AH1911" s="215" t="s">
        <v>3493</v>
      </c>
      <c r="AI1911" s="220"/>
      <c r="AJ1911" s="220"/>
      <c r="AK1911" s="221"/>
      <c r="AL1911" s="222" t="s">
        <v>3490</v>
      </c>
      <c r="AM1911" s="223"/>
      <c r="AN1911" s="223"/>
      <c r="AO1911" s="223"/>
      <c r="AP1911" s="223"/>
      <c r="AQ1911" s="223"/>
      <c r="AR1911" s="223"/>
      <c r="AS1911" s="223"/>
      <c r="AT1911" s="223"/>
      <c r="AV1911" s="220"/>
      <c r="AW1911" s="220"/>
      <c r="AX1911" s="221"/>
      <c r="AY1911" s="222"/>
      <c r="AZ1911" s="223"/>
      <c r="BA1911" s="223"/>
      <c r="BB1911" s="223"/>
      <c r="BC1911" s="223"/>
      <c r="BD1911" s="223"/>
      <c r="BE1911" s="223"/>
      <c r="BF1911" s="223"/>
      <c r="BG1911" s="223"/>
      <c r="BI1911" s="220"/>
      <c r="BJ1911" s="220"/>
      <c r="BK1911" s="221"/>
      <c r="BL1911" s="222"/>
      <c r="BM1911" s="223"/>
      <c r="BN1911" s="223"/>
      <c r="BO1911" s="223"/>
      <c r="BP1911" s="223"/>
      <c r="BQ1911" s="223"/>
      <c r="BR1911" s="223"/>
      <c r="BS1911" s="223"/>
      <c r="BT1911" s="223"/>
      <c r="BV1911" s="220"/>
      <c r="BW1911" s="220"/>
      <c r="BX1911" s="221"/>
      <c r="BY1911" s="222"/>
      <c r="BZ1911" s="223"/>
      <c r="CA1911" s="223"/>
      <c r="CB1911" s="223"/>
      <c r="CC1911" s="223"/>
      <c r="CD1911" s="223"/>
      <c r="CE1911" s="223"/>
      <c r="CF1911" s="223"/>
      <c r="CG1911" s="223"/>
      <c r="CH1911" s="214"/>
      <c r="CI1911" s="220" t="s">
        <v>821</v>
      </c>
      <c r="CJ1911" s="220" t="s">
        <v>0</v>
      </c>
      <c r="CK1911" s="221"/>
      <c r="CL1911" s="223"/>
      <c r="CM1911" s="223"/>
      <c r="CN1911" s="223"/>
      <c r="CO1911" s="220"/>
      <c r="CP1911" s="220"/>
      <c r="CQ1911" s="220"/>
      <c r="CR1911" s="221"/>
      <c r="CT1911" s="224"/>
      <c r="CU1911" s="224"/>
      <c r="CV1911" s="224"/>
      <c r="CW1911" s="224"/>
      <c r="CX1911" s="224"/>
      <c r="CY1911" s="224"/>
      <c r="CZ1911" s="224"/>
      <c r="DA1911" s="224"/>
      <c r="DB1911" s="224"/>
      <c r="DC1911" s="223"/>
      <c r="DE1911" s="215" t="s">
        <v>550</v>
      </c>
    </row>
    <row r="1912" spans="1:109" s="215" customFormat="1" x14ac:dyDescent="0.2">
      <c r="A1912" s="214" t="s">
        <v>3473</v>
      </c>
      <c r="B1912" s="214" t="s">
        <v>7</v>
      </c>
      <c r="C1912" s="214">
        <f t="shared" si="169"/>
        <v>300280010</v>
      </c>
      <c r="D1912" s="215" t="s">
        <v>3496</v>
      </c>
      <c r="E1912" s="216" t="s">
        <v>3505</v>
      </c>
      <c r="F1912" s="216"/>
      <c r="G1912" s="216"/>
      <c r="H1912" s="216"/>
      <c r="I1912" s="217" t="s">
        <v>1567</v>
      </c>
      <c r="J1912" s="217"/>
      <c r="K1912" s="217"/>
      <c r="L1912" s="217"/>
      <c r="M1912" s="217"/>
      <c r="N1912" s="217" t="s">
        <v>819</v>
      </c>
      <c r="O1912" s="217" t="s">
        <v>3506</v>
      </c>
      <c r="P1912" s="217"/>
      <c r="Q1912" s="217" t="s">
        <v>2041</v>
      </c>
      <c r="R1912" s="217"/>
      <c r="S1912" s="217"/>
      <c r="T1912" s="217" t="s">
        <v>811</v>
      </c>
      <c r="U1912" s="218" t="s">
        <v>3487</v>
      </c>
      <c r="V1912" s="217" t="s">
        <v>3497</v>
      </c>
      <c r="W1912" s="217" t="s">
        <v>1</v>
      </c>
      <c r="X1912" s="217"/>
      <c r="Y1912" s="217"/>
      <c r="Z1912" s="217"/>
      <c r="AA1912" s="217"/>
      <c r="AB1912" s="217"/>
      <c r="AC1912" s="217"/>
      <c r="AD1912" s="217"/>
      <c r="AE1912" s="219"/>
      <c r="AF1912" s="219" t="s">
        <v>2042</v>
      </c>
      <c r="AG1912" s="217"/>
      <c r="AH1912" s="215" t="s">
        <v>3493</v>
      </c>
      <c r="AI1912" s="220"/>
      <c r="AJ1912" s="220"/>
      <c r="AK1912" s="221"/>
      <c r="AL1912" s="222" t="s">
        <v>3490</v>
      </c>
      <c r="AM1912" s="223"/>
      <c r="AN1912" s="223"/>
      <c r="AO1912" s="223"/>
      <c r="AP1912" s="223"/>
      <c r="AQ1912" s="223"/>
      <c r="AR1912" s="223"/>
      <c r="AS1912" s="223"/>
      <c r="AT1912" s="223"/>
      <c r="AV1912" s="220"/>
      <c r="AW1912" s="220"/>
      <c r="AX1912" s="221"/>
      <c r="AY1912" s="222"/>
      <c r="AZ1912" s="223"/>
      <c r="BA1912" s="223"/>
      <c r="BB1912" s="223"/>
      <c r="BC1912" s="223"/>
      <c r="BD1912" s="223"/>
      <c r="BE1912" s="223"/>
      <c r="BF1912" s="223"/>
      <c r="BG1912" s="223"/>
      <c r="BI1912" s="220"/>
      <c r="BJ1912" s="220"/>
      <c r="BK1912" s="221"/>
      <c r="BL1912" s="222"/>
      <c r="BM1912" s="223"/>
      <c r="BN1912" s="223"/>
      <c r="BO1912" s="223"/>
      <c r="BP1912" s="223"/>
      <c r="BQ1912" s="223"/>
      <c r="BR1912" s="223"/>
      <c r="BS1912" s="223"/>
      <c r="BT1912" s="223"/>
      <c r="BV1912" s="220"/>
      <c r="BW1912" s="220"/>
      <c r="BX1912" s="221"/>
      <c r="BY1912" s="222"/>
      <c r="BZ1912" s="223"/>
      <c r="CA1912" s="223"/>
      <c r="CB1912" s="223"/>
      <c r="CC1912" s="223"/>
      <c r="CD1912" s="223"/>
      <c r="CE1912" s="223"/>
      <c r="CF1912" s="223"/>
      <c r="CG1912" s="223"/>
      <c r="CH1912" s="214"/>
      <c r="CI1912" s="220" t="s">
        <v>821</v>
      </c>
      <c r="CJ1912" s="220" t="s">
        <v>0</v>
      </c>
      <c r="CK1912" s="221"/>
      <c r="CL1912" s="223"/>
      <c r="CM1912" s="223"/>
      <c r="CN1912" s="223"/>
      <c r="CO1912" s="220"/>
      <c r="CP1912" s="220"/>
      <c r="CQ1912" s="220"/>
      <c r="CR1912" s="221"/>
      <c r="CT1912" s="224"/>
      <c r="CU1912" s="224"/>
      <c r="CV1912" s="224"/>
      <c r="CW1912" s="224"/>
      <c r="CX1912" s="224"/>
      <c r="CY1912" s="224"/>
      <c r="CZ1912" s="224"/>
      <c r="DA1912" s="224"/>
      <c r="DB1912" s="224"/>
      <c r="DC1912" s="223"/>
      <c r="DE1912" s="215" t="s">
        <v>550</v>
      </c>
    </row>
    <row r="1913" spans="1:109" s="128" customFormat="1" x14ac:dyDescent="0.2">
      <c r="A1913" s="127" t="s">
        <v>3507</v>
      </c>
      <c r="B1913" s="127" t="s">
        <v>181</v>
      </c>
      <c r="C1913" s="127">
        <f t="shared" si="169"/>
        <v>300290001</v>
      </c>
      <c r="D1913" s="128" t="s">
        <v>3508</v>
      </c>
      <c r="E1913" s="129" t="s">
        <v>3518</v>
      </c>
      <c r="F1913" s="147"/>
      <c r="G1913" s="147"/>
      <c r="H1913" s="147"/>
      <c r="I1913" s="136" t="s">
        <v>3519</v>
      </c>
      <c r="J1913" s="114" t="s">
        <v>548</v>
      </c>
      <c r="K1913" s="114"/>
      <c r="L1913" s="114"/>
      <c r="M1913" s="114"/>
      <c r="N1913" s="114" t="s">
        <v>819</v>
      </c>
      <c r="O1913" s="114" t="s">
        <v>3511</v>
      </c>
      <c r="P1913" s="114"/>
      <c r="Q1913" s="114" t="s">
        <v>2041</v>
      </c>
      <c r="R1913" s="114"/>
      <c r="S1913" s="114"/>
      <c r="T1913" s="114" t="s">
        <v>3433</v>
      </c>
      <c r="U1913" s="117" t="s">
        <v>3509</v>
      </c>
      <c r="V1913" s="114" t="s">
        <v>819</v>
      </c>
      <c r="W1913" s="114" t="s">
        <v>1</v>
      </c>
      <c r="X1913" s="114"/>
      <c r="Y1913" s="114"/>
      <c r="Z1913" s="114"/>
      <c r="AA1913" s="114"/>
      <c r="AB1913" s="114"/>
      <c r="AC1913" s="114"/>
      <c r="AD1913" s="114"/>
      <c r="AE1913" s="130"/>
      <c r="AF1913" s="130" t="s">
        <v>2042</v>
      </c>
      <c r="AG1913" s="114"/>
      <c r="AH1913" s="128" t="s">
        <v>3512</v>
      </c>
      <c r="AI1913" s="131"/>
      <c r="AJ1913" s="131"/>
      <c r="AK1913" s="132">
        <v>1000</v>
      </c>
      <c r="AL1913" s="133" t="s">
        <v>3513</v>
      </c>
      <c r="AM1913" s="134"/>
      <c r="AN1913" s="134"/>
      <c r="AO1913" s="134"/>
      <c r="AP1913" s="134"/>
      <c r="AQ1913" s="134"/>
      <c r="AR1913" s="134"/>
      <c r="AS1913" s="134"/>
      <c r="AT1913" s="134"/>
      <c r="AU1913" s="128" t="s">
        <v>3512</v>
      </c>
      <c r="AV1913" s="131"/>
      <c r="AW1913" s="131"/>
      <c r="AX1913" s="132">
        <v>1000</v>
      </c>
      <c r="AY1913" s="133" t="s">
        <v>3513</v>
      </c>
      <c r="AZ1913" s="134"/>
      <c r="BA1913" s="134"/>
      <c r="BB1913" s="134"/>
      <c r="BC1913" s="134"/>
      <c r="BD1913" s="134"/>
      <c r="BE1913" s="134"/>
      <c r="BF1913" s="134"/>
      <c r="BG1913" s="134"/>
      <c r="BH1913" s="128" t="s">
        <v>3512</v>
      </c>
      <c r="BI1913" s="131"/>
      <c r="BJ1913" s="131"/>
      <c r="BK1913" s="132">
        <v>1000</v>
      </c>
      <c r="BL1913" s="133" t="s">
        <v>3513</v>
      </c>
      <c r="BM1913" s="134"/>
      <c r="BN1913" s="134"/>
      <c r="BO1913" s="134"/>
      <c r="BP1913" s="134"/>
      <c r="BQ1913" s="134"/>
      <c r="BR1913" s="134"/>
      <c r="BS1913" s="134"/>
      <c r="BT1913" s="134"/>
      <c r="BV1913" s="131"/>
      <c r="BW1913" s="131"/>
      <c r="BX1913" s="132"/>
      <c r="BY1913" s="133"/>
      <c r="BZ1913" s="134"/>
      <c r="CA1913" s="134"/>
      <c r="CB1913" s="134"/>
      <c r="CC1913" s="134"/>
      <c r="CD1913" s="134"/>
      <c r="CE1913" s="134"/>
      <c r="CF1913" s="134"/>
      <c r="CG1913" s="134"/>
      <c r="CH1913" s="127"/>
      <c r="CI1913" s="131" t="s">
        <v>821</v>
      </c>
      <c r="CJ1913" s="131" t="s">
        <v>0</v>
      </c>
      <c r="CK1913" s="132"/>
      <c r="CL1913" s="134"/>
      <c r="CM1913" s="134"/>
      <c r="CN1913" s="134"/>
      <c r="CO1913" s="131"/>
      <c r="CP1913" s="131"/>
      <c r="CQ1913" s="131"/>
      <c r="CR1913" s="132"/>
      <c r="CT1913" s="135"/>
      <c r="CU1913" s="135"/>
      <c r="CV1913" s="135"/>
      <c r="CW1913" s="135"/>
      <c r="CX1913" s="135"/>
      <c r="CY1913" s="135"/>
      <c r="CZ1913" s="135"/>
      <c r="DA1913" s="135"/>
      <c r="DB1913" s="135"/>
      <c r="DC1913" s="134"/>
    </row>
    <row r="1914" spans="1:109" s="128" customFormat="1" x14ac:dyDescent="0.2">
      <c r="A1914" s="127" t="s">
        <v>3507</v>
      </c>
      <c r="B1914" s="127" t="s">
        <v>22</v>
      </c>
      <c r="C1914" s="127">
        <f t="shared" si="169"/>
        <v>300290002</v>
      </c>
      <c r="D1914" s="128" t="s">
        <v>3508</v>
      </c>
      <c r="E1914" s="129" t="s">
        <v>3518</v>
      </c>
      <c r="F1914" s="147"/>
      <c r="G1914" s="147"/>
      <c r="H1914" s="147"/>
      <c r="I1914" s="136" t="s">
        <v>3520</v>
      </c>
      <c r="J1914" s="114" t="s">
        <v>548</v>
      </c>
      <c r="K1914" s="114"/>
      <c r="L1914" s="114"/>
      <c r="M1914" s="114"/>
      <c r="N1914" s="114" t="s">
        <v>819</v>
      </c>
      <c r="O1914" s="114" t="s">
        <v>3511</v>
      </c>
      <c r="P1914" s="114"/>
      <c r="Q1914" s="114" t="s">
        <v>2041</v>
      </c>
      <c r="R1914" s="114"/>
      <c r="S1914" s="114"/>
      <c r="T1914" s="114" t="s">
        <v>3433</v>
      </c>
      <c r="U1914" s="117" t="s">
        <v>3509</v>
      </c>
      <c r="V1914" s="114" t="s">
        <v>819</v>
      </c>
      <c r="W1914" s="114" t="s">
        <v>1</v>
      </c>
      <c r="X1914" s="114"/>
      <c r="Y1914" s="114"/>
      <c r="Z1914" s="114"/>
      <c r="AA1914" s="114"/>
      <c r="AB1914" s="114"/>
      <c r="AC1914" s="114"/>
      <c r="AD1914" s="114"/>
      <c r="AE1914" s="130"/>
      <c r="AF1914" s="130" t="s">
        <v>2042</v>
      </c>
      <c r="AG1914" s="114"/>
      <c r="AH1914" s="128" t="s">
        <v>3512</v>
      </c>
      <c r="AI1914" s="131"/>
      <c r="AJ1914" s="131"/>
      <c r="AK1914" s="132">
        <v>1000</v>
      </c>
      <c r="AL1914" s="133" t="s">
        <v>3513</v>
      </c>
      <c r="AM1914" s="134"/>
      <c r="AN1914" s="134"/>
      <c r="AO1914" s="134"/>
      <c r="AP1914" s="134"/>
      <c r="AQ1914" s="134"/>
      <c r="AR1914" s="134"/>
      <c r="AS1914" s="134"/>
      <c r="AT1914" s="134"/>
      <c r="AU1914" s="128" t="s">
        <v>3512</v>
      </c>
      <c r="AV1914" s="131"/>
      <c r="AW1914" s="131"/>
      <c r="AX1914" s="132">
        <v>1000</v>
      </c>
      <c r="AY1914" s="133" t="s">
        <v>3513</v>
      </c>
      <c r="AZ1914" s="134"/>
      <c r="BA1914" s="134"/>
      <c r="BB1914" s="134"/>
      <c r="BC1914" s="134"/>
      <c r="BD1914" s="134"/>
      <c r="BE1914" s="134"/>
      <c r="BF1914" s="134"/>
      <c r="BG1914" s="134"/>
      <c r="BH1914" s="128" t="s">
        <v>3512</v>
      </c>
      <c r="BI1914" s="131"/>
      <c r="BJ1914" s="131"/>
      <c r="BK1914" s="132">
        <v>1000</v>
      </c>
      <c r="BL1914" s="133" t="s">
        <v>3513</v>
      </c>
      <c r="BM1914" s="134"/>
      <c r="BN1914" s="134"/>
      <c r="BO1914" s="134"/>
      <c r="BP1914" s="134"/>
      <c r="BQ1914" s="134"/>
      <c r="BR1914" s="134"/>
      <c r="BS1914" s="134"/>
      <c r="BT1914" s="134"/>
      <c r="BV1914" s="131"/>
      <c r="BW1914" s="131"/>
      <c r="BX1914" s="132"/>
      <c r="BY1914" s="133"/>
      <c r="BZ1914" s="134"/>
      <c r="CA1914" s="134"/>
      <c r="CB1914" s="134"/>
      <c r="CC1914" s="134"/>
      <c r="CD1914" s="134"/>
      <c r="CE1914" s="134"/>
      <c r="CF1914" s="134"/>
      <c r="CG1914" s="134"/>
      <c r="CH1914" s="127"/>
      <c r="CI1914" s="131" t="s">
        <v>821</v>
      </c>
      <c r="CJ1914" s="131" t="s">
        <v>0</v>
      </c>
      <c r="CK1914" s="132"/>
      <c r="CL1914" s="134"/>
      <c r="CM1914" s="134"/>
      <c r="CN1914" s="134"/>
      <c r="CO1914" s="131"/>
      <c r="CP1914" s="131"/>
      <c r="CQ1914" s="131"/>
      <c r="CR1914" s="132"/>
      <c r="CT1914" s="135"/>
      <c r="CU1914" s="135"/>
      <c r="CV1914" s="135"/>
      <c r="CW1914" s="135"/>
      <c r="CX1914" s="135"/>
      <c r="CY1914" s="135"/>
      <c r="CZ1914" s="135"/>
      <c r="DA1914" s="135"/>
      <c r="DB1914" s="135"/>
      <c r="DC1914" s="134"/>
    </row>
    <row r="1915" spans="1:109" s="128" customFormat="1" x14ac:dyDescent="0.2">
      <c r="A1915" s="127" t="s">
        <v>3507</v>
      </c>
      <c r="B1915" s="127" t="s">
        <v>122</v>
      </c>
      <c r="C1915" s="127">
        <f t="shared" si="169"/>
        <v>300290003</v>
      </c>
      <c r="D1915" s="128" t="s">
        <v>3508</v>
      </c>
      <c r="E1915" s="129" t="s">
        <v>3518</v>
      </c>
      <c r="F1915" s="147"/>
      <c r="G1915" s="147"/>
      <c r="H1915" s="147"/>
      <c r="I1915" s="136" t="s">
        <v>3521</v>
      </c>
      <c r="J1915" s="114" t="s">
        <v>548</v>
      </c>
      <c r="K1915" s="114"/>
      <c r="L1915" s="114"/>
      <c r="M1915" s="114"/>
      <c r="N1915" s="114" t="s">
        <v>819</v>
      </c>
      <c r="O1915" s="114" t="s">
        <v>3511</v>
      </c>
      <c r="P1915" s="114"/>
      <c r="Q1915" s="114" t="s">
        <v>2041</v>
      </c>
      <c r="R1915" s="114"/>
      <c r="S1915" s="114"/>
      <c r="T1915" s="114" t="s">
        <v>3433</v>
      </c>
      <c r="U1915" s="117" t="s">
        <v>3509</v>
      </c>
      <c r="V1915" s="114" t="s">
        <v>819</v>
      </c>
      <c r="W1915" s="114" t="s">
        <v>1</v>
      </c>
      <c r="X1915" s="114"/>
      <c r="Y1915" s="114"/>
      <c r="Z1915" s="114"/>
      <c r="AA1915" s="114"/>
      <c r="AB1915" s="114"/>
      <c r="AC1915" s="114"/>
      <c r="AD1915" s="114"/>
      <c r="AE1915" s="130"/>
      <c r="AF1915" s="130" t="s">
        <v>2042</v>
      </c>
      <c r="AG1915" s="114"/>
      <c r="AH1915" s="128" t="s">
        <v>3512</v>
      </c>
      <c r="AI1915" s="131"/>
      <c r="AJ1915" s="131"/>
      <c r="AK1915" s="132">
        <v>1000</v>
      </c>
      <c r="AL1915" s="133" t="s">
        <v>3513</v>
      </c>
      <c r="AM1915" s="134"/>
      <c r="AN1915" s="134"/>
      <c r="AO1915" s="134"/>
      <c r="AP1915" s="134"/>
      <c r="AQ1915" s="134"/>
      <c r="AR1915" s="134"/>
      <c r="AS1915" s="134"/>
      <c r="AT1915" s="134"/>
      <c r="AU1915" s="128" t="s">
        <v>3512</v>
      </c>
      <c r="AV1915" s="131"/>
      <c r="AW1915" s="131"/>
      <c r="AX1915" s="132">
        <v>1000</v>
      </c>
      <c r="AY1915" s="133" t="s">
        <v>3513</v>
      </c>
      <c r="AZ1915" s="134"/>
      <c r="BA1915" s="134"/>
      <c r="BB1915" s="134"/>
      <c r="BC1915" s="134"/>
      <c r="BD1915" s="134"/>
      <c r="BE1915" s="134"/>
      <c r="BF1915" s="134"/>
      <c r="BG1915" s="134"/>
      <c r="BH1915" s="128" t="s">
        <v>3512</v>
      </c>
      <c r="BI1915" s="131"/>
      <c r="BJ1915" s="131"/>
      <c r="BK1915" s="132">
        <v>1000</v>
      </c>
      <c r="BL1915" s="133" t="s">
        <v>3513</v>
      </c>
      <c r="BM1915" s="134"/>
      <c r="BN1915" s="134"/>
      <c r="BO1915" s="134"/>
      <c r="BP1915" s="134"/>
      <c r="BQ1915" s="134"/>
      <c r="BR1915" s="134"/>
      <c r="BS1915" s="134"/>
      <c r="BT1915" s="134"/>
      <c r="BV1915" s="131"/>
      <c r="BW1915" s="131"/>
      <c r="BX1915" s="132"/>
      <c r="BY1915" s="133"/>
      <c r="BZ1915" s="134"/>
      <c r="CA1915" s="134"/>
      <c r="CB1915" s="134"/>
      <c r="CC1915" s="134"/>
      <c r="CD1915" s="134"/>
      <c r="CE1915" s="134"/>
      <c r="CF1915" s="134"/>
      <c r="CG1915" s="134"/>
      <c r="CH1915" s="127"/>
      <c r="CI1915" s="131" t="s">
        <v>821</v>
      </c>
      <c r="CJ1915" s="131" t="s">
        <v>0</v>
      </c>
      <c r="CK1915" s="132"/>
      <c r="CL1915" s="134"/>
      <c r="CM1915" s="134"/>
      <c r="CN1915" s="134"/>
      <c r="CO1915" s="131"/>
      <c r="CP1915" s="131"/>
      <c r="CQ1915" s="131"/>
      <c r="CR1915" s="132"/>
      <c r="CT1915" s="135"/>
      <c r="CU1915" s="135"/>
      <c r="CV1915" s="135"/>
      <c r="CW1915" s="135"/>
      <c r="CX1915" s="135"/>
      <c r="CY1915" s="135"/>
      <c r="CZ1915" s="135"/>
      <c r="DA1915" s="135"/>
      <c r="DB1915" s="135"/>
      <c r="DC1915" s="134"/>
    </row>
    <row r="1916" spans="1:109" s="128" customFormat="1" x14ac:dyDescent="0.2">
      <c r="A1916" s="127" t="s">
        <v>3507</v>
      </c>
      <c r="B1916" s="127" t="s">
        <v>1</v>
      </c>
      <c r="C1916" s="127">
        <f t="shared" si="169"/>
        <v>300290004</v>
      </c>
      <c r="D1916" s="128" t="s">
        <v>3508</v>
      </c>
      <c r="E1916" s="129" t="s">
        <v>3518</v>
      </c>
      <c r="F1916" s="147"/>
      <c r="G1916" s="147"/>
      <c r="H1916" s="147"/>
      <c r="I1916" s="136" t="s">
        <v>3522</v>
      </c>
      <c r="J1916" s="114" t="s">
        <v>548</v>
      </c>
      <c r="K1916" s="114"/>
      <c r="L1916" s="114"/>
      <c r="M1916" s="114"/>
      <c r="N1916" s="114" t="s">
        <v>819</v>
      </c>
      <c r="O1916" s="114" t="s">
        <v>3511</v>
      </c>
      <c r="P1916" s="114"/>
      <c r="Q1916" s="114" t="s">
        <v>2041</v>
      </c>
      <c r="R1916" s="114"/>
      <c r="S1916" s="114"/>
      <c r="T1916" s="114" t="s">
        <v>3433</v>
      </c>
      <c r="U1916" s="117" t="s">
        <v>3509</v>
      </c>
      <c r="V1916" s="114" t="s">
        <v>819</v>
      </c>
      <c r="W1916" s="114" t="s">
        <v>1</v>
      </c>
      <c r="X1916" s="114"/>
      <c r="Y1916" s="114"/>
      <c r="Z1916" s="114"/>
      <c r="AA1916" s="114"/>
      <c r="AB1916" s="114"/>
      <c r="AC1916" s="114"/>
      <c r="AD1916" s="114"/>
      <c r="AE1916" s="130"/>
      <c r="AF1916" s="130" t="s">
        <v>2042</v>
      </c>
      <c r="AG1916" s="114"/>
      <c r="AH1916" s="128" t="s">
        <v>3512</v>
      </c>
      <c r="AI1916" s="131"/>
      <c r="AJ1916" s="131"/>
      <c r="AK1916" s="132">
        <v>1000</v>
      </c>
      <c r="AL1916" s="133" t="s">
        <v>3513</v>
      </c>
      <c r="AM1916" s="134"/>
      <c r="AN1916" s="134"/>
      <c r="AO1916" s="134"/>
      <c r="AP1916" s="134"/>
      <c r="AQ1916" s="134"/>
      <c r="AR1916" s="134"/>
      <c r="AS1916" s="134"/>
      <c r="AT1916" s="134"/>
      <c r="AU1916" s="128" t="s">
        <v>3512</v>
      </c>
      <c r="AV1916" s="131"/>
      <c r="AW1916" s="131"/>
      <c r="AX1916" s="132">
        <v>1000</v>
      </c>
      <c r="AY1916" s="133" t="s">
        <v>3513</v>
      </c>
      <c r="AZ1916" s="134"/>
      <c r="BA1916" s="134"/>
      <c r="BB1916" s="134"/>
      <c r="BC1916" s="134"/>
      <c r="BD1916" s="134"/>
      <c r="BE1916" s="134"/>
      <c r="BF1916" s="134"/>
      <c r="BG1916" s="134"/>
      <c r="BH1916" s="128" t="s">
        <v>3512</v>
      </c>
      <c r="BI1916" s="131"/>
      <c r="BJ1916" s="131"/>
      <c r="BK1916" s="132">
        <v>1000</v>
      </c>
      <c r="BL1916" s="133" t="s">
        <v>3513</v>
      </c>
      <c r="BM1916" s="134"/>
      <c r="BN1916" s="134"/>
      <c r="BO1916" s="134"/>
      <c r="BP1916" s="134"/>
      <c r="BQ1916" s="134"/>
      <c r="BR1916" s="134"/>
      <c r="BS1916" s="134"/>
      <c r="BT1916" s="134"/>
      <c r="BV1916" s="131"/>
      <c r="BW1916" s="131"/>
      <c r="BX1916" s="132"/>
      <c r="BY1916" s="133"/>
      <c r="BZ1916" s="134"/>
      <c r="CA1916" s="134"/>
      <c r="CB1916" s="134"/>
      <c r="CC1916" s="134"/>
      <c r="CD1916" s="134"/>
      <c r="CE1916" s="134"/>
      <c r="CF1916" s="134"/>
      <c r="CG1916" s="134"/>
      <c r="CH1916" s="127"/>
      <c r="CI1916" s="131" t="s">
        <v>821</v>
      </c>
      <c r="CJ1916" s="131" t="s">
        <v>0</v>
      </c>
      <c r="CK1916" s="132"/>
      <c r="CL1916" s="134"/>
      <c r="CM1916" s="134"/>
      <c r="CN1916" s="134"/>
      <c r="CO1916" s="131"/>
      <c r="CP1916" s="131"/>
      <c r="CQ1916" s="131"/>
      <c r="CR1916" s="132"/>
      <c r="CT1916" s="135"/>
      <c r="CU1916" s="135"/>
      <c r="CV1916" s="135"/>
      <c r="CW1916" s="135"/>
      <c r="CX1916" s="135"/>
      <c r="CY1916" s="135"/>
      <c r="CZ1916" s="135"/>
      <c r="DA1916" s="135"/>
      <c r="DB1916" s="135"/>
      <c r="DC1916" s="134"/>
    </row>
    <row r="1917" spans="1:109" s="128" customFormat="1" x14ac:dyDescent="0.2">
      <c r="A1917" s="127" t="s">
        <v>3507</v>
      </c>
      <c r="B1917" s="127" t="s">
        <v>2</v>
      </c>
      <c r="C1917" s="127">
        <f t="shared" si="169"/>
        <v>300290005</v>
      </c>
      <c r="D1917" s="128" t="s">
        <v>3508</v>
      </c>
      <c r="E1917" s="129" t="s">
        <v>3518</v>
      </c>
      <c r="F1917" s="147"/>
      <c r="G1917" s="147"/>
      <c r="H1917" s="147"/>
      <c r="I1917" s="136" t="s">
        <v>3523</v>
      </c>
      <c r="J1917" s="114" t="s">
        <v>548</v>
      </c>
      <c r="K1917" s="114"/>
      <c r="L1917" s="114"/>
      <c r="M1917" s="114"/>
      <c r="N1917" s="114" t="s">
        <v>819</v>
      </c>
      <c r="O1917" s="114" t="s">
        <v>3511</v>
      </c>
      <c r="P1917" s="114"/>
      <c r="Q1917" s="114" t="s">
        <v>2041</v>
      </c>
      <c r="R1917" s="114"/>
      <c r="S1917" s="114"/>
      <c r="T1917" s="114" t="s">
        <v>3433</v>
      </c>
      <c r="U1917" s="117" t="s">
        <v>3509</v>
      </c>
      <c r="V1917" s="114" t="s">
        <v>819</v>
      </c>
      <c r="W1917" s="114" t="s">
        <v>1</v>
      </c>
      <c r="X1917" s="114"/>
      <c r="Y1917" s="114"/>
      <c r="Z1917" s="114"/>
      <c r="AA1917" s="114"/>
      <c r="AB1917" s="114"/>
      <c r="AC1917" s="114"/>
      <c r="AD1917" s="114"/>
      <c r="AE1917" s="130"/>
      <c r="AF1917" s="130" t="s">
        <v>2042</v>
      </c>
      <c r="AG1917" s="114"/>
      <c r="AH1917" s="128" t="s">
        <v>3512</v>
      </c>
      <c r="AI1917" s="131"/>
      <c r="AJ1917" s="131"/>
      <c r="AK1917" s="132">
        <v>1000</v>
      </c>
      <c r="AL1917" s="133" t="s">
        <v>3513</v>
      </c>
      <c r="AM1917" s="134"/>
      <c r="AN1917" s="134"/>
      <c r="AO1917" s="134"/>
      <c r="AP1917" s="134"/>
      <c r="AQ1917" s="134"/>
      <c r="AR1917" s="134"/>
      <c r="AS1917" s="134"/>
      <c r="AT1917" s="134"/>
      <c r="AU1917" s="128" t="s">
        <v>3512</v>
      </c>
      <c r="AV1917" s="131"/>
      <c r="AW1917" s="131"/>
      <c r="AX1917" s="132">
        <v>1000</v>
      </c>
      <c r="AY1917" s="133" t="s">
        <v>3513</v>
      </c>
      <c r="AZ1917" s="134"/>
      <c r="BA1917" s="134"/>
      <c r="BB1917" s="134"/>
      <c r="BC1917" s="134"/>
      <c r="BD1917" s="134"/>
      <c r="BE1917" s="134"/>
      <c r="BF1917" s="134"/>
      <c r="BG1917" s="134"/>
      <c r="BH1917" s="128" t="s">
        <v>3512</v>
      </c>
      <c r="BI1917" s="131"/>
      <c r="BJ1917" s="131"/>
      <c r="BK1917" s="132">
        <v>1000</v>
      </c>
      <c r="BL1917" s="133" t="s">
        <v>3513</v>
      </c>
      <c r="BM1917" s="134"/>
      <c r="BN1917" s="134"/>
      <c r="BO1917" s="134"/>
      <c r="BP1917" s="134"/>
      <c r="BQ1917" s="134"/>
      <c r="BR1917" s="134"/>
      <c r="BS1917" s="134"/>
      <c r="BT1917" s="134"/>
      <c r="BV1917" s="131"/>
      <c r="BW1917" s="131"/>
      <c r="BX1917" s="132"/>
      <c r="BY1917" s="133"/>
      <c r="BZ1917" s="134"/>
      <c r="CA1917" s="134"/>
      <c r="CB1917" s="134"/>
      <c r="CC1917" s="134"/>
      <c r="CD1917" s="134"/>
      <c r="CE1917" s="134"/>
      <c r="CF1917" s="134"/>
      <c r="CG1917" s="134"/>
      <c r="CH1917" s="127"/>
      <c r="CI1917" s="131" t="s">
        <v>821</v>
      </c>
      <c r="CJ1917" s="131" t="s">
        <v>0</v>
      </c>
      <c r="CK1917" s="132"/>
      <c r="CL1917" s="134"/>
      <c r="CM1917" s="134"/>
      <c r="CN1917" s="134"/>
      <c r="CO1917" s="131"/>
      <c r="CP1917" s="131"/>
      <c r="CQ1917" s="131"/>
      <c r="CR1917" s="132"/>
      <c r="CT1917" s="135"/>
      <c r="CU1917" s="135"/>
      <c r="CV1917" s="135"/>
      <c r="CW1917" s="135"/>
      <c r="CX1917" s="135"/>
      <c r="CY1917" s="135"/>
      <c r="CZ1917" s="135"/>
      <c r="DA1917" s="135"/>
      <c r="DB1917" s="135"/>
      <c r="DC1917" s="134"/>
    </row>
    <row r="1918" spans="1:109" s="128" customFormat="1" x14ac:dyDescent="0.2">
      <c r="A1918" s="127" t="s">
        <v>3507</v>
      </c>
      <c r="B1918" s="127" t="s">
        <v>3</v>
      </c>
      <c r="C1918" s="127">
        <f t="shared" si="169"/>
        <v>300290006</v>
      </c>
      <c r="D1918" s="128" t="s">
        <v>3508</v>
      </c>
      <c r="E1918" s="129" t="s">
        <v>3518</v>
      </c>
      <c r="F1918" s="147"/>
      <c r="G1918" s="147"/>
      <c r="H1918" s="147"/>
      <c r="I1918" s="136" t="s">
        <v>3524</v>
      </c>
      <c r="J1918" s="114" t="s">
        <v>548</v>
      </c>
      <c r="K1918" s="114"/>
      <c r="L1918" s="114"/>
      <c r="M1918" s="114"/>
      <c r="N1918" s="114" t="s">
        <v>819</v>
      </c>
      <c r="O1918" s="114" t="s">
        <v>3511</v>
      </c>
      <c r="P1918" s="114"/>
      <c r="Q1918" s="114" t="s">
        <v>2041</v>
      </c>
      <c r="R1918" s="114"/>
      <c r="S1918" s="114"/>
      <c r="T1918" s="114" t="s">
        <v>3433</v>
      </c>
      <c r="U1918" s="117" t="s">
        <v>3509</v>
      </c>
      <c r="V1918" s="114" t="s">
        <v>819</v>
      </c>
      <c r="W1918" s="114" t="s">
        <v>1</v>
      </c>
      <c r="X1918" s="114"/>
      <c r="Y1918" s="114"/>
      <c r="Z1918" s="114"/>
      <c r="AA1918" s="114"/>
      <c r="AB1918" s="114"/>
      <c r="AC1918" s="114"/>
      <c r="AD1918" s="114"/>
      <c r="AE1918" s="130"/>
      <c r="AF1918" s="130" t="s">
        <v>2042</v>
      </c>
      <c r="AG1918" s="114"/>
      <c r="AH1918" s="128" t="s">
        <v>3512</v>
      </c>
      <c r="AI1918" s="131"/>
      <c r="AJ1918" s="131"/>
      <c r="AK1918" s="132">
        <v>1000</v>
      </c>
      <c r="AL1918" s="133" t="s">
        <v>3513</v>
      </c>
      <c r="AM1918" s="134"/>
      <c r="AN1918" s="134"/>
      <c r="AO1918" s="134"/>
      <c r="AP1918" s="134"/>
      <c r="AQ1918" s="134"/>
      <c r="AR1918" s="134"/>
      <c r="AS1918" s="134"/>
      <c r="AT1918" s="134"/>
      <c r="AU1918" s="128" t="s">
        <v>3512</v>
      </c>
      <c r="AV1918" s="131"/>
      <c r="AW1918" s="131"/>
      <c r="AX1918" s="132">
        <v>1000</v>
      </c>
      <c r="AY1918" s="133" t="s">
        <v>3513</v>
      </c>
      <c r="AZ1918" s="134"/>
      <c r="BA1918" s="134"/>
      <c r="BB1918" s="134"/>
      <c r="BC1918" s="134"/>
      <c r="BD1918" s="134"/>
      <c r="BE1918" s="134"/>
      <c r="BF1918" s="134"/>
      <c r="BG1918" s="134"/>
      <c r="BH1918" s="128" t="s">
        <v>3512</v>
      </c>
      <c r="BI1918" s="131"/>
      <c r="BJ1918" s="131"/>
      <c r="BK1918" s="132">
        <v>1000</v>
      </c>
      <c r="BL1918" s="133" t="s">
        <v>3513</v>
      </c>
      <c r="BM1918" s="134"/>
      <c r="BN1918" s="134"/>
      <c r="BO1918" s="134"/>
      <c r="BP1918" s="134"/>
      <c r="BQ1918" s="134"/>
      <c r="BR1918" s="134"/>
      <c r="BS1918" s="134"/>
      <c r="BT1918" s="134"/>
      <c r="BV1918" s="131"/>
      <c r="BW1918" s="131"/>
      <c r="BX1918" s="132"/>
      <c r="BY1918" s="133"/>
      <c r="BZ1918" s="134"/>
      <c r="CA1918" s="134"/>
      <c r="CB1918" s="134"/>
      <c r="CC1918" s="134"/>
      <c r="CD1918" s="134"/>
      <c r="CE1918" s="134"/>
      <c r="CF1918" s="134"/>
      <c r="CG1918" s="134"/>
      <c r="CH1918" s="127"/>
      <c r="CI1918" s="131" t="s">
        <v>821</v>
      </c>
      <c r="CJ1918" s="131" t="s">
        <v>0</v>
      </c>
      <c r="CK1918" s="132"/>
      <c r="CL1918" s="134"/>
      <c r="CM1918" s="134"/>
      <c r="CN1918" s="134"/>
      <c r="CO1918" s="131"/>
      <c r="CP1918" s="131"/>
      <c r="CQ1918" s="131"/>
      <c r="CR1918" s="132"/>
      <c r="CT1918" s="135"/>
      <c r="CU1918" s="135"/>
      <c r="CV1918" s="135"/>
      <c r="CW1918" s="135"/>
      <c r="CX1918" s="135"/>
      <c r="CY1918" s="135"/>
      <c r="CZ1918" s="135"/>
      <c r="DA1918" s="135"/>
      <c r="DB1918" s="135"/>
      <c r="DC1918" s="134"/>
    </row>
    <row r="1919" spans="1:109" s="128" customFormat="1" x14ac:dyDescent="0.2">
      <c r="A1919" s="127" t="s">
        <v>3507</v>
      </c>
      <c r="B1919" s="127" t="s">
        <v>4</v>
      </c>
      <c r="C1919" s="127">
        <f t="shared" si="169"/>
        <v>300290007</v>
      </c>
      <c r="D1919" s="128" t="s">
        <v>3508</v>
      </c>
      <c r="E1919" s="129" t="s">
        <v>1623</v>
      </c>
      <c r="F1919" s="147"/>
      <c r="G1919" s="147"/>
      <c r="H1919" s="147"/>
      <c r="I1919" s="136" t="s">
        <v>3525</v>
      </c>
      <c r="J1919" s="114" t="s">
        <v>548</v>
      </c>
      <c r="K1919" s="114"/>
      <c r="L1919" s="114"/>
      <c r="M1919" s="114"/>
      <c r="N1919" s="114" t="s">
        <v>819</v>
      </c>
      <c r="O1919" s="114" t="s">
        <v>3511</v>
      </c>
      <c r="P1919" s="114"/>
      <c r="Q1919" s="114" t="s">
        <v>2041</v>
      </c>
      <c r="R1919" s="114"/>
      <c r="S1919" s="114"/>
      <c r="T1919" s="114" t="s">
        <v>3433</v>
      </c>
      <c r="U1919" s="117" t="s">
        <v>3510</v>
      </c>
      <c r="V1919" s="114" t="s">
        <v>819</v>
      </c>
      <c r="W1919" s="114" t="s">
        <v>1</v>
      </c>
      <c r="X1919" s="114"/>
      <c r="Y1919" s="114"/>
      <c r="Z1919" s="114"/>
      <c r="AA1919" s="114"/>
      <c r="AB1919" s="114"/>
      <c r="AC1919" s="114"/>
      <c r="AD1919" s="114"/>
      <c r="AE1919" s="130"/>
      <c r="AF1919" s="130" t="s">
        <v>2042</v>
      </c>
      <c r="AG1919" s="114"/>
      <c r="AH1919" s="128" t="s">
        <v>3514</v>
      </c>
      <c r="AI1919" s="131"/>
      <c r="AJ1919" s="131"/>
      <c r="AK1919" s="132">
        <v>1000</v>
      </c>
      <c r="AL1919" s="133"/>
      <c r="AM1919" s="134"/>
      <c r="AN1919" s="134">
        <v>100</v>
      </c>
      <c r="AO1919" s="134"/>
      <c r="AP1919" s="134"/>
      <c r="AQ1919" s="134"/>
      <c r="AR1919" s="134"/>
      <c r="AS1919" s="134"/>
      <c r="AT1919" s="134"/>
      <c r="AU1919" s="128" t="s">
        <v>3514</v>
      </c>
      <c r="AV1919" s="131"/>
      <c r="AW1919" s="131"/>
      <c r="AX1919" s="132">
        <v>1000</v>
      </c>
      <c r="AY1919" s="133"/>
      <c r="AZ1919" s="134"/>
      <c r="BA1919" s="134">
        <v>100</v>
      </c>
      <c r="BB1919" s="134"/>
      <c r="BC1919" s="134"/>
      <c r="BD1919" s="134"/>
      <c r="BE1919" s="134"/>
      <c r="BF1919" s="134"/>
      <c r="BG1919" s="134"/>
      <c r="BH1919" s="128" t="s">
        <v>3514</v>
      </c>
      <c r="BI1919" s="131"/>
      <c r="BJ1919" s="131"/>
      <c r="BK1919" s="132">
        <v>1000</v>
      </c>
      <c r="BL1919" s="133"/>
      <c r="BM1919" s="134"/>
      <c r="BN1919" s="134">
        <v>100</v>
      </c>
      <c r="BO1919" s="134"/>
      <c r="BP1919" s="134"/>
      <c r="BQ1919" s="134"/>
      <c r="BR1919" s="134"/>
      <c r="BS1919" s="134"/>
      <c r="BT1919" s="134"/>
      <c r="BV1919" s="131"/>
      <c r="BW1919" s="131"/>
      <c r="BX1919" s="132"/>
      <c r="BY1919" s="133"/>
      <c r="BZ1919" s="134"/>
      <c r="CA1919" s="134"/>
      <c r="CB1919" s="134"/>
      <c r="CC1919" s="134"/>
      <c r="CD1919" s="134"/>
      <c r="CE1919" s="134"/>
      <c r="CF1919" s="134"/>
      <c r="CG1919" s="134"/>
      <c r="CH1919" s="127"/>
      <c r="CI1919" s="131" t="s">
        <v>397</v>
      </c>
      <c r="CJ1919" s="131"/>
      <c r="CK1919" s="132"/>
      <c r="CL1919" s="134"/>
      <c r="CM1919" s="134"/>
      <c r="CN1919" s="134"/>
      <c r="CO1919" s="131"/>
      <c r="CP1919" s="131"/>
      <c r="CQ1919" s="131"/>
      <c r="CR1919" s="132"/>
      <c r="CT1919" s="135"/>
      <c r="CU1919" s="135"/>
      <c r="CV1919" s="135"/>
      <c r="CW1919" s="135"/>
      <c r="CX1919" s="135"/>
      <c r="CY1919" s="135"/>
      <c r="CZ1919" s="135"/>
      <c r="DA1919" s="135"/>
      <c r="DB1919" s="135"/>
      <c r="DC1919" s="134"/>
    </row>
    <row r="1920" spans="1:109" s="128" customFormat="1" x14ac:dyDescent="0.2">
      <c r="A1920" s="127" t="s">
        <v>3507</v>
      </c>
      <c r="B1920" s="127" t="s">
        <v>5</v>
      </c>
      <c r="C1920" s="127">
        <f t="shared" si="169"/>
        <v>300290008</v>
      </c>
      <c r="D1920" s="128" t="s">
        <v>3508</v>
      </c>
      <c r="E1920" s="129" t="s">
        <v>1623</v>
      </c>
      <c r="F1920" s="147"/>
      <c r="G1920" s="147"/>
      <c r="H1920" s="147"/>
      <c r="I1920" s="136" t="s">
        <v>3525</v>
      </c>
      <c r="J1920" s="114"/>
      <c r="K1920" s="114"/>
      <c r="L1920" s="114"/>
      <c r="M1920" s="114"/>
      <c r="N1920" s="114" t="s">
        <v>819</v>
      </c>
      <c r="O1920" s="114" t="s">
        <v>3511</v>
      </c>
      <c r="P1920" s="114"/>
      <c r="Q1920" s="114" t="s">
        <v>2041</v>
      </c>
      <c r="R1920" s="114"/>
      <c r="S1920" s="114"/>
      <c r="T1920" s="114" t="s">
        <v>3433</v>
      </c>
      <c r="U1920" s="117" t="s">
        <v>3510</v>
      </c>
      <c r="V1920" s="114" t="s">
        <v>819</v>
      </c>
      <c r="W1920" s="114" t="s">
        <v>1</v>
      </c>
      <c r="X1920" s="114"/>
      <c r="Y1920" s="114"/>
      <c r="Z1920" s="114"/>
      <c r="AA1920" s="114"/>
      <c r="AB1920" s="114"/>
      <c r="AC1920" s="114"/>
      <c r="AD1920" s="114"/>
      <c r="AE1920" s="130"/>
      <c r="AF1920" s="130" t="s">
        <v>2042</v>
      </c>
      <c r="AG1920" s="114"/>
      <c r="AH1920" s="128" t="s">
        <v>3515</v>
      </c>
      <c r="AI1920" s="131"/>
      <c r="AJ1920" s="131"/>
      <c r="AK1920" s="132">
        <v>1000</v>
      </c>
      <c r="AL1920" s="133"/>
      <c r="AM1920" s="134"/>
      <c r="AN1920" s="134">
        <v>100</v>
      </c>
      <c r="AO1920" s="134"/>
      <c r="AP1920" s="134"/>
      <c r="AQ1920" s="134"/>
      <c r="AR1920" s="134"/>
      <c r="AS1920" s="134"/>
      <c r="AT1920" s="134"/>
      <c r="AU1920" s="128" t="s">
        <v>3515</v>
      </c>
      <c r="AV1920" s="131"/>
      <c r="AW1920" s="131"/>
      <c r="AX1920" s="132">
        <v>1000</v>
      </c>
      <c r="AY1920" s="133"/>
      <c r="AZ1920" s="134"/>
      <c r="BA1920" s="134">
        <v>100</v>
      </c>
      <c r="BB1920" s="134"/>
      <c r="BC1920" s="134"/>
      <c r="BD1920" s="134"/>
      <c r="BE1920" s="134"/>
      <c r="BF1920" s="134"/>
      <c r="BG1920" s="134"/>
      <c r="BH1920" s="128" t="s">
        <v>3515</v>
      </c>
      <c r="BI1920" s="131"/>
      <c r="BJ1920" s="131"/>
      <c r="BK1920" s="132">
        <v>1000</v>
      </c>
      <c r="BL1920" s="133"/>
      <c r="BM1920" s="134"/>
      <c r="BN1920" s="134">
        <v>100</v>
      </c>
      <c r="BO1920" s="134"/>
      <c r="BP1920" s="134"/>
      <c r="BQ1920" s="134"/>
      <c r="BR1920" s="134"/>
      <c r="BS1920" s="134"/>
      <c r="BT1920" s="134"/>
      <c r="BV1920" s="131"/>
      <c r="BW1920" s="131"/>
      <c r="BX1920" s="132"/>
      <c r="BY1920" s="133"/>
      <c r="BZ1920" s="134"/>
      <c r="CA1920" s="134"/>
      <c r="CB1920" s="134"/>
      <c r="CC1920" s="134"/>
      <c r="CD1920" s="134"/>
      <c r="CE1920" s="134"/>
      <c r="CF1920" s="134"/>
      <c r="CG1920" s="134"/>
      <c r="CH1920" s="127"/>
      <c r="CI1920" s="131" t="s">
        <v>397</v>
      </c>
      <c r="CJ1920" s="131"/>
      <c r="CK1920" s="132"/>
      <c r="CL1920" s="134"/>
      <c r="CM1920" s="134"/>
      <c r="CN1920" s="134"/>
      <c r="CO1920" s="131"/>
      <c r="CP1920" s="131"/>
      <c r="CQ1920" s="131"/>
      <c r="CR1920" s="132"/>
      <c r="CT1920" s="135"/>
      <c r="CU1920" s="135"/>
      <c r="CV1920" s="135"/>
      <c r="CW1920" s="135"/>
      <c r="CX1920" s="135"/>
      <c r="CY1920" s="135"/>
      <c r="CZ1920" s="135"/>
      <c r="DA1920" s="135"/>
      <c r="DB1920" s="135"/>
      <c r="DC1920" s="134"/>
      <c r="DE1920" s="128" t="s">
        <v>548</v>
      </c>
    </row>
    <row r="1921" spans="1:109" s="128" customFormat="1" x14ac:dyDescent="0.2">
      <c r="A1921" s="127" t="s">
        <v>3507</v>
      </c>
      <c r="B1921" s="127" t="s">
        <v>6</v>
      </c>
      <c r="C1921" s="127">
        <f t="shared" si="169"/>
        <v>300290009</v>
      </c>
      <c r="D1921" s="128" t="s">
        <v>3508</v>
      </c>
      <c r="E1921" s="129" t="s">
        <v>1623</v>
      </c>
      <c r="F1921" s="147"/>
      <c r="G1921" s="147"/>
      <c r="H1921" s="147"/>
      <c r="I1921" s="136" t="s">
        <v>3525</v>
      </c>
      <c r="J1921" s="114"/>
      <c r="K1921" s="114"/>
      <c r="L1921" s="114"/>
      <c r="M1921" s="114"/>
      <c r="N1921" s="114" t="s">
        <v>819</v>
      </c>
      <c r="O1921" s="114" t="s">
        <v>3511</v>
      </c>
      <c r="P1921" s="114"/>
      <c r="Q1921" s="114" t="s">
        <v>2041</v>
      </c>
      <c r="R1921" s="114"/>
      <c r="S1921" s="114"/>
      <c r="T1921" s="114" t="s">
        <v>3433</v>
      </c>
      <c r="U1921" s="117" t="s">
        <v>3510</v>
      </c>
      <c r="V1921" s="114" t="s">
        <v>819</v>
      </c>
      <c r="W1921" s="114" t="s">
        <v>1</v>
      </c>
      <c r="X1921" s="114"/>
      <c r="Y1921" s="114"/>
      <c r="Z1921" s="114"/>
      <c r="AA1921" s="114"/>
      <c r="AB1921" s="114"/>
      <c r="AC1921" s="114"/>
      <c r="AD1921" s="114"/>
      <c r="AE1921" s="130"/>
      <c r="AF1921" s="130" t="s">
        <v>2042</v>
      </c>
      <c r="AG1921" s="114"/>
      <c r="AH1921" s="128" t="s">
        <v>3516</v>
      </c>
      <c r="AI1921" s="131"/>
      <c r="AJ1921" s="131"/>
      <c r="AK1921" s="132">
        <v>1000</v>
      </c>
      <c r="AL1921" s="133"/>
      <c r="AM1921" s="134"/>
      <c r="AN1921" s="134">
        <v>100</v>
      </c>
      <c r="AO1921" s="134"/>
      <c r="AP1921" s="134"/>
      <c r="AQ1921" s="134"/>
      <c r="AR1921" s="134"/>
      <c r="AS1921" s="134"/>
      <c r="AT1921" s="134"/>
      <c r="AU1921" s="128" t="s">
        <v>3516</v>
      </c>
      <c r="AV1921" s="131"/>
      <c r="AW1921" s="131"/>
      <c r="AX1921" s="132">
        <v>1000</v>
      </c>
      <c r="AY1921" s="133"/>
      <c r="AZ1921" s="134"/>
      <c r="BA1921" s="134">
        <v>100</v>
      </c>
      <c r="BB1921" s="134"/>
      <c r="BC1921" s="134"/>
      <c r="BD1921" s="134"/>
      <c r="BE1921" s="134"/>
      <c r="BF1921" s="134"/>
      <c r="BG1921" s="134"/>
      <c r="BH1921" s="128" t="s">
        <v>3516</v>
      </c>
      <c r="BI1921" s="131"/>
      <c r="BJ1921" s="131"/>
      <c r="BK1921" s="132">
        <v>1000</v>
      </c>
      <c r="BL1921" s="133"/>
      <c r="BM1921" s="134"/>
      <c r="BN1921" s="134">
        <v>100</v>
      </c>
      <c r="BO1921" s="134"/>
      <c r="BP1921" s="134"/>
      <c r="BQ1921" s="134"/>
      <c r="BR1921" s="134"/>
      <c r="BS1921" s="134"/>
      <c r="BT1921" s="134"/>
      <c r="BV1921" s="131"/>
      <c r="BW1921" s="131"/>
      <c r="BX1921" s="132"/>
      <c r="BY1921" s="133"/>
      <c r="BZ1921" s="134"/>
      <c r="CA1921" s="134"/>
      <c r="CB1921" s="134"/>
      <c r="CC1921" s="134"/>
      <c r="CD1921" s="134"/>
      <c r="CE1921" s="134"/>
      <c r="CF1921" s="134"/>
      <c r="CG1921" s="134"/>
      <c r="CH1921" s="127"/>
      <c r="CI1921" s="131" t="s">
        <v>397</v>
      </c>
      <c r="CJ1921" s="131"/>
      <c r="CK1921" s="132"/>
      <c r="CL1921" s="134"/>
      <c r="CM1921" s="134"/>
      <c r="CN1921" s="134"/>
      <c r="CO1921" s="131"/>
      <c r="CP1921" s="131"/>
      <c r="CQ1921" s="131"/>
      <c r="CR1921" s="132"/>
      <c r="CT1921" s="135"/>
      <c r="CU1921" s="135"/>
      <c r="CV1921" s="135"/>
      <c r="CW1921" s="135"/>
      <c r="CX1921" s="135"/>
      <c r="CY1921" s="135"/>
      <c r="CZ1921" s="135"/>
      <c r="DA1921" s="135"/>
      <c r="DB1921" s="135"/>
      <c r="DC1921" s="134"/>
      <c r="DE1921" s="128" t="s">
        <v>548</v>
      </c>
    </row>
    <row r="1922" spans="1:109" s="57" customFormat="1" x14ac:dyDescent="0.2">
      <c r="A1922" s="64" t="s">
        <v>3528</v>
      </c>
      <c r="B1922" s="64" t="s">
        <v>181</v>
      </c>
      <c r="C1922" s="64">
        <f t="shared" ref="C1922:C1929" si="170">A1922*10000+B1922</f>
        <v>300300001</v>
      </c>
      <c r="D1922" s="57" t="s">
        <v>3529</v>
      </c>
      <c r="E1922" s="58" t="s">
        <v>3537</v>
      </c>
      <c r="F1922" s="211"/>
      <c r="G1922" s="211"/>
      <c r="H1922" s="211"/>
      <c r="I1922" s="212" t="s">
        <v>157</v>
      </c>
      <c r="J1922" s="59" t="s">
        <v>548</v>
      </c>
      <c r="K1922" s="59"/>
      <c r="L1922" s="59"/>
      <c r="M1922" s="59"/>
      <c r="N1922" s="59" t="s">
        <v>819</v>
      </c>
      <c r="O1922" s="59" t="s">
        <v>158</v>
      </c>
      <c r="P1922" s="59"/>
      <c r="Q1922" s="59" t="s">
        <v>2041</v>
      </c>
      <c r="R1922" s="59"/>
      <c r="S1922" s="59"/>
      <c r="T1922" s="59" t="s">
        <v>3433</v>
      </c>
      <c r="U1922" s="122" t="s">
        <v>3530</v>
      </c>
      <c r="V1922" s="59" t="s">
        <v>819</v>
      </c>
      <c r="W1922" s="59" t="s">
        <v>1</v>
      </c>
      <c r="X1922" s="59"/>
      <c r="Y1922" s="59"/>
      <c r="Z1922" s="59"/>
      <c r="AA1922" s="59"/>
      <c r="AB1922" s="59"/>
      <c r="AC1922" s="59"/>
      <c r="AD1922" s="59"/>
      <c r="AE1922" s="60"/>
      <c r="AF1922" s="60" t="s">
        <v>2042</v>
      </c>
      <c r="AG1922" s="59"/>
      <c r="AH1922" s="57" t="s">
        <v>3536</v>
      </c>
      <c r="AI1922" s="61"/>
      <c r="AJ1922" s="61"/>
      <c r="AK1922" s="62">
        <v>1000</v>
      </c>
      <c r="AL1922" s="213"/>
      <c r="AM1922" s="63"/>
      <c r="AN1922" s="63"/>
      <c r="AO1922" s="63"/>
      <c r="AP1922" s="63"/>
      <c r="AQ1922" s="63"/>
      <c r="AR1922" s="63"/>
      <c r="AS1922" s="63"/>
      <c r="AT1922" s="63"/>
      <c r="AV1922" s="61"/>
      <c r="AW1922" s="61"/>
      <c r="AX1922" s="62"/>
      <c r="AY1922" s="213"/>
      <c r="AZ1922" s="63"/>
      <c r="BA1922" s="63"/>
      <c r="BB1922" s="63"/>
      <c r="BC1922" s="63"/>
      <c r="BD1922" s="63"/>
      <c r="BE1922" s="63"/>
      <c r="BF1922" s="63"/>
      <c r="BG1922" s="63"/>
      <c r="BI1922" s="61"/>
      <c r="BJ1922" s="61"/>
      <c r="BK1922" s="62"/>
      <c r="BL1922" s="213"/>
      <c r="BM1922" s="63"/>
      <c r="BN1922" s="63"/>
      <c r="BO1922" s="63"/>
      <c r="BP1922" s="63"/>
      <c r="BQ1922" s="63"/>
      <c r="BR1922" s="63"/>
      <c r="BS1922" s="63"/>
      <c r="BT1922" s="63"/>
      <c r="BV1922" s="61"/>
      <c r="BW1922" s="61"/>
      <c r="BX1922" s="62"/>
      <c r="BY1922" s="213"/>
      <c r="BZ1922" s="63"/>
      <c r="CA1922" s="63"/>
      <c r="CB1922" s="63"/>
      <c r="CC1922" s="63"/>
      <c r="CD1922" s="63"/>
      <c r="CE1922" s="63"/>
      <c r="CF1922" s="63"/>
      <c r="CG1922" s="63"/>
      <c r="CH1922" s="64"/>
      <c r="CI1922" s="61" t="s">
        <v>821</v>
      </c>
      <c r="CJ1922" s="61" t="s">
        <v>0</v>
      </c>
      <c r="CK1922" s="62"/>
      <c r="CL1922" s="63"/>
      <c r="CM1922" s="63"/>
      <c r="CN1922" s="63"/>
      <c r="CO1922" s="61"/>
      <c r="CP1922" s="61"/>
      <c r="CQ1922" s="61"/>
      <c r="CR1922" s="62"/>
      <c r="CT1922" s="65"/>
      <c r="CU1922" s="65"/>
      <c r="CV1922" s="65"/>
      <c r="CW1922" s="65"/>
      <c r="CX1922" s="65"/>
      <c r="CY1922" s="65"/>
      <c r="CZ1922" s="65"/>
      <c r="DA1922" s="65"/>
      <c r="DB1922" s="65"/>
      <c r="DC1922" s="63"/>
      <c r="DE1922" s="57" t="s">
        <v>548</v>
      </c>
    </row>
    <row r="1923" spans="1:109" s="57" customFormat="1" x14ac:dyDescent="0.2">
      <c r="A1923" s="64" t="s">
        <v>3528</v>
      </c>
      <c r="B1923" s="64" t="s">
        <v>22</v>
      </c>
      <c r="C1923" s="64">
        <f t="shared" si="170"/>
        <v>300300002</v>
      </c>
      <c r="D1923" s="57" t="s">
        <v>3529</v>
      </c>
      <c r="E1923" s="58" t="s">
        <v>1304</v>
      </c>
      <c r="F1923" s="211"/>
      <c r="G1923" s="211"/>
      <c r="H1923" s="211"/>
      <c r="I1923" s="212" t="s">
        <v>157</v>
      </c>
      <c r="J1923" s="59" t="s">
        <v>548</v>
      </c>
      <c r="K1923" s="59"/>
      <c r="L1923" s="59"/>
      <c r="M1923" s="59"/>
      <c r="N1923" s="59" t="s">
        <v>819</v>
      </c>
      <c r="O1923" s="59" t="s">
        <v>158</v>
      </c>
      <c r="P1923" s="59"/>
      <c r="Q1923" s="59" t="s">
        <v>2041</v>
      </c>
      <c r="R1923" s="59"/>
      <c r="S1923" s="59"/>
      <c r="T1923" s="59" t="s">
        <v>3433</v>
      </c>
      <c r="U1923" s="122" t="s">
        <v>3530</v>
      </c>
      <c r="V1923" s="59" t="s">
        <v>819</v>
      </c>
      <c r="W1923" s="59" t="s">
        <v>1</v>
      </c>
      <c r="X1923" s="59"/>
      <c r="Y1923" s="59"/>
      <c r="Z1923" s="59"/>
      <c r="AA1923" s="59"/>
      <c r="AB1923" s="59"/>
      <c r="AC1923" s="59"/>
      <c r="AD1923" s="59"/>
      <c r="AE1923" s="60"/>
      <c r="AF1923" s="60" t="s">
        <v>2042</v>
      </c>
      <c r="AG1923" s="59"/>
      <c r="AH1923" s="57" t="s">
        <v>3536</v>
      </c>
      <c r="AI1923" s="61"/>
      <c r="AJ1923" s="61"/>
      <c r="AK1923" s="62">
        <v>1000</v>
      </c>
      <c r="AL1923" s="213"/>
      <c r="AM1923" s="63"/>
      <c r="AN1923" s="63"/>
      <c r="AO1923" s="63"/>
      <c r="AP1923" s="63"/>
      <c r="AQ1923" s="63"/>
      <c r="AR1923" s="63"/>
      <c r="AS1923" s="63"/>
      <c r="AT1923" s="63"/>
      <c r="AV1923" s="61"/>
      <c r="AW1923" s="61"/>
      <c r="AX1923" s="62"/>
      <c r="AY1923" s="213"/>
      <c r="AZ1923" s="63"/>
      <c r="BA1923" s="63"/>
      <c r="BB1923" s="63"/>
      <c r="BC1923" s="63"/>
      <c r="BD1923" s="63"/>
      <c r="BE1923" s="63"/>
      <c r="BF1923" s="63"/>
      <c r="BG1923" s="63"/>
      <c r="BI1923" s="61"/>
      <c r="BJ1923" s="61"/>
      <c r="BK1923" s="62"/>
      <c r="BL1923" s="213"/>
      <c r="BM1923" s="63"/>
      <c r="BN1923" s="63"/>
      <c r="BO1923" s="63"/>
      <c r="BP1923" s="63"/>
      <c r="BQ1923" s="63"/>
      <c r="BR1923" s="63"/>
      <c r="BS1923" s="63"/>
      <c r="BT1923" s="63"/>
      <c r="BV1923" s="61"/>
      <c r="BW1923" s="61"/>
      <c r="BX1923" s="62"/>
      <c r="BY1923" s="213"/>
      <c r="BZ1923" s="63"/>
      <c r="CA1923" s="63"/>
      <c r="CB1923" s="63"/>
      <c r="CC1923" s="63"/>
      <c r="CD1923" s="63"/>
      <c r="CE1923" s="63"/>
      <c r="CF1923" s="63"/>
      <c r="CG1923" s="63"/>
      <c r="CH1923" s="64"/>
      <c r="CI1923" s="61" t="s">
        <v>821</v>
      </c>
      <c r="CJ1923" s="61" t="s">
        <v>0</v>
      </c>
      <c r="CK1923" s="62"/>
      <c r="CL1923" s="63"/>
      <c r="CM1923" s="63"/>
      <c r="CN1923" s="63"/>
      <c r="CO1923" s="61"/>
      <c r="CP1923" s="61"/>
      <c r="CQ1923" s="61"/>
      <c r="CR1923" s="62"/>
      <c r="CT1923" s="65"/>
      <c r="CU1923" s="65"/>
      <c r="CV1923" s="65"/>
      <c r="CW1923" s="65"/>
      <c r="CX1923" s="65"/>
      <c r="CY1923" s="65"/>
      <c r="CZ1923" s="65"/>
      <c r="DA1923" s="65"/>
      <c r="DB1923" s="65"/>
      <c r="DC1923" s="63"/>
      <c r="DE1923" s="57" t="s">
        <v>548</v>
      </c>
    </row>
    <row r="1924" spans="1:109" s="57" customFormat="1" x14ac:dyDescent="0.2">
      <c r="A1924" s="64" t="s">
        <v>3528</v>
      </c>
      <c r="B1924" s="64" t="s">
        <v>122</v>
      </c>
      <c r="C1924" s="64">
        <f t="shared" si="170"/>
        <v>300300003</v>
      </c>
      <c r="D1924" s="57" t="s">
        <v>3529</v>
      </c>
      <c r="E1924" s="58" t="s">
        <v>1124</v>
      </c>
      <c r="F1924" s="211"/>
      <c r="G1924" s="211"/>
      <c r="H1924" s="211"/>
      <c r="I1924" s="212" t="s">
        <v>157</v>
      </c>
      <c r="J1924" s="59" t="s">
        <v>548</v>
      </c>
      <c r="K1924" s="59"/>
      <c r="L1924" s="59"/>
      <c r="M1924" s="59"/>
      <c r="N1924" s="59" t="s">
        <v>819</v>
      </c>
      <c r="O1924" s="59" t="s">
        <v>158</v>
      </c>
      <c r="P1924" s="59"/>
      <c r="Q1924" s="59" t="s">
        <v>2041</v>
      </c>
      <c r="R1924" s="59"/>
      <c r="S1924" s="59"/>
      <c r="T1924" s="59" t="s">
        <v>3433</v>
      </c>
      <c r="U1924" s="122" t="s">
        <v>3530</v>
      </c>
      <c r="V1924" s="59" t="s">
        <v>819</v>
      </c>
      <c r="W1924" s="59" t="s">
        <v>1</v>
      </c>
      <c r="X1924" s="59"/>
      <c r="Y1924" s="59"/>
      <c r="Z1924" s="59"/>
      <c r="AA1924" s="59"/>
      <c r="AB1924" s="59"/>
      <c r="AC1924" s="59"/>
      <c r="AD1924" s="59"/>
      <c r="AE1924" s="60"/>
      <c r="AF1924" s="60" t="s">
        <v>2042</v>
      </c>
      <c r="AG1924" s="59"/>
      <c r="AH1924" s="57" t="s">
        <v>3536</v>
      </c>
      <c r="AI1924" s="61"/>
      <c r="AJ1924" s="61"/>
      <c r="AK1924" s="62">
        <v>1000</v>
      </c>
      <c r="AL1924" s="213"/>
      <c r="AM1924" s="63"/>
      <c r="AN1924" s="63"/>
      <c r="AO1924" s="63"/>
      <c r="AP1924" s="63"/>
      <c r="AQ1924" s="63"/>
      <c r="AR1924" s="63"/>
      <c r="AS1924" s="63"/>
      <c r="AT1924" s="63"/>
      <c r="AV1924" s="61"/>
      <c r="AW1924" s="61"/>
      <c r="AX1924" s="62"/>
      <c r="AY1924" s="213"/>
      <c r="AZ1924" s="63"/>
      <c r="BA1924" s="63"/>
      <c r="BB1924" s="63"/>
      <c r="BC1924" s="63"/>
      <c r="BD1924" s="63"/>
      <c r="BE1924" s="63"/>
      <c r="BF1924" s="63"/>
      <c r="BG1924" s="63"/>
      <c r="BI1924" s="61"/>
      <c r="BJ1924" s="61"/>
      <c r="BK1924" s="62"/>
      <c r="BL1924" s="213"/>
      <c r="BM1924" s="63"/>
      <c r="BN1924" s="63"/>
      <c r="BO1924" s="63"/>
      <c r="BP1924" s="63"/>
      <c r="BQ1924" s="63"/>
      <c r="BR1924" s="63"/>
      <c r="BS1924" s="63"/>
      <c r="BT1924" s="63"/>
      <c r="BV1924" s="61"/>
      <c r="BW1924" s="61"/>
      <c r="BX1924" s="62"/>
      <c r="BY1924" s="213"/>
      <c r="BZ1924" s="63"/>
      <c r="CA1924" s="63"/>
      <c r="CB1924" s="63"/>
      <c r="CC1924" s="63"/>
      <c r="CD1924" s="63"/>
      <c r="CE1924" s="63"/>
      <c r="CF1924" s="63"/>
      <c r="CG1924" s="63"/>
      <c r="CH1924" s="64"/>
      <c r="CI1924" s="61" t="s">
        <v>821</v>
      </c>
      <c r="CJ1924" s="61" t="s">
        <v>0</v>
      </c>
      <c r="CK1924" s="62"/>
      <c r="CL1924" s="63"/>
      <c r="CM1924" s="63"/>
      <c r="CN1924" s="63"/>
      <c r="CO1924" s="61"/>
      <c r="CP1924" s="61"/>
      <c r="CQ1924" s="61"/>
      <c r="CR1924" s="62"/>
      <c r="CT1924" s="65"/>
      <c r="CU1924" s="65"/>
      <c r="CV1924" s="65"/>
      <c r="CW1924" s="65"/>
      <c r="CX1924" s="65"/>
      <c r="CY1924" s="65"/>
      <c r="CZ1924" s="65"/>
      <c r="DA1924" s="65"/>
      <c r="DB1924" s="65"/>
      <c r="DC1924" s="63"/>
      <c r="DE1924" s="57" t="s">
        <v>548</v>
      </c>
    </row>
    <row r="1925" spans="1:109" s="57" customFormat="1" x14ac:dyDescent="0.2">
      <c r="A1925" s="64" t="s">
        <v>3528</v>
      </c>
      <c r="B1925" s="64" t="s">
        <v>1</v>
      </c>
      <c r="C1925" s="64">
        <f t="shared" si="170"/>
        <v>300300004</v>
      </c>
      <c r="D1925" s="57" t="s">
        <v>3529</v>
      </c>
      <c r="E1925" s="58" t="s">
        <v>109</v>
      </c>
      <c r="F1925" s="211"/>
      <c r="G1925" s="211"/>
      <c r="H1925" s="211"/>
      <c r="I1925" s="212" t="s">
        <v>157</v>
      </c>
      <c r="J1925" s="59" t="s">
        <v>548</v>
      </c>
      <c r="K1925" s="59"/>
      <c r="L1925" s="59"/>
      <c r="M1925" s="59"/>
      <c r="N1925" s="59" t="s">
        <v>819</v>
      </c>
      <c r="O1925" s="59" t="s">
        <v>158</v>
      </c>
      <c r="P1925" s="59"/>
      <c r="Q1925" s="59" t="s">
        <v>2041</v>
      </c>
      <c r="R1925" s="59"/>
      <c r="S1925" s="59"/>
      <c r="T1925" s="59" t="s">
        <v>3433</v>
      </c>
      <c r="U1925" s="122" t="s">
        <v>3530</v>
      </c>
      <c r="V1925" s="59" t="s">
        <v>819</v>
      </c>
      <c r="W1925" s="59" t="s">
        <v>1</v>
      </c>
      <c r="X1925" s="59"/>
      <c r="Y1925" s="59"/>
      <c r="Z1925" s="59"/>
      <c r="AA1925" s="59"/>
      <c r="AB1925" s="59"/>
      <c r="AC1925" s="59"/>
      <c r="AD1925" s="59"/>
      <c r="AE1925" s="60"/>
      <c r="AF1925" s="60" t="s">
        <v>2042</v>
      </c>
      <c r="AG1925" s="59"/>
      <c r="AH1925" s="57" t="s">
        <v>4726</v>
      </c>
      <c r="AI1925" s="61"/>
      <c r="AJ1925" s="61"/>
      <c r="AK1925" s="62">
        <v>1000</v>
      </c>
      <c r="AL1925" s="213"/>
      <c r="AM1925" s="63"/>
      <c r="AN1925" s="63"/>
      <c r="AO1925" s="63"/>
      <c r="AP1925" s="63"/>
      <c r="AQ1925" s="63"/>
      <c r="AR1925" s="63"/>
      <c r="AS1925" s="63"/>
      <c r="AT1925" s="63"/>
      <c r="AV1925" s="61"/>
      <c r="AW1925" s="61"/>
      <c r="AX1925" s="62"/>
      <c r="AY1925" s="213"/>
      <c r="AZ1925" s="63"/>
      <c r="BA1925" s="63"/>
      <c r="BB1925" s="63"/>
      <c r="BC1925" s="63"/>
      <c r="BD1925" s="63"/>
      <c r="BE1925" s="63"/>
      <c r="BF1925" s="63"/>
      <c r="BG1925" s="63"/>
      <c r="BI1925" s="61"/>
      <c r="BJ1925" s="61"/>
      <c r="BK1925" s="62"/>
      <c r="BL1925" s="213"/>
      <c r="BM1925" s="63"/>
      <c r="BN1925" s="63"/>
      <c r="BO1925" s="63"/>
      <c r="BP1925" s="63"/>
      <c r="BQ1925" s="63"/>
      <c r="BR1925" s="63"/>
      <c r="BS1925" s="63"/>
      <c r="BT1925" s="63"/>
      <c r="BV1925" s="61"/>
      <c r="BW1925" s="61"/>
      <c r="BX1925" s="62"/>
      <c r="BY1925" s="213"/>
      <c r="BZ1925" s="63"/>
      <c r="CA1925" s="63"/>
      <c r="CB1925" s="63"/>
      <c r="CC1925" s="63"/>
      <c r="CD1925" s="63"/>
      <c r="CE1925" s="63"/>
      <c r="CF1925" s="63"/>
      <c r="CG1925" s="63"/>
      <c r="CH1925" s="64"/>
      <c r="CI1925" s="61" t="s">
        <v>821</v>
      </c>
      <c r="CJ1925" s="61" t="s">
        <v>0</v>
      </c>
      <c r="CK1925" s="62"/>
      <c r="CL1925" s="63"/>
      <c r="CM1925" s="63"/>
      <c r="CN1925" s="63"/>
      <c r="CO1925" s="61"/>
      <c r="CP1925" s="61"/>
      <c r="CQ1925" s="61"/>
      <c r="CR1925" s="62"/>
      <c r="CT1925" s="65"/>
      <c r="CU1925" s="65"/>
      <c r="CV1925" s="65"/>
      <c r="CW1925" s="65"/>
      <c r="CX1925" s="65"/>
      <c r="CY1925" s="65"/>
      <c r="CZ1925" s="65"/>
      <c r="DA1925" s="65"/>
      <c r="DB1925" s="65"/>
      <c r="DC1925" s="63"/>
      <c r="DE1925" s="57" t="s">
        <v>548</v>
      </c>
    </row>
    <row r="1926" spans="1:109" s="57" customFormat="1" x14ac:dyDescent="0.2">
      <c r="A1926" s="64" t="s">
        <v>3528</v>
      </c>
      <c r="B1926" s="64" t="s">
        <v>2</v>
      </c>
      <c r="C1926" s="64">
        <f t="shared" si="170"/>
        <v>300300005</v>
      </c>
      <c r="D1926" s="57" t="s">
        <v>3529</v>
      </c>
      <c r="E1926" s="58" t="s">
        <v>3537</v>
      </c>
      <c r="F1926" s="211"/>
      <c r="G1926" s="211"/>
      <c r="H1926" s="211"/>
      <c r="I1926" s="212" t="s">
        <v>157</v>
      </c>
      <c r="J1926" s="59" t="s">
        <v>548</v>
      </c>
      <c r="K1926" s="59"/>
      <c r="L1926" s="59"/>
      <c r="M1926" s="59"/>
      <c r="N1926" s="59" t="s">
        <v>819</v>
      </c>
      <c r="O1926" s="59" t="s">
        <v>158</v>
      </c>
      <c r="P1926" s="59"/>
      <c r="Q1926" s="59" t="s">
        <v>2041</v>
      </c>
      <c r="R1926" s="59"/>
      <c r="S1926" s="59"/>
      <c r="T1926" s="59" t="s">
        <v>3433</v>
      </c>
      <c r="U1926" s="122" t="s">
        <v>3530</v>
      </c>
      <c r="V1926" s="59" t="s">
        <v>819</v>
      </c>
      <c r="W1926" s="59" t="s">
        <v>1</v>
      </c>
      <c r="X1926" s="59"/>
      <c r="Y1926" s="59"/>
      <c r="Z1926" s="59"/>
      <c r="AA1926" s="59"/>
      <c r="AB1926" s="59"/>
      <c r="AC1926" s="59"/>
      <c r="AD1926" s="59"/>
      <c r="AE1926" s="60"/>
      <c r="AF1926" s="60" t="s">
        <v>2042</v>
      </c>
      <c r="AG1926" s="59"/>
      <c r="AH1926" s="57" t="s">
        <v>4726</v>
      </c>
      <c r="AI1926" s="61"/>
      <c r="AJ1926" s="61"/>
      <c r="AK1926" s="62">
        <v>1000</v>
      </c>
      <c r="AL1926" s="213"/>
      <c r="AM1926" s="63"/>
      <c r="AN1926" s="63"/>
      <c r="AO1926" s="63"/>
      <c r="AP1926" s="63"/>
      <c r="AQ1926" s="63"/>
      <c r="AR1926" s="63"/>
      <c r="AS1926" s="63"/>
      <c r="AT1926" s="63"/>
      <c r="AV1926" s="61"/>
      <c r="AW1926" s="61"/>
      <c r="AX1926" s="62"/>
      <c r="AY1926" s="213"/>
      <c r="AZ1926" s="63"/>
      <c r="BA1926" s="63"/>
      <c r="BB1926" s="63"/>
      <c r="BC1926" s="63"/>
      <c r="BD1926" s="63"/>
      <c r="BE1926" s="63"/>
      <c r="BF1926" s="63"/>
      <c r="BG1926" s="63"/>
      <c r="BI1926" s="61"/>
      <c r="BJ1926" s="61"/>
      <c r="BK1926" s="62"/>
      <c r="BL1926" s="213"/>
      <c r="BM1926" s="63"/>
      <c r="BN1926" s="63"/>
      <c r="BO1926" s="63"/>
      <c r="BP1926" s="63"/>
      <c r="BQ1926" s="63"/>
      <c r="BR1926" s="63"/>
      <c r="BS1926" s="63"/>
      <c r="BT1926" s="63"/>
      <c r="BV1926" s="61"/>
      <c r="BW1926" s="61"/>
      <c r="BX1926" s="62"/>
      <c r="BY1926" s="213"/>
      <c r="BZ1926" s="63"/>
      <c r="CA1926" s="63"/>
      <c r="CB1926" s="63"/>
      <c r="CC1926" s="63"/>
      <c r="CD1926" s="63"/>
      <c r="CE1926" s="63"/>
      <c r="CF1926" s="63"/>
      <c r="CG1926" s="63"/>
      <c r="CH1926" s="64"/>
      <c r="CI1926" s="61" t="s">
        <v>821</v>
      </c>
      <c r="CJ1926" s="61" t="s">
        <v>0</v>
      </c>
      <c r="CK1926" s="62"/>
      <c r="CL1926" s="63"/>
      <c r="CM1926" s="63"/>
      <c r="CN1926" s="63"/>
      <c r="CO1926" s="61"/>
      <c r="CP1926" s="61"/>
      <c r="CQ1926" s="61"/>
      <c r="CR1926" s="62"/>
      <c r="CT1926" s="65"/>
      <c r="CU1926" s="65"/>
      <c r="CV1926" s="65"/>
      <c r="CW1926" s="65"/>
      <c r="CX1926" s="65"/>
      <c r="CY1926" s="65"/>
      <c r="CZ1926" s="65"/>
      <c r="DA1926" s="65"/>
      <c r="DB1926" s="65"/>
      <c r="DC1926" s="63"/>
      <c r="DE1926" s="57" t="s">
        <v>548</v>
      </c>
    </row>
    <row r="1927" spans="1:109" s="57" customFormat="1" x14ac:dyDescent="0.2">
      <c r="A1927" s="64" t="s">
        <v>3528</v>
      </c>
      <c r="B1927" s="64" t="s">
        <v>3</v>
      </c>
      <c r="C1927" s="64">
        <f t="shared" si="170"/>
        <v>300300006</v>
      </c>
      <c r="D1927" s="57" t="s">
        <v>3529</v>
      </c>
      <c r="E1927" s="58" t="s">
        <v>3538</v>
      </c>
      <c r="F1927" s="211"/>
      <c r="G1927" s="211"/>
      <c r="H1927" s="211"/>
      <c r="I1927" s="212" t="s">
        <v>157</v>
      </c>
      <c r="J1927" s="59"/>
      <c r="K1927" s="59"/>
      <c r="L1927" s="59"/>
      <c r="M1927" s="59"/>
      <c r="N1927" s="59" t="s">
        <v>819</v>
      </c>
      <c r="O1927" s="59" t="s">
        <v>3535</v>
      </c>
      <c r="P1927" s="59"/>
      <c r="Q1927" s="59" t="s">
        <v>2041</v>
      </c>
      <c r="R1927" s="59"/>
      <c r="S1927" s="59"/>
      <c r="T1927" s="59" t="s">
        <v>3433</v>
      </c>
      <c r="U1927" s="122" t="s">
        <v>3531</v>
      </c>
      <c r="V1927" s="59" t="s">
        <v>3532</v>
      </c>
      <c r="W1927" s="59" t="s">
        <v>1</v>
      </c>
      <c r="X1927" s="59"/>
      <c r="Y1927" s="59"/>
      <c r="Z1927" s="59"/>
      <c r="AA1927" s="59"/>
      <c r="AB1927" s="59"/>
      <c r="AC1927" s="59"/>
      <c r="AD1927" s="59"/>
      <c r="AE1927" s="60"/>
      <c r="AF1927" s="60" t="s">
        <v>2042</v>
      </c>
      <c r="AG1927" s="59"/>
      <c r="AH1927" s="57" t="s">
        <v>4726</v>
      </c>
      <c r="AI1927" s="61"/>
      <c r="AJ1927" s="61"/>
      <c r="AK1927" s="62"/>
      <c r="AL1927" s="168" t="s">
        <v>4728</v>
      </c>
      <c r="AM1927" s="63"/>
      <c r="AN1927" s="63"/>
      <c r="AO1927" s="63"/>
      <c r="AP1927" s="63"/>
      <c r="AQ1927" s="63"/>
      <c r="AR1927" s="63"/>
      <c r="AS1927" s="63"/>
      <c r="AT1927" s="63"/>
      <c r="AV1927" s="61"/>
      <c r="AW1927" s="61"/>
      <c r="AX1927" s="62"/>
      <c r="AY1927" s="213"/>
      <c r="AZ1927" s="63"/>
      <c r="BA1927" s="63"/>
      <c r="BB1927" s="63"/>
      <c r="BC1927" s="63"/>
      <c r="BD1927" s="63"/>
      <c r="BE1927" s="63"/>
      <c r="BF1927" s="63"/>
      <c r="BG1927" s="63"/>
      <c r="BI1927" s="61"/>
      <c r="BJ1927" s="61"/>
      <c r="BK1927" s="62"/>
      <c r="BL1927" s="213"/>
      <c r="BM1927" s="63"/>
      <c r="BN1927" s="63"/>
      <c r="BO1927" s="63"/>
      <c r="BP1927" s="63"/>
      <c r="BQ1927" s="63"/>
      <c r="BR1927" s="63"/>
      <c r="BS1927" s="63"/>
      <c r="BT1927" s="63"/>
      <c r="BV1927" s="61"/>
      <c r="BW1927" s="61"/>
      <c r="BX1927" s="62"/>
      <c r="BY1927" s="213"/>
      <c r="BZ1927" s="63"/>
      <c r="CA1927" s="63"/>
      <c r="CB1927" s="63"/>
      <c r="CC1927" s="63"/>
      <c r="CD1927" s="63"/>
      <c r="CE1927" s="63"/>
      <c r="CF1927" s="63"/>
      <c r="CG1927" s="63"/>
      <c r="CH1927" s="64"/>
      <c r="CI1927" s="61" t="s">
        <v>821</v>
      </c>
      <c r="CJ1927" s="61" t="s">
        <v>0</v>
      </c>
      <c r="CK1927" s="62"/>
      <c r="CL1927" s="63"/>
      <c r="CM1927" s="63"/>
      <c r="CN1927" s="63"/>
      <c r="CO1927" s="61"/>
      <c r="CP1927" s="61"/>
      <c r="CQ1927" s="61"/>
      <c r="CR1927" s="62"/>
      <c r="CT1927" s="65"/>
      <c r="CU1927" s="65"/>
      <c r="CV1927" s="65"/>
      <c r="CW1927" s="65"/>
      <c r="CX1927" s="65"/>
      <c r="CY1927" s="65"/>
      <c r="CZ1927" s="65"/>
      <c r="DA1927" s="65"/>
      <c r="DB1927" s="65"/>
      <c r="DC1927" s="63"/>
      <c r="DE1927" s="57" t="s">
        <v>548</v>
      </c>
    </row>
    <row r="1928" spans="1:109" s="57" customFormat="1" x14ac:dyDescent="0.2">
      <c r="A1928" s="64" t="s">
        <v>3528</v>
      </c>
      <c r="B1928" s="64" t="s">
        <v>4</v>
      </c>
      <c r="C1928" s="64">
        <f t="shared" si="170"/>
        <v>300300007</v>
      </c>
      <c r="D1928" s="57" t="s">
        <v>3529</v>
      </c>
      <c r="E1928" s="58" t="s">
        <v>3538</v>
      </c>
      <c r="F1928" s="211"/>
      <c r="G1928" s="211"/>
      <c r="H1928" s="211"/>
      <c r="I1928" s="212" t="s">
        <v>157</v>
      </c>
      <c r="J1928" s="59"/>
      <c r="K1928" s="59"/>
      <c r="L1928" s="59"/>
      <c r="M1928" s="59"/>
      <c r="N1928" s="59" t="s">
        <v>819</v>
      </c>
      <c r="O1928" s="59" t="s">
        <v>3535</v>
      </c>
      <c r="P1928" s="59"/>
      <c r="Q1928" s="59" t="s">
        <v>2041</v>
      </c>
      <c r="R1928" s="59"/>
      <c r="S1928" s="59"/>
      <c r="T1928" s="59" t="s">
        <v>3433</v>
      </c>
      <c r="U1928" s="122" t="s">
        <v>3531</v>
      </c>
      <c r="V1928" s="59" t="s">
        <v>3533</v>
      </c>
      <c r="W1928" s="59" t="s">
        <v>1</v>
      </c>
      <c r="X1928" s="59"/>
      <c r="Y1928" s="59"/>
      <c r="Z1928" s="59"/>
      <c r="AA1928" s="59"/>
      <c r="AB1928" s="59"/>
      <c r="AC1928" s="59"/>
      <c r="AD1928" s="59"/>
      <c r="AE1928" s="60"/>
      <c r="AF1928" s="60" t="s">
        <v>2042</v>
      </c>
      <c r="AG1928" s="59"/>
      <c r="AH1928" s="57" t="s">
        <v>4726</v>
      </c>
      <c r="AI1928" s="61"/>
      <c r="AJ1928" s="61"/>
      <c r="AK1928" s="62"/>
      <c r="AL1928" s="168" t="s">
        <v>4729</v>
      </c>
      <c r="AM1928" s="63"/>
      <c r="AN1928" s="63"/>
      <c r="AO1928" s="63"/>
      <c r="AP1928" s="63"/>
      <c r="AQ1928" s="63"/>
      <c r="AR1928" s="63"/>
      <c r="AS1928" s="63"/>
      <c r="AT1928" s="63"/>
      <c r="AV1928" s="61"/>
      <c r="AW1928" s="61"/>
      <c r="AX1928" s="62"/>
      <c r="AY1928" s="213"/>
      <c r="AZ1928" s="63"/>
      <c r="BA1928" s="63"/>
      <c r="BB1928" s="63"/>
      <c r="BC1928" s="63"/>
      <c r="BD1928" s="63"/>
      <c r="BE1928" s="63"/>
      <c r="BF1928" s="63"/>
      <c r="BG1928" s="63"/>
      <c r="BI1928" s="61"/>
      <c r="BJ1928" s="61"/>
      <c r="BK1928" s="62"/>
      <c r="BL1928" s="213"/>
      <c r="BM1928" s="63"/>
      <c r="BN1928" s="63"/>
      <c r="BO1928" s="63"/>
      <c r="BP1928" s="63"/>
      <c r="BQ1928" s="63"/>
      <c r="BR1928" s="63"/>
      <c r="BS1928" s="63"/>
      <c r="BT1928" s="63"/>
      <c r="BV1928" s="61"/>
      <c r="BW1928" s="61"/>
      <c r="BX1928" s="62"/>
      <c r="BY1928" s="213"/>
      <c r="BZ1928" s="63"/>
      <c r="CA1928" s="63"/>
      <c r="CB1928" s="63"/>
      <c r="CC1928" s="63"/>
      <c r="CD1928" s="63"/>
      <c r="CE1928" s="63"/>
      <c r="CF1928" s="63"/>
      <c r="CG1928" s="63"/>
      <c r="CH1928" s="64"/>
      <c r="CI1928" s="61" t="s">
        <v>821</v>
      </c>
      <c r="CJ1928" s="61" t="s">
        <v>0</v>
      </c>
      <c r="CK1928" s="62"/>
      <c r="CL1928" s="63"/>
      <c r="CM1928" s="63"/>
      <c r="CN1928" s="63"/>
      <c r="CO1928" s="61"/>
      <c r="CP1928" s="61"/>
      <c r="CQ1928" s="61"/>
      <c r="CR1928" s="62"/>
      <c r="CT1928" s="65"/>
      <c r="CU1928" s="65"/>
      <c r="CV1928" s="65"/>
      <c r="CW1928" s="65"/>
      <c r="CX1928" s="65"/>
      <c r="CY1928" s="65"/>
      <c r="CZ1928" s="65"/>
      <c r="DA1928" s="65"/>
      <c r="DB1928" s="65"/>
      <c r="DC1928" s="63"/>
      <c r="DE1928" s="57" t="s">
        <v>548</v>
      </c>
    </row>
    <row r="1929" spans="1:109" s="57" customFormat="1" x14ac:dyDescent="0.2">
      <c r="A1929" s="64" t="s">
        <v>3528</v>
      </c>
      <c r="B1929" s="64" t="s">
        <v>5</v>
      </c>
      <c r="C1929" s="64">
        <f t="shared" si="170"/>
        <v>300300008</v>
      </c>
      <c r="D1929" s="57" t="s">
        <v>3529</v>
      </c>
      <c r="E1929" s="58" t="s">
        <v>3538</v>
      </c>
      <c r="F1929" s="211"/>
      <c r="G1929" s="211"/>
      <c r="H1929" s="211"/>
      <c r="I1929" s="212" t="s">
        <v>157</v>
      </c>
      <c r="J1929" s="59"/>
      <c r="K1929" s="59"/>
      <c r="L1929" s="59"/>
      <c r="M1929" s="59"/>
      <c r="N1929" s="59" t="s">
        <v>819</v>
      </c>
      <c r="O1929" s="59" t="s">
        <v>3535</v>
      </c>
      <c r="P1929" s="59"/>
      <c r="Q1929" s="59" t="s">
        <v>2041</v>
      </c>
      <c r="R1929" s="59"/>
      <c r="S1929" s="59"/>
      <c r="T1929" s="59" t="s">
        <v>3433</v>
      </c>
      <c r="U1929" s="122" t="s">
        <v>3531</v>
      </c>
      <c r="V1929" s="59" t="s">
        <v>3534</v>
      </c>
      <c r="W1929" s="59" t="s">
        <v>1</v>
      </c>
      <c r="X1929" s="59"/>
      <c r="Y1929" s="59"/>
      <c r="Z1929" s="59"/>
      <c r="AA1929" s="59"/>
      <c r="AB1929" s="59"/>
      <c r="AC1929" s="59"/>
      <c r="AD1929" s="59"/>
      <c r="AE1929" s="60"/>
      <c r="AF1929" s="60" t="s">
        <v>2042</v>
      </c>
      <c r="AG1929" s="59"/>
      <c r="AH1929" s="57" t="s">
        <v>4726</v>
      </c>
      <c r="AI1929" s="61"/>
      <c r="AJ1929" s="61"/>
      <c r="AK1929" s="62"/>
      <c r="AL1929" s="168" t="s">
        <v>4730</v>
      </c>
      <c r="AM1929" s="63"/>
      <c r="AN1929" s="63"/>
      <c r="AO1929" s="63"/>
      <c r="AP1929" s="63"/>
      <c r="AQ1929" s="63"/>
      <c r="AR1929" s="63"/>
      <c r="AS1929" s="63"/>
      <c r="AT1929" s="63"/>
      <c r="AV1929" s="61"/>
      <c r="AW1929" s="61"/>
      <c r="AX1929" s="62"/>
      <c r="AY1929" s="213"/>
      <c r="AZ1929" s="63"/>
      <c r="BA1929" s="63"/>
      <c r="BB1929" s="63"/>
      <c r="BC1929" s="63"/>
      <c r="BD1929" s="63"/>
      <c r="BE1929" s="63"/>
      <c r="BF1929" s="63"/>
      <c r="BG1929" s="63"/>
      <c r="BI1929" s="61"/>
      <c r="BJ1929" s="61"/>
      <c r="BK1929" s="62"/>
      <c r="BL1929" s="213"/>
      <c r="BM1929" s="63"/>
      <c r="BN1929" s="63"/>
      <c r="BO1929" s="63"/>
      <c r="BP1929" s="63"/>
      <c r="BQ1929" s="63"/>
      <c r="BR1929" s="63"/>
      <c r="BS1929" s="63"/>
      <c r="BT1929" s="63"/>
      <c r="BV1929" s="61"/>
      <c r="BW1929" s="61"/>
      <c r="BX1929" s="62"/>
      <c r="BY1929" s="213"/>
      <c r="BZ1929" s="63"/>
      <c r="CA1929" s="63"/>
      <c r="CB1929" s="63"/>
      <c r="CC1929" s="63"/>
      <c r="CD1929" s="63"/>
      <c r="CE1929" s="63"/>
      <c r="CF1929" s="63"/>
      <c r="CG1929" s="63"/>
      <c r="CH1929" s="64"/>
      <c r="CI1929" s="61" t="s">
        <v>821</v>
      </c>
      <c r="CJ1929" s="61" t="s">
        <v>0</v>
      </c>
      <c r="CK1929" s="62"/>
      <c r="CL1929" s="63"/>
      <c r="CM1929" s="63"/>
      <c r="CN1929" s="63"/>
      <c r="CO1929" s="61"/>
      <c r="CP1929" s="61"/>
      <c r="CQ1929" s="61"/>
      <c r="CR1929" s="62"/>
      <c r="CT1929" s="65"/>
      <c r="CU1929" s="65"/>
      <c r="CV1929" s="65"/>
      <c r="CW1929" s="65"/>
      <c r="CX1929" s="65"/>
      <c r="CY1929" s="65"/>
      <c r="CZ1929" s="65"/>
      <c r="DA1929" s="65"/>
      <c r="DB1929" s="65"/>
      <c r="DC1929" s="63"/>
      <c r="DE1929" s="57" t="s">
        <v>548</v>
      </c>
    </row>
    <row r="1930" spans="1:109" s="128" customFormat="1" x14ac:dyDescent="0.2">
      <c r="A1930" s="127" t="s">
        <v>3539</v>
      </c>
      <c r="B1930" s="127" t="s">
        <v>181</v>
      </c>
      <c r="C1930" s="127">
        <f t="shared" ref="C1930:C1949" si="171">A1930*10000+B1930</f>
        <v>300310001</v>
      </c>
      <c r="D1930" s="128" t="s">
        <v>3540</v>
      </c>
      <c r="E1930" s="129" t="s">
        <v>1117</v>
      </c>
      <c r="F1930" s="147"/>
      <c r="G1930" s="147"/>
      <c r="H1930" s="147"/>
      <c r="I1930" s="136"/>
      <c r="J1930" s="114" t="s">
        <v>548</v>
      </c>
      <c r="K1930" s="114"/>
      <c r="L1930" s="114"/>
      <c r="M1930" s="114"/>
      <c r="N1930" s="114" t="s">
        <v>819</v>
      </c>
      <c r="O1930" s="114" t="s">
        <v>3555</v>
      </c>
      <c r="P1930" s="114"/>
      <c r="Q1930" s="114" t="s">
        <v>2041</v>
      </c>
      <c r="R1930" s="114"/>
      <c r="S1930" s="114"/>
      <c r="T1930" s="114" t="s">
        <v>3433</v>
      </c>
      <c r="U1930" s="117" t="s">
        <v>3541</v>
      </c>
      <c r="V1930" s="114" t="s">
        <v>3559</v>
      </c>
      <c r="W1930" s="114" t="s">
        <v>3542</v>
      </c>
      <c r="X1930" s="114"/>
      <c r="Y1930" s="114"/>
      <c r="Z1930" s="114"/>
      <c r="AA1930" s="114"/>
      <c r="AB1930" s="114"/>
      <c r="AC1930" s="114" t="s">
        <v>3543</v>
      </c>
      <c r="AD1930" s="114"/>
      <c r="AE1930" s="130"/>
      <c r="AF1930" s="130" t="s">
        <v>2042</v>
      </c>
      <c r="AG1930" s="114"/>
      <c r="AI1930" s="131"/>
      <c r="AJ1930" s="131"/>
      <c r="AK1930" s="132"/>
      <c r="AL1930" s="133" t="s">
        <v>4009</v>
      </c>
      <c r="AM1930" s="134"/>
      <c r="AN1930" s="134"/>
      <c r="AO1930" s="134"/>
      <c r="AP1930" s="134"/>
      <c r="AQ1930" s="134"/>
      <c r="AR1930" s="134"/>
      <c r="AS1930" s="134"/>
      <c r="AT1930" s="134"/>
      <c r="AV1930" s="131"/>
      <c r="AW1930" s="131"/>
      <c r="AX1930" s="132"/>
      <c r="AY1930" s="133"/>
      <c r="AZ1930" s="134"/>
      <c r="BA1930" s="134"/>
      <c r="BB1930" s="134"/>
      <c r="BC1930" s="134"/>
      <c r="BD1930" s="134"/>
      <c r="BE1930" s="134"/>
      <c r="BF1930" s="134"/>
      <c r="BG1930" s="134"/>
      <c r="BI1930" s="131"/>
      <c r="BJ1930" s="131"/>
      <c r="BK1930" s="132"/>
      <c r="BL1930" s="133"/>
      <c r="BM1930" s="134"/>
      <c r="BN1930" s="134"/>
      <c r="BO1930" s="134"/>
      <c r="BP1930" s="134"/>
      <c r="BQ1930" s="134"/>
      <c r="BR1930" s="134"/>
      <c r="BS1930" s="134"/>
      <c r="BT1930" s="134"/>
      <c r="BV1930" s="131"/>
      <c r="BW1930" s="131"/>
      <c r="BX1930" s="132"/>
      <c r="BY1930" s="133"/>
      <c r="BZ1930" s="134"/>
      <c r="CA1930" s="134"/>
      <c r="CB1930" s="134"/>
      <c r="CC1930" s="134"/>
      <c r="CD1930" s="134"/>
      <c r="CE1930" s="134"/>
      <c r="CF1930" s="134"/>
      <c r="CG1930" s="134"/>
      <c r="CH1930" s="127"/>
      <c r="CI1930" s="131" t="s">
        <v>397</v>
      </c>
      <c r="CJ1930" s="131" t="s">
        <v>4005</v>
      </c>
      <c r="CK1930" s="132"/>
      <c r="CL1930" s="134"/>
      <c r="CM1930" s="134"/>
      <c r="CN1930" s="134"/>
      <c r="CO1930" s="131"/>
      <c r="CP1930" s="131"/>
      <c r="CQ1930" s="131"/>
      <c r="CR1930" s="132"/>
      <c r="CT1930" s="135"/>
      <c r="CU1930" s="135"/>
      <c r="CV1930" s="135"/>
      <c r="CW1930" s="135"/>
      <c r="CX1930" s="135"/>
      <c r="CY1930" s="135"/>
      <c r="CZ1930" s="135"/>
      <c r="DA1930" s="135"/>
      <c r="DB1930" s="135"/>
      <c r="DC1930" s="134"/>
      <c r="DE1930" s="128" t="s">
        <v>548</v>
      </c>
    </row>
    <row r="1931" spans="1:109" s="128" customFormat="1" x14ac:dyDescent="0.2">
      <c r="A1931" s="127" t="s">
        <v>3539</v>
      </c>
      <c r="B1931" s="127" t="s">
        <v>22</v>
      </c>
      <c r="C1931" s="127">
        <f t="shared" si="171"/>
        <v>300310002</v>
      </c>
      <c r="D1931" s="128" t="s">
        <v>3540</v>
      </c>
      <c r="E1931" s="129" t="s">
        <v>1117</v>
      </c>
      <c r="F1931" s="147"/>
      <c r="G1931" s="147"/>
      <c r="H1931" s="147"/>
      <c r="I1931" s="136" t="s">
        <v>1437</v>
      </c>
      <c r="J1931" s="114" t="s">
        <v>548</v>
      </c>
      <c r="K1931" s="114"/>
      <c r="L1931" s="114"/>
      <c r="M1931" s="114"/>
      <c r="N1931" s="114" t="s">
        <v>819</v>
      </c>
      <c r="O1931" s="114" t="s">
        <v>3555</v>
      </c>
      <c r="P1931" s="114"/>
      <c r="Q1931" s="114" t="s">
        <v>2041</v>
      </c>
      <c r="R1931" s="114"/>
      <c r="S1931" s="114"/>
      <c r="T1931" s="114" t="s">
        <v>3433</v>
      </c>
      <c r="U1931" s="117" t="s">
        <v>3541</v>
      </c>
      <c r="V1931" s="114" t="s">
        <v>3559</v>
      </c>
      <c r="W1931" s="114" t="s">
        <v>3542</v>
      </c>
      <c r="X1931" s="114"/>
      <c r="Y1931" s="114"/>
      <c r="Z1931" s="114"/>
      <c r="AA1931" s="114"/>
      <c r="AB1931" s="114"/>
      <c r="AC1931" s="114" t="s">
        <v>4012</v>
      </c>
      <c r="AD1931" s="114"/>
      <c r="AE1931" s="130"/>
      <c r="AF1931" s="130" t="s">
        <v>2042</v>
      </c>
      <c r="AG1931" s="114"/>
      <c r="AI1931" s="131"/>
      <c r="AJ1931" s="131"/>
      <c r="AK1931" s="132"/>
      <c r="AL1931" s="133" t="s">
        <v>4009</v>
      </c>
      <c r="AM1931" s="134"/>
      <c r="AN1931" s="134"/>
      <c r="AO1931" s="134"/>
      <c r="AP1931" s="134"/>
      <c r="AQ1931" s="134"/>
      <c r="AR1931" s="134"/>
      <c r="AS1931" s="134"/>
      <c r="AT1931" s="134"/>
      <c r="AV1931" s="131"/>
      <c r="AW1931" s="131"/>
      <c r="AX1931" s="132"/>
      <c r="AY1931" s="133"/>
      <c r="AZ1931" s="134"/>
      <c r="BA1931" s="134"/>
      <c r="BB1931" s="134"/>
      <c r="BC1931" s="134"/>
      <c r="BD1931" s="134"/>
      <c r="BE1931" s="134"/>
      <c r="BF1931" s="134"/>
      <c r="BG1931" s="134"/>
      <c r="BI1931" s="131"/>
      <c r="BJ1931" s="131"/>
      <c r="BK1931" s="132"/>
      <c r="BL1931" s="133"/>
      <c r="BM1931" s="134"/>
      <c r="BN1931" s="134"/>
      <c r="BO1931" s="134"/>
      <c r="BP1931" s="134"/>
      <c r="BQ1931" s="134"/>
      <c r="BR1931" s="134"/>
      <c r="BS1931" s="134"/>
      <c r="BT1931" s="134"/>
      <c r="BV1931" s="131"/>
      <c r="BW1931" s="131"/>
      <c r="BX1931" s="132"/>
      <c r="BY1931" s="133"/>
      <c r="BZ1931" s="134"/>
      <c r="CA1931" s="134"/>
      <c r="CB1931" s="134"/>
      <c r="CC1931" s="134"/>
      <c r="CD1931" s="134"/>
      <c r="CE1931" s="134"/>
      <c r="CF1931" s="134"/>
      <c r="CG1931" s="134"/>
      <c r="CH1931" s="127"/>
      <c r="CI1931" s="131" t="s">
        <v>397</v>
      </c>
      <c r="CJ1931" s="131" t="s">
        <v>4005</v>
      </c>
      <c r="CK1931" s="132"/>
      <c r="CL1931" s="134"/>
      <c r="CM1931" s="134"/>
      <c r="CN1931" s="134"/>
      <c r="CO1931" s="131"/>
      <c r="CP1931" s="131"/>
      <c r="CQ1931" s="131"/>
      <c r="CR1931" s="132"/>
      <c r="CT1931" s="135"/>
      <c r="CU1931" s="135"/>
      <c r="CV1931" s="135"/>
      <c r="CW1931" s="135"/>
      <c r="CX1931" s="135"/>
      <c r="CY1931" s="135"/>
      <c r="CZ1931" s="135"/>
      <c r="DA1931" s="135"/>
      <c r="DB1931" s="135"/>
      <c r="DC1931" s="134"/>
      <c r="DE1931" s="128" t="s">
        <v>548</v>
      </c>
    </row>
    <row r="1932" spans="1:109" s="128" customFormat="1" x14ac:dyDescent="0.2">
      <c r="A1932" s="127" t="s">
        <v>3539</v>
      </c>
      <c r="B1932" s="127" t="s">
        <v>122</v>
      </c>
      <c r="C1932" s="127">
        <f t="shared" si="171"/>
        <v>300310003</v>
      </c>
      <c r="D1932" s="128" t="s">
        <v>3540</v>
      </c>
      <c r="E1932" s="129" t="s">
        <v>3556</v>
      </c>
      <c r="F1932" s="147"/>
      <c r="G1932" s="147"/>
      <c r="H1932" s="147"/>
      <c r="I1932" s="136" t="s">
        <v>3558</v>
      </c>
      <c r="J1932" s="114" t="s">
        <v>548</v>
      </c>
      <c r="K1932" s="114"/>
      <c r="L1932" s="114"/>
      <c r="M1932" s="114"/>
      <c r="N1932" s="114" t="s">
        <v>819</v>
      </c>
      <c r="O1932" s="114" t="s">
        <v>3555</v>
      </c>
      <c r="P1932" s="114"/>
      <c r="Q1932" s="114" t="s">
        <v>2041</v>
      </c>
      <c r="R1932" s="114"/>
      <c r="S1932" s="114"/>
      <c r="T1932" s="114" t="s">
        <v>3433</v>
      </c>
      <c r="U1932" s="117" t="s">
        <v>3541</v>
      </c>
      <c r="V1932" s="114" t="s">
        <v>3559</v>
      </c>
      <c r="W1932" s="114" t="s">
        <v>3542</v>
      </c>
      <c r="X1932" s="114"/>
      <c r="Y1932" s="114"/>
      <c r="Z1932" s="114"/>
      <c r="AA1932" s="114"/>
      <c r="AB1932" s="114"/>
      <c r="AC1932" s="114" t="s">
        <v>4012</v>
      </c>
      <c r="AD1932" s="114"/>
      <c r="AE1932" s="130"/>
      <c r="AF1932" s="130" t="s">
        <v>2042</v>
      </c>
      <c r="AG1932" s="114"/>
      <c r="AI1932" s="131"/>
      <c r="AJ1932" s="131"/>
      <c r="AK1932" s="132"/>
      <c r="AL1932" s="133" t="s">
        <v>4009</v>
      </c>
      <c r="AM1932" s="134"/>
      <c r="AN1932" s="134"/>
      <c r="AO1932" s="134"/>
      <c r="AP1932" s="134"/>
      <c r="AQ1932" s="134"/>
      <c r="AR1932" s="134"/>
      <c r="AS1932" s="134"/>
      <c r="AT1932" s="134"/>
      <c r="AV1932" s="131"/>
      <c r="AW1932" s="131"/>
      <c r="AX1932" s="132"/>
      <c r="AY1932" s="133"/>
      <c r="AZ1932" s="134"/>
      <c r="BA1932" s="134"/>
      <c r="BB1932" s="134"/>
      <c r="BC1932" s="134"/>
      <c r="BD1932" s="134"/>
      <c r="BE1932" s="134"/>
      <c r="BF1932" s="134"/>
      <c r="BG1932" s="134"/>
      <c r="BI1932" s="131"/>
      <c r="BJ1932" s="131"/>
      <c r="BK1932" s="132"/>
      <c r="BL1932" s="133"/>
      <c r="BM1932" s="134"/>
      <c r="BN1932" s="134"/>
      <c r="BO1932" s="134"/>
      <c r="BP1932" s="134"/>
      <c r="BQ1932" s="134"/>
      <c r="BR1932" s="134"/>
      <c r="BS1932" s="134"/>
      <c r="BT1932" s="134"/>
      <c r="BV1932" s="131"/>
      <c r="BW1932" s="131"/>
      <c r="BX1932" s="132"/>
      <c r="BY1932" s="133"/>
      <c r="BZ1932" s="134"/>
      <c r="CA1932" s="134"/>
      <c r="CB1932" s="134"/>
      <c r="CC1932" s="134"/>
      <c r="CD1932" s="134"/>
      <c r="CE1932" s="134"/>
      <c r="CF1932" s="134"/>
      <c r="CG1932" s="134"/>
      <c r="CH1932" s="127"/>
      <c r="CI1932" s="131" t="s">
        <v>397</v>
      </c>
      <c r="CJ1932" s="131" t="s">
        <v>4005</v>
      </c>
      <c r="CK1932" s="132"/>
      <c r="CL1932" s="134"/>
      <c r="CM1932" s="134"/>
      <c r="CN1932" s="134"/>
      <c r="CO1932" s="131"/>
      <c r="CP1932" s="131"/>
      <c r="CQ1932" s="131"/>
      <c r="CR1932" s="132"/>
      <c r="CT1932" s="135"/>
      <c r="CU1932" s="135"/>
      <c r="CV1932" s="135"/>
      <c r="CW1932" s="135"/>
      <c r="CX1932" s="135"/>
      <c r="CY1932" s="135"/>
      <c r="CZ1932" s="135"/>
      <c r="DA1932" s="135"/>
      <c r="DB1932" s="135"/>
      <c r="DC1932" s="134"/>
      <c r="DE1932" s="128" t="s">
        <v>548</v>
      </c>
    </row>
    <row r="1933" spans="1:109" s="128" customFormat="1" x14ac:dyDescent="0.2">
      <c r="A1933" s="127" t="s">
        <v>3539</v>
      </c>
      <c r="B1933" s="127" t="s">
        <v>1</v>
      </c>
      <c r="C1933" s="127">
        <f t="shared" si="171"/>
        <v>300310004</v>
      </c>
      <c r="D1933" s="128" t="s">
        <v>3540</v>
      </c>
      <c r="E1933" s="129" t="s">
        <v>1117</v>
      </c>
      <c r="F1933" s="147"/>
      <c r="G1933" s="147"/>
      <c r="H1933" s="147"/>
      <c r="I1933" s="136" t="s">
        <v>3557</v>
      </c>
      <c r="J1933" s="114" t="s">
        <v>548</v>
      </c>
      <c r="K1933" s="114"/>
      <c r="L1933" s="114"/>
      <c r="M1933" s="114"/>
      <c r="N1933" s="114" t="s">
        <v>819</v>
      </c>
      <c r="O1933" s="114" t="s">
        <v>3555</v>
      </c>
      <c r="P1933" s="114"/>
      <c r="Q1933" s="114" t="s">
        <v>2041</v>
      </c>
      <c r="R1933" s="114"/>
      <c r="S1933" s="114"/>
      <c r="T1933" s="114" t="s">
        <v>3433</v>
      </c>
      <c r="U1933" s="117" t="s">
        <v>3541</v>
      </c>
      <c r="V1933" s="114" t="s">
        <v>3559</v>
      </c>
      <c r="W1933" s="114" t="s">
        <v>3542</v>
      </c>
      <c r="X1933" s="114"/>
      <c r="Y1933" s="114"/>
      <c r="Z1933" s="114"/>
      <c r="AA1933" s="114"/>
      <c r="AB1933" s="114"/>
      <c r="AC1933" s="114" t="s">
        <v>4012</v>
      </c>
      <c r="AD1933" s="114"/>
      <c r="AE1933" s="130"/>
      <c r="AF1933" s="130" t="s">
        <v>2042</v>
      </c>
      <c r="AG1933" s="114"/>
      <c r="AI1933" s="131"/>
      <c r="AJ1933" s="131"/>
      <c r="AK1933" s="132"/>
      <c r="AL1933" s="133" t="s">
        <v>4009</v>
      </c>
      <c r="AM1933" s="134"/>
      <c r="AN1933" s="134"/>
      <c r="AO1933" s="134"/>
      <c r="AP1933" s="134"/>
      <c r="AQ1933" s="134"/>
      <c r="AR1933" s="134"/>
      <c r="AS1933" s="134"/>
      <c r="AT1933" s="134"/>
      <c r="AV1933" s="131"/>
      <c r="AW1933" s="131"/>
      <c r="AX1933" s="132"/>
      <c r="AY1933" s="133"/>
      <c r="AZ1933" s="134"/>
      <c r="BA1933" s="134"/>
      <c r="BB1933" s="134"/>
      <c r="BC1933" s="134"/>
      <c r="BD1933" s="134"/>
      <c r="BE1933" s="134"/>
      <c r="BF1933" s="134"/>
      <c r="BG1933" s="134"/>
      <c r="BI1933" s="131"/>
      <c r="BJ1933" s="131"/>
      <c r="BK1933" s="132"/>
      <c r="BL1933" s="133"/>
      <c r="BM1933" s="134"/>
      <c r="BN1933" s="134"/>
      <c r="BO1933" s="134"/>
      <c r="BP1933" s="134"/>
      <c r="BQ1933" s="134"/>
      <c r="BR1933" s="134"/>
      <c r="BS1933" s="134"/>
      <c r="BT1933" s="134"/>
      <c r="BV1933" s="131"/>
      <c r="BW1933" s="131"/>
      <c r="BX1933" s="132"/>
      <c r="BY1933" s="133"/>
      <c r="BZ1933" s="134"/>
      <c r="CA1933" s="134"/>
      <c r="CB1933" s="134"/>
      <c r="CC1933" s="134"/>
      <c r="CD1933" s="134"/>
      <c r="CE1933" s="134"/>
      <c r="CF1933" s="134"/>
      <c r="CG1933" s="134"/>
      <c r="CH1933" s="127"/>
      <c r="CI1933" s="131" t="s">
        <v>397</v>
      </c>
      <c r="CJ1933" s="131" t="s">
        <v>4005</v>
      </c>
      <c r="CK1933" s="132"/>
      <c r="CL1933" s="134"/>
      <c r="CM1933" s="134"/>
      <c r="CN1933" s="134"/>
      <c r="CO1933" s="131"/>
      <c r="CP1933" s="131"/>
      <c r="CQ1933" s="131"/>
      <c r="CR1933" s="132"/>
      <c r="CT1933" s="135"/>
      <c r="CU1933" s="135"/>
      <c r="CV1933" s="135"/>
      <c r="CW1933" s="135"/>
      <c r="CX1933" s="135"/>
      <c r="CY1933" s="135"/>
      <c r="CZ1933" s="135"/>
      <c r="DA1933" s="135"/>
      <c r="DB1933" s="135"/>
      <c r="DC1933" s="134"/>
      <c r="DE1933" s="128" t="s">
        <v>548</v>
      </c>
    </row>
    <row r="1934" spans="1:109" s="128" customFormat="1" x14ac:dyDescent="0.2">
      <c r="A1934" s="127" t="s">
        <v>3539</v>
      </c>
      <c r="B1934" s="127" t="s">
        <v>2</v>
      </c>
      <c r="C1934" s="127">
        <f t="shared" si="171"/>
        <v>300310005</v>
      </c>
      <c r="D1934" s="128" t="s">
        <v>3540</v>
      </c>
      <c r="E1934" s="129" t="s">
        <v>1117</v>
      </c>
      <c r="F1934" s="147"/>
      <c r="G1934" s="147"/>
      <c r="H1934" s="147"/>
      <c r="I1934" s="136" t="s">
        <v>3557</v>
      </c>
      <c r="J1934" s="114" t="s">
        <v>548</v>
      </c>
      <c r="K1934" s="114"/>
      <c r="L1934" s="114"/>
      <c r="M1934" s="114"/>
      <c r="N1934" s="114" t="s">
        <v>819</v>
      </c>
      <c r="O1934" s="114" t="s">
        <v>3555</v>
      </c>
      <c r="P1934" s="114"/>
      <c r="Q1934" s="114" t="s">
        <v>2041</v>
      </c>
      <c r="R1934" s="114"/>
      <c r="S1934" s="114"/>
      <c r="T1934" s="114" t="s">
        <v>3433</v>
      </c>
      <c r="U1934" s="117" t="s">
        <v>3541</v>
      </c>
      <c r="V1934" s="114" t="s">
        <v>3559</v>
      </c>
      <c r="W1934" s="114" t="s">
        <v>3542</v>
      </c>
      <c r="X1934" s="114"/>
      <c r="Y1934" s="114"/>
      <c r="Z1934" s="114"/>
      <c r="AA1934" s="114"/>
      <c r="AB1934" s="114"/>
      <c r="AC1934" s="114" t="s">
        <v>4012</v>
      </c>
      <c r="AD1934" s="114"/>
      <c r="AE1934" s="130"/>
      <c r="AF1934" s="130" t="s">
        <v>2042</v>
      </c>
      <c r="AG1934" s="114"/>
      <c r="AI1934" s="131"/>
      <c r="AJ1934" s="131"/>
      <c r="AK1934" s="132"/>
      <c r="AL1934" s="133" t="s">
        <v>4009</v>
      </c>
      <c r="AM1934" s="134"/>
      <c r="AN1934" s="134"/>
      <c r="AO1934" s="134"/>
      <c r="AP1934" s="134"/>
      <c r="AQ1934" s="134"/>
      <c r="AR1934" s="134"/>
      <c r="AS1934" s="134"/>
      <c r="AT1934" s="134"/>
      <c r="AV1934" s="131"/>
      <c r="AW1934" s="131"/>
      <c r="AX1934" s="132"/>
      <c r="AY1934" s="133"/>
      <c r="AZ1934" s="134"/>
      <c r="BA1934" s="134"/>
      <c r="BB1934" s="134"/>
      <c r="BC1934" s="134"/>
      <c r="BD1934" s="134"/>
      <c r="BE1934" s="134"/>
      <c r="BF1934" s="134"/>
      <c r="BG1934" s="134"/>
      <c r="BI1934" s="131"/>
      <c r="BJ1934" s="131"/>
      <c r="BK1934" s="132"/>
      <c r="BL1934" s="133"/>
      <c r="BM1934" s="134"/>
      <c r="BN1934" s="134"/>
      <c r="BO1934" s="134"/>
      <c r="BP1934" s="134"/>
      <c r="BQ1934" s="134"/>
      <c r="BR1934" s="134"/>
      <c r="BS1934" s="134"/>
      <c r="BT1934" s="134"/>
      <c r="BV1934" s="131"/>
      <c r="BW1934" s="131"/>
      <c r="BX1934" s="132"/>
      <c r="BY1934" s="133"/>
      <c r="BZ1934" s="134"/>
      <c r="CA1934" s="134"/>
      <c r="CB1934" s="134"/>
      <c r="CC1934" s="134"/>
      <c r="CD1934" s="134"/>
      <c r="CE1934" s="134"/>
      <c r="CF1934" s="134"/>
      <c r="CG1934" s="134"/>
      <c r="CH1934" s="127"/>
      <c r="CI1934" s="131" t="s">
        <v>397</v>
      </c>
      <c r="CJ1934" s="131" t="s">
        <v>4005</v>
      </c>
      <c r="CK1934" s="132"/>
      <c r="CL1934" s="134"/>
      <c r="CM1934" s="134"/>
      <c r="CN1934" s="134"/>
      <c r="CO1934" s="131"/>
      <c r="CP1934" s="131"/>
      <c r="CQ1934" s="131"/>
      <c r="CR1934" s="132"/>
      <c r="CT1934" s="135"/>
      <c r="CU1934" s="135"/>
      <c r="CV1934" s="135"/>
      <c r="CW1934" s="135"/>
      <c r="CX1934" s="135"/>
      <c r="CY1934" s="135"/>
      <c r="CZ1934" s="135"/>
      <c r="DA1934" s="135"/>
      <c r="DB1934" s="135"/>
      <c r="DC1934" s="134"/>
      <c r="DE1934" s="128" t="s">
        <v>548</v>
      </c>
    </row>
    <row r="1935" spans="1:109" s="128" customFormat="1" x14ac:dyDescent="0.2">
      <c r="A1935" s="127" t="s">
        <v>3539</v>
      </c>
      <c r="B1935" s="127" t="s">
        <v>4001</v>
      </c>
      <c r="C1935" s="127">
        <f t="shared" ref="C1935" si="172">A1935*10000+B1935</f>
        <v>300310006</v>
      </c>
      <c r="D1935" s="128" t="s">
        <v>4002</v>
      </c>
      <c r="E1935" s="129" t="s">
        <v>1117</v>
      </c>
      <c r="F1935" s="147" t="s">
        <v>4004</v>
      </c>
      <c r="G1935" s="147" t="s">
        <v>550</v>
      </c>
      <c r="H1935" s="147" t="s">
        <v>4533</v>
      </c>
      <c r="I1935" s="136" t="s">
        <v>3557</v>
      </c>
      <c r="J1935" s="114"/>
      <c r="K1935" s="114"/>
      <c r="L1935" s="114"/>
      <c r="M1935" s="114"/>
      <c r="N1935" s="114" t="s">
        <v>819</v>
      </c>
      <c r="O1935" s="165" t="s">
        <v>4013</v>
      </c>
      <c r="P1935" s="114"/>
      <c r="Q1935" s="114" t="s">
        <v>2041</v>
      </c>
      <c r="R1935" s="114"/>
      <c r="S1935" s="114"/>
      <c r="T1935" s="114" t="s">
        <v>3433</v>
      </c>
      <c r="U1935" s="117" t="s">
        <v>3540</v>
      </c>
      <c r="V1935" s="114" t="s">
        <v>3559</v>
      </c>
      <c r="W1935" s="114" t="s">
        <v>23</v>
      </c>
      <c r="X1935" s="114"/>
      <c r="Y1935" s="114"/>
      <c r="Z1935" s="114"/>
      <c r="AA1935" s="114"/>
      <c r="AB1935" s="114"/>
      <c r="AC1935" s="114"/>
      <c r="AD1935" s="114"/>
      <c r="AE1935" s="130"/>
      <c r="AF1935" s="130" t="s">
        <v>2042</v>
      </c>
      <c r="AG1935" s="114"/>
      <c r="AH1935" s="128" t="s">
        <v>4011</v>
      </c>
      <c r="AI1935" s="131"/>
      <c r="AJ1935" s="131"/>
      <c r="AK1935" s="132">
        <v>100000</v>
      </c>
      <c r="AL1935" s="133"/>
      <c r="AM1935" s="134"/>
      <c r="AN1935" s="134"/>
      <c r="AO1935" s="134"/>
      <c r="AP1935" s="134"/>
      <c r="AQ1935" s="134"/>
      <c r="AR1935" s="134"/>
      <c r="AS1935" s="134"/>
      <c r="AT1935" s="134"/>
      <c r="AV1935" s="131"/>
      <c r="AW1935" s="131"/>
      <c r="AX1935" s="132"/>
      <c r="AY1935" s="133"/>
      <c r="AZ1935" s="134"/>
      <c r="BA1935" s="134"/>
      <c r="BB1935" s="134"/>
      <c r="BC1935" s="134"/>
      <c r="BD1935" s="134"/>
      <c r="BE1935" s="134"/>
      <c r="BF1935" s="134"/>
      <c r="BG1935" s="134"/>
      <c r="BI1935" s="131"/>
      <c r="BJ1935" s="131"/>
      <c r="BK1935" s="132"/>
      <c r="BL1935" s="133"/>
      <c r="BM1935" s="134"/>
      <c r="BN1935" s="134"/>
      <c r="BO1935" s="134"/>
      <c r="BP1935" s="134"/>
      <c r="BQ1935" s="134"/>
      <c r="BR1935" s="134"/>
      <c r="BS1935" s="134"/>
      <c r="BT1935" s="134"/>
      <c r="BV1935" s="131"/>
      <c r="BW1935" s="131"/>
      <c r="BX1935" s="132"/>
      <c r="BY1935" s="133"/>
      <c r="BZ1935" s="134"/>
      <c r="CA1935" s="134"/>
      <c r="CB1935" s="134"/>
      <c r="CC1935" s="134"/>
      <c r="CD1935" s="134"/>
      <c r="CE1935" s="134"/>
      <c r="CF1935" s="134"/>
      <c r="CG1935" s="134"/>
      <c r="CH1935" s="127"/>
      <c r="CI1935" s="131" t="s">
        <v>397</v>
      </c>
      <c r="CJ1935" s="131" t="s">
        <v>4005</v>
      </c>
      <c r="CK1935" s="132"/>
      <c r="CL1935" s="134"/>
      <c r="CM1935" s="134"/>
      <c r="CN1935" s="134"/>
      <c r="CO1935" s="131"/>
      <c r="CP1935" s="131"/>
      <c r="CQ1935" s="131"/>
      <c r="CR1935" s="132"/>
      <c r="CT1935" s="135"/>
      <c r="CU1935" s="135"/>
      <c r="CV1935" s="135"/>
      <c r="CW1935" s="135"/>
      <c r="CX1935" s="135"/>
      <c r="CY1935" s="135"/>
      <c r="CZ1935" s="135"/>
      <c r="DA1935" s="135"/>
      <c r="DB1935" s="135"/>
      <c r="DC1935" s="134"/>
      <c r="DE1935" s="128" t="s">
        <v>548</v>
      </c>
    </row>
    <row r="1936" spans="1:109" s="138" customFormat="1" x14ac:dyDescent="0.2">
      <c r="A1936" s="137" t="s">
        <v>3561</v>
      </c>
      <c r="B1936" s="137" t="s">
        <v>181</v>
      </c>
      <c r="C1936" s="137">
        <f t="shared" si="171"/>
        <v>300320001</v>
      </c>
      <c r="D1936" s="138" t="s">
        <v>3562</v>
      </c>
      <c r="E1936" s="58" t="s">
        <v>3580</v>
      </c>
      <c r="F1936" s="58"/>
      <c r="G1936" s="58"/>
      <c r="H1936" s="58"/>
      <c r="I1936" s="139" t="s">
        <v>3581</v>
      </c>
      <c r="J1936" s="139" t="s">
        <v>548</v>
      </c>
      <c r="K1936" s="139"/>
      <c r="L1936" s="139"/>
      <c r="M1936" s="139"/>
      <c r="N1936" s="139" t="s">
        <v>819</v>
      </c>
      <c r="O1936" s="139" t="s">
        <v>3576</v>
      </c>
      <c r="P1936" s="139"/>
      <c r="Q1936" s="139" t="s">
        <v>2041</v>
      </c>
      <c r="R1936" s="139"/>
      <c r="S1936" s="139"/>
      <c r="T1936" s="139" t="s">
        <v>811</v>
      </c>
      <c r="U1936" s="140" t="s">
        <v>3562</v>
      </c>
      <c r="V1936" s="139" t="s">
        <v>819</v>
      </c>
      <c r="W1936" s="139" t="s">
        <v>1</v>
      </c>
      <c r="X1936" s="139"/>
      <c r="Y1936" s="139"/>
      <c r="Z1936" s="139"/>
      <c r="AA1936" s="139"/>
      <c r="AB1936" s="139"/>
      <c r="AC1936" s="139"/>
      <c r="AD1936" s="139"/>
      <c r="AE1936" s="141"/>
      <c r="AF1936" s="141" t="s">
        <v>2042</v>
      </c>
      <c r="AG1936" s="139"/>
      <c r="AI1936" s="142"/>
      <c r="AJ1936" s="142"/>
      <c r="AK1936" s="143"/>
      <c r="AL1936" s="144"/>
      <c r="AM1936" s="145"/>
      <c r="AN1936" s="145"/>
      <c r="AO1936" s="145"/>
      <c r="AP1936" s="145"/>
      <c r="AQ1936" s="145"/>
      <c r="AR1936" s="145"/>
      <c r="AS1936" s="145"/>
      <c r="AT1936" s="145"/>
      <c r="AU1936" s="138" t="s">
        <v>3563</v>
      </c>
      <c r="AV1936" s="142"/>
      <c r="AW1936" s="142"/>
      <c r="AX1936" s="143">
        <v>1000</v>
      </c>
      <c r="AY1936" s="144" t="s">
        <v>3564</v>
      </c>
      <c r="AZ1936" s="145"/>
      <c r="BA1936" s="145"/>
      <c r="BB1936" s="145"/>
      <c r="BC1936" s="145"/>
      <c r="BD1936" s="145"/>
      <c r="BE1936" s="145"/>
      <c r="BF1936" s="145"/>
      <c r="BG1936" s="145"/>
      <c r="BH1936" s="138" t="s">
        <v>3565</v>
      </c>
      <c r="BI1936" s="142"/>
      <c r="BJ1936" s="142"/>
      <c r="BK1936" s="143">
        <v>1000</v>
      </c>
      <c r="BL1936" s="138" t="s">
        <v>3566</v>
      </c>
      <c r="BM1936" s="145"/>
      <c r="BN1936" s="145"/>
      <c r="BO1936" s="145"/>
      <c r="BP1936" s="145"/>
      <c r="BQ1936" s="145"/>
      <c r="BR1936" s="145"/>
      <c r="BS1936" s="145"/>
      <c r="BT1936" s="145"/>
      <c r="BU1936" s="142"/>
      <c r="BV1936" s="142"/>
      <c r="BW1936" s="142"/>
      <c r="BX1936" s="143"/>
      <c r="BY1936" s="144"/>
      <c r="BZ1936" s="145"/>
      <c r="CA1936" s="145"/>
      <c r="CB1936" s="145"/>
      <c r="CC1936" s="145"/>
      <c r="CD1936" s="145"/>
      <c r="CE1936" s="145"/>
      <c r="CF1936" s="145"/>
      <c r="CG1936" s="145"/>
      <c r="CH1936" s="137"/>
      <c r="CI1936" s="142" t="s">
        <v>821</v>
      </c>
      <c r="CJ1936" s="142" t="s">
        <v>0</v>
      </c>
      <c r="CK1936" s="143"/>
      <c r="CL1936" s="145"/>
      <c r="CM1936" s="145"/>
      <c r="CN1936" s="145"/>
      <c r="CO1936" s="142"/>
      <c r="CP1936" s="23" t="s">
        <v>932</v>
      </c>
      <c r="CQ1936" s="142"/>
      <c r="CR1936" s="143"/>
      <c r="CT1936" s="146"/>
      <c r="CU1936" s="146"/>
      <c r="CV1936" s="146"/>
      <c r="CW1936" s="146"/>
      <c r="CX1936" s="146"/>
      <c r="CY1936" s="146"/>
      <c r="CZ1936" s="146"/>
      <c r="DA1936" s="146"/>
      <c r="DB1936" s="146"/>
      <c r="DC1936" s="145"/>
    </row>
    <row r="1937" spans="1:109" s="138" customFormat="1" x14ac:dyDescent="0.2">
      <c r="A1937" s="137" t="s">
        <v>3561</v>
      </c>
      <c r="B1937" s="137" t="s">
        <v>26</v>
      </c>
      <c r="C1937" s="137">
        <f t="shared" si="171"/>
        <v>300320002</v>
      </c>
      <c r="D1937" s="138" t="s">
        <v>3562</v>
      </c>
      <c r="E1937" s="58" t="s">
        <v>1383</v>
      </c>
      <c r="F1937" s="58"/>
      <c r="G1937" s="58"/>
      <c r="H1937" s="58"/>
      <c r="I1937" s="139" t="s">
        <v>3582</v>
      </c>
      <c r="J1937" s="139" t="s">
        <v>548</v>
      </c>
      <c r="K1937" s="139"/>
      <c r="L1937" s="139"/>
      <c r="M1937" s="139"/>
      <c r="N1937" s="139" t="s">
        <v>819</v>
      </c>
      <c r="O1937" s="139" t="s">
        <v>3576</v>
      </c>
      <c r="P1937" s="139"/>
      <c r="Q1937" s="139" t="s">
        <v>2041</v>
      </c>
      <c r="R1937" s="139"/>
      <c r="S1937" s="139"/>
      <c r="T1937" s="139" t="s">
        <v>811</v>
      </c>
      <c r="U1937" s="140" t="s">
        <v>3562</v>
      </c>
      <c r="V1937" s="139" t="s">
        <v>819</v>
      </c>
      <c r="W1937" s="139" t="s">
        <v>1</v>
      </c>
      <c r="X1937" s="139"/>
      <c r="Y1937" s="139"/>
      <c r="Z1937" s="139"/>
      <c r="AA1937" s="139"/>
      <c r="AB1937" s="139"/>
      <c r="AC1937" s="139"/>
      <c r="AD1937" s="139"/>
      <c r="AE1937" s="141"/>
      <c r="AF1937" s="141" t="s">
        <v>2042</v>
      </c>
      <c r="AG1937" s="139"/>
      <c r="AI1937" s="142"/>
      <c r="AJ1937" s="142"/>
      <c r="AK1937" s="143"/>
      <c r="AL1937" s="144"/>
      <c r="AM1937" s="145"/>
      <c r="AN1937" s="145"/>
      <c r="AO1937" s="145"/>
      <c r="AP1937" s="145"/>
      <c r="AQ1937" s="145"/>
      <c r="AR1937" s="145"/>
      <c r="AS1937" s="145"/>
      <c r="AT1937" s="145"/>
      <c r="AU1937" s="138" t="s">
        <v>3563</v>
      </c>
      <c r="AV1937" s="142"/>
      <c r="AW1937" s="142"/>
      <c r="AX1937" s="143">
        <v>1000</v>
      </c>
      <c r="AY1937" s="144" t="s">
        <v>3564</v>
      </c>
      <c r="AZ1937" s="145"/>
      <c r="BA1937" s="145"/>
      <c r="BB1937" s="145"/>
      <c r="BC1937" s="145"/>
      <c r="BD1937" s="145"/>
      <c r="BE1937" s="145"/>
      <c r="BF1937" s="145"/>
      <c r="BG1937" s="145"/>
      <c r="BH1937" s="138" t="s">
        <v>3565</v>
      </c>
      <c r="BI1937" s="142"/>
      <c r="BJ1937" s="142"/>
      <c r="BK1937" s="143">
        <v>1000</v>
      </c>
      <c r="BL1937" s="138" t="s">
        <v>3566</v>
      </c>
      <c r="BM1937" s="145"/>
      <c r="BN1937" s="145"/>
      <c r="BO1937" s="145"/>
      <c r="BP1937" s="145"/>
      <c r="BQ1937" s="145"/>
      <c r="BR1937" s="145"/>
      <c r="BS1937" s="145"/>
      <c r="BT1937" s="145"/>
      <c r="BU1937" s="142"/>
      <c r="BV1937" s="142"/>
      <c r="BW1937" s="142"/>
      <c r="BX1937" s="143"/>
      <c r="BY1937" s="144"/>
      <c r="BZ1937" s="145"/>
      <c r="CA1937" s="145"/>
      <c r="CB1937" s="145"/>
      <c r="CC1937" s="145"/>
      <c r="CD1937" s="145"/>
      <c r="CE1937" s="145"/>
      <c r="CF1937" s="145"/>
      <c r="CG1937" s="145"/>
      <c r="CH1937" s="137"/>
      <c r="CI1937" s="142" t="s">
        <v>821</v>
      </c>
      <c r="CJ1937" s="142" t="s">
        <v>0</v>
      </c>
      <c r="CK1937" s="143"/>
      <c r="CL1937" s="145"/>
      <c r="CM1937" s="145"/>
      <c r="CN1937" s="145"/>
      <c r="CO1937" s="142"/>
      <c r="CP1937" s="23" t="s">
        <v>932</v>
      </c>
      <c r="CQ1937" s="142"/>
      <c r="CR1937" s="143"/>
      <c r="CT1937" s="146"/>
      <c r="CU1937" s="146"/>
      <c r="CV1937" s="146"/>
      <c r="CW1937" s="146"/>
      <c r="CX1937" s="146"/>
      <c r="CY1937" s="146"/>
      <c r="CZ1937" s="146"/>
      <c r="DA1937" s="146"/>
      <c r="DB1937" s="146"/>
      <c r="DC1937" s="145"/>
    </row>
    <row r="1938" spans="1:109" s="138" customFormat="1" x14ac:dyDescent="0.2">
      <c r="A1938" s="137" t="s">
        <v>3561</v>
      </c>
      <c r="B1938" s="137" t="s">
        <v>27</v>
      </c>
      <c r="C1938" s="137">
        <f t="shared" si="171"/>
        <v>300320003</v>
      </c>
      <c r="D1938" s="138" t="s">
        <v>3562</v>
      </c>
      <c r="E1938" s="58" t="s">
        <v>3583</v>
      </c>
      <c r="F1938" s="58"/>
      <c r="G1938" s="58"/>
      <c r="H1938" s="58"/>
      <c r="I1938" s="139" t="s">
        <v>3582</v>
      </c>
      <c r="J1938" s="139" t="s">
        <v>548</v>
      </c>
      <c r="K1938" s="139"/>
      <c r="L1938" s="139"/>
      <c r="M1938" s="139"/>
      <c r="N1938" s="139" t="s">
        <v>819</v>
      </c>
      <c r="O1938" s="139" t="s">
        <v>3576</v>
      </c>
      <c r="P1938" s="139"/>
      <c r="Q1938" s="139" t="s">
        <v>2041</v>
      </c>
      <c r="R1938" s="139"/>
      <c r="S1938" s="139"/>
      <c r="T1938" s="139" t="s">
        <v>811</v>
      </c>
      <c r="U1938" s="140" t="s">
        <v>3562</v>
      </c>
      <c r="V1938" s="139" t="s">
        <v>819</v>
      </c>
      <c r="W1938" s="139" t="s">
        <v>1</v>
      </c>
      <c r="X1938" s="139"/>
      <c r="Y1938" s="139"/>
      <c r="Z1938" s="139"/>
      <c r="AA1938" s="139"/>
      <c r="AB1938" s="139"/>
      <c r="AC1938" s="139"/>
      <c r="AD1938" s="139"/>
      <c r="AE1938" s="141"/>
      <c r="AF1938" s="141" t="s">
        <v>2042</v>
      </c>
      <c r="AG1938" s="139"/>
      <c r="AI1938" s="142"/>
      <c r="AJ1938" s="142"/>
      <c r="AK1938" s="143"/>
      <c r="AL1938" s="144"/>
      <c r="AM1938" s="145"/>
      <c r="AN1938" s="145"/>
      <c r="AO1938" s="145"/>
      <c r="AP1938" s="145"/>
      <c r="AQ1938" s="145"/>
      <c r="AR1938" s="145"/>
      <c r="AS1938" s="145"/>
      <c r="AT1938" s="145"/>
      <c r="AU1938" s="138" t="s">
        <v>3563</v>
      </c>
      <c r="AV1938" s="142"/>
      <c r="AW1938" s="142"/>
      <c r="AX1938" s="143">
        <v>1000</v>
      </c>
      <c r="AY1938" s="144" t="s">
        <v>3564</v>
      </c>
      <c r="AZ1938" s="145"/>
      <c r="BA1938" s="145"/>
      <c r="BB1938" s="145"/>
      <c r="BC1938" s="145"/>
      <c r="BD1938" s="145"/>
      <c r="BE1938" s="145"/>
      <c r="BF1938" s="145"/>
      <c r="BG1938" s="145"/>
      <c r="BH1938" s="138" t="s">
        <v>3565</v>
      </c>
      <c r="BI1938" s="142"/>
      <c r="BJ1938" s="142"/>
      <c r="BK1938" s="143">
        <v>1000</v>
      </c>
      <c r="BL1938" s="138" t="s">
        <v>3566</v>
      </c>
      <c r="BM1938" s="145"/>
      <c r="BN1938" s="145"/>
      <c r="BO1938" s="145"/>
      <c r="BP1938" s="145"/>
      <c r="BQ1938" s="145"/>
      <c r="BR1938" s="145"/>
      <c r="BS1938" s="145"/>
      <c r="BT1938" s="145"/>
      <c r="BU1938" s="142"/>
      <c r="BV1938" s="142"/>
      <c r="BW1938" s="142"/>
      <c r="BX1938" s="143"/>
      <c r="BY1938" s="144"/>
      <c r="BZ1938" s="145"/>
      <c r="CA1938" s="145"/>
      <c r="CB1938" s="145"/>
      <c r="CC1938" s="145"/>
      <c r="CD1938" s="145"/>
      <c r="CE1938" s="145"/>
      <c r="CF1938" s="145"/>
      <c r="CG1938" s="145"/>
      <c r="CH1938" s="137"/>
      <c r="CI1938" s="142" t="s">
        <v>821</v>
      </c>
      <c r="CJ1938" s="142" t="s">
        <v>0</v>
      </c>
      <c r="CK1938" s="143"/>
      <c r="CL1938" s="145"/>
      <c r="CM1938" s="145"/>
      <c r="CN1938" s="145"/>
      <c r="CO1938" s="142"/>
      <c r="CP1938" s="23" t="s">
        <v>932</v>
      </c>
      <c r="CQ1938" s="142"/>
      <c r="CR1938" s="143"/>
      <c r="CT1938" s="146"/>
      <c r="CU1938" s="146"/>
      <c r="CV1938" s="146"/>
      <c r="CW1938" s="146"/>
      <c r="CX1938" s="146"/>
      <c r="CY1938" s="146"/>
      <c r="CZ1938" s="146"/>
      <c r="DA1938" s="146"/>
      <c r="DB1938" s="146"/>
      <c r="DC1938" s="145"/>
    </row>
    <row r="1939" spans="1:109" s="138" customFormat="1" x14ac:dyDescent="0.2">
      <c r="A1939" s="137" t="s">
        <v>3561</v>
      </c>
      <c r="B1939" s="137" t="s">
        <v>1</v>
      </c>
      <c r="C1939" s="137">
        <f t="shared" si="171"/>
        <v>300320004</v>
      </c>
      <c r="D1939" s="138" t="s">
        <v>3562</v>
      </c>
      <c r="E1939" s="58" t="s">
        <v>1423</v>
      </c>
      <c r="F1939" s="58"/>
      <c r="G1939" s="58"/>
      <c r="H1939" s="58"/>
      <c r="I1939" s="139" t="s">
        <v>3582</v>
      </c>
      <c r="J1939" s="139" t="s">
        <v>548</v>
      </c>
      <c r="K1939" s="139"/>
      <c r="L1939" s="139"/>
      <c r="M1939" s="139"/>
      <c r="N1939" s="139" t="s">
        <v>819</v>
      </c>
      <c r="O1939" s="139" t="s">
        <v>3576</v>
      </c>
      <c r="P1939" s="139"/>
      <c r="Q1939" s="139" t="s">
        <v>2041</v>
      </c>
      <c r="R1939" s="139"/>
      <c r="S1939" s="139"/>
      <c r="T1939" s="139" t="s">
        <v>811</v>
      </c>
      <c r="U1939" s="140" t="s">
        <v>3562</v>
      </c>
      <c r="V1939" s="139" t="s">
        <v>819</v>
      </c>
      <c r="W1939" s="139" t="s">
        <v>1</v>
      </c>
      <c r="X1939" s="139"/>
      <c r="Y1939" s="139"/>
      <c r="Z1939" s="139"/>
      <c r="AA1939" s="139"/>
      <c r="AB1939" s="139"/>
      <c r="AC1939" s="139"/>
      <c r="AD1939" s="139"/>
      <c r="AE1939" s="141"/>
      <c r="AF1939" s="141" t="s">
        <v>2042</v>
      </c>
      <c r="AG1939" s="139"/>
      <c r="AI1939" s="142"/>
      <c r="AJ1939" s="142"/>
      <c r="AK1939" s="143"/>
      <c r="AL1939" s="144"/>
      <c r="AM1939" s="145"/>
      <c r="AN1939" s="145"/>
      <c r="AO1939" s="145"/>
      <c r="AP1939" s="145"/>
      <c r="AQ1939" s="145"/>
      <c r="AR1939" s="145"/>
      <c r="AS1939" s="145"/>
      <c r="AT1939" s="145"/>
      <c r="AU1939" s="138" t="s">
        <v>3563</v>
      </c>
      <c r="AV1939" s="142"/>
      <c r="AW1939" s="142"/>
      <c r="AX1939" s="143">
        <v>1000</v>
      </c>
      <c r="AY1939" s="144" t="s">
        <v>3564</v>
      </c>
      <c r="AZ1939" s="145"/>
      <c r="BA1939" s="145"/>
      <c r="BB1939" s="145"/>
      <c r="BC1939" s="145"/>
      <c r="BD1939" s="145"/>
      <c r="BE1939" s="145"/>
      <c r="BF1939" s="145"/>
      <c r="BG1939" s="145"/>
      <c r="BH1939" s="138" t="s">
        <v>3565</v>
      </c>
      <c r="BI1939" s="142"/>
      <c r="BJ1939" s="142"/>
      <c r="BK1939" s="143">
        <v>1000</v>
      </c>
      <c r="BL1939" s="138" t="s">
        <v>3566</v>
      </c>
      <c r="BM1939" s="145"/>
      <c r="BN1939" s="145"/>
      <c r="BO1939" s="145"/>
      <c r="BP1939" s="145"/>
      <c r="BQ1939" s="145"/>
      <c r="BR1939" s="145"/>
      <c r="BS1939" s="145"/>
      <c r="BT1939" s="145"/>
      <c r="BU1939" s="142"/>
      <c r="BV1939" s="142"/>
      <c r="BW1939" s="142"/>
      <c r="BX1939" s="143"/>
      <c r="BY1939" s="144"/>
      <c r="BZ1939" s="145"/>
      <c r="CA1939" s="145"/>
      <c r="CB1939" s="145"/>
      <c r="CC1939" s="145"/>
      <c r="CD1939" s="145"/>
      <c r="CE1939" s="145"/>
      <c r="CF1939" s="145"/>
      <c r="CG1939" s="145"/>
      <c r="CH1939" s="137"/>
      <c r="CI1939" s="142" t="s">
        <v>821</v>
      </c>
      <c r="CJ1939" s="142" t="s">
        <v>0</v>
      </c>
      <c r="CK1939" s="143"/>
      <c r="CL1939" s="145"/>
      <c r="CM1939" s="145"/>
      <c r="CN1939" s="145"/>
      <c r="CO1939" s="142"/>
      <c r="CP1939" s="23" t="s">
        <v>932</v>
      </c>
      <c r="CQ1939" s="142"/>
      <c r="CR1939" s="143"/>
      <c r="CT1939" s="146"/>
      <c r="CU1939" s="146"/>
      <c r="CV1939" s="146"/>
      <c r="CW1939" s="146"/>
      <c r="CX1939" s="146"/>
      <c r="CY1939" s="146"/>
      <c r="CZ1939" s="146"/>
      <c r="DA1939" s="146"/>
      <c r="DB1939" s="146"/>
      <c r="DC1939" s="145"/>
    </row>
    <row r="1940" spans="1:109" s="138" customFormat="1" x14ac:dyDescent="0.2">
      <c r="A1940" s="137" t="s">
        <v>3561</v>
      </c>
      <c r="B1940" s="137" t="s">
        <v>2</v>
      </c>
      <c r="C1940" s="137">
        <f t="shared" si="171"/>
        <v>300320005</v>
      </c>
      <c r="D1940" s="138" t="s">
        <v>3562</v>
      </c>
      <c r="E1940" s="58" t="s">
        <v>981</v>
      </c>
      <c r="F1940" s="58"/>
      <c r="G1940" s="58"/>
      <c r="H1940" s="58"/>
      <c r="I1940" s="139" t="s">
        <v>3582</v>
      </c>
      <c r="J1940" s="139" t="s">
        <v>548</v>
      </c>
      <c r="K1940" s="139"/>
      <c r="L1940" s="139"/>
      <c r="M1940" s="139"/>
      <c r="N1940" s="139" t="s">
        <v>819</v>
      </c>
      <c r="O1940" s="139" t="s">
        <v>3576</v>
      </c>
      <c r="P1940" s="139"/>
      <c r="Q1940" s="139" t="s">
        <v>2041</v>
      </c>
      <c r="R1940" s="139"/>
      <c r="S1940" s="139"/>
      <c r="T1940" s="139" t="s">
        <v>811</v>
      </c>
      <c r="U1940" s="140" t="s">
        <v>3562</v>
      </c>
      <c r="V1940" s="139" t="s">
        <v>819</v>
      </c>
      <c r="W1940" s="139" t="s">
        <v>1</v>
      </c>
      <c r="X1940" s="139"/>
      <c r="Y1940" s="139"/>
      <c r="Z1940" s="139"/>
      <c r="AA1940" s="139"/>
      <c r="AB1940" s="139"/>
      <c r="AC1940" s="139"/>
      <c r="AD1940" s="139"/>
      <c r="AE1940" s="141"/>
      <c r="AF1940" s="141" t="s">
        <v>2042</v>
      </c>
      <c r="AG1940" s="139"/>
      <c r="AI1940" s="142"/>
      <c r="AJ1940" s="142"/>
      <c r="AK1940" s="143"/>
      <c r="AL1940" s="144"/>
      <c r="AM1940" s="145"/>
      <c r="AN1940" s="145"/>
      <c r="AO1940" s="145"/>
      <c r="AP1940" s="145"/>
      <c r="AQ1940" s="145"/>
      <c r="AR1940" s="145"/>
      <c r="AS1940" s="145"/>
      <c r="AT1940" s="145"/>
      <c r="AU1940" s="138" t="s">
        <v>3563</v>
      </c>
      <c r="AV1940" s="142"/>
      <c r="AW1940" s="142"/>
      <c r="AX1940" s="143">
        <v>1000</v>
      </c>
      <c r="AY1940" s="144" t="s">
        <v>3564</v>
      </c>
      <c r="AZ1940" s="145"/>
      <c r="BA1940" s="145"/>
      <c r="BB1940" s="145"/>
      <c r="BC1940" s="145"/>
      <c r="BD1940" s="145"/>
      <c r="BE1940" s="145"/>
      <c r="BF1940" s="145"/>
      <c r="BG1940" s="145"/>
      <c r="BH1940" s="138" t="s">
        <v>3565</v>
      </c>
      <c r="BI1940" s="142"/>
      <c r="BJ1940" s="142"/>
      <c r="BK1940" s="143">
        <v>1000</v>
      </c>
      <c r="BL1940" s="138" t="s">
        <v>3566</v>
      </c>
      <c r="BM1940" s="145"/>
      <c r="BN1940" s="145"/>
      <c r="BO1940" s="145"/>
      <c r="BP1940" s="145"/>
      <c r="BQ1940" s="145"/>
      <c r="BR1940" s="145"/>
      <c r="BS1940" s="145"/>
      <c r="BT1940" s="145"/>
      <c r="BU1940" s="142"/>
      <c r="BV1940" s="142"/>
      <c r="BW1940" s="142"/>
      <c r="BX1940" s="143"/>
      <c r="BY1940" s="144"/>
      <c r="BZ1940" s="145"/>
      <c r="CA1940" s="145"/>
      <c r="CB1940" s="145"/>
      <c r="CC1940" s="145"/>
      <c r="CD1940" s="145"/>
      <c r="CE1940" s="145"/>
      <c r="CF1940" s="145"/>
      <c r="CG1940" s="145"/>
      <c r="CH1940" s="137"/>
      <c r="CI1940" s="142" t="s">
        <v>821</v>
      </c>
      <c r="CJ1940" s="142" t="s">
        <v>0</v>
      </c>
      <c r="CK1940" s="143"/>
      <c r="CL1940" s="145"/>
      <c r="CM1940" s="145"/>
      <c r="CN1940" s="145"/>
      <c r="CO1940" s="142"/>
      <c r="CP1940" s="23" t="s">
        <v>932</v>
      </c>
      <c r="CQ1940" s="142"/>
      <c r="CR1940" s="143"/>
      <c r="CT1940" s="146"/>
      <c r="CU1940" s="146"/>
      <c r="CV1940" s="146"/>
      <c r="CW1940" s="146"/>
      <c r="CX1940" s="146"/>
      <c r="CY1940" s="146"/>
      <c r="CZ1940" s="146"/>
      <c r="DA1940" s="146"/>
      <c r="DB1940" s="146"/>
      <c r="DC1940" s="145"/>
    </row>
    <row r="1941" spans="1:109" s="138" customFormat="1" x14ac:dyDescent="0.2">
      <c r="A1941" s="137" t="s">
        <v>3561</v>
      </c>
      <c r="B1941" s="137" t="s">
        <v>3</v>
      </c>
      <c r="C1941" s="137">
        <f t="shared" si="171"/>
        <v>300320006</v>
      </c>
      <c r="D1941" s="138" t="s">
        <v>3562</v>
      </c>
      <c r="E1941" s="58" t="s">
        <v>923</v>
      </c>
      <c r="F1941" s="58"/>
      <c r="G1941" s="58"/>
      <c r="H1941" s="58"/>
      <c r="I1941" s="139" t="s">
        <v>3582</v>
      </c>
      <c r="J1941" s="139" t="s">
        <v>548</v>
      </c>
      <c r="K1941" s="139"/>
      <c r="L1941" s="139"/>
      <c r="M1941" s="139"/>
      <c r="N1941" s="139" t="s">
        <v>819</v>
      </c>
      <c r="O1941" s="139" t="s">
        <v>3576</v>
      </c>
      <c r="P1941" s="139"/>
      <c r="Q1941" s="139" t="s">
        <v>2041</v>
      </c>
      <c r="R1941" s="139"/>
      <c r="S1941" s="139"/>
      <c r="T1941" s="139" t="s">
        <v>811</v>
      </c>
      <c r="U1941" s="140" t="s">
        <v>3562</v>
      </c>
      <c r="V1941" s="139" t="s">
        <v>819</v>
      </c>
      <c r="W1941" s="139" t="s">
        <v>1</v>
      </c>
      <c r="X1941" s="139"/>
      <c r="Y1941" s="139"/>
      <c r="Z1941" s="139"/>
      <c r="AA1941" s="139"/>
      <c r="AB1941" s="139"/>
      <c r="AC1941" s="139"/>
      <c r="AD1941" s="139"/>
      <c r="AE1941" s="141"/>
      <c r="AF1941" s="141" t="s">
        <v>2042</v>
      </c>
      <c r="AG1941" s="139"/>
      <c r="AI1941" s="142"/>
      <c r="AJ1941" s="142"/>
      <c r="AK1941" s="143"/>
      <c r="AL1941" s="144"/>
      <c r="AM1941" s="145"/>
      <c r="AN1941" s="145"/>
      <c r="AO1941" s="145"/>
      <c r="AP1941" s="145"/>
      <c r="AQ1941" s="145"/>
      <c r="AR1941" s="145"/>
      <c r="AS1941" s="145"/>
      <c r="AT1941" s="145"/>
      <c r="AU1941" s="138" t="s">
        <v>3563</v>
      </c>
      <c r="AV1941" s="142"/>
      <c r="AW1941" s="142"/>
      <c r="AX1941" s="143">
        <v>1000</v>
      </c>
      <c r="AY1941" s="144" t="s">
        <v>3564</v>
      </c>
      <c r="AZ1941" s="145"/>
      <c r="BA1941" s="145"/>
      <c r="BB1941" s="145"/>
      <c r="BC1941" s="145"/>
      <c r="BD1941" s="145"/>
      <c r="BE1941" s="145"/>
      <c r="BF1941" s="145"/>
      <c r="BG1941" s="145"/>
      <c r="BH1941" s="138" t="s">
        <v>3565</v>
      </c>
      <c r="BI1941" s="142"/>
      <c r="BJ1941" s="142"/>
      <c r="BK1941" s="143">
        <v>1000</v>
      </c>
      <c r="BL1941" s="138" t="s">
        <v>3566</v>
      </c>
      <c r="BM1941" s="145"/>
      <c r="BN1941" s="145"/>
      <c r="BO1941" s="145"/>
      <c r="BP1941" s="145"/>
      <c r="BQ1941" s="145"/>
      <c r="BR1941" s="145"/>
      <c r="BS1941" s="145"/>
      <c r="BT1941" s="145"/>
      <c r="BU1941" s="142"/>
      <c r="BV1941" s="142"/>
      <c r="BW1941" s="142"/>
      <c r="BX1941" s="143"/>
      <c r="BY1941" s="144"/>
      <c r="BZ1941" s="145"/>
      <c r="CA1941" s="145"/>
      <c r="CB1941" s="145"/>
      <c r="CC1941" s="145"/>
      <c r="CD1941" s="145"/>
      <c r="CE1941" s="145"/>
      <c r="CF1941" s="145"/>
      <c r="CG1941" s="145"/>
      <c r="CH1941" s="137"/>
      <c r="CI1941" s="142" t="s">
        <v>821</v>
      </c>
      <c r="CJ1941" s="142" t="s">
        <v>0</v>
      </c>
      <c r="CK1941" s="143"/>
      <c r="CL1941" s="145"/>
      <c r="CM1941" s="145"/>
      <c r="CN1941" s="145"/>
      <c r="CO1941" s="142"/>
      <c r="CP1941" s="23" t="s">
        <v>932</v>
      </c>
      <c r="CQ1941" s="142"/>
      <c r="CR1941" s="143"/>
      <c r="CT1941" s="146"/>
      <c r="CU1941" s="146"/>
      <c r="CV1941" s="146"/>
      <c r="CW1941" s="146"/>
      <c r="CX1941" s="146"/>
      <c r="CY1941" s="146"/>
      <c r="CZ1941" s="146"/>
      <c r="DA1941" s="146"/>
      <c r="DB1941" s="146"/>
      <c r="DC1941" s="145"/>
    </row>
    <row r="1942" spans="1:109" s="138" customFormat="1" x14ac:dyDescent="0.2">
      <c r="A1942" s="137" t="s">
        <v>3561</v>
      </c>
      <c r="B1942" s="137" t="s">
        <v>4</v>
      </c>
      <c r="C1942" s="137">
        <f t="shared" si="171"/>
        <v>300320007</v>
      </c>
      <c r="D1942" s="138" t="s">
        <v>3562</v>
      </c>
      <c r="E1942" s="58" t="s">
        <v>923</v>
      </c>
      <c r="F1942" s="58"/>
      <c r="G1942" s="58"/>
      <c r="H1942" s="58"/>
      <c r="I1942" s="139" t="s">
        <v>3582</v>
      </c>
      <c r="J1942" s="139" t="s">
        <v>548</v>
      </c>
      <c r="K1942" s="139"/>
      <c r="L1942" s="139"/>
      <c r="M1942" s="139"/>
      <c r="N1942" s="139" t="s">
        <v>819</v>
      </c>
      <c r="O1942" s="139" t="s">
        <v>3576</v>
      </c>
      <c r="P1942" s="139"/>
      <c r="Q1942" s="139" t="s">
        <v>2041</v>
      </c>
      <c r="R1942" s="139"/>
      <c r="S1942" s="139"/>
      <c r="T1942" s="139" t="s">
        <v>811</v>
      </c>
      <c r="U1942" s="140" t="s">
        <v>3562</v>
      </c>
      <c r="V1942" s="139" t="s">
        <v>819</v>
      </c>
      <c r="W1942" s="139" t="s">
        <v>1</v>
      </c>
      <c r="X1942" s="139"/>
      <c r="Y1942" s="139"/>
      <c r="Z1942" s="139"/>
      <c r="AA1942" s="139"/>
      <c r="AB1942" s="139"/>
      <c r="AC1942" s="139"/>
      <c r="AD1942" s="139"/>
      <c r="AE1942" s="141"/>
      <c r="AF1942" s="141" t="s">
        <v>2042</v>
      </c>
      <c r="AG1942" s="139"/>
      <c r="AI1942" s="142"/>
      <c r="AJ1942" s="142"/>
      <c r="AK1942" s="143"/>
      <c r="AL1942" s="144"/>
      <c r="AM1942" s="145"/>
      <c r="AN1942" s="145"/>
      <c r="AO1942" s="145"/>
      <c r="AP1942" s="145"/>
      <c r="AQ1942" s="145"/>
      <c r="AR1942" s="145"/>
      <c r="AS1942" s="145"/>
      <c r="AT1942" s="145"/>
      <c r="AU1942" s="138" t="s">
        <v>3563</v>
      </c>
      <c r="AV1942" s="142"/>
      <c r="AW1942" s="142"/>
      <c r="AX1942" s="143">
        <v>1000</v>
      </c>
      <c r="AY1942" s="144" t="s">
        <v>3564</v>
      </c>
      <c r="AZ1942" s="145"/>
      <c r="BA1942" s="145"/>
      <c r="BB1942" s="145"/>
      <c r="BC1942" s="145"/>
      <c r="BD1942" s="145"/>
      <c r="BE1942" s="145"/>
      <c r="BF1942" s="145"/>
      <c r="BG1942" s="145"/>
      <c r="BH1942" s="138" t="s">
        <v>3565</v>
      </c>
      <c r="BI1942" s="142"/>
      <c r="BJ1942" s="142"/>
      <c r="BK1942" s="143">
        <v>1000</v>
      </c>
      <c r="BL1942" s="138" t="s">
        <v>3566</v>
      </c>
      <c r="BM1942" s="145"/>
      <c r="BN1942" s="145"/>
      <c r="BO1942" s="145"/>
      <c r="BP1942" s="145"/>
      <c r="BQ1942" s="145"/>
      <c r="BR1942" s="145"/>
      <c r="BS1942" s="145"/>
      <c r="BT1942" s="145"/>
      <c r="BU1942" s="142"/>
      <c r="BV1942" s="142"/>
      <c r="BW1942" s="142"/>
      <c r="BX1942" s="143"/>
      <c r="BY1942" s="144"/>
      <c r="BZ1942" s="145"/>
      <c r="CA1942" s="145"/>
      <c r="CB1942" s="145"/>
      <c r="CC1942" s="145"/>
      <c r="CD1942" s="145"/>
      <c r="CE1942" s="145"/>
      <c r="CF1942" s="145"/>
      <c r="CG1942" s="145"/>
      <c r="CH1942" s="137"/>
      <c r="CI1942" s="142" t="s">
        <v>821</v>
      </c>
      <c r="CJ1942" s="142" t="s">
        <v>0</v>
      </c>
      <c r="CK1942" s="143"/>
      <c r="CL1942" s="145"/>
      <c r="CM1942" s="145"/>
      <c r="CN1942" s="145"/>
      <c r="CO1942" s="142"/>
      <c r="CP1942" s="23" t="s">
        <v>932</v>
      </c>
      <c r="CQ1942" s="142"/>
      <c r="CR1942" s="143"/>
      <c r="CT1942" s="146"/>
      <c r="CU1942" s="146"/>
      <c r="CV1942" s="146"/>
      <c r="CW1942" s="146"/>
      <c r="CX1942" s="146"/>
      <c r="CY1942" s="146"/>
      <c r="CZ1942" s="146"/>
      <c r="DA1942" s="146"/>
      <c r="DB1942" s="146"/>
      <c r="DC1942" s="145"/>
    </row>
    <row r="1943" spans="1:109" s="138" customFormat="1" x14ac:dyDescent="0.2">
      <c r="A1943" s="137" t="s">
        <v>3561</v>
      </c>
      <c r="B1943" s="137" t="s">
        <v>5</v>
      </c>
      <c r="C1943" s="137">
        <f t="shared" si="171"/>
        <v>300320008</v>
      </c>
      <c r="D1943" s="138" t="s">
        <v>3574</v>
      </c>
      <c r="E1943" s="58" t="s">
        <v>3580</v>
      </c>
      <c r="F1943" s="58"/>
      <c r="G1943" s="58" t="s">
        <v>3588</v>
      </c>
      <c r="H1943" s="58"/>
      <c r="I1943" s="139" t="s">
        <v>3582</v>
      </c>
      <c r="J1943" s="139"/>
      <c r="K1943" s="139"/>
      <c r="L1943" s="139"/>
      <c r="M1943" s="139"/>
      <c r="N1943" s="139" t="s">
        <v>819</v>
      </c>
      <c r="O1943" s="139" t="s">
        <v>3576</v>
      </c>
      <c r="P1943" s="139"/>
      <c r="Q1943" s="139" t="s">
        <v>2041</v>
      </c>
      <c r="R1943" s="139"/>
      <c r="S1943" s="139"/>
      <c r="T1943" s="139" t="s">
        <v>811</v>
      </c>
      <c r="U1943" s="140" t="s">
        <v>3562</v>
      </c>
      <c r="V1943" s="139" t="s">
        <v>819</v>
      </c>
      <c r="W1943" s="139" t="s">
        <v>1</v>
      </c>
      <c r="X1943" s="139"/>
      <c r="Y1943" s="139"/>
      <c r="Z1943" s="139"/>
      <c r="AA1943" s="139"/>
      <c r="AB1943" s="139"/>
      <c r="AC1943" s="139"/>
      <c r="AD1943" s="139"/>
      <c r="AE1943" s="141"/>
      <c r="AF1943" s="141" t="s">
        <v>2042</v>
      </c>
      <c r="AG1943" s="139"/>
      <c r="AH1943" s="138" t="s">
        <v>3568</v>
      </c>
      <c r="AI1943" s="142"/>
      <c r="AJ1943" s="142"/>
      <c r="AK1943" s="143">
        <v>1000</v>
      </c>
      <c r="AL1943" s="144" t="s">
        <v>3569</v>
      </c>
      <c r="AM1943" s="145"/>
      <c r="AN1943" s="145">
        <v>100</v>
      </c>
      <c r="AO1943" s="145"/>
      <c r="AP1943" s="145"/>
      <c r="AQ1943" s="145"/>
      <c r="AR1943" s="145"/>
      <c r="AS1943" s="145"/>
      <c r="AT1943" s="145"/>
      <c r="AU1943" s="142"/>
      <c r="AV1943" s="142"/>
      <c r="AW1943" s="142"/>
      <c r="AX1943" s="143"/>
      <c r="AY1943" s="144"/>
      <c r="AZ1943" s="145"/>
      <c r="BA1943" s="145"/>
      <c r="BB1943" s="145"/>
      <c r="BC1943" s="145"/>
      <c r="BD1943" s="145"/>
      <c r="BE1943" s="145"/>
      <c r="BF1943" s="145"/>
      <c r="BG1943" s="145"/>
      <c r="BH1943" s="142"/>
      <c r="BI1943" s="142"/>
      <c r="BJ1943" s="142"/>
      <c r="BK1943" s="143"/>
      <c r="BL1943" s="144"/>
      <c r="BM1943" s="145"/>
      <c r="BN1943" s="145"/>
      <c r="BO1943" s="145"/>
      <c r="BP1943" s="145"/>
      <c r="BQ1943" s="145"/>
      <c r="BR1943" s="145"/>
      <c r="BS1943" s="145"/>
      <c r="BT1943" s="145"/>
      <c r="BU1943" s="142"/>
      <c r="BV1943" s="142"/>
      <c r="BW1943" s="142"/>
      <c r="BX1943" s="143"/>
      <c r="BY1943" s="144"/>
      <c r="BZ1943" s="145"/>
      <c r="CA1943" s="145"/>
      <c r="CB1943" s="145"/>
      <c r="CC1943" s="145"/>
      <c r="CD1943" s="145"/>
      <c r="CE1943" s="145"/>
      <c r="CF1943" s="145"/>
      <c r="CG1943" s="145"/>
      <c r="CH1943" s="137"/>
      <c r="CI1943" s="142" t="s">
        <v>397</v>
      </c>
      <c r="CJ1943" s="142" t="s">
        <v>3579</v>
      </c>
      <c r="CK1943" s="143"/>
      <c r="CL1943" s="145"/>
      <c r="CM1943" s="145"/>
      <c r="CN1943" s="145"/>
      <c r="CO1943" s="142"/>
      <c r="CP1943" s="142"/>
      <c r="CQ1943" s="142"/>
      <c r="CR1943" s="143"/>
      <c r="CT1943" s="146"/>
      <c r="CU1943" s="146"/>
      <c r="CV1943" s="146"/>
      <c r="CW1943" s="146"/>
      <c r="CX1943" s="146"/>
      <c r="CY1943" s="146"/>
      <c r="CZ1943" s="146"/>
      <c r="DA1943" s="146"/>
      <c r="DB1943" s="146"/>
      <c r="DC1943" s="145"/>
      <c r="DE1943" s="138" t="s">
        <v>550</v>
      </c>
    </row>
    <row r="1944" spans="1:109" s="138" customFormat="1" x14ac:dyDescent="0.2">
      <c r="A1944" s="137" t="s">
        <v>3561</v>
      </c>
      <c r="B1944" s="137" t="s">
        <v>6</v>
      </c>
      <c r="C1944" s="137">
        <f t="shared" si="171"/>
        <v>300320009</v>
      </c>
      <c r="D1944" s="138" t="s">
        <v>3574</v>
      </c>
      <c r="E1944" s="58" t="s">
        <v>3580</v>
      </c>
      <c r="F1944" s="58"/>
      <c r="G1944" s="58" t="s">
        <v>3588</v>
      </c>
      <c r="H1944" s="58"/>
      <c r="I1944" s="139" t="s">
        <v>3582</v>
      </c>
      <c r="J1944" s="139"/>
      <c r="K1944" s="139"/>
      <c r="L1944" s="139"/>
      <c r="M1944" s="139"/>
      <c r="N1944" s="139" t="s">
        <v>819</v>
      </c>
      <c r="O1944" s="139" t="s">
        <v>3576</v>
      </c>
      <c r="P1944" s="139"/>
      <c r="Q1944" s="139" t="s">
        <v>2041</v>
      </c>
      <c r="R1944" s="139"/>
      <c r="S1944" s="139"/>
      <c r="T1944" s="139" t="s">
        <v>811</v>
      </c>
      <c r="U1944" s="140" t="s">
        <v>3562</v>
      </c>
      <c r="V1944" s="139" t="s">
        <v>819</v>
      </c>
      <c r="W1944" s="139" t="s">
        <v>1</v>
      </c>
      <c r="X1944" s="139"/>
      <c r="Y1944" s="139"/>
      <c r="Z1944" s="139"/>
      <c r="AA1944" s="139"/>
      <c r="AB1944" s="139"/>
      <c r="AC1944" s="139"/>
      <c r="AD1944" s="139"/>
      <c r="AE1944" s="141"/>
      <c r="AF1944" s="141" t="s">
        <v>2042</v>
      </c>
      <c r="AG1944" s="139"/>
      <c r="AH1944" s="138" t="s">
        <v>3570</v>
      </c>
      <c r="AI1944" s="142"/>
      <c r="AJ1944" s="142"/>
      <c r="AK1944" s="143">
        <v>1000</v>
      </c>
      <c r="AL1944" s="144" t="s">
        <v>3571</v>
      </c>
      <c r="AM1944" s="145"/>
      <c r="AN1944" s="145">
        <v>100</v>
      </c>
      <c r="AO1944" s="145"/>
      <c r="AP1944" s="145"/>
      <c r="AQ1944" s="145"/>
      <c r="AR1944" s="145"/>
      <c r="AS1944" s="145"/>
      <c r="AT1944" s="145"/>
      <c r="AU1944" s="142"/>
      <c r="AV1944" s="142"/>
      <c r="AW1944" s="142"/>
      <c r="AX1944" s="143"/>
      <c r="AY1944" s="144"/>
      <c r="AZ1944" s="145"/>
      <c r="BA1944" s="145"/>
      <c r="BB1944" s="145"/>
      <c r="BC1944" s="145"/>
      <c r="BD1944" s="145"/>
      <c r="BE1944" s="145"/>
      <c r="BF1944" s="145"/>
      <c r="BG1944" s="145"/>
      <c r="BH1944" s="142"/>
      <c r="BI1944" s="142"/>
      <c r="BJ1944" s="142"/>
      <c r="BK1944" s="143"/>
      <c r="BL1944" s="144"/>
      <c r="BM1944" s="145"/>
      <c r="BN1944" s="145"/>
      <c r="BO1944" s="145"/>
      <c r="BP1944" s="145"/>
      <c r="BQ1944" s="145"/>
      <c r="BR1944" s="145"/>
      <c r="BS1944" s="145"/>
      <c r="BT1944" s="145"/>
      <c r="BU1944" s="142"/>
      <c r="BV1944" s="142"/>
      <c r="BW1944" s="142"/>
      <c r="BX1944" s="143"/>
      <c r="BY1944" s="144"/>
      <c r="BZ1944" s="145"/>
      <c r="CA1944" s="145"/>
      <c r="CB1944" s="145"/>
      <c r="CC1944" s="145"/>
      <c r="CD1944" s="145"/>
      <c r="CE1944" s="145"/>
      <c r="CF1944" s="145"/>
      <c r="CG1944" s="145"/>
      <c r="CH1944" s="137"/>
      <c r="CI1944" s="142" t="s">
        <v>397</v>
      </c>
      <c r="CJ1944" s="142" t="s">
        <v>3579</v>
      </c>
      <c r="CK1944" s="143"/>
      <c r="CL1944" s="145"/>
      <c r="CM1944" s="145"/>
      <c r="CN1944" s="145"/>
      <c r="CO1944" s="142"/>
      <c r="CP1944" s="142"/>
      <c r="CQ1944" s="142"/>
      <c r="CR1944" s="143"/>
      <c r="CT1944" s="146"/>
      <c r="CU1944" s="146"/>
      <c r="CV1944" s="146"/>
      <c r="CW1944" s="146"/>
      <c r="CX1944" s="146"/>
      <c r="CY1944" s="146"/>
      <c r="CZ1944" s="146"/>
      <c r="DA1944" s="146"/>
      <c r="DB1944" s="146"/>
      <c r="DC1944" s="145"/>
      <c r="DE1944" s="138" t="s">
        <v>550</v>
      </c>
    </row>
    <row r="1945" spans="1:109" s="138" customFormat="1" x14ac:dyDescent="0.2">
      <c r="A1945" s="137" t="s">
        <v>3561</v>
      </c>
      <c r="B1945" s="137" t="s">
        <v>7</v>
      </c>
      <c r="C1945" s="137">
        <f t="shared" ref="C1945" si="173">A1945*10000+B1945</f>
        <v>300320010</v>
      </c>
      <c r="D1945" s="138" t="s">
        <v>3574</v>
      </c>
      <c r="E1945" s="58" t="s">
        <v>3580</v>
      </c>
      <c r="F1945" s="58"/>
      <c r="G1945" s="58" t="s">
        <v>3588</v>
      </c>
      <c r="H1945" s="58"/>
      <c r="I1945" s="139" t="s">
        <v>3582</v>
      </c>
      <c r="J1945" s="139"/>
      <c r="K1945" s="139"/>
      <c r="L1945" s="139"/>
      <c r="M1945" s="139"/>
      <c r="N1945" s="139" t="s">
        <v>819</v>
      </c>
      <c r="O1945" s="139" t="s">
        <v>3576</v>
      </c>
      <c r="P1945" s="139"/>
      <c r="Q1945" s="139" t="s">
        <v>2041</v>
      </c>
      <c r="R1945" s="139"/>
      <c r="S1945" s="139"/>
      <c r="T1945" s="139" t="s">
        <v>811</v>
      </c>
      <c r="U1945" s="140" t="s">
        <v>3562</v>
      </c>
      <c r="V1945" s="139" t="s">
        <v>819</v>
      </c>
      <c r="W1945" s="139" t="s">
        <v>1</v>
      </c>
      <c r="X1945" s="139"/>
      <c r="Y1945" s="139"/>
      <c r="Z1945" s="139"/>
      <c r="AA1945" s="139"/>
      <c r="AB1945" s="139"/>
      <c r="AC1945" s="139"/>
      <c r="AD1945" s="139"/>
      <c r="AE1945" s="141"/>
      <c r="AF1945" s="141" t="s">
        <v>2042</v>
      </c>
      <c r="AG1945" s="139"/>
      <c r="AH1945" s="138" t="s">
        <v>3572</v>
      </c>
      <c r="AI1945" s="142"/>
      <c r="AJ1945" s="142"/>
      <c r="AK1945" s="143">
        <v>1000</v>
      </c>
      <c r="AL1945" s="144" t="s">
        <v>3573</v>
      </c>
      <c r="AM1945" s="145"/>
      <c r="AN1945" s="145">
        <v>100</v>
      </c>
      <c r="AO1945" s="145"/>
      <c r="AP1945" s="145"/>
      <c r="AQ1945" s="145"/>
      <c r="AR1945" s="145"/>
      <c r="AS1945" s="145"/>
      <c r="AT1945" s="145"/>
      <c r="AU1945" s="142"/>
      <c r="AV1945" s="142"/>
      <c r="AW1945" s="142"/>
      <c r="AX1945" s="143"/>
      <c r="AY1945" s="144"/>
      <c r="AZ1945" s="145"/>
      <c r="BA1945" s="145"/>
      <c r="BB1945" s="145"/>
      <c r="BC1945" s="145"/>
      <c r="BD1945" s="145"/>
      <c r="BE1945" s="145"/>
      <c r="BF1945" s="145"/>
      <c r="BG1945" s="145"/>
      <c r="BH1945" s="142"/>
      <c r="BI1945" s="142"/>
      <c r="BJ1945" s="142"/>
      <c r="BK1945" s="143"/>
      <c r="BL1945" s="144"/>
      <c r="BM1945" s="145"/>
      <c r="BN1945" s="145"/>
      <c r="BO1945" s="145"/>
      <c r="BP1945" s="145"/>
      <c r="BQ1945" s="145"/>
      <c r="BR1945" s="145"/>
      <c r="BS1945" s="145"/>
      <c r="BT1945" s="145"/>
      <c r="BU1945" s="142"/>
      <c r="BV1945" s="142"/>
      <c r="BW1945" s="142"/>
      <c r="BX1945" s="143"/>
      <c r="BY1945" s="144"/>
      <c r="BZ1945" s="145"/>
      <c r="CA1945" s="145"/>
      <c r="CB1945" s="145"/>
      <c r="CC1945" s="145"/>
      <c r="CD1945" s="145"/>
      <c r="CE1945" s="145"/>
      <c r="CF1945" s="145"/>
      <c r="CG1945" s="145"/>
      <c r="CH1945" s="137"/>
      <c r="CI1945" s="142" t="s">
        <v>397</v>
      </c>
      <c r="CJ1945" s="142" t="s">
        <v>3579</v>
      </c>
      <c r="CK1945" s="143"/>
      <c r="CL1945" s="145"/>
      <c r="CM1945" s="145"/>
      <c r="CN1945" s="145"/>
      <c r="CO1945" s="142"/>
      <c r="CP1945" s="142"/>
      <c r="CQ1945" s="142"/>
      <c r="CR1945" s="143"/>
      <c r="CT1945" s="146"/>
      <c r="CU1945" s="146"/>
      <c r="CV1945" s="146"/>
      <c r="CW1945" s="146"/>
      <c r="CX1945" s="146"/>
      <c r="CY1945" s="146"/>
      <c r="CZ1945" s="146"/>
      <c r="DA1945" s="146"/>
      <c r="DB1945" s="146"/>
      <c r="DC1945" s="145"/>
      <c r="DE1945" s="138" t="s">
        <v>550</v>
      </c>
    </row>
    <row r="1946" spans="1:109" s="138" customFormat="1" x14ac:dyDescent="0.2">
      <c r="A1946" s="137" t="s">
        <v>3577</v>
      </c>
      <c r="B1946" s="137" t="s">
        <v>181</v>
      </c>
      <c r="C1946" s="137">
        <f t="shared" si="171"/>
        <v>300330001</v>
      </c>
      <c r="D1946" s="138" t="s">
        <v>3567</v>
      </c>
      <c r="E1946" s="58" t="s">
        <v>3580</v>
      </c>
      <c r="F1946" s="58"/>
      <c r="G1946" s="58"/>
      <c r="H1946" s="58"/>
      <c r="I1946" s="139" t="s">
        <v>3582</v>
      </c>
      <c r="J1946" s="139"/>
      <c r="K1946" s="139"/>
      <c r="L1946" s="139"/>
      <c r="M1946" s="139" t="s">
        <v>3590</v>
      </c>
      <c r="N1946" s="139" t="s">
        <v>819</v>
      </c>
      <c r="O1946" s="139" t="s">
        <v>3585</v>
      </c>
      <c r="P1946" s="139"/>
      <c r="Q1946" s="139" t="s">
        <v>2041</v>
      </c>
      <c r="R1946" s="139"/>
      <c r="S1946" s="139"/>
      <c r="T1946" s="139" t="s">
        <v>811</v>
      </c>
      <c r="U1946" s="140" t="s">
        <v>3562</v>
      </c>
      <c r="V1946" s="139" t="s">
        <v>819</v>
      </c>
      <c r="W1946" s="139" t="s">
        <v>1</v>
      </c>
      <c r="X1946" s="139"/>
      <c r="Y1946" s="139"/>
      <c r="Z1946" s="139"/>
      <c r="AA1946" s="139"/>
      <c r="AB1946" s="139"/>
      <c r="AC1946" s="139"/>
      <c r="AD1946" s="139"/>
      <c r="AE1946" s="141"/>
      <c r="AF1946" s="141" t="s">
        <v>2042</v>
      </c>
      <c r="AG1946" s="139"/>
      <c r="AH1946" s="138" t="s">
        <v>3586</v>
      </c>
      <c r="AI1946" s="142"/>
      <c r="AJ1946" s="142"/>
      <c r="AK1946" s="143">
        <v>1000</v>
      </c>
      <c r="AL1946" s="144"/>
      <c r="AM1946" s="145"/>
      <c r="AN1946" s="145">
        <v>1</v>
      </c>
      <c r="AO1946" s="145"/>
      <c r="AP1946" s="145"/>
      <c r="AQ1946" s="145"/>
      <c r="AR1946" s="145"/>
      <c r="AS1946" s="145"/>
      <c r="AT1946" s="145"/>
      <c r="AU1946" s="142"/>
      <c r="AV1946" s="142"/>
      <c r="AW1946" s="142"/>
      <c r="AX1946" s="143"/>
      <c r="AY1946" s="144"/>
      <c r="AZ1946" s="145"/>
      <c r="BA1946" s="145"/>
      <c r="BB1946" s="145"/>
      <c r="BC1946" s="145"/>
      <c r="BD1946" s="145"/>
      <c r="BE1946" s="145"/>
      <c r="BF1946" s="145"/>
      <c r="BG1946" s="145"/>
      <c r="BH1946" s="142"/>
      <c r="BI1946" s="142"/>
      <c r="BJ1946" s="142"/>
      <c r="BK1946" s="143"/>
      <c r="BL1946" s="144"/>
      <c r="BM1946" s="145"/>
      <c r="BN1946" s="145"/>
      <c r="BO1946" s="145"/>
      <c r="BP1946" s="145"/>
      <c r="BQ1946" s="145"/>
      <c r="BR1946" s="145"/>
      <c r="BS1946" s="145"/>
      <c r="BT1946" s="145"/>
      <c r="BU1946" s="142"/>
      <c r="BV1946" s="142"/>
      <c r="BW1946" s="142"/>
      <c r="BX1946" s="143"/>
      <c r="BY1946" s="144"/>
      <c r="BZ1946" s="145"/>
      <c r="CA1946" s="145"/>
      <c r="CB1946" s="145"/>
      <c r="CC1946" s="145"/>
      <c r="CD1946" s="145"/>
      <c r="CE1946" s="145"/>
      <c r="CF1946" s="145"/>
      <c r="CG1946" s="145"/>
      <c r="CH1946" s="137"/>
      <c r="CI1946" s="142" t="s">
        <v>3575</v>
      </c>
      <c r="CJ1946" s="142" t="s">
        <v>3578</v>
      </c>
      <c r="CK1946" s="143"/>
      <c r="CL1946" s="145"/>
      <c r="CM1946" s="145"/>
      <c r="CN1946" s="145"/>
      <c r="CO1946" s="142"/>
      <c r="CP1946" s="142"/>
      <c r="CQ1946" s="142"/>
      <c r="CR1946" s="143"/>
      <c r="CT1946" s="146"/>
      <c r="CU1946" s="146"/>
      <c r="CV1946" s="146"/>
      <c r="CW1946" s="146"/>
      <c r="CX1946" s="146"/>
      <c r="CY1946" s="146"/>
      <c r="CZ1946" s="146"/>
      <c r="DA1946" s="146"/>
      <c r="DB1946" s="146"/>
      <c r="DC1946" s="145"/>
      <c r="DE1946" s="138" t="s">
        <v>550</v>
      </c>
    </row>
    <row r="1947" spans="1:109" s="138" customFormat="1" x14ac:dyDescent="0.2">
      <c r="A1947" s="137" t="s">
        <v>3721</v>
      </c>
      <c r="B1947" s="137" t="s">
        <v>3722</v>
      </c>
      <c r="C1947" s="137">
        <f t="shared" si="171"/>
        <v>300340001</v>
      </c>
      <c r="D1947" s="138" t="s">
        <v>3725</v>
      </c>
      <c r="E1947" s="58" t="s">
        <v>3726</v>
      </c>
      <c r="F1947" s="58"/>
      <c r="G1947" s="58"/>
      <c r="H1947" s="58"/>
      <c r="I1947" s="139" t="s">
        <v>3727</v>
      </c>
      <c r="J1947" s="139" t="s">
        <v>548</v>
      </c>
      <c r="K1947" s="139"/>
      <c r="L1947" s="139"/>
      <c r="M1947" s="139"/>
      <c r="N1947" s="139" t="s">
        <v>819</v>
      </c>
      <c r="O1947" s="139" t="s">
        <v>3576</v>
      </c>
      <c r="P1947" s="139"/>
      <c r="Q1947" s="139" t="s">
        <v>2041</v>
      </c>
      <c r="R1947" s="139"/>
      <c r="S1947" s="139"/>
      <c r="T1947" s="139" t="s">
        <v>811</v>
      </c>
      <c r="U1947" s="138" t="s">
        <v>3725</v>
      </c>
      <c r="V1947" s="139" t="s">
        <v>819</v>
      </c>
      <c r="W1947" s="139" t="s">
        <v>1</v>
      </c>
      <c r="X1947" s="139"/>
      <c r="Y1947" s="139"/>
      <c r="Z1947" s="139"/>
      <c r="AA1947" s="139"/>
      <c r="AB1947" s="139"/>
      <c r="AC1947" s="139"/>
      <c r="AD1947" s="139"/>
      <c r="AE1947" s="141"/>
      <c r="AF1947" s="141" t="s">
        <v>2042</v>
      </c>
      <c r="AG1947" s="139"/>
      <c r="AH1947" s="138" t="s">
        <v>3728</v>
      </c>
      <c r="AI1947" s="142"/>
      <c r="AJ1947" s="142"/>
      <c r="AK1947" s="143">
        <v>1000</v>
      </c>
      <c r="AL1947" s="144" t="s">
        <v>3729</v>
      </c>
      <c r="AM1947" s="145"/>
      <c r="AN1947" s="145"/>
      <c r="AO1947" s="145"/>
      <c r="AP1947" s="145"/>
      <c r="AQ1947" s="145"/>
      <c r="AR1947" s="145"/>
      <c r="AS1947" s="145"/>
      <c r="AT1947" s="145"/>
      <c r="AU1947" s="142"/>
      <c r="AV1947" s="142"/>
      <c r="AW1947" s="142"/>
      <c r="AX1947" s="143"/>
      <c r="AY1947" s="144"/>
      <c r="AZ1947" s="145"/>
      <c r="BA1947" s="145"/>
      <c r="BB1947" s="145"/>
      <c r="BC1947" s="145"/>
      <c r="BD1947" s="145"/>
      <c r="BE1947" s="145"/>
      <c r="BF1947" s="145"/>
      <c r="BG1947" s="145"/>
      <c r="BH1947" s="142"/>
      <c r="BI1947" s="142"/>
      <c r="BJ1947" s="142"/>
      <c r="BK1947" s="143"/>
      <c r="BL1947" s="144"/>
      <c r="BM1947" s="145"/>
      <c r="BN1947" s="145"/>
      <c r="BO1947" s="145"/>
      <c r="BP1947" s="145"/>
      <c r="BQ1947" s="145"/>
      <c r="BR1947" s="145"/>
      <c r="BS1947" s="145"/>
      <c r="BT1947" s="145"/>
      <c r="BU1947" s="142"/>
      <c r="BV1947" s="142"/>
      <c r="BW1947" s="142"/>
      <c r="BX1947" s="143"/>
      <c r="BY1947" s="144"/>
      <c r="BZ1947" s="145"/>
      <c r="CA1947" s="145"/>
      <c r="CB1947" s="145"/>
      <c r="CC1947" s="145"/>
      <c r="CD1947" s="145"/>
      <c r="CE1947" s="145"/>
      <c r="CF1947" s="145"/>
      <c r="CG1947" s="145"/>
      <c r="CH1947" s="137"/>
      <c r="CI1947" s="142" t="s">
        <v>821</v>
      </c>
      <c r="CJ1947" s="142" t="s">
        <v>0</v>
      </c>
      <c r="CK1947" s="143"/>
      <c r="CL1947" s="145"/>
      <c r="CM1947" s="145"/>
      <c r="CN1947" s="145"/>
      <c r="CO1947" s="142"/>
      <c r="CP1947" s="142"/>
      <c r="CQ1947" s="142"/>
      <c r="CR1947" s="143"/>
      <c r="CT1947" s="146"/>
      <c r="CU1947" s="146"/>
      <c r="CV1947" s="146"/>
      <c r="CW1947" s="146"/>
      <c r="CX1947" s="146"/>
      <c r="CY1947" s="146"/>
      <c r="CZ1947" s="146"/>
      <c r="DA1947" s="146"/>
      <c r="DB1947" s="146"/>
      <c r="DC1947" s="145"/>
      <c r="DE1947" s="138" t="s">
        <v>550</v>
      </c>
    </row>
    <row r="1948" spans="1:109" s="138" customFormat="1" x14ac:dyDescent="0.2">
      <c r="A1948" s="137" t="s">
        <v>3721</v>
      </c>
      <c r="B1948" s="137" t="s">
        <v>3723</v>
      </c>
      <c r="C1948" s="137">
        <f t="shared" si="171"/>
        <v>300340002</v>
      </c>
      <c r="D1948" s="138" t="s">
        <v>3725</v>
      </c>
      <c r="E1948" s="58" t="s">
        <v>3726</v>
      </c>
      <c r="F1948" s="58"/>
      <c r="G1948" s="58"/>
      <c r="H1948" s="58"/>
      <c r="I1948" s="139" t="s">
        <v>3727</v>
      </c>
      <c r="J1948" s="139" t="s">
        <v>548</v>
      </c>
      <c r="K1948" s="139"/>
      <c r="L1948" s="139"/>
      <c r="M1948" s="139"/>
      <c r="N1948" s="139" t="s">
        <v>819</v>
      </c>
      <c r="O1948" s="139" t="s">
        <v>3576</v>
      </c>
      <c r="P1948" s="139"/>
      <c r="Q1948" s="139" t="s">
        <v>2041</v>
      </c>
      <c r="R1948" s="139"/>
      <c r="S1948" s="139"/>
      <c r="T1948" s="139" t="s">
        <v>811</v>
      </c>
      <c r="U1948" s="138" t="s">
        <v>3725</v>
      </c>
      <c r="V1948" s="139" t="s">
        <v>819</v>
      </c>
      <c r="W1948" s="139" t="s">
        <v>1</v>
      </c>
      <c r="X1948" s="139"/>
      <c r="Y1948" s="139"/>
      <c r="Z1948" s="139"/>
      <c r="AA1948" s="139"/>
      <c r="AB1948" s="139"/>
      <c r="AC1948" s="139"/>
      <c r="AD1948" s="139"/>
      <c r="AE1948" s="141"/>
      <c r="AF1948" s="141" t="s">
        <v>2042</v>
      </c>
      <c r="AG1948" s="139"/>
      <c r="AH1948" s="138" t="s">
        <v>3728</v>
      </c>
      <c r="AI1948" s="142"/>
      <c r="AJ1948" s="142"/>
      <c r="AK1948" s="143">
        <v>1000</v>
      </c>
      <c r="AL1948" s="144" t="s">
        <v>3729</v>
      </c>
      <c r="AM1948" s="145"/>
      <c r="AN1948" s="145"/>
      <c r="AO1948" s="145"/>
      <c r="AP1948" s="145"/>
      <c r="AQ1948" s="145"/>
      <c r="AR1948" s="145"/>
      <c r="AS1948" s="145"/>
      <c r="AT1948" s="145"/>
      <c r="AU1948" s="142"/>
      <c r="AV1948" s="142"/>
      <c r="AW1948" s="142"/>
      <c r="AX1948" s="143"/>
      <c r="AY1948" s="144"/>
      <c r="AZ1948" s="145"/>
      <c r="BA1948" s="145"/>
      <c r="BB1948" s="145"/>
      <c r="BC1948" s="145"/>
      <c r="BD1948" s="145"/>
      <c r="BE1948" s="145"/>
      <c r="BF1948" s="145"/>
      <c r="BG1948" s="145"/>
      <c r="BH1948" s="142"/>
      <c r="BI1948" s="142"/>
      <c r="BJ1948" s="142"/>
      <c r="BK1948" s="143"/>
      <c r="BL1948" s="144"/>
      <c r="BM1948" s="145"/>
      <c r="BN1948" s="145"/>
      <c r="BO1948" s="145"/>
      <c r="BP1948" s="145"/>
      <c r="BQ1948" s="145"/>
      <c r="BR1948" s="145"/>
      <c r="BS1948" s="145"/>
      <c r="BT1948" s="145"/>
      <c r="BU1948" s="142"/>
      <c r="BV1948" s="142"/>
      <c r="BW1948" s="142"/>
      <c r="BX1948" s="143"/>
      <c r="BY1948" s="144"/>
      <c r="BZ1948" s="145"/>
      <c r="CA1948" s="145"/>
      <c r="CB1948" s="145"/>
      <c r="CC1948" s="145"/>
      <c r="CD1948" s="145"/>
      <c r="CE1948" s="145"/>
      <c r="CF1948" s="145"/>
      <c r="CG1948" s="145"/>
      <c r="CH1948" s="137"/>
      <c r="CI1948" s="142" t="s">
        <v>821</v>
      </c>
      <c r="CJ1948" s="142" t="s">
        <v>0</v>
      </c>
      <c r="CK1948" s="143"/>
      <c r="CL1948" s="145"/>
      <c r="CM1948" s="145"/>
      <c r="CN1948" s="145"/>
      <c r="CO1948" s="142"/>
      <c r="CP1948" s="142"/>
      <c r="CQ1948" s="142"/>
      <c r="CR1948" s="143"/>
      <c r="CT1948" s="146"/>
      <c r="CU1948" s="146"/>
      <c r="CV1948" s="146"/>
      <c r="CW1948" s="146"/>
      <c r="CX1948" s="146"/>
      <c r="CY1948" s="146"/>
      <c r="CZ1948" s="146"/>
      <c r="DA1948" s="146"/>
      <c r="DB1948" s="146"/>
      <c r="DC1948" s="145"/>
      <c r="DE1948" s="138" t="s">
        <v>550</v>
      </c>
    </row>
    <row r="1949" spans="1:109" s="138" customFormat="1" x14ac:dyDescent="0.2">
      <c r="A1949" s="137" t="s">
        <v>3721</v>
      </c>
      <c r="B1949" s="137" t="s">
        <v>3724</v>
      </c>
      <c r="C1949" s="137">
        <f t="shared" si="171"/>
        <v>300340003</v>
      </c>
      <c r="D1949" s="138" t="s">
        <v>3725</v>
      </c>
      <c r="E1949" s="58" t="s">
        <v>3726</v>
      </c>
      <c r="F1949" s="58"/>
      <c r="G1949" s="58"/>
      <c r="H1949" s="58"/>
      <c r="I1949" s="139" t="s">
        <v>3727</v>
      </c>
      <c r="J1949" s="139" t="s">
        <v>548</v>
      </c>
      <c r="K1949" s="139"/>
      <c r="L1949" s="139"/>
      <c r="M1949" s="139"/>
      <c r="N1949" s="139" t="s">
        <v>819</v>
      </c>
      <c r="O1949" s="139" t="s">
        <v>3576</v>
      </c>
      <c r="P1949" s="139"/>
      <c r="Q1949" s="139" t="s">
        <v>2041</v>
      </c>
      <c r="R1949" s="139"/>
      <c r="S1949" s="139"/>
      <c r="T1949" s="139" t="s">
        <v>811</v>
      </c>
      <c r="U1949" s="138" t="s">
        <v>3725</v>
      </c>
      <c r="V1949" s="139" t="s">
        <v>819</v>
      </c>
      <c r="W1949" s="139" t="s">
        <v>1</v>
      </c>
      <c r="X1949" s="139"/>
      <c r="Y1949" s="139"/>
      <c r="Z1949" s="139"/>
      <c r="AA1949" s="139"/>
      <c r="AB1949" s="139"/>
      <c r="AC1949" s="139"/>
      <c r="AD1949" s="139"/>
      <c r="AE1949" s="141"/>
      <c r="AF1949" s="141" t="s">
        <v>2042</v>
      </c>
      <c r="AG1949" s="139"/>
      <c r="AH1949" s="138" t="s">
        <v>3728</v>
      </c>
      <c r="AI1949" s="142"/>
      <c r="AJ1949" s="142"/>
      <c r="AK1949" s="143">
        <v>1000</v>
      </c>
      <c r="AL1949" s="144" t="s">
        <v>3729</v>
      </c>
      <c r="AM1949" s="145"/>
      <c r="AN1949" s="145"/>
      <c r="AO1949" s="145"/>
      <c r="AP1949" s="145"/>
      <c r="AQ1949" s="145"/>
      <c r="AR1949" s="145"/>
      <c r="AS1949" s="145"/>
      <c r="AT1949" s="145"/>
      <c r="AU1949" s="142"/>
      <c r="AV1949" s="142"/>
      <c r="AW1949" s="142"/>
      <c r="AX1949" s="143"/>
      <c r="AY1949" s="144"/>
      <c r="AZ1949" s="145"/>
      <c r="BA1949" s="145"/>
      <c r="BB1949" s="145"/>
      <c r="BC1949" s="145"/>
      <c r="BD1949" s="145"/>
      <c r="BE1949" s="145"/>
      <c r="BF1949" s="145"/>
      <c r="BG1949" s="145"/>
      <c r="BH1949" s="142"/>
      <c r="BI1949" s="142"/>
      <c r="BJ1949" s="142"/>
      <c r="BK1949" s="143"/>
      <c r="BL1949" s="144"/>
      <c r="BM1949" s="145"/>
      <c r="BN1949" s="145"/>
      <c r="BO1949" s="145"/>
      <c r="BP1949" s="145"/>
      <c r="BQ1949" s="145"/>
      <c r="BR1949" s="145"/>
      <c r="BS1949" s="145"/>
      <c r="BT1949" s="145"/>
      <c r="BU1949" s="142"/>
      <c r="BV1949" s="142"/>
      <c r="BW1949" s="142"/>
      <c r="BX1949" s="143"/>
      <c r="BY1949" s="144"/>
      <c r="BZ1949" s="145"/>
      <c r="CA1949" s="145"/>
      <c r="CB1949" s="145"/>
      <c r="CC1949" s="145"/>
      <c r="CD1949" s="145"/>
      <c r="CE1949" s="145"/>
      <c r="CF1949" s="145"/>
      <c r="CG1949" s="145"/>
      <c r="CH1949" s="137"/>
      <c r="CI1949" s="142" t="s">
        <v>821</v>
      </c>
      <c r="CJ1949" s="142" t="s">
        <v>0</v>
      </c>
      <c r="CK1949" s="143"/>
      <c r="CL1949" s="145"/>
      <c r="CM1949" s="145"/>
      <c r="CN1949" s="145"/>
      <c r="CO1949" s="142"/>
      <c r="CP1949" s="142"/>
      <c r="CQ1949" s="142"/>
      <c r="CR1949" s="143"/>
      <c r="CT1949" s="146"/>
      <c r="CU1949" s="146"/>
      <c r="CV1949" s="146"/>
      <c r="CW1949" s="146"/>
      <c r="CX1949" s="146"/>
      <c r="CY1949" s="146"/>
      <c r="CZ1949" s="146"/>
      <c r="DA1949" s="146"/>
      <c r="DB1949" s="146"/>
      <c r="DC1949" s="145"/>
      <c r="DE1949" s="138" t="s">
        <v>550</v>
      </c>
    </row>
    <row r="1950" spans="1:109" s="138" customFormat="1" x14ac:dyDescent="0.2">
      <c r="A1950" s="137" t="s">
        <v>3721</v>
      </c>
      <c r="B1950" s="137" t="s">
        <v>23</v>
      </c>
      <c r="C1950" s="137">
        <f t="shared" ref="C1950:C1968" si="174">A1950*10000+B1950</f>
        <v>300340004</v>
      </c>
      <c r="D1950" s="138" t="s">
        <v>3725</v>
      </c>
      <c r="E1950" s="58" t="s">
        <v>1113</v>
      </c>
      <c r="F1950" s="58"/>
      <c r="G1950" s="58"/>
      <c r="H1950" s="58"/>
      <c r="I1950" s="139" t="s">
        <v>3727</v>
      </c>
      <c r="J1950" s="139"/>
      <c r="K1950" s="139"/>
      <c r="L1950" s="139"/>
      <c r="M1950" s="139"/>
      <c r="N1950" s="139" t="s">
        <v>819</v>
      </c>
      <c r="O1950" s="139" t="s">
        <v>3576</v>
      </c>
      <c r="P1950" s="139"/>
      <c r="Q1950" s="139" t="s">
        <v>2041</v>
      </c>
      <c r="R1950" s="139"/>
      <c r="S1950" s="139"/>
      <c r="T1950" s="139" t="s">
        <v>811</v>
      </c>
      <c r="U1950" s="138" t="s">
        <v>3725</v>
      </c>
      <c r="V1950" s="139" t="s">
        <v>819</v>
      </c>
      <c r="W1950" s="139" t="s">
        <v>1</v>
      </c>
      <c r="X1950" s="139"/>
      <c r="Y1950" s="139"/>
      <c r="Z1950" s="139"/>
      <c r="AA1950" s="139"/>
      <c r="AB1950" s="139"/>
      <c r="AC1950" s="139"/>
      <c r="AD1950" s="139"/>
      <c r="AE1950" s="141"/>
      <c r="AF1950" s="141" t="s">
        <v>2042</v>
      </c>
      <c r="AG1950" s="139"/>
      <c r="AH1950" s="138" t="s">
        <v>3730</v>
      </c>
      <c r="AI1950" s="142"/>
      <c r="AJ1950" s="142"/>
      <c r="AK1950" s="143">
        <v>1000</v>
      </c>
      <c r="AL1950" s="144"/>
      <c r="AM1950" s="145"/>
      <c r="AN1950" s="145"/>
      <c r="AO1950" s="145"/>
      <c r="AP1950" s="145"/>
      <c r="AQ1950" s="145"/>
      <c r="AR1950" s="145"/>
      <c r="AS1950" s="145"/>
      <c r="AT1950" s="145"/>
      <c r="AU1950" s="142"/>
      <c r="AV1950" s="142"/>
      <c r="AW1950" s="142"/>
      <c r="AX1950" s="143"/>
      <c r="AY1950" s="144"/>
      <c r="AZ1950" s="145"/>
      <c r="BA1950" s="145"/>
      <c r="BB1950" s="145"/>
      <c r="BC1950" s="145"/>
      <c r="BD1950" s="145"/>
      <c r="BE1950" s="145"/>
      <c r="BF1950" s="145"/>
      <c r="BG1950" s="145"/>
      <c r="BH1950" s="142"/>
      <c r="BI1950" s="142"/>
      <c r="BJ1950" s="142"/>
      <c r="BK1950" s="143"/>
      <c r="BL1950" s="144"/>
      <c r="BM1950" s="145"/>
      <c r="BN1950" s="145"/>
      <c r="BO1950" s="145"/>
      <c r="BP1950" s="145"/>
      <c r="BQ1950" s="145"/>
      <c r="BR1950" s="145"/>
      <c r="BS1950" s="145"/>
      <c r="BT1950" s="145"/>
      <c r="BU1950" s="142"/>
      <c r="BV1950" s="142"/>
      <c r="BW1950" s="142"/>
      <c r="BX1950" s="143"/>
      <c r="BY1950" s="144"/>
      <c r="BZ1950" s="145"/>
      <c r="CA1950" s="145"/>
      <c r="CB1950" s="145"/>
      <c r="CC1950" s="145"/>
      <c r="CD1950" s="145"/>
      <c r="CE1950" s="145"/>
      <c r="CF1950" s="145"/>
      <c r="CG1950" s="145"/>
      <c r="CH1950" s="137"/>
      <c r="CI1950" s="142" t="s">
        <v>397</v>
      </c>
      <c r="CJ1950" s="142" t="s">
        <v>1492</v>
      </c>
      <c r="CK1950" s="143"/>
      <c r="CL1950" s="145"/>
      <c r="CM1950" s="145"/>
      <c r="CN1950" s="145"/>
      <c r="CO1950" s="142"/>
      <c r="CP1950" s="142"/>
      <c r="CQ1950" s="142"/>
      <c r="CR1950" s="143"/>
      <c r="CT1950" s="146"/>
      <c r="CU1950" s="146"/>
      <c r="CV1950" s="146"/>
      <c r="CW1950" s="146"/>
      <c r="CX1950" s="146"/>
      <c r="CY1950" s="146"/>
      <c r="CZ1950" s="146"/>
      <c r="DA1950" s="146"/>
      <c r="DB1950" s="146"/>
      <c r="DC1950" s="145"/>
      <c r="DE1950" s="138" t="s">
        <v>550</v>
      </c>
    </row>
    <row r="1951" spans="1:109" s="138" customFormat="1" x14ac:dyDescent="0.2">
      <c r="A1951" s="137" t="s">
        <v>3721</v>
      </c>
      <c r="B1951" s="137" t="s">
        <v>123</v>
      </c>
      <c r="C1951" s="137">
        <f t="shared" si="174"/>
        <v>300340005</v>
      </c>
      <c r="D1951" s="138" t="s">
        <v>3725</v>
      </c>
      <c r="E1951" s="58" t="s">
        <v>1113</v>
      </c>
      <c r="F1951" s="58"/>
      <c r="G1951" s="58"/>
      <c r="H1951" s="58"/>
      <c r="I1951" s="139" t="s">
        <v>3727</v>
      </c>
      <c r="J1951" s="139"/>
      <c r="K1951" s="139"/>
      <c r="L1951" s="139"/>
      <c r="M1951" s="139"/>
      <c r="N1951" s="139" t="s">
        <v>819</v>
      </c>
      <c r="O1951" s="139" t="s">
        <v>3576</v>
      </c>
      <c r="P1951" s="139"/>
      <c r="Q1951" s="139" t="s">
        <v>2041</v>
      </c>
      <c r="R1951" s="139"/>
      <c r="S1951" s="139"/>
      <c r="T1951" s="139" t="s">
        <v>811</v>
      </c>
      <c r="U1951" s="138" t="s">
        <v>3725</v>
      </c>
      <c r="V1951" s="139" t="s">
        <v>819</v>
      </c>
      <c r="W1951" s="139" t="s">
        <v>1</v>
      </c>
      <c r="X1951" s="139"/>
      <c r="Y1951" s="139"/>
      <c r="Z1951" s="139"/>
      <c r="AA1951" s="139"/>
      <c r="AB1951" s="139"/>
      <c r="AC1951" s="139"/>
      <c r="AD1951" s="139"/>
      <c r="AE1951" s="141"/>
      <c r="AF1951" s="141" t="s">
        <v>2042</v>
      </c>
      <c r="AG1951" s="139"/>
      <c r="AH1951" s="138" t="s">
        <v>3731</v>
      </c>
      <c r="AI1951" s="142"/>
      <c r="AJ1951" s="142"/>
      <c r="AK1951" s="143">
        <v>1000</v>
      </c>
      <c r="AL1951" s="144"/>
      <c r="AM1951" s="145"/>
      <c r="AN1951" s="145"/>
      <c r="AO1951" s="145"/>
      <c r="AP1951" s="145"/>
      <c r="AQ1951" s="145"/>
      <c r="AR1951" s="145"/>
      <c r="AS1951" s="145"/>
      <c r="AT1951" s="145"/>
      <c r="AU1951" s="142"/>
      <c r="AV1951" s="142"/>
      <c r="AW1951" s="142"/>
      <c r="AX1951" s="143"/>
      <c r="AY1951" s="144"/>
      <c r="AZ1951" s="145"/>
      <c r="BA1951" s="145"/>
      <c r="BB1951" s="145"/>
      <c r="BC1951" s="145"/>
      <c r="BD1951" s="145"/>
      <c r="BE1951" s="145"/>
      <c r="BF1951" s="145"/>
      <c r="BG1951" s="145"/>
      <c r="BH1951" s="142"/>
      <c r="BI1951" s="142"/>
      <c r="BJ1951" s="142"/>
      <c r="BK1951" s="143"/>
      <c r="BL1951" s="144"/>
      <c r="BM1951" s="145"/>
      <c r="BN1951" s="145"/>
      <c r="BO1951" s="145"/>
      <c r="BP1951" s="145"/>
      <c r="BQ1951" s="145"/>
      <c r="BR1951" s="145"/>
      <c r="BS1951" s="145"/>
      <c r="BT1951" s="145"/>
      <c r="BU1951" s="142"/>
      <c r="BV1951" s="142"/>
      <c r="BW1951" s="142"/>
      <c r="BX1951" s="143"/>
      <c r="BY1951" s="144"/>
      <c r="BZ1951" s="145"/>
      <c r="CA1951" s="145"/>
      <c r="CB1951" s="145"/>
      <c r="CC1951" s="145"/>
      <c r="CD1951" s="145"/>
      <c r="CE1951" s="145"/>
      <c r="CF1951" s="145"/>
      <c r="CG1951" s="145"/>
      <c r="CH1951" s="137"/>
      <c r="CI1951" s="142" t="s">
        <v>397</v>
      </c>
      <c r="CJ1951" s="142" t="s">
        <v>1492</v>
      </c>
      <c r="CK1951" s="143"/>
      <c r="CL1951" s="145"/>
      <c r="CM1951" s="145"/>
      <c r="CN1951" s="145"/>
      <c r="CO1951" s="142"/>
      <c r="CP1951" s="142"/>
      <c r="CQ1951" s="142"/>
      <c r="CR1951" s="143"/>
      <c r="CT1951" s="146"/>
      <c r="CU1951" s="146"/>
      <c r="CV1951" s="146"/>
      <c r="CW1951" s="146"/>
      <c r="CX1951" s="146"/>
      <c r="CY1951" s="146"/>
      <c r="CZ1951" s="146"/>
      <c r="DA1951" s="146"/>
      <c r="DB1951" s="146"/>
      <c r="DC1951" s="145"/>
      <c r="DE1951" s="138" t="s">
        <v>550</v>
      </c>
    </row>
    <row r="1952" spans="1:109" s="128" customFormat="1" x14ac:dyDescent="0.2">
      <c r="A1952" s="127" t="s">
        <v>3851</v>
      </c>
      <c r="B1952" s="127" t="s">
        <v>181</v>
      </c>
      <c r="C1952" s="127">
        <f t="shared" si="174"/>
        <v>300350001</v>
      </c>
      <c r="D1952" s="128" t="s">
        <v>3857</v>
      </c>
      <c r="E1952" s="129" t="s">
        <v>3865</v>
      </c>
      <c r="F1952" s="129"/>
      <c r="G1952" s="129"/>
      <c r="H1952" s="129"/>
      <c r="I1952" s="136" t="s">
        <v>3873</v>
      </c>
      <c r="J1952" s="114" t="s">
        <v>548</v>
      </c>
      <c r="K1952" s="114"/>
      <c r="L1952" s="114"/>
      <c r="M1952" s="114"/>
      <c r="N1952" s="114" t="s">
        <v>819</v>
      </c>
      <c r="O1952" s="114" t="s">
        <v>3869</v>
      </c>
      <c r="P1952" s="114"/>
      <c r="Q1952" s="114" t="s">
        <v>2041</v>
      </c>
      <c r="R1952" s="114"/>
      <c r="S1952" s="114"/>
      <c r="T1952" s="114" t="s">
        <v>811</v>
      </c>
      <c r="U1952" s="128" t="s">
        <v>3857</v>
      </c>
      <c r="V1952" s="114" t="s">
        <v>819</v>
      </c>
      <c r="W1952" s="114" t="s">
        <v>181</v>
      </c>
      <c r="X1952" s="114"/>
      <c r="Y1952" s="114"/>
      <c r="Z1952" s="114"/>
      <c r="AA1952" s="114"/>
      <c r="AB1952" s="114"/>
      <c r="AC1952" s="114" t="s">
        <v>3923</v>
      </c>
      <c r="AD1952" s="114" t="s">
        <v>3925</v>
      </c>
      <c r="AE1952" s="130"/>
      <c r="AF1952" s="130" t="s">
        <v>2042</v>
      </c>
      <c r="AG1952" s="114"/>
      <c r="AI1952" s="131"/>
      <c r="AJ1952" s="131"/>
      <c r="AK1952" s="132"/>
      <c r="AL1952" s="133" t="s">
        <v>4237</v>
      </c>
      <c r="AM1952" s="134"/>
      <c r="AN1952" s="134"/>
      <c r="AO1952" s="134"/>
      <c r="AP1952" s="134"/>
      <c r="AQ1952" s="134"/>
      <c r="AR1952" s="134"/>
      <c r="AS1952" s="134"/>
      <c r="AT1952" s="134"/>
      <c r="AV1952" s="131"/>
      <c r="AW1952" s="131"/>
      <c r="AX1952" s="132"/>
      <c r="AY1952" s="133"/>
      <c r="AZ1952" s="134"/>
      <c r="BA1952" s="134"/>
      <c r="BB1952" s="134"/>
      <c r="BC1952" s="134"/>
      <c r="BD1952" s="134"/>
      <c r="BE1952" s="134"/>
      <c r="BF1952" s="134"/>
      <c r="BG1952" s="134"/>
      <c r="BI1952" s="131"/>
      <c r="BJ1952" s="131"/>
      <c r="BK1952" s="132"/>
      <c r="BL1952" s="133"/>
      <c r="BM1952" s="134"/>
      <c r="BN1952" s="134"/>
      <c r="BO1952" s="134"/>
      <c r="BP1952" s="134"/>
      <c r="BQ1952" s="134"/>
      <c r="BR1952" s="134"/>
      <c r="BS1952" s="134"/>
      <c r="BT1952" s="134"/>
      <c r="BV1952" s="131"/>
      <c r="BW1952" s="131"/>
      <c r="BX1952" s="132"/>
      <c r="BY1952" s="133"/>
      <c r="BZ1952" s="134"/>
      <c r="CA1952" s="134"/>
      <c r="CB1952" s="134"/>
      <c r="CC1952" s="134"/>
      <c r="CD1952" s="134"/>
      <c r="CE1952" s="134"/>
      <c r="CF1952" s="134"/>
      <c r="CG1952" s="134"/>
      <c r="CH1952" s="127"/>
      <c r="CI1952" s="131" t="s">
        <v>397</v>
      </c>
      <c r="CJ1952" s="131" t="s">
        <v>750</v>
      </c>
      <c r="CK1952" s="132"/>
      <c r="CL1952" s="134"/>
      <c r="CM1952" s="134"/>
      <c r="CN1952" s="134"/>
      <c r="CO1952" s="131"/>
      <c r="CP1952" s="131"/>
      <c r="CQ1952" s="131"/>
      <c r="CR1952" s="132"/>
      <c r="CT1952" s="135"/>
      <c r="CU1952" s="135"/>
      <c r="CV1952" s="135"/>
      <c r="CW1952" s="135"/>
      <c r="CX1952" s="135"/>
      <c r="CY1952" s="135"/>
      <c r="CZ1952" s="135"/>
      <c r="DA1952" s="135"/>
      <c r="DB1952" s="135"/>
      <c r="DC1952" s="134"/>
      <c r="DE1952" s="128" t="s">
        <v>550</v>
      </c>
    </row>
    <row r="1953" spans="1:109" s="128" customFormat="1" x14ac:dyDescent="0.2">
      <c r="A1953" s="127" t="s">
        <v>3851</v>
      </c>
      <c r="B1953" s="127" t="s">
        <v>22</v>
      </c>
      <c r="C1953" s="127">
        <f t="shared" si="174"/>
        <v>300350002</v>
      </c>
      <c r="D1953" s="128" t="s">
        <v>3858</v>
      </c>
      <c r="E1953" s="129" t="s">
        <v>3866</v>
      </c>
      <c r="F1953" s="129"/>
      <c r="G1953" s="129"/>
      <c r="H1953" s="129"/>
      <c r="I1953" s="136" t="s">
        <v>3874</v>
      </c>
      <c r="J1953" s="114" t="s">
        <v>548</v>
      </c>
      <c r="K1953" s="114"/>
      <c r="L1953" s="114"/>
      <c r="M1953" s="114"/>
      <c r="N1953" s="114" t="s">
        <v>819</v>
      </c>
      <c r="O1953" s="114" t="s">
        <v>3869</v>
      </c>
      <c r="P1953" s="114"/>
      <c r="Q1953" s="114" t="s">
        <v>2041</v>
      </c>
      <c r="R1953" s="114"/>
      <c r="S1953" s="114"/>
      <c r="T1953" s="114" t="s">
        <v>811</v>
      </c>
      <c r="U1953" s="128" t="s">
        <v>3858</v>
      </c>
      <c r="V1953" s="114" t="s">
        <v>819</v>
      </c>
      <c r="W1953" s="114" t="s">
        <v>23</v>
      </c>
      <c r="X1953" s="114"/>
      <c r="Y1953" s="114"/>
      <c r="Z1953" s="114"/>
      <c r="AA1953" s="114"/>
      <c r="AB1953" s="114"/>
      <c r="AC1953" s="114" t="s">
        <v>3924</v>
      </c>
      <c r="AD1953" s="114" t="s">
        <v>3924</v>
      </c>
      <c r="AE1953" s="130"/>
      <c r="AF1953" s="130" t="s">
        <v>2042</v>
      </c>
      <c r="AG1953" s="114"/>
      <c r="AI1953" s="131"/>
      <c r="AJ1953" s="131"/>
      <c r="AK1953" s="132"/>
      <c r="AL1953" s="133" t="s">
        <v>4237</v>
      </c>
      <c r="AM1953" s="134"/>
      <c r="AN1953" s="134"/>
      <c r="AO1953" s="134"/>
      <c r="AP1953" s="134"/>
      <c r="AQ1953" s="134"/>
      <c r="AR1953" s="134"/>
      <c r="AS1953" s="134"/>
      <c r="AT1953" s="134"/>
      <c r="AV1953" s="131"/>
      <c r="AW1953" s="131"/>
      <c r="AX1953" s="132"/>
      <c r="AY1953" s="133"/>
      <c r="AZ1953" s="134"/>
      <c r="BA1953" s="134"/>
      <c r="BB1953" s="134"/>
      <c r="BC1953" s="134"/>
      <c r="BD1953" s="134"/>
      <c r="BE1953" s="134"/>
      <c r="BF1953" s="134"/>
      <c r="BG1953" s="134"/>
      <c r="BI1953" s="131"/>
      <c r="BJ1953" s="131"/>
      <c r="BK1953" s="132"/>
      <c r="BL1953" s="133"/>
      <c r="BM1953" s="134"/>
      <c r="BN1953" s="134"/>
      <c r="BO1953" s="134"/>
      <c r="BP1953" s="134"/>
      <c r="BQ1953" s="134"/>
      <c r="BR1953" s="134"/>
      <c r="BS1953" s="134"/>
      <c r="BT1953" s="134"/>
      <c r="BV1953" s="131"/>
      <c r="BW1953" s="131"/>
      <c r="BX1953" s="132"/>
      <c r="BY1953" s="133"/>
      <c r="BZ1953" s="134"/>
      <c r="CA1953" s="134"/>
      <c r="CB1953" s="134"/>
      <c r="CC1953" s="134"/>
      <c r="CD1953" s="134"/>
      <c r="CE1953" s="134"/>
      <c r="CF1953" s="134"/>
      <c r="CG1953" s="134"/>
      <c r="CH1953" s="127"/>
      <c r="CI1953" s="131" t="s">
        <v>397</v>
      </c>
      <c r="CJ1953" s="131" t="s">
        <v>750</v>
      </c>
      <c r="CK1953" s="132"/>
      <c r="CL1953" s="134"/>
      <c r="CM1953" s="134"/>
      <c r="CN1953" s="134"/>
      <c r="CO1953" s="131"/>
      <c r="CP1953" s="131"/>
      <c r="CQ1953" s="131"/>
      <c r="CR1953" s="132"/>
      <c r="CT1953" s="135"/>
      <c r="CU1953" s="135"/>
      <c r="CV1953" s="135"/>
      <c r="CW1953" s="135"/>
      <c r="CX1953" s="135"/>
      <c r="CY1953" s="135"/>
      <c r="CZ1953" s="135"/>
      <c r="DA1953" s="135"/>
      <c r="DB1953" s="135"/>
      <c r="DC1953" s="134"/>
      <c r="DE1953" s="128" t="s">
        <v>550</v>
      </c>
    </row>
    <row r="1954" spans="1:109" s="128" customFormat="1" x14ac:dyDescent="0.2">
      <c r="A1954" s="127" t="s">
        <v>3851</v>
      </c>
      <c r="B1954" s="127" t="s">
        <v>3852</v>
      </c>
      <c r="C1954" s="127">
        <f t="shared" si="174"/>
        <v>300350003</v>
      </c>
      <c r="D1954" s="128" t="s">
        <v>3859</v>
      </c>
      <c r="E1954" s="129" t="s">
        <v>3867</v>
      </c>
      <c r="F1954" s="129"/>
      <c r="G1954" s="129"/>
      <c r="H1954" s="129"/>
      <c r="I1954" s="136" t="s">
        <v>3875</v>
      </c>
      <c r="J1954" s="114" t="s">
        <v>548</v>
      </c>
      <c r="K1954" s="114"/>
      <c r="L1954" s="114"/>
      <c r="M1954" s="114"/>
      <c r="N1954" s="114" t="s">
        <v>819</v>
      </c>
      <c r="O1954" s="114" t="s">
        <v>3869</v>
      </c>
      <c r="P1954" s="114"/>
      <c r="Q1954" s="114" t="s">
        <v>2041</v>
      </c>
      <c r="R1954" s="114"/>
      <c r="S1954" s="114"/>
      <c r="T1954" s="114" t="s">
        <v>811</v>
      </c>
      <c r="U1954" s="128" t="s">
        <v>3859</v>
      </c>
      <c r="V1954" s="114" t="s">
        <v>819</v>
      </c>
      <c r="W1954" s="114" t="s">
        <v>181</v>
      </c>
      <c r="X1954" s="114"/>
      <c r="Y1954" s="114"/>
      <c r="Z1954" s="114"/>
      <c r="AA1954" s="114"/>
      <c r="AB1954" s="114"/>
      <c r="AC1954" s="114" t="s">
        <v>3923</v>
      </c>
      <c r="AD1954" s="114" t="s">
        <v>3923</v>
      </c>
      <c r="AE1954" s="130"/>
      <c r="AF1954" s="130" t="s">
        <v>2042</v>
      </c>
      <c r="AG1954" s="114"/>
      <c r="AI1954" s="131"/>
      <c r="AJ1954" s="131"/>
      <c r="AK1954" s="132"/>
      <c r="AL1954" s="133" t="s">
        <v>4237</v>
      </c>
      <c r="AM1954" s="134"/>
      <c r="AN1954" s="134"/>
      <c r="AO1954" s="134"/>
      <c r="AP1954" s="134"/>
      <c r="AQ1954" s="134"/>
      <c r="AR1954" s="134"/>
      <c r="AS1954" s="134"/>
      <c r="AT1954" s="134"/>
      <c r="AV1954" s="131"/>
      <c r="AW1954" s="131"/>
      <c r="AX1954" s="132"/>
      <c r="AY1954" s="133"/>
      <c r="AZ1954" s="134"/>
      <c r="BA1954" s="134"/>
      <c r="BB1954" s="134"/>
      <c r="BC1954" s="134"/>
      <c r="BD1954" s="134"/>
      <c r="BE1954" s="134"/>
      <c r="BF1954" s="134"/>
      <c r="BG1954" s="134"/>
      <c r="BI1954" s="131"/>
      <c r="BJ1954" s="131"/>
      <c r="BK1954" s="132"/>
      <c r="BL1954" s="133"/>
      <c r="BM1954" s="134"/>
      <c r="BN1954" s="134"/>
      <c r="BO1954" s="134"/>
      <c r="BP1954" s="134"/>
      <c r="BQ1954" s="134"/>
      <c r="BR1954" s="134"/>
      <c r="BS1954" s="134"/>
      <c r="BT1954" s="134"/>
      <c r="BV1954" s="131"/>
      <c r="BW1954" s="131"/>
      <c r="BX1954" s="132"/>
      <c r="BY1954" s="133"/>
      <c r="BZ1954" s="134"/>
      <c r="CA1954" s="134"/>
      <c r="CB1954" s="134"/>
      <c r="CC1954" s="134"/>
      <c r="CD1954" s="134"/>
      <c r="CE1954" s="134"/>
      <c r="CF1954" s="134"/>
      <c r="CG1954" s="134"/>
      <c r="CH1954" s="127"/>
      <c r="CI1954" s="131" t="s">
        <v>397</v>
      </c>
      <c r="CJ1954" s="131" t="s">
        <v>750</v>
      </c>
      <c r="CK1954" s="132"/>
      <c r="CL1954" s="134"/>
      <c r="CM1954" s="134"/>
      <c r="CN1954" s="134"/>
      <c r="CO1954" s="131"/>
      <c r="CP1954" s="131"/>
      <c r="CQ1954" s="131"/>
      <c r="CR1954" s="132"/>
      <c r="CT1954" s="135"/>
      <c r="CU1954" s="135"/>
      <c r="CV1954" s="135"/>
      <c r="CW1954" s="135"/>
      <c r="CX1954" s="135"/>
      <c r="CY1954" s="135"/>
      <c r="CZ1954" s="135"/>
      <c r="DA1954" s="135"/>
      <c r="DB1954" s="135"/>
      <c r="DC1954" s="134"/>
      <c r="DE1954" s="128" t="s">
        <v>550</v>
      </c>
    </row>
    <row r="1955" spans="1:109" s="128" customFormat="1" x14ac:dyDescent="0.2">
      <c r="A1955" s="127" t="s">
        <v>3851</v>
      </c>
      <c r="B1955" s="127" t="s">
        <v>3853</v>
      </c>
      <c r="C1955" s="127">
        <f t="shared" si="174"/>
        <v>300350004</v>
      </c>
      <c r="D1955" s="128" t="s">
        <v>3860</v>
      </c>
      <c r="E1955" s="129" t="s">
        <v>1423</v>
      </c>
      <c r="F1955" s="129"/>
      <c r="G1955" s="129"/>
      <c r="H1955" s="129"/>
      <c r="I1955" s="136" t="s">
        <v>3876</v>
      </c>
      <c r="J1955" s="114" t="s">
        <v>548</v>
      </c>
      <c r="K1955" s="114"/>
      <c r="L1955" s="114"/>
      <c r="M1955" s="114"/>
      <c r="N1955" s="114" t="s">
        <v>819</v>
      </c>
      <c r="O1955" s="114" t="s">
        <v>3869</v>
      </c>
      <c r="P1955" s="114"/>
      <c r="Q1955" s="114" t="s">
        <v>2041</v>
      </c>
      <c r="R1955" s="114"/>
      <c r="S1955" s="114"/>
      <c r="T1955" s="114" t="s">
        <v>811</v>
      </c>
      <c r="U1955" s="128" t="s">
        <v>3860</v>
      </c>
      <c r="V1955" s="114" t="s">
        <v>819</v>
      </c>
      <c r="W1955" s="114" t="s">
        <v>181</v>
      </c>
      <c r="X1955" s="114"/>
      <c r="Y1955" s="114"/>
      <c r="Z1955" s="114"/>
      <c r="AA1955" s="114"/>
      <c r="AB1955" s="114"/>
      <c r="AC1955" s="114" t="s">
        <v>3923</v>
      </c>
      <c r="AD1955" s="114" t="s">
        <v>3923</v>
      </c>
      <c r="AE1955" s="130"/>
      <c r="AF1955" s="130" t="s">
        <v>2042</v>
      </c>
      <c r="AG1955" s="114"/>
      <c r="AI1955" s="131"/>
      <c r="AJ1955" s="131"/>
      <c r="AK1955" s="132"/>
      <c r="AL1955" s="133" t="s">
        <v>4237</v>
      </c>
      <c r="AM1955" s="134"/>
      <c r="AN1955" s="134"/>
      <c r="AO1955" s="134"/>
      <c r="AP1955" s="134"/>
      <c r="AQ1955" s="134"/>
      <c r="AR1955" s="134"/>
      <c r="AS1955" s="134"/>
      <c r="AT1955" s="134"/>
      <c r="AV1955" s="131"/>
      <c r="AW1955" s="131"/>
      <c r="AX1955" s="132"/>
      <c r="AY1955" s="133"/>
      <c r="AZ1955" s="134"/>
      <c r="BA1955" s="134"/>
      <c r="BB1955" s="134"/>
      <c r="BC1955" s="134"/>
      <c r="BD1955" s="134"/>
      <c r="BE1955" s="134"/>
      <c r="BF1955" s="134"/>
      <c r="BG1955" s="134"/>
      <c r="BI1955" s="131"/>
      <c r="BJ1955" s="131"/>
      <c r="BK1955" s="132"/>
      <c r="BL1955" s="133"/>
      <c r="BM1955" s="134"/>
      <c r="BN1955" s="134"/>
      <c r="BO1955" s="134"/>
      <c r="BP1955" s="134"/>
      <c r="BQ1955" s="134"/>
      <c r="BR1955" s="134"/>
      <c r="BS1955" s="134"/>
      <c r="BT1955" s="134"/>
      <c r="BV1955" s="131"/>
      <c r="BW1955" s="131"/>
      <c r="BX1955" s="132"/>
      <c r="BY1955" s="133"/>
      <c r="BZ1955" s="134"/>
      <c r="CA1955" s="134"/>
      <c r="CB1955" s="134"/>
      <c r="CC1955" s="134"/>
      <c r="CD1955" s="134"/>
      <c r="CE1955" s="134"/>
      <c r="CF1955" s="134"/>
      <c r="CG1955" s="134"/>
      <c r="CH1955" s="127"/>
      <c r="CI1955" s="131" t="s">
        <v>397</v>
      </c>
      <c r="CJ1955" s="131" t="s">
        <v>750</v>
      </c>
      <c r="CK1955" s="132"/>
      <c r="CL1955" s="134"/>
      <c r="CM1955" s="134"/>
      <c r="CN1955" s="134"/>
      <c r="CO1955" s="131"/>
      <c r="CP1955" s="131"/>
      <c r="CQ1955" s="131"/>
      <c r="CR1955" s="132"/>
      <c r="CT1955" s="135"/>
      <c r="CU1955" s="135"/>
      <c r="CV1955" s="135"/>
      <c r="CW1955" s="135"/>
      <c r="CX1955" s="135"/>
      <c r="CY1955" s="135"/>
      <c r="CZ1955" s="135"/>
      <c r="DA1955" s="135"/>
      <c r="DB1955" s="135"/>
      <c r="DC1955" s="134"/>
      <c r="DE1955" s="128" t="s">
        <v>550</v>
      </c>
    </row>
    <row r="1956" spans="1:109" s="128" customFormat="1" x14ac:dyDescent="0.2">
      <c r="A1956" s="127" t="s">
        <v>3851</v>
      </c>
      <c r="B1956" s="127" t="s">
        <v>3854</v>
      </c>
      <c r="C1956" s="127">
        <f t="shared" si="174"/>
        <v>300350005</v>
      </c>
      <c r="D1956" s="128" t="s">
        <v>3861</v>
      </c>
      <c r="E1956" s="129" t="s">
        <v>3868</v>
      </c>
      <c r="F1956" s="129"/>
      <c r="G1956" s="129"/>
      <c r="H1956" s="129"/>
      <c r="I1956" s="136" t="s">
        <v>3877</v>
      </c>
      <c r="J1956" s="114" t="s">
        <v>548</v>
      </c>
      <c r="K1956" s="114"/>
      <c r="L1956" s="114"/>
      <c r="M1956" s="114"/>
      <c r="N1956" s="114" t="s">
        <v>819</v>
      </c>
      <c r="O1956" s="114" t="s">
        <v>3869</v>
      </c>
      <c r="P1956" s="114"/>
      <c r="Q1956" s="114" t="s">
        <v>2041</v>
      </c>
      <c r="R1956" s="114"/>
      <c r="S1956" s="114"/>
      <c r="T1956" s="114" t="s">
        <v>811</v>
      </c>
      <c r="U1956" s="128" t="s">
        <v>3861</v>
      </c>
      <c r="V1956" s="114" t="s">
        <v>819</v>
      </c>
      <c r="W1956" s="114" t="s">
        <v>181</v>
      </c>
      <c r="X1956" s="114"/>
      <c r="Y1956" s="114"/>
      <c r="Z1956" s="114"/>
      <c r="AA1956" s="114"/>
      <c r="AB1956" s="114"/>
      <c r="AC1956" s="114" t="s">
        <v>3923</v>
      </c>
      <c r="AD1956" s="114" t="s">
        <v>3923</v>
      </c>
      <c r="AE1956" s="130"/>
      <c r="AF1956" s="130" t="s">
        <v>2042</v>
      </c>
      <c r="AG1956" s="114"/>
      <c r="AI1956" s="131"/>
      <c r="AJ1956" s="131"/>
      <c r="AK1956" s="132"/>
      <c r="AL1956" s="133" t="s">
        <v>4237</v>
      </c>
      <c r="AM1956" s="134"/>
      <c r="AN1956" s="134"/>
      <c r="AO1956" s="134"/>
      <c r="AP1956" s="134"/>
      <c r="AQ1956" s="134"/>
      <c r="AR1956" s="134"/>
      <c r="AS1956" s="134"/>
      <c r="AT1956" s="134"/>
      <c r="AV1956" s="131"/>
      <c r="AW1956" s="131"/>
      <c r="AX1956" s="132"/>
      <c r="AY1956" s="133"/>
      <c r="AZ1956" s="134"/>
      <c r="BA1956" s="134"/>
      <c r="BB1956" s="134"/>
      <c r="BC1956" s="134"/>
      <c r="BD1956" s="134"/>
      <c r="BE1956" s="134"/>
      <c r="BF1956" s="134"/>
      <c r="BG1956" s="134"/>
      <c r="BI1956" s="131"/>
      <c r="BJ1956" s="131"/>
      <c r="BK1956" s="132"/>
      <c r="BL1956" s="133"/>
      <c r="BM1956" s="134"/>
      <c r="BN1956" s="134"/>
      <c r="BO1956" s="134"/>
      <c r="BP1956" s="134"/>
      <c r="BQ1956" s="134"/>
      <c r="BR1956" s="134"/>
      <c r="BS1956" s="134"/>
      <c r="BT1956" s="134"/>
      <c r="BV1956" s="131"/>
      <c r="BW1956" s="131"/>
      <c r="BX1956" s="132"/>
      <c r="BY1956" s="133"/>
      <c r="BZ1956" s="134"/>
      <c r="CA1956" s="134"/>
      <c r="CB1956" s="134"/>
      <c r="CC1956" s="134"/>
      <c r="CD1956" s="134"/>
      <c r="CE1956" s="134"/>
      <c r="CF1956" s="134"/>
      <c r="CG1956" s="134"/>
      <c r="CH1956" s="127"/>
      <c r="CI1956" s="131" t="s">
        <v>397</v>
      </c>
      <c r="CJ1956" s="131" t="s">
        <v>750</v>
      </c>
      <c r="CK1956" s="132"/>
      <c r="CL1956" s="134"/>
      <c r="CM1956" s="134"/>
      <c r="CN1956" s="134"/>
      <c r="CO1956" s="131"/>
      <c r="CP1956" s="131"/>
      <c r="CQ1956" s="131"/>
      <c r="CR1956" s="132"/>
      <c r="CT1956" s="135"/>
      <c r="CU1956" s="135"/>
      <c r="CV1956" s="135"/>
      <c r="CW1956" s="135"/>
      <c r="CX1956" s="135"/>
      <c r="CY1956" s="135"/>
      <c r="CZ1956" s="135"/>
      <c r="DA1956" s="135"/>
      <c r="DB1956" s="135"/>
      <c r="DC1956" s="134"/>
      <c r="DE1956" s="128" t="s">
        <v>550</v>
      </c>
    </row>
    <row r="1957" spans="1:109" s="128" customFormat="1" x14ac:dyDescent="0.2">
      <c r="A1957" s="127" t="s">
        <v>3851</v>
      </c>
      <c r="B1957" s="127" t="s">
        <v>3855</v>
      </c>
      <c r="C1957" s="127">
        <f t="shared" si="174"/>
        <v>300350006</v>
      </c>
      <c r="D1957" s="128" t="s">
        <v>3862</v>
      </c>
      <c r="E1957" s="21" t="s">
        <v>3927</v>
      </c>
      <c r="F1957" s="21"/>
      <c r="G1957" s="129"/>
      <c r="H1957" s="129"/>
      <c r="I1957" s="136" t="s">
        <v>4305</v>
      </c>
      <c r="J1957" s="114"/>
      <c r="K1957" s="114"/>
      <c r="L1957" s="114"/>
      <c r="M1957" s="114"/>
      <c r="N1957" s="114" t="s">
        <v>819</v>
      </c>
      <c r="O1957" s="114" t="s">
        <v>3937</v>
      </c>
      <c r="P1957" s="114"/>
      <c r="Q1957" s="114" t="s">
        <v>2041</v>
      </c>
      <c r="R1957" s="114"/>
      <c r="S1957" s="114"/>
      <c r="T1957" s="114" t="s">
        <v>811</v>
      </c>
      <c r="U1957" s="128" t="s">
        <v>3862</v>
      </c>
      <c r="V1957" s="114" t="s">
        <v>3870</v>
      </c>
      <c r="W1957" s="114" t="s">
        <v>3926</v>
      </c>
      <c r="X1957" s="114"/>
      <c r="Y1957" s="114"/>
      <c r="Z1957" s="114"/>
      <c r="AA1957" s="114"/>
      <c r="AB1957" s="114"/>
      <c r="AC1957" s="114" t="s">
        <v>3923</v>
      </c>
      <c r="AD1957" s="114" t="s">
        <v>3923</v>
      </c>
      <c r="AE1957" s="130"/>
      <c r="AF1957" s="130" t="s">
        <v>2042</v>
      </c>
      <c r="AG1957" s="114"/>
      <c r="AI1957" s="131"/>
      <c r="AJ1957" s="131"/>
      <c r="AK1957" s="132"/>
      <c r="AL1957" s="133" t="s">
        <v>4237</v>
      </c>
      <c r="AM1957" s="134"/>
      <c r="AN1957" s="134"/>
      <c r="AO1957" s="134"/>
      <c r="AP1957" s="134"/>
      <c r="AQ1957" s="134"/>
      <c r="AR1957" s="134"/>
      <c r="AS1957" s="134"/>
      <c r="AT1957" s="134"/>
      <c r="AV1957" s="131"/>
      <c r="AW1957" s="131"/>
      <c r="AX1957" s="132"/>
      <c r="AY1957" s="133"/>
      <c r="AZ1957" s="134"/>
      <c r="BA1957" s="134"/>
      <c r="BB1957" s="134"/>
      <c r="BC1957" s="134"/>
      <c r="BD1957" s="134"/>
      <c r="BE1957" s="134"/>
      <c r="BF1957" s="134"/>
      <c r="BG1957" s="134"/>
      <c r="BI1957" s="131"/>
      <c r="BJ1957" s="131"/>
      <c r="BK1957" s="132"/>
      <c r="BL1957" s="133"/>
      <c r="BM1957" s="134"/>
      <c r="BN1957" s="134"/>
      <c r="BO1957" s="134"/>
      <c r="BP1957" s="134"/>
      <c r="BQ1957" s="134"/>
      <c r="BR1957" s="134"/>
      <c r="BS1957" s="134"/>
      <c r="BT1957" s="134"/>
      <c r="BV1957" s="131"/>
      <c r="BW1957" s="131"/>
      <c r="BX1957" s="132"/>
      <c r="BY1957" s="133"/>
      <c r="BZ1957" s="134"/>
      <c r="CA1957" s="134"/>
      <c r="CB1957" s="134"/>
      <c r="CC1957" s="134"/>
      <c r="CD1957" s="134"/>
      <c r="CE1957" s="134"/>
      <c r="CF1957" s="134"/>
      <c r="CG1957" s="134"/>
      <c r="CH1957" s="127"/>
      <c r="CI1957" s="131" t="s">
        <v>397</v>
      </c>
      <c r="CJ1957" s="131" t="s">
        <v>750</v>
      </c>
      <c r="CK1957" s="132"/>
      <c r="CL1957" s="134"/>
      <c r="CM1957" s="134"/>
      <c r="CN1957" s="134"/>
      <c r="CO1957" s="131"/>
      <c r="CP1957" s="131"/>
      <c r="CQ1957" s="131"/>
      <c r="CR1957" s="132"/>
      <c r="CT1957" s="135"/>
      <c r="CU1957" s="135"/>
      <c r="CV1957" s="135"/>
      <c r="CW1957" s="135"/>
      <c r="CX1957" s="135"/>
      <c r="CY1957" s="135"/>
      <c r="CZ1957" s="135"/>
      <c r="DA1957" s="135"/>
      <c r="DB1957" s="135"/>
      <c r="DC1957" s="134"/>
      <c r="DE1957" s="128" t="s">
        <v>550</v>
      </c>
    </row>
    <row r="1958" spans="1:109" s="128" customFormat="1" x14ac:dyDescent="0.2">
      <c r="A1958" s="127" t="s">
        <v>3851</v>
      </c>
      <c r="B1958" s="127" t="s">
        <v>3856</v>
      </c>
      <c r="C1958" s="127">
        <f t="shared" si="174"/>
        <v>300350007</v>
      </c>
      <c r="D1958" s="128" t="s">
        <v>3863</v>
      </c>
      <c r="E1958" s="21" t="s">
        <v>3927</v>
      </c>
      <c r="F1958" s="21"/>
      <c r="G1958" s="129"/>
      <c r="H1958" s="129"/>
      <c r="I1958" s="136" t="s">
        <v>157</v>
      </c>
      <c r="J1958" s="114"/>
      <c r="K1958" s="114"/>
      <c r="L1958" s="114"/>
      <c r="M1958" s="114"/>
      <c r="N1958" s="114" t="s">
        <v>819</v>
      </c>
      <c r="O1958" s="114" t="s">
        <v>3937</v>
      </c>
      <c r="P1958" s="114"/>
      <c r="Q1958" s="114" t="s">
        <v>2041</v>
      </c>
      <c r="R1958" s="114"/>
      <c r="S1958" s="114"/>
      <c r="T1958" s="114" t="s">
        <v>811</v>
      </c>
      <c r="U1958" s="128" t="s">
        <v>3863</v>
      </c>
      <c r="V1958" s="114" t="s">
        <v>3871</v>
      </c>
      <c r="W1958" s="114" t="s">
        <v>3926</v>
      </c>
      <c r="X1958" s="114"/>
      <c r="Y1958" s="114"/>
      <c r="Z1958" s="114"/>
      <c r="AA1958" s="114"/>
      <c r="AB1958" s="114"/>
      <c r="AC1958" s="114" t="s">
        <v>3923</v>
      </c>
      <c r="AD1958" s="114" t="s">
        <v>3923</v>
      </c>
      <c r="AE1958" s="130"/>
      <c r="AF1958" s="130" t="s">
        <v>2042</v>
      </c>
      <c r="AG1958" s="114"/>
      <c r="AI1958" s="131"/>
      <c r="AJ1958" s="131"/>
      <c r="AK1958" s="132"/>
      <c r="AL1958" s="133" t="s">
        <v>4237</v>
      </c>
      <c r="AM1958" s="134"/>
      <c r="AN1958" s="134"/>
      <c r="AO1958" s="134"/>
      <c r="AP1958" s="134"/>
      <c r="AQ1958" s="134"/>
      <c r="AR1958" s="134"/>
      <c r="AS1958" s="134"/>
      <c r="AT1958" s="134"/>
      <c r="AV1958" s="131"/>
      <c r="AW1958" s="131"/>
      <c r="AX1958" s="132"/>
      <c r="AY1958" s="133"/>
      <c r="AZ1958" s="134"/>
      <c r="BA1958" s="134"/>
      <c r="BB1958" s="134"/>
      <c r="BC1958" s="134"/>
      <c r="BD1958" s="134"/>
      <c r="BE1958" s="134"/>
      <c r="BF1958" s="134"/>
      <c r="BG1958" s="134"/>
      <c r="BI1958" s="131"/>
      <c r="BJ1958" s="131"/>
      <c r="BK1958" s="132"/>
      <c r="BL1958" s="133"/>
      <c r="BM1958" s="134"/>
      <c r="BN1958" s="134"/>
      <c r="BO1958" s="134"/>
      <c r="BP1958" s="134"/>
      <c r="BQ1958" s="134"/>
      <c r="BR1958" s="134"/>
      <c r="BS1958" s="134"/>
      <c r="BT1958" s="134"/>
      <c r="BV1958" s="131"/>
      <c r="BW1958" s="131"/>
      <c r="BX1958" s="132"/>
      <c r="BY1958" s="133"/>
      <c r="BZ1958" s="134"/>
      <c r="CA1958" s="134"/>
      <c r="CB1958" s="134"/>
      <c r="CC1958" s="134"/>
      <c r="CD1958" s="134"/>
      <c r="CE1958" s="134"/>
      <c r="CF1958" s="134"/>
      <c r="CG1958" s="134"/>
      <c r="CH1958" s="127"/>
      <c r="CI1958" s="131" t="s">
        <v>397</v>
      </c>
      <c r="CJ1958" s="131" t="s">
        <v>750</v>
      </c>
      <c r="CK1958" s="132"/>
      <c r="CL1958" s="134"/>
      <c r="CM1958" s="134"/>
      <c r="CN1958" s="134"/>
      <c r="CO1958" s="131"/>
      <c r="CP1958" s="131"/>
      <c r="CQ1958" s="131"/>
      <c r="CR1958" s="132"/>
      <c r="CT1958" s="135"/>
      <c r="CU1958" s="135"/>
      <c r="CV1958" s="135"/>
      <c r="CW1958" s="135"/>
      <c r="CX1958" s="135"/>
      <c r="CY1958" s="135"/>
      <c r="CZ1958" s="135"/>
      <c r="DA1958" s="135"/>
      <c r="DB1958" s="135"/>
      <c r="DC1958" s="134"/>
      <c r="DE1958" s="128" t="s">
        <v>550</v>
      </c>
    </row>
    <row r="1959" spans="1:109" s="128" customFormat="1" x14ac:dyDescent="0.2">
      <c r="A1959" s="127" t="s">
        <v>3851</v>
      </c>
      <c r="B1959" s="127" t="s">
        <v>137</v>
      </c>
      <c r="C1959" s="127">
        <f t="shared" ref="C1959:C1960" si="175">A1959*10000+B1959</f>
        <v>300350008</v>
      </c>
      <c r="D1959" s="128" t="s">
        <v>3864</v>
      </c>
      <c r="E1959" s="21" t="s">
        <v>3927</v>
      </c>
      <c r="F1959" s="21"/>
      <c r="G1959" s="129"/>
      <c r="H1959" s="129"/>
      <c r="I1959" s="136" t="s">
        <v>157</v>
      </c>
      <c r="J1959" s="114"/>
      <c r="K1959" s="114"/>
      <c r="L1959" s="114"/>
      <c r="M1959" s="114"/>
      <c r="N1959" s="114" t="s">
        <v>819</v>
      </c>
      <c r="O1959" s="114" t="s">
        <v>3937</v>
      </c>
      <c r="P1959" s="114"/>
      <c r="Q1959" s="114" t="s">
        <v>2041</v>
      </c>
      <c r="R1959" s="114"/>
      <c r="S1959" s="114"/>
      <c r="T1959" s="114" t="s">
        <v>811</v>
      </c>
      <c r="U1959" s="128" t="s">
        <v>3864</v>
      </c>
      <c r="V1959" s="114" t="s">
        <v>3872</v>
      </c>
      <c r="W1959" s="114" t="s">
        <v>181</v>
      </c>
      <c r="X1959" s="114"/>
      <c r="Y1959" s="114"/>
      <c r="Z1959" s="114"/>
      <c r="AA1959" s="114"/>
      <c r="AB1959" s="114"/>
      <c r="AC1959" s="114" t="s">
        <v>3923</v>
      </c>
      <c r="AD1959" s="114" t="s">
        <v>3923</v>
      </c>
      <c r="AE1959" s="130"/>
      <c r="AF1959" s="130" t="s">
        <v>2042</v>
      </c>
      <c r="AG1959" s="114"/>
      <c r="AI1959" s="131"/>
      <c r="AJ1959" s="131"/>
      <c r="AK1959" s="132"/>
      <c r="AL1959" s="133" t="s">
        <v>4237</v>
      </c>
      <c r="AM1959" s="134"/>
      <c r="AN1959" s="134"/>
      <c r="AO1959" s="134"/>
      <c r="AP1959" s="134"/>
      <c r="AQ1959" s="134"/>
      <c r="AR1959" s="134"/>
      <c r="AS1959" s="134"/>
      <c r="AT1959" s="134"/>
      <c r="AV1959" s="131"/>
      <c r="AW1959" s="131"/>
      <c r="AX1959" s="132"/>
      <c r="AY1959" s="133"/>
      <c r="AZ1959" s="134"/>
      <c r="BA1959" s="134"/>
      <c r="BB1959" s="134"/>
      <c r="BC1959" s="134"/>
      <c r="BD1959" s="134"/>
      <c r="BE1959" s="134"/>
      <c r="BF1959" s="134"/>
      <c r="BG1959" s="134"/>
      <c r="BI1959" s="131"/>
      <c r="BJ1959" s="131"/>
      <c r="BK1959" s="132"/>
      <c r="BL1959" s="133"/>
      <c r="BM1959" s="134"/>
      <c r="BN1959" s="134"/>
      <c r="BO1959" s="134"/>
      <c r="BP1959" s="134"/>
      <c r="BQ1959" s="134"/>
      <c r="BR1959" s="134"/>
      <c r="BS1959" s="134"/>
      <c r="BT1959" s="134"/>
      <c r="BV1959" s="131"/>
      <c r="BW1959" s="131"/>
      <c r="BX1959" s="132"/>
      <c r="BY1959" s="133"/>
      <c r="BZ1959" s="134"/>
      <c r="CA1959" s="134"/>
      <c r="CB1959" s="134"/>
      <c r="CC1959" s="134"/>
      <c r="CD1959" s="134"/>
      <c r="CE1959" s="134"/>
      <c r="CF1959" s="134"/>
      <c r="CG1959" s="134"/>
      <c r="CH1959" s="127"/>
      <c r="CI1959" s="131" t="s">
        <v>397</v>
      </c>
      <c r="CJ1959" s="131" t="s">
        <v>750</v>
      </c>
      <c r="CK1959" s="132"/>
      <c r="CL1959" s="134"/>
      <c r="CM1959" s="134"/>
      <c r="CN1959" s="134"/>
      <c r="CO1959" s="131"/>
      <c r="CP1959" s="131"/>
      <c r="CQ1959" s="131"/>
      <c r="CR1959" s="132"/>
      <c r="CT1959" s="135"/>
      <c r="CU1959" s="135"/>
      <c r="CV1959" s="135"/>
      <c r="CW1959" s="135"/>
      <c r="CX1959" s="135"/>
      <c r="CY1959" s="135"/>
      <c r="CZ1959" s="135"/>
      <c r="DA1959" s="135"/>
      <c r="DB1959" s="135"/>
      <c r="DC1959" s="134"/>
      <c r="DE1959" s="128" t="s">
        <v>550</v>
      </c>
    </row>
    <row r="1960" spans="1:109" s="128" customFormat="1" x14ac:dyDescent="0.2">
      <c r="A1960" s="173" t="s">
        <v>3851</v>
      </c>
      <c r="B1960" s="173" t="s">
        <v>145</v>
      </c>
      <c r="C1960" s="173">
        <f t="shared" si="175"/>
        <v>300350009</v>
      </c>
      <c r="D1960" s="174" t="s">
        <v>4143</v>
      </c>
      <c r="E1960" s="175" t="s">
        <v>3967</v>
      </c>
      <c r="F1960" s="175" t="s">
        <v>550</v>
      </c>
      <c r="G1960" s="175" t="s">
        <v>550</v>
      </c>
      <c r="H1960" s="175" t="s">
        <v>4533</v>
      </c>
      <c r="I1960" s="176" t="s">
        <v>3873</v>
      </c>
      <c r="J1960" s="177"/>
      <c r="K1960" s="177"/>
      <c r="L1960" s="177"/>
      <c r="M1960" s="177"/>
      <c r="N1960" s="177" t="s">
        <v>819</v>
      </c>
      <c r="O1960" s="176" t="s">
        <v>4013</v>
      </c>
      <c r="P1960" s="177"/>
      <c r="Q1960" s="177" t="s">
        <v>2041</v>
      </c>
      <c r="R1960" s="177"/>
      <c r="S1960" s="177"/>
      <c r="T1960" s="177" t="s">
        <v>811</v>
      </c>
      <c r="U1960" s="174" t="s">
        <v>3987</v>
      </c>
      <c r="V1960" s="177" t="s">
        <v>819</v>
      </c>
      <c r="W1960" s="177" t="s">
        <v>23</v>
      </c>
      <c r="X1960" s="177"/>
      <c r="Y1960" s="177"/>
      <c r="Z1960" s="177"/>
      <c r="AA1960" s="177"/>
      <c r="AB1960" s="177"/>
      <c r="AC1960" s="177"/>
      <c r="AD1960" s="177"/>
      <c r="AE1960" s="178"/>
      <c r="AF1960" s="178" t="s">
        <v>2042</v>
      </c>
      <c r="AG1960" s="177"/>
      <c r="AH1960" s="174" t="s">
        <v>4238</v>
      </c>
      <c r="AI1960" s="179"/>
      <c r="AJ1960" s="179"/>
      <c r="AK1960" s="180">
        <v>100000</v>
      </c>
      <c r="AL1960" s="181"/>
      <c r="AM1960" s="182"/>
      <c r="AN1960" s="182"/>
      <c r="AO1960" s="182"/>
      <c r="AP1960" s="182"/>
      <c r="AQ1960" s="182"/>
      <c r="AR1960" s="182"/>
      <c r="AS1960" s="182"/>
      <c r="AT1960" s="182"/>
      <c r="AU1960" s="174"/>
      <c r="AV1960" s="179"/>
      <c r="AW1960" s="179"/>
      <c r="AX1960" s="180"/>
      <c r="AY1960" s="181"/>
      <c r="AZ1960" s="182"/>
      <c r="BA1960" s="182"/>
      <c r="BB1960" s="182"/>
      <c r="BC1960" s="182"/>
      <c r="BD1960" s="182"/>
      <c r="BE1960" s="182"/>
      <c r="BF1960" s="182"/>
      <c r="BG1960" s="182"/>
      <c r="BH1960" s="174"/>
      <c r="BI1960" s="179"/>
      <c r="BJ1960" s="179"/>
      <c r="BK1960" s="180"/>
      <c r="BL1960" s="181"/>
      <c r="BM1960" s="182"/>
      <c r="BN1960" s="182"/>
      <c r="BO1960" s="182"/>
      <c r="BP1960" s="182"/>
      <c r="BQ1960" s="182"/>
      <c r="BR1960" s="182"/>
      <c r="BS1960" s="182"/>
      <c r="BT1960" s="182"/>
      <c r="BU1960" s="174"/>
      <c r="BV1960" s="179"/>
      <c r="BW1960" s="179"/>
      <c r="BX1960" s="180"/>
      <c r="BY1960" s="181"/>
      <c r="BZ1960" s="182"/>
      <c r="CA1960" s="182"/>
      <c r="CB1960" s="182"/>
      <c r="CC1960" s="182"/>
      <c r="CD1960" s="182"/>
      <c r="CE1960" s="182"/>
      <c r="CF1960" s="182"/>
      <c r="CG1960" s="182"/>
      <c r="CH1960" s="173"/>
      <c r="CI1960" s="179" t="s">
        <v>398</v>
      </c>
      <c r="CJ1960" s="179" t="s">
        <v>1492</v>
      </c>
      <c r="CK1960" s="180"/>
      <c r="CL1960" s="182"/>
      <c r="CM1960" s="182"/>
      <c r="CN1960" s="182"/>
      <c r="CO1960" s="179"/>
      <c r="CP1960" s="179"/>
      <c r="CQ1960" s="179"/>
      <c r="CR1960" s="180"/>
      <c r="CS1960" s="174"/>
      <c r="CT1960" s="183"/>
      <c r="CU1960" s="183"/>
      <c r="CV1960" s="183"/>
      <c r="CW1960" s="183"/>
      <c r="CX1960" s="183"/>
      <c r="CY1960" s="183"/>
      <c r="CZ1960" s="183"/>
      <c r="DA1960" s="183"/>
      <c r="DB1960" s="183"/>
      <c r="DC1960" s="182"/>
      <c r="DD1960" s="174"/>
      <c r="DE1960" s="174" t="s">
        <v>550</v>
      </c>
    </row>
    <row r="1961" spans="1:109" s="80" customFormat="1" x14ac:dyDescent="0.2">
      <c r="A1961" s="79" t="s">
        <v>3965</v>
      </c>
      <c r="B1961" s="79" t="s">
        <v>181</v>
      </c>
      <c r="C1961" s="79">
        <f t="shared" si="174"/>
        <v>300360001</v>
      </c>
      <c r="D1961" s="80" t="s">
        <v>3966</v>
      </c>
      <c r="E1961" s="163" t="s">
        <v>3967</v>
      </c>
      <c r="F1961" s="163"/>
      <c r="G1961" s="163"/>
      <c r="H1961" s="163"/>
      <c r="I1961" s="164" t="s">
        <v>3873</v>
      </c>
      <c r="J1961" s="22" t="s">
        <v>548</v>
      </c>
      <c r="K1961" s="22"/>
      <c r="L1961" s="22"/>
      <c r="M1961" s="22"/>
      <c r="N1961" s="22" t="s">
        <v>819</v>
      </c>
      <c r="O1961" s="22" t="s">
        <v>3968</v>
      </c>
      <c r="P1961" s="22" t="s">
        <v>3968</v>
      </c>
      <c r="Q1961" s="22" t="s">
        <v>2041</v>
      </c>
      <c r="R1961" s="22"/>
      <c r="S1961" s="22"/>
      <c r="T1961" s="22" t="s">
        <v>811</v>
      </c>
      <c r="U1961" s="80" t="s">
        <v>3966</v>
      </c>
      <c r="V1961" s="22" t="s">
        <v>819</v>
      </c>
      <c r="W1961" s="22" t="s">
        <v>22</v>
      </c>
      <c r="X1961" s="22"/>
      <c r="Y1961" s="22"/>
      <c r="Z1961" s="22"/>
      <c r="AA1961" s="22"/>
      <c r="AB1961" s="22"/>
      <c r="AC1961" s="22" t="s">
        <v>3976</v>
      </c>
      <c r="AD1961" s="22" t="s">
        <v>3976</v>
      </c>
      <c r="AE1961" s="24"/>
      <c r="AF1961" s="24" t="s">
        <v>2042</v>
      </c>
      <c r="AG1961" s="22"/>
      <c r="AI1961" s="26"/>
      <c r="AJ1961" s="26"/>
      <c r="AK1961" s="40"/>
      <c r="AL1961" s="81" t="s">
        <v>4008</v>
      </c>
      <c r="AM1961" s="82"/>
      <c r="AN1961" s="82"/>
      <c r="AO1961" s="82"/>
      <c r="AP1961" s="82"/>
      <c r="AQ1961" s="82"/>
      <c r="AR1961" s="82"/>
      <c r="AS1961" s="82"/>
      <c r="AT1961" s="82"/>
      <c r="AV1961" s="26"/>
      <c r="AW1961" s="26"/>
      <c r="AX1961" s="40"/>
      <c r="AY1961" s="81"/>
      <c r="AZ1961" s="82"/>
      <c r="BA1961" s="82"/>
      <c r="BB1961" s="82"/>
      <c r="BC1961" s="82"/>
      <c r="BD1961" s="82"/>
      <c r="BE1961" s="82"/>
      <c r="BF1961" s="82"/>
      <c r="BG1961" s="82"/>
      <c r="BI1961" s="26"/>
      <c r="BJ1961" s="26"/>
      <c r="BK1961" s="40"/>
      <c r="BL1961" s="81"/>
      <c r="BM1961" s="82"/>
      <c r="BN1961" s="82"/>
      <c r="BO1961" s="82"/>
      <c r="BP1961" s="82"/>
      <c r="BQ1961" s="82"/>
      <c r="BR1961" s="82"/>
      <c r="BS1961" s="82"/>
      <c r="BT1961" s="82"/>
      <c r="BV1961" s="26"/>
      <c r="BW1961" s="26"/>
      <c r="BX1961" s="40"/>
      <c r="BY1961" s="81"/>
      <c r="BZ1961" s="82"/>
      <c r="CA1961" s="82"/>
      <c r="CB1961" s="82"/>
      <c r="CC1961" s="82"/>
      <c r="CD1961" s="82"/>
      <c r="CE1961" s="82"/>
      <c r="CF1961" s="82"/>
      <c r="CG1961" s="82"/>
      <c r="CH1961" s="79"/>
      <c r="CI1961" s="26" t="s">
        <v>398</v>
      </c>
      <c r="CJ1961" s="26" t="s">
        <v>4005</v>
      </c>
      <c r="CK1961" s="40"/>
      <c r="CL1961" s="82"/>
      <c r="CM1961" s="82"/>
      <c r="CN1961" s="82"/>
      <c r="CO1961" s="26"/>
      <c r="CP1961" s="26"/>
      <c r="CQ1961" s="26"/>
      <c r="CR1961" s="40"/>
      <c r="CT1961" s="83"/>
      <c r="CU1961" s="83"/>
      <c r="CV1961" s="83"/>
      <c r="CW1961" s="83"/>
      <c r="CX1961" s="83"/>
      <c r="CY1961" s="83"/>
      <c r="CZ1961" s="83"/>
      <c r="DA1961" s="83"/>
      <c r="DB1961" s="83"/>
      <c r="DC1961" s="82"/>
      <c r="DE1961" s="80" t="s">
        <v>550</v>
      </c>
    </row>
    <row r="1962" spans="1:109" s="80" customFormat="1" x14ac:dyDescent="0.2">
      <c r="A1962" s="79" t="s">
        <v>3965</v>
      </c>
      <c r="B1962" s="79" t="s">
        <v>22</v>
      </c>
      <c r="C1962" s="79">
        <f t="shared" si="174"/>
        <v>300360002</v>
      </c>
      <c r="D1962" s="80" t="s">
        <v>3974</v>
      </c>
      <c r="E1962" s="163" t="s">
        <v>3975</v>
      </c>
      <c r="F1962" s="163"/>
      <c r="G1962" s="163"/>
      <c r="H1962" s="163"/>
      <c r="I1962" s="166" t="s">
        <v>3993</v>
      </c>
      <c r="J1962" s="22" t="s">
        <v>548</v>
      </c>
      <c r="K1962" s="22"/>
      <c r="L1962" s="22"/>
      <c r="M1962" s="22"/>
      <c r="N1962" s="22" t="s">
        <v>819</v>
      </c>
      <c r="O1962" s="22" t="s">
        <v>3968</v>
      </c>
      <c r="P1962" s="22" t="s">
        <v>3968</v>
      </c>
      <c r="Q1962" s="22" t="s">
        <v>2041</v>
      </c>
      <c r="R1962" s="22"/>
      <c r="S1962" s="22"/>
      <c r="T1962" s="22" t="s">
        <v>811</v>
      </c>
      <c r="U1962" s="80" t="s">
        <v>3974</v>
      </c>
      <c r="V1962" s="22" t="s">
        <v>819</v>
      </c>
      <c r="W1962" s="22" t="s">
        <v>22</v>
      </c>
      <c r="X1962" s="22"/>
      <c r="Y1962" s="22"/>
      <c r="Z1962" s="22"/>
      <c r="AA1962" s="22"/>
      <c r="AB1962" s="22"/>
      <c r="AC1962" s="22" t="s">
        <v>3976</v>
      </c>
      <c r="AD1962" s="22" t="s">
        <v>3976</v>
      </c>
      <c r="AE1962" s="24"/>
      <c r="AF1962" s="24" t="s">
        <v>2042</v>
      </c>
      <c r="AG1962" s="22"/>
      <c r="AI1962" s="26"/>
      <c r="AJ1962" s="26"/>
      <c r="AK1962" s="40"/>
      <c r="AL1962" s="81" t="s">
        <v>4008</v>
      </c>
      <c r="AM1962" s="82"/>
      <c r="AN1962" s="82"/>
      <c r="AO1962" s="82"/>
      <c r="AP1962" s="82"/>
      <c r="AQ1962" s="82"/>
      <c r="AR1962" s="82"/>
      <c r="AS1962" s="82"/>
      <c r="AT1962" s="82"/>
      <c r="AV1962" s="26"/>
      <c r="AW1962" s="26"/>
      <c r="AX1962" s="40"/>
      <c r="AY1962" s="81"/>
      <c r="AZ1962" s="82"/>
      <c r="BA1962" s="82"/>
      <c r="BB1962" s="82"/>
      <c r="BC1962" s="82"/>
      <c r="BD1962" s="82"/>
      <c r="BE1962" s="82"/>
      <c r="BF1962" s="82"/>
      <c r="BG1962" s="82"/>
      <c r="BI1962" s="26"/>
      <c r="BJ1962" s="26"/>
      <c r="BK1962" s="40"/>
      <c r="BL1962" s="81"/>
      <c r="BM1962" s="82"/>
      <c r="BN1962" s="82"/>
      <c r="BO1962" s="82"/>
      <c r="BP1962" s="82"/>
      <c r="BQ1962" s="82"/>
      <c r="BR1962" s="82"/>
      <c r="BS1962" s="82"/>
      <c r="BT1962" s="82"/>
      <c r="BV1962" s="26"/>
      <c r="BW1962" s="26"/>
      <c r="BX1962" s="40"/>
      <c r="BY1962" s="81"/>
      <c r="BZ1962" s="82"/>
      <c r="CA1962" s="82"/>
      <c r="CB1962" s="82"/>
      <c r="CC1962" s="82"/>
      <c r="CD1962" s="82"/>
      <c r="CE1962" s="82"/>
      <c r="CF1962" s="82"/>
      <c r="CG1962" s="82"/>
      <c r="CH1962" s="79"/>
      <c r="CI1962" s="26" t="s">
        <v>398</v>
      </c>
      <c r="CJ1962" s="26" t="s">
        <v>4005</v>
      </c>
      <c r="CK1962" s="40"/>
      <c r="CL1962" s="82"/>
      <c r="CM1962" s="82"/>
      <c r="CN1962" s="82"/>
      <c r="CO1962" s="26"/>
      <c r="CP1962" s="26"/>
      <c r="CQ1962" s="26"/>
      <c r="CR1962" s="40"/>
      <c r="CT1962" s="83"/>
      <c r="CU1962" s="83"/>
      <c r="CV1962" s="83"/>
      <c r="CW1962" s="83"/>
      <c r="CX1962" s="83"/>
      <c r="CY1962" s="83"/>
      <c r="CZ1962" s="83"/>
      <c r="DA1962" s="83"/>
      <c r="DB1962" s="83"/>
      <c r="DC1962" s="82"/>
      <c r="DE1962" s="80" t="s">
        <v>550</v>
      </c>
    </row>
    <row r="1963" spans="1:109" s="80" customFormat="1" x14ac:dyDescent="0.2">
      <c r="A1963" s="79" t="s">
        <v>3965</v>
      </c>
      <c r="B1963" s="79" t="s">
        <v>122</v>
      </c>
      <c r="C1963" s="79">
        <f t="shared" si="174"/>
        <v>300360003</v>
      </c>
      <c r="D1963" s="80" t="s">
        <v>3977</v>
      </c>
      <c r="E1963" s="163" t="s">
        <v>3988</v>
      </c>
      <c r="F1963" s="163"/>
      <c r="G1963" s="163"/>
      <c r="H1963" s="163"/>
      <c r="I1963" s="166" t="s">
        <v>3989</v>
      </c>
      <c r="J1963" s="22" t="s">
        <v>548</v>
      </c>
      <c r="K1963" s="22"/>
      <c r="L1963" s="22"/>
      <c r="M1963" s="22"/>
      <c r="N1963" s="22" t="s">
        <v>819</v>
      </c>
      <c r="O1963" s="22" t="s">
        <v>3968</v>
      </c>
      <c r="P1963" s="22" t="s">
        <v>3968</v>
      </c>
      <c r="Q1963" s="22" t="s">
        <v>2041</v>
      </c>
      <c r="R1963" s="22"/>
      <c r="S1963" s="22"/>
      <c r="T1963" s="22" t="s">
        <v>811</v>
      </c>
      <c r="U1963" s="80" t="s">
        <v>3977</v>
      </c>
      <c r="V1963" s="22" t="s">
        <v>819</v>
      </c>
      <c r="W1963" s="22" t="s">
        <v>22</v>
      </c>
      <c r="X1963" s="22"/>
      <c r="Y1963" s="22"/>
      <c r="Z1963" s="22"/>
      <c r="AA1963" s="22"/>
      <c r="AB1963" s="22"/>
      <c r="AC1963" s="22" t="s">
        <v>3976</v>
      </c>
      <c r="AD1963" s="22" t="s">
        <v>3976</v>
      </c>
      <c r="AE1963" s="24"/>
      <c r="AF1963" s="24" t="s">
        <v>2042</v>
      </c>
      <c r="AG1963" s="22"/>
      <c r="AI1963" s="26"/>
      <c r="AJ1963" s="26"/>
      <c r="AK1963" s="40"/>
      <c r="AL1963" s="81" t="s">
        <v>4007</v>
      </c>
      <c r="AM1963" s="82"/>
      <c r="AN1963" s="82"/>
      <c r="AO1963" s="82"/>
      <c r="AP1963" s="82"/>
      <c r="AQ1963" s="82"/>
      <c r="AR1963" s="82"/>
      <c r="AS1963" s="82"/>
      <c r="AT1963" s="82"/>
      <c r="AV1963" s="26"/>
      <c r="AW1963" s="26"/>
      <c r="AX1963" s="40"/>
      <c r="AY1963" s="81"/>
      <c r="AZ1963" s="82"/>
      <c r="BA1963" s="82"/>
      <c r="BB1963" s="82"/>
      <c r="BC1963" s="82"/>
      <c r="BD1963" s="82"/>
      <c r="BE1963" s="82"/>
      <c r="BF1963" s="82"/>
      <c r="BG1963" s="82"/>
      <c r="BI1963" s="26"/>
      <c r="BJ1963" s="26"/>
      <c r="BK1963" s="40"/>
      <c r="BL1963" s="81"/>
      <c r="BM1963" s="82"/>
      <c r="BN1963" s="82"/>
      <c r="BO1963" s="82"/>
      <c r="BP1963" s="82"/>
      <c r="BQ1963" s="82"/>
      <c r="BR1963" s="82"/>
      <c r="BS1963" s="82"/>
      <c r="BT1963" s="82"/>
      <c r="BV1963" s="26"/>
      <c r="BW1963" s="26"/>
      <c r="BX1963" s="40"/>
      <c r="BY1963" s="81"/>
      <c r="BZ1963" s="82"/>
      <c r="CA1963" s="82"/>
      <c r="CB1963" s="82"/>
      <c r="CC1963" s="82"/>
      <c r="CD1963" s="82"/>
      <c r="CE1963" s="82"/>
      <c r="CF1963" s="82"/>
      <c r="CG1963" s="82"/>
      <c r="CH1963" s="79"/>
      <c r="CI1963" s="26" t="s">
        <v>398</v>
      </c>
      <c r="CJ1963" s="26" t="s">
        <v>4005</v>
      </c>
      <c r="CK1963" s="40"/>
      <c r="CL1963" s="82"/>
      <c r="CM1963" s="82"/>
      <c r="CN1963" s="82"/>
      <c r="CO1963" s="26"/>
      <c r="CP1963" s="26"/>
      <c r="CQ1963" s="26"/>
      <c r="CR1963" s="40"/>
      <c r="CT1963" s="83"/>
      <c r="CU1963" s="83"/>
      <c r="CV1963" s="83"/>
      <c r="CW1963" s="83"/>
      <c r="CX1963" s="83"/>
      <c r="CY1963" s="83"/>
      <c r="CZ1963" s="83"/>
      <c r="DA1963" s="83"/>
      <c r="DB1963" s="83"/>
      <c r="DC1963" s="82"/>
      <c r="DE1963" s="80" t="s">
        <v>550</v>
      </c>
    </row>
    <row r="1964" spans="1:109" s="80" customFormat="1" x14ac:dyDescent="0.2">
      <c r="A1964" s="79" t="s">
        <v>3965</v>
      </c>
      <c r="B1964" s="79" t="s">
        <v>23</v>
      </c>
      <c r="C1964" s="79">
        <f t="shared" si="174"/>
        <v>300360004</v>
      </c>
      <c r="D1964" s="80" t="s">
        <v>3978</v>
      </c>
      <c r="E1964" s="163" t="s">
        <v>1304</v>
      </c>
      <c r="F1964" s="163"/>
      <c r="G1964" s="163"/>
      <c r="H1964" s="163"/>
      <c r="I1964" s="166" t="s">
        <v>3992</v>
      </c>
      <c r="J1964" s="22" t="s">
        <v>548</v>
      </c>
      <c r="K1964" s="22"/>
      <c r="L1964" s="22"/>
      <c r="M1964" s="22"/>
      <c r="N1964" s="22" t="s">
        <v>819</v>
      </c>
      <c r="O1964" s="22" t="s">
        <v>3968</v>
      </c>
      <c r="P1964" s="22" t="s">
        <v>3968</v>
      </c>
      <c r="Q1964" s="22" t="s">
        <v>2041</v>
      </c>
      <c r="R1964" s="22"/>
      <c r="S1964" s="22"/>
      <c r="T1964" s="22" t="s">
        <v>811</v>
      </c>
      <c r="U1964" s="80" t="s">
        <v>3978</v>
      </c>
      <c r="V1964" s="22" t="s">
        <v>819</v>
      </c>
      <c r="W1964" s="22" t="s">
        <v>22</v>
      </c>
      <c r="X1964" s="22"/>
      <c r="Y1964" s="22"/>
      <c r="Z1964" s="22"/>
      <c r="AA1964" s="22"/>
      <c r="AB1964" s="22"/>
      <c r="AC1964" s="22" t="s">
        <v>3976</v>
      </c>
      <c r="AD1964" s="22" t="s">
        <v>3976</v>
      </c>
      <c r="AE1964" s="24"/>
      <c r="AF1964" s="24" t="s">
        <v>2042</v>
      </c>
      <c r="AG1964" s="22"/>
      <c r="AI1964" s="26"/>
      <c r="AJ1964" s="26"/>
      <c r="AK1964" s="40"/>
      <c r="AL1964" s="81" t="s">
        <v>4007</v>
      </c>
      <c r="AM1964" s="82"/>
      <c r="AN1964" s="82"/>
      <c r="AO1964" s="82"/>
      <c r="AP1964" s="82"/>
      <c r="AQ1964" s="82"/>
      <c r="AR1964" s="82"/>
      <c r="AS1964" s="82"/>
      <c r="AT1964" s="82"/>
      <c r="AV1964" s="26"/>
      <c r="AW1964" s="26"/>
      <c r="AX1964" s="40"/>
      <c r="AY1964" s="81"/>
      <c r="AZ1964" s="82"/>
      <c r="BA1964" s="82"/>
      <c r="BB1964" s="82"/>
      <c r="BC1964" s="82"/>
      <c r="BD1964" s="82"/>
      <c r="BE1964" s="82"/>
      <c r="BF1964" s="82"/>
      <c r="BG1964" s="82"/>
      <c r="BI1964" s="26"/>
      <c r="BJ1964" s="26"/>
      <c r="BK1964" s="40"/>
      <c r="BL1964" s="81"/>
      <c r="BM1964" s="82"/>
      <c r="BN1964" s="82"/>
      <c r="BO1964" s="82"/>
      <c r="BP1964" s="82"/>
      <c r="BQ1964" s="82"/>
      <c r="BR1964" s="82"/>
      <c r="BS1964" s="82"/>
      <c r="BT1964" s="82"/>
      <c r="BV1964" s="26"/>
      <c r="BW1964" s="26"/>
      <c r="BX1964" s="40"/>
      <c r="BY1964" s="81"/>
      <c r="BZ1964" s="82"/>
      <c r="CA1964" s="82"/>
      <c r="CB1964" s="82"/>
      <c r="CC1964" s="82"/>
      <c r="CD1964" s="82"/>
      <c r="CE1964" s="82"/>
      <c r="CF1964" s="82"/>
      <c r="CG1964" s="82"/>
      <c r="CH1964" s="79"/>
      <c r="CI1964" s="26" t="s">
        <v>398</v>
      </c>
      <c r="CJ1964" s="26" t="s">
        <v>4005</v>
      </c>
      <c r="CK1964" s="40"/>
      <c r="CL1964" s="82"/>
      <c r="CM1964" s="82"/>
      <c r="CN1964" s="82"/>
      <c r="CO1964" s="26"/>
      <c r="CP1964" s="26"/>
      <c r="CQ1964" s="26"/>
      <c r="CR1964" s="40"/>
      <c r="CT1964" s="83"/>
      <c r="CU1964" s="83"/>
      <c r="CV1964" s="83"/>
      <c r="CW1964" s="83"/>
      <c r="CX1964" s="83"/>
      <c r="CY1964" s="83"/>
      <c r="CZ1964" s="83"/>
      <c r="DA1964" s="83"/>
      <c r="DB1964" s="83"/>
      <c r="DC1964" s="82"/>
      <c r="DE1964" s="80" t="s">
        <v>550</v>
      </c>
    </row>
    <row r="1965" spans="1:109" s="80" customFormat="1" x14ac:dyDescent="0.2">
      <c r="A1965" s="79" t="s">
        <v>3965</v>
      </c>
      <c r="B1965" s="79" t="s">
        <v>123</v>
      </c>
      <c r="C1965" s="79">
        <f t="shared" si="174"/>
        <v>300360005</v>
      </c>
      <c r="D1965" s="80" t="s">
        <v>3979</v>
      </c>
      <c r="E1965" s="163" t="s">
        <v>1124</v>
      </c>
      <c r="F1965" s="163"/>
      <c r="G1965" s="163"/>
      <c r="H1965" s="163"/>
      <c r="I1965" s="166" t="s">
        <v>3994</v>
      </c>
      <c r="J1965" s="22" t="s">
        <v>548</v>
      </c>
      <c r="K1965" s="22"/>
      <c r="L1965" s="22"/>
      <c r="M1965" s="22"/>
      <c r="N1965" s="22" t="s">
        <v>819</v>
      </c>
      <c r="O1965" s="22" t="s">
        <v>3968</v>
      </c>
      <c r="P1965" s="22" t="s">
        <v>3968</v>
      </c>
      <c r="Q1965" s="22" t="s">
        <v>2041</v>
      </c>
      <c r="R1965" s="22"/>
      <c r="S1965" s="22"/>
      <c r="T1965" s="22" t="s">
        <v>811</v>
      </c>
      <c r="U1965" s="80" t="s">
        <v>3979</v>
      </c>
      <c r="V1965" s="22" t="s">
        <v>819</v>
      </c>
      <c r="W1965" s="22" t="s">
        <v>22</v>
      </c>
      <c r="X1965" s="22"/>
      <c r="Y1965" s="22"/>
      <c r="Z1965" s="22"/>
      <c r="AA1965" s="22"/>
      <c r="AB1965" s="22"/>
      <c r="AC1965" s="22" t="s">
        <v>3976</v>
      </c>
      <c r="AD1965" s="22" t="s">
        <v>3976</v>
      </c>
      <c r="AE1965" s="24"/>
      <c r="AF1965" s="24" t="s">
        <v>2042</v>
      </c>
      <c r="AG1965" s="22"/>
      <c r="AI1965" s="26"/>
      <c r="AJ1965" s="26"/>
      <c r="AK1965" s="40"/>
      <c r="AL1965" s="81" t="s">
        <v>4007</v>
      </c>
      <c r="AM1965" s="82"/>
      <c r="AN1965" s="82"/>
      <c r="AO1965" s="82"/>
      <c r="AP1965" s="82"/>
      <c r="AQ1965" s="82"/>
      <c r="AR1965" s="82"/>
      <c r="AS1965" s="82"/>
      <c r="AT1965" s="82"/>
      <c r="AV1965" s="26"/>
      <c r="AW1965" s="26"/>
      <c r="AX1965" s="40"/>
      <c r="AY1965" s="81"/>
      <c r="AZ1965" s="82"/>
      <c r="BA1965" s="82"/>
      <c r="BB1965" s="82"/>
      <c r="BC1965" s="82"/>
      <c r="BD1965" s="82"/>
      <c r="BE1965" s="82"/>
      <c r="BF1965" s="82"/>
      <c r="BG1965" s="82"/>
      <c r="BI1965" s="26"/>
      <c r="BJ1965" s="26"/>
      <c r="BK1965" s="40"/>
      <c r="BL1965" s="81"/>
      <c r="BM1965" s="82"/>
      <c r="BN1965" s="82"/>
      <c r="BO1965" s="82"/>
      <c r="BP1965" s="82"/>
      <c r="BQ1965" s="82"/>
      <c r="BR1965" s="82"/>
      <c r="BS1965" s="82"/>
      <c r="BT1965" s="82"/>
      <c r="BV1965" s="26"/>
      <c r="BW1965" s="26"/>
      <c r="BX1965" s="40"/>
      <c r="BY1965" s="81"/>
      <c r="BZ1965" s="82"/>
      <c r="CA1965" s="82"/>
      <c r="CB1965" s="82"/>
      <c r="CC1965" s="82"/>
      <c r="CD1965" s="82"/>
      <c r="CE1965" s="82"/>
      <c r="CF1965" s="82"/>
      <c r="CG1965" s="82"/>
      <c r="CH1965" s="79"/>
      <c r="CI1965" s="26" t="s">
        <v>398</v>
      </c>
      <c r="CJ1965" s="26" t="s">
        <v>4005</v>
      </c>
      <c r="CK1965" s="40"/>
      <c r="CL1965" s="82"/>
      <c r="CM1965" s="82"/>
      <c r="CN1965" s="82"/>
      <c r="CO1965" s="26"/>
      <c r="CP1965" s="26"/>
      <c r="CQ1965" s="26"/>
      <c r="CR1965" s="40"/>
      <c r="CT1965" s="83"/>
      <c r="CU1965" s="83"/>
      <c r="CV1965" s="83"/>
      <c r="CW1965" s="83"/>
      <c r="CX1965" s="83"/>
      <c r="CY1965" s="83"/>
      <c r="CZ1965" s="83"/>
      <c r="DA1965" s="83"/>
      <c r="DB1965" s="83"/>
      <c r="DC1965" s="82"/>
      <c r="DE1965" s="80" t="s">
        <v>550</v>
      </c>
    </row>
    <row r="1966" spans="1:109" s="80" customFormat="1" x14ac:dyDescent="0.2">
      <c r="A1966" s="79" t="s">
        <v>3965</v>
      </c>
      <c r="B1966" s="79" t="s">
        <v>120</v>
      </c>
      <c r="C1966" s="79">
        <f t="shared" si="174"/>
        <v>300360006</v>
      </c>
      <c r="D1966" s="80" t="s">
        <v>3980</v>
      </c>
      <c r="E1966" s="163" t="s">
        <v>3981</v>
      </c>
      <c r="F1966" s="163"/>
      <c r="G1966" s="163"/>
      <c r="H1966" s="163"/>
      <c r="I1966" s="166" t="s">
        <v>3991</v>
      </c>
      <c r="J1966" s="22" t="s">
        <v>548</v>
      </c>
      <c r="K1966" s="22"/>
      <c r="L1966" s="22"/>
      <c r="M1966" s="22"/>
      <c r="N1966" s="22" t="s">
        <v>819</v>
      </c>
      <c r="O1966" s="22" t="s">
        <v>3968</v>
      </c>
      <c r="P1966" s="22" t="s">
        <v>3968</v>
      </c>
      <c r="Q1966" s="22" t="s">
        <v>2041</v>
      </c>
      <c r="R1966" s="22"/>
      <c r="S1966" s="22"/>
      <c r="T1966" s="22" t="s">
        <v>811</v>
      </c>
      <c r="U1966" s="80" t="s">
        <v>3980</v>
      </c>
      <c r="V1966" s="22" t="s">
        <v>819</v>
      </c>
      <c r="W1966" s="22" t="s">
        <v>22</v>
      </c>
      <c r="X1966" s="22"/>
      <c r="Y1966" s="22"/>
      <c r="Z1966" s="22"/>
      <c r="AA1966" s="22"/>
      <c r="AB1966" s="22"/>
      <c r="AC1966" s="22" t="s">
        <v>3976</v>
      </c>
      <c r="AD1966" s="22" t="s">
        <v>3976</v>
      </c>
      <c r="AE1966" s="24"/>
      <c r="AF1966" s="24" t="s">
        <v>2042</v>
      </c>
      <c r="AG1966" s="22"/>
      <c r="AI1966" s="26"/>
      <c r="AJ1966" s="26"/>
      <c r="AK1966" s="40"/>
      <c r="AL1966" s="81" t="s">
        <v>4007</v>
      </c>
      <c r="AM1966" s="82"/>
      <c r="AN1966" s="82"/>
      <c r="AO1966" s="82"/>
      <c r="AP1966" s="82"/>
      <c r="AQ1966" s="82"/>
      <c r="AR1966" s="82"/>
      <c r="AS1966" s="82"/>
      <c r="AT1966" s="82"/>
      <c r="AV1966" s="26"/>
      <c r="AW1966" s="26"/>
      <c r="AX1966" s="40"/>
      <c r="AY1966" s="81"/>
      <c r="AZ1966" s="82"/>
      <c r="BA1966" s="82"/>
      <c r="BB1966" s="82"/>
      <c r="BC1966" s="82"/>
      <c r="BD1966" s="82"/>
      <c r="BE1966" s="82"/>
      <c r="BF1966" s="82"/>
      <c r="BG1966" s="82"/>
      <c r="BI1966" s="26"/>
      <c r="BJ1966" s="26"/>
      <c r="BK1966" s="40"/>
      <c r="BL1966" s="81"/>
      <c r="BM1966" s="82"/>
      <c r="BN1966" s="82"/>
      <c r="BO1966" s="82"/>
      <c r="BP1966" s="82"/>
      <c r="BQ1966" s="82"/>
      <c r="BR1966" s="82"/>
      <c r="BS1966" s="82"/>
      <c r="BT1966" s="82"/>
      <c r="BV1966" s="26"/>
      <c r="BW1966" s="26"/>
      <c r="BX1966" s="40"/>
      <c r="BY1966" s="81"/>
      <c r="BZ1966" s="82"/>
      <c r="CA1966" s="82"/>
      <c r="CB1966" s="82"/>
      <c r="CC1966" s="82"/>
      <c r="CD1966" s="82"/>
      <c r="CE1966" s="82"/>
      <c r="CF1966" s="82"/>
      <c r="CG1966" s="82"/>
      <c r="CH1966" s="79"/>
      <c r="CI1966" s="26" t="s">
        <v>398</v>
      </c>
      <c r="CJ1966" s="26" t="s">
        <v>4005</v>
      </c>
      <c r="CK1966" s="40"/>
      <c r="CL1966" s="82"/>
      <c r="CM1966" s="82"/>
      <c r="CN1966" s="82"/>
      <c r="CO1966" s="26"/>
      <c r="CP1966" s="26"/>
      <c r="CQ1966" s="26"/>
      <c r="CR1966" s="40"/>
      <c r="CT1966" s="83"/>
      <c r="CU1966" s="83"/>
      <c r="CV1966" s="83"/>
      <c r="CW1966" s="83"/>
      <c r="CX1966" s="83"/>
      <c r="CY1966" s="83"/>
      <c r="CZ1966" s="83"/>
      <c r="DA1966" s="83"/>
      <c r="DB1966" s="83"/>
      <c r="DC1966" s="82"/>
      <c r="DE1966" s="80" t="s">
        <v>550</v>
      </c>
    </row>
    <row r="1967" spans="1:109" s="80" customFormat="1" x14ac:dyDescent="0.2">
      <c r="A1967" s="79" t="s">
        <v>3965</v>
      </c>
      <c r="B1967" s="79" t="s">
        <v>171</v>
      </c>
      <c r="C1967" s="79">
        <f t="shared" si="174"/>
        <v>300360007</v>
      </c>
      <c r="D1967" s="80" t="s">
        <v>3982</v>
      </c>
      <c r="E1967" s="163" t="s">
        <v>109</v>
      </c>
      <c r="F1967" s="163"/>
      <c r="G1967" s="163"/>
      <c r="H1967" s="163"/>
      <c r="I1967" s="166" t="s">
        <v>3990</v>
      </c>
      <c r="J1967" s="22" t="s">
        <v>548</v>
      </c>
      <c r="K1967" s="22"/>
      <c r="L1967" s="22"/>
      <c r="M1967" s="22"/>
      <c r="N1967" s="22" t="s">
        <v>819</v>
      </c>
      <c r="O1967" s="22" t="s">
        <v>3968</v>
      </c>
      <c r="P1967" s="22" t="s">
        <v>3968</v>
      </c>
      <c r="Q1967" s="22" t="s">
        <v>2041</v>
      </c>
      <c r="R1967" s="22"/>
      <c r="S1967" s="22"/>
      <c r="T1967" s="22" t="s">
        <v>811</v>
      </c>
      <c r="U1967" s="80" t="s">
        <v>3982</v>
      </c>
      <c r="V1967" s="22" t="s">
        <v>819</v>
      </c>
      <c r="W1967" s="22" t="s">
        <v>22</v>
      </c>
      <c r="X1967" s="22"/>
      <c r="Y1967" s="22"/>
      <c r="Z1967" s="22"/>
      <c r="AA1967" s="22"/>
      <c r="AB1967" s="22"/>
      <c r="AC1967" s="22" t="s">
        <v>3976</v>
      </c>
      <c r="AD1967" s="22" t="s">
        <v>3976</v>
      </c>
      <c r="AE1967" s="24"/>
      <c r="AF1967" s="24" t="s">
        <v>2042</v>
      </c>
      <c r="AG1967" s="22"/>
      <c r="AI1967" s="26"/>
      <c r="AJ1967" s="26"/>
      <c r="AK1967" s="40"/>
      <c r="AL1967" s="81" t="s">
        <v>4007</v>
      </c>
      <c r="AM1967" s="82"/>
      <c r="AN1967" s="82"/>
      <c r="AO1967" s="82"/>
      <c r="AP1967" s="82"/>
      <c r="AQ1967" s="82"/>
      <c r="AR1967" s="82"/>
      <c r="AS1967" s="82"/>
      <c r="AT1967" s="82"/>
      <c r="AV1967" s="26"/>
      <c r="AW1967" s="26"/>
      <c r="AX1967" s="40"/>
      <c r="AY1967" s="81"/>
      <c r="AZ1967" s="82"/>
      <c r="BA1967" s="82"/>
      <c r="BB1967" s="82"/>
      <c r="BC1967" s="82"/>
      <c r="BD1967" s="82"/>
      <c r="BE1967" s="82"/>
      <c r="BF1967" s="82"/>
      <c r="BG1967" s="82"/>
      <c r="BI1967" s="26"/>
      <c r="BJ1967" s="26"/>
      <c r="BK1967" s="40"/>
      <c r="BL1967" s="81"/>
      <c r="BM1967" s="82"/>
      <c r="BN1967" s="82"/>
      <c r="BO1967" s="82"/>
      <c r="BP1967" s="82"/>
      <c r="BQ1967" s="82"/>
      <c r="BR1967" s="82"/>
      <c r="BS1967" s="82"/>
      <c r="BT1967" s="82"/>
      <c r="BV1967" s="26"/>
      <c r="BW1967" s="26"/>
      <c r="BX1967" s="40"/>
      <c r="BY1967" s="81"/>
      <c r="BZ1967" s="82"/>
      <c r="CA1967" s="82"/>
      <c r="CB1967" s="82"/>
      <c r="CC1967" s="82"/>
      <c r="CD1967" s="82"/>
      <c r="CE1967" s="82"/>
      <c r="CF1967" s="82"/>
      <c r="CG1967" s="82"/>
      <c r="CH1967" s="79"/>
      <c r="CI1967" s="26" t="s">
        <v>398</v>
      </c>
      <c r="CJ1967" s="26" t="s">
        <v>4005</v>
      </c>
      <c r="CK1967" s="40"/>
      <c r="CL1967" s="82"/>
      <c r="CM1967" s="82"/>
      <c r="CN1967" s="82"/>
      <c r="CO1967" s="26"/>
      <c r="CP1967" s="26"/>
      <c r="CQ1967" s="26"/>
      <c r="CR1967" s="40"/>
      <c r="CT1967" s="83"/>
      <c r="CU1967" s="83"/>
      <c r="CV1967" s="83"/>
      <c r="CW1967" s="83"/>
      <c r="CX1967" s="83"/>
      <c r="CY1967" s="83"/>
      <c r="CZ1967" s="83"/>
      <c r="DA1967" s="83"/>
      <c r="DB1967" s="83"/>
      <c r="DC1967" s="82"/>
      <c r="DE1967" s="80" t="s">
        <v>550</v>
      </c>
    </row>
    <row r="1968" spans="1:109" s="80" customFormat="1" x14ac:dyDescent="0.2">
      <c r="A1968" s="79" t="s">
        <v>3965</v>
      </c>
      <c r="B1968" s="79" t="s">
        <v>137</v>
      </c>
      <c r="C1968" s="79">
        <f t="shared" si="174"/>
        <v>300360008</v>
      </c>
      <c r="D1968" s="80" t="s">
        <v>3983</v>
      </c>
      <c r="E1968" s="163" t="s">
        <v>1391</v>
      </c>
      <c r="F1968" s="163"/>
      <c r="G1968" s="163"/>
      <c r="H1968" s="163"/>
      <c r="I1968" s="166" t="s">
        <v>3995</v>
      </c>
      <c r="J1968" s="22" t="s">
        <v>548</v>
      </c>
      <c r="K1968" s="22"/>
      <c r="L1968" s="22"/>
      <c r="M1968" s="22"/>
      <c r="N1968" s="22" t="s">
        <v>819</v>
      </c>
      <c r="O1968" s="22" t="s">
        <v>3968</v>
      </c>
      <c r="P1968" s="22" t="s">
        <v>3968</v>
      </c>
      <c r="Q1968" s="22" t="s">
        <v>2041</v>
      </c>
      <c r="R1968" s="22"/>
      <c r="S1968" s="22"/>
      <c r="T1968" s="22" t="s">
        <v>811</v>
      </c>
      <c r="U1968" s="80" t="s">
        <v>3983</v>
      </c>
      <c r="V1968" s="22" t="s">
        <v>819</v>
      </c>
      <c r="W1968" s="22" t="s">
        <v>22</v>
      </c>
      <c r="X1968" s="22"/>
      <c r="Y1968" s="22"/>
      <c r="Z1968" s="22"/>
      <c r="AA1968" s="22"/>
      <c r="AB1968" s="22"/>
      <c r="AC1968" s="22" t="s">
        <v>3976</v>
      </c>
      <c r="AD1968" s="22" t="s">
        <v>3976</v>
      </c>
      <c r="AE1968" s="24"/>
      <c r="AF1968" s="24" t="s">
        <v>2042</v>
      </c>
      <c r="AG1968" s="22"/>
      <c r="AI1968" s="26"/>
      <c r="AJ1968" s="26"/>
      <c r="AK1968" s="40"/>
      <c r="AL1968" s="81" t="s">
        <v>4007</v>
      </c>
      <c r="AM1968" s="82"/>
      <c r="AN1968" s="82"/>
      <c r="AO1968" s="82"/>
      <c r="AP1968" s="82"/>
      <c r="AQ1968" s="82"/>
      <c r="AR1968" s="82"/>
      <c r="AS1968" s="82"/>
      <c r="AT1968" s="82"/>
      <c r="AV1968" s="26"/>
      <c r="AW1968" s="26"/>
      <c r="AX1968" s="40"/>
      <c r="AY1968" s="81"/>
      <c r="AZ1968" s="82"/>
      <c r="BA1968" s="82"/>
      <c r="BB1968" s="82"/>
      <c r="BC1968" s="82"/>
      <c r="BD1968" s="82"/>
      <c r="BE1968" s="82"/>
      <c r="BF1968" s="82"/>
      <c r="BG1968" s="82"/>
      <c r="BI1968" s="26"/>
      <c r="BJ1968" s="26"/>
      <c r="BK1968" s="40"/>
      <c r="BL1968" s="81"/>
      <c r="BM1968" s="82"/>
      <c r="BN1968" s="82"/>
      <c r="BO1968" s="82"/>
      <c r="BP1968" s="82"/>
      <c r="BQ1968" s="82"/>
      <c r="BR1968" s="82"/>
      <c r="BS1968" s="82"/>
      <c r="BT1968" s="82"/>
      <c r="BV1968" s="26"/>
      <c r="BW1968" s="26"/>
      <c r="BX1968" s="40"/>
      <c r="BY1968" s="81"/>
      <c r="BZ1968" s="82"/>
      <c r="CA1968" s="82"/>
      <c r="CB1968" s="82"/>
      <c r="CC1968" s="82"/>
      <c r="CD1968" s="82"/>
      <c r="CE1968" s="82"/>
      <c r="CF1968" s="82"/>
      <c r="CG1968" s="82"/>
      <c r="CH1968" s="79"/>
      <c r="CI1968" s="26" t="s">
        <v>398</v>
      </c>
      <c r="CJ1968" s="26" t="s">
        <v>4005</v>
      </c>
      <c r="CK1968" s="40"/>
      <c r="CL1968" s="82"/>
      <c r="CM1968" s="82"/>
      <c r="CN1968" s="82"/>
      <c r="CO1968" s="26"/>
      <c r="CP1968" s="26"/>
      <c r="CQ1968" s="26"/>
      <c r="CR1968" s="40"/>
      <c r="CT1968" s="83"/>
      <c r="CU1968" s="83"/>
      <c r="CV1968" s="83"/>
      <c r="CW1968" s="83"/>
      <c r="CX1968" s="83"/>
      <c r="CY1968" s="83"/>
      <c r="CZ1968" s="83"/>
      <c r="DA1968" s="83"/>
      <c r="DB1968" s="83"/>
      <c r="DC1968" s="82"/>
      <c r="DE1968" s="80" t="s">
        <v>550</v>
      </c>
    </row>
    <row r="1969" spans="1:109" s="80" customFormat="1" x14ac:dyDescent="0.2">
      <c r="A1969" s="79" t="s">
        <v>3965</v>
      </c>
      <c r="B1969" s="79" t="s">
        <v>145</v>
      </c>
      <c r="C1969" s="79">
        <f t="shared" ref="C1969:C1971" si="176">A1969*10000+B1969</f>
        <v>300360009</v>
      </c>
      <c r="D1969" s="80" t="s">
        <v>3985</v>
      </c>
      <c r="E1969" s="163" t="s">
        <v>3967</v>
      </c>
      <c r="F1969" s="163"/>
      <c r="G1969" s="163"/>
      <c r="H1969" s="163"/>
      <c r="I1969" s="166" t="s">
        <v>3873</v>
      </c>
      <c r="J1969" s="22"/>
      <c r="K1969" s="22"/>
      <c r="L1969" s="22"/>
      <c r="M1969" s="22"/>
      <c r="N1969" s="22" t="s">
        <v>819</v>
      </c>
      <c r="O1969" s="22" t="s">
        <v>3984</v>
      </c>
      <c r="P1969" s="22"/>
      <c r="Q1969" s="22" t="s">
        <v>2041</v>
      </c>
      <c r="R1969" s="22"/>
      <c r="S1969" s="22"/>
      <c r="T1969" s="22" t="s">
        <v>811</v>
      </c>
      <c r="U1969" s="80" t="s">
        <v>3985</v>
      </c>
      <c r="V1969" s="22" t="s">
        <v>819</v>
      </c>
      <c r="W1969" s="22" t="s">
        <v>181</v>
      </c>
      <c r="X1969" s="22"/>
      <c r="Y1969" s="22"/>
      <c r="Z1969" s="22"/>
      <c r="AA1969" s="22"/>
      <c r="AB1969" s="22"/>
      <c r="AC1969" s="22" t="s">
        <v>3996</v>
      </c>
      <c r="AD1969" s="22" t="s">
        <v>3996</v>
      </c>
      <c r="AE1969" s="24"/>
      <c r="AF1969" s="24" t="s">
        <v>2042</v>
      </c>
      <c r="AG1969" s="22"/>
      <c r="AI1969" s="26"/>
      <c r="AJ1969" s="26"/>
      <c r="AK1969" s="40"/>
      <c r="AL1969" s="81" t="s">
        <v>4007</v>
      </c>
      <c r="AM1969" s="82"/>
      <c r="AN1969" s="82"/>
      <c r="AO1969" s="82"/>
      <c r="AP1969" s="82"/>
      <c r="AQ1969" s="82"/>
      <c r="AR1969" s="82"/>
      <c r="AS1969" s="82"/>
      <c r="AT1969" s="82"/>
      <c r="AV1969" s="26"/>
      <c r="AW1969" s="26"/>
      <c r="AX1969" s="40"/>
      <c r="AY1969" s="81"/>
      <c r="AZ1969" s="82"/>
      <c r="BA1969" s="82"/>
      <c r="BB1969" s="82"/>
      <c r="BC1969" s="82"/>
      <c r="BD1969" s="82"/>
      <c r="BE1969" s="82"/>
      <c r="BF1969" s="82"/>
      <c r="BG1969" s="82"/>
      <c r="BI1969" s="26"/>
      <c r="BJ1969" s="26"/>
      <c r="BK1969" s="40"/>
      <c r="BL1969" s="81"/>
      <c r="BM1969" s="82"/>
      <c r="BN1969" s="82"/>
      <c r="BO1969" s="82"/>
      <c r="BP1969" s="82"/>
      <c r="BQ1969" s="82"/>
      <c r="BR1969" s="82"/>
      <c r="BS1969" s="82"/>
      <c r="BT1969" s="82"/>
      <c r="BV1969" s="26"/>
      <c r="BW1969" s="26"/>
      <c r="BX1969" s="40"/>
      <c r="BY1969" s="81"/>
      <c r="BZ1969" s="82"/>
      <c r="CA1969" s="82"/>
      <c r="CB1969" s="82"/>
      <c r="CC1969" s="82"/>
      <c r="CD1969" s="82"/>
      <c r="CE1969" s="82"/>
      <c r="CF1969" s="82"/>
      <c r="CG1969" s="82"/>
      <c r="CH1969" s="79"/>
      <c r="CI1969" s="26" t="s">
        <v>398</v>
      </c>
      <c r="CJ1969" s="26" t="s">
        <v>4005</v>
      </c>
      <c r="CK1969" s="40"/>
      <c r="CL1969" s="82"/>
      <c r="CM1969" s="82"/>
      <c r="CN1969" s="82"/>
      <c r="CO1969" s="26"/>
      <c r="CP1969" s="26"/>
      <c r="CQ1969" s="26"/>
      <c r="CR1969" s="40"/>
      <c r="CT1969" s="83"/>
      <c r="CU1969" s="83"/>
      <c r="CV1969" s="83"/>
      <c r="CW1969" s="83"/>
      <c r="CX1969" s="83"/>
      <c r="CY1969" s="83"/>
      <c r="CZ1969" s="83"/>
      <c r="DA1969" s="83"/>
      <c r="DB1969" s="83"/>
      <c r="DC1969" s="82"/>
    </row>
    <row r="1970" spans="1:109" s="80" customFormat="1" x14ac:dyDescent="0.2">
      <c r="A1970" s="79" t="s">
        <v>3965</v>
      </c>
      <c r="B1970" s="79" t="s">
        <v>146</v>
      </c>
      <c r="C1970" s="79">
        <f t="shared" si="176"/>
        <v>300360010</v>
      </c>
      <c r="D1970" s="80" t="s">
        <v>3986</v>
      </c>
      <c r="E1970" s="163" t="s">
        <v>3967</v>
      </c>
      <c r="F1970" s="163"/>
      <c r="G1970" s="163"/>
      <c r="H1970" s="163"/>
      <c r="I1970" s="166" t="s">
        <v>3873</v>
      </c>
      <c r="J1970" s="22"/>
      <c r="K1970" s="22"/>
      <c r="L1970" s="22"/>
      <c r="M1970" s="22"/>
      <c r="N1970" s="22" t="s">
        <v>819</v>
      </c>
      <c r="O1970" s="22" t="s">
        <v>3984</v>
      </c>
      <c r="P1970" s="22"/>
      <c r="Q1970" s="22" t="s">
        <v>2041</v>
      </c>
      <c r="R1970" s="22"/>
      <c r="S1970" s="22"/>
      <c r="T1970" s="22" t="s">
        <v>811</v>
      </c>
      <c r="U1970" s="80" t="s">
        <v>3986</v>
      </c>
      <c r="V1970" s="22" t="s">
        <v>819</v>
      </c>
      <c r="W1970" s="22" t="s">
        <v>181</v>
      </c>
      <c r="X1970" s="22"/>
      <c r="Y1970" s="22"/>
      <c r="Z1970" s="22"/>
      <c r="AA1970" s="22"/>
      <c r="AB1970" s="22"/>
      <c r="AC1970" s="22" t="s">
        <v>3997</v>
      </c>
      <c r="AD1970" s="22" t="s">
        <v>3997</v>
      </c>
      <c r="AE1970" s="24"/>
      <c r="AF1970" s="24" t="s">
        <v>2042</v>
      </c>
      <c r="AG1970" s="22"/>
      <c r="AI1970" s="26"/>
      <c r="AJ1970" s="26"/>
      <c r="AK1970" s="40"/>
      <c r="AL1970" s="81" t="s">
        <v>4007</v>
      </c>
      <c r="AM1970" s="82"/>
      <c r="AN1970" s="82"/>
      <c r="AO1970" s="82"/>
      <c r="AP1970" s="82"/>
      <c r="AQ1970" s="82"/>
      <c r="AR1970" s="82"/>
      <c r="AS1970" s="82"/>
      <c r="AT1970" s="82"/>
      <c r="AV1970" s="26"/>
      <c r="AW1970" s="26"/>
      <c r="AX1970" s="40"/>
      <c r="AY1970" s="81"/>
      <c r="AZ1970" s="82"/>
      <c r="BA1970" s="82"/>
      <c r="BB1970" s="82"/>
      <c r="BC1970" s="82"/>
      <c r="BD1970" s="82"/>
      <c r="BE1970" s="82"/>
      <c r="BF1970" s="82"/>
      <c r="BG1970" s="82"/>
      <c r="BI1970" s="26"/>
      <c r="BJ1970" s="26"/>
      <c r="BK1970" s="40"/>
      <c r="BL1970" s="81"/>
      <c r="BM1970" s="82"/>
      <c r="BN1970" s="82"/>
      <c r="BO1970" s="82"/>
      <c r="BP1970" s="82"/>
      <c r="BQ1970" s="82"/>
      <c r="BR1970" s="82"/>
      <c r="BS1970" s="82"/>
      <c r="BT1970" s="82"/>
      <c r="BV1970" s="26"/>
      <c r="BW1970" s="26"/>
      <c r="BX1970" s="40"/>
      <c r="BY1970" s="81"/>
      <c r="BZ1970" s="82"/>
      <c r="CA1970" s="82"/>
      <c r="CB1970" s="82"/>
      <c r="CC1970" s="82"/>
      <c r="CD1970" s="82"/>
      <c r="CE1970" s="82"/>
      <c r="CF1970" s="82"/>
      <c r="CG1970" s="82"/>
      <c r="CH1970" s="79"/>
      <c r="CI1970" s="26" t="s">
        <v>398</v>
      </c>
      <c r="CJ1970" s="26" t="s">
        <v>4005</v>
      </c>
      <c r="CK1970" s="40"/>
      <c r="CL1970" s="82"/>
      <c r="CM1970" s="82"/>
      <c r="CN1970" s="82"/>
      <c r="CO1970" s="26"/>
      <c r="CP1970" s="26"/>
      <c r="CQ1970" s="26"/>
      <c r="CR1970" s="40"/>
      <c r="CT1970" s="83"/>
      <c r="CU1970" s="83"/>
      <c r="CV1970" s="83"/>
      <c r="CW1970" s="83"/>
      <c r="CX1970" s="83"/>
      <c r="CY1970" s="83"/>
      <c r="CZ1970" s="83"/>
      <c r="DA1970" s="83"/>
      <c r="DB1970" s="83"/>
      <c r="DC1970" s="82"/>
    </row>
    <row r="1971" spans="1:109" s="80" customFormat="1" x14ac:dyDescent="0.2">
      <c r="A1971" s="79" t="s">
        <v>3965</v>
      </c>
      <c r="B1971" s="79" t="s">
        <v>175</v>
      </c>
      <c r="C1971" s="79">
        <f t="shared" si="176"/>
        <v>300360011</v>
      </c>
      <c r="D1971" s="80" t="s">
        <v>3987</v>
      </c>
      <c r="E1971" s="163" t="s">
        <v>3967</v>
      </c>
      <c r="F1971" s="163"/>
      <c r="G1971" s="163"/>
      <c r="H1971" s="163"/>
      <c r="I1971" s="166" t="s">
        <v>3873</v>
      </c>
      <c r="J1971" s="22"/>
      <c r="K1971" s="22"/>
      <c r="L1971" s="22"/>
      <c r="M1971" s="22"/>
      <c r="N1971" s="22" t="s">
        <v>819</v>
      </c>
      <c r="O1971" s="22" t="s">
        <v>3984</v>
      </c>
      <c r="P1971" s="22"/>
      <c r="Q1971" s="22" t="s">
        <v>2041</v>
      </c>
      <c r="R1971" s="22"/>
      <c r="S1971" s="22"/>
      <c r="T1971" s="22" t="s">
        <v>811</v>
      </c>
      <c r="U1971" s="80" t="s">
        <v>3987</v>
      </c>
      <c r="V1971" s="22" t="s">
        <v>819</v>
      </c>
      <c r="W1971" s="22" t="s">
        <v>22</v>
      </c>
      <c r="X1971" s="22"/>
      <c r="Y1971" s="22"/>
      <c r="Z1971" s="22"/>
      <c r="AA1971" s="22"/>
      <c r="AB1971" s="22"/>
      <c r="AC1971" s="22" t="s">
        <v>3976</v>
      </c>
      <c r="AD1971" s="22" t="s">
        <v>3976</v>
      </c>
      <c r="AE1971" s="24"/>
      <c r="AF1971" s="24" t="s">
        <v>2042</v>
      </c>
      <c r="AG1971" s="22"/>
      <c r="AI1971" s="26"/>
      <c r="AJ1971" s="26"/>
      <c r="AK1971" s="40"/>
      <c r="AL1971" s="81" t="s">
        <v>4007</v>
      </c>
      <c r="AM1971" s="82"/>
      <c r="AN1971" s="82"/>
      <c r="AO1971" s="82"/>
      <c r="AP1971" s="82"/>
      <c r="AQ1971" s="82"/>
      <c r="AR1971" s="82"/>
      <c r="AS1971" s="82"/>
      <c r="AT1971" s="82"/>
      <c r="AV1971" s="26"/>
      <c r="AW1971" s="26"/>
      <c r="AX1971" s="40"/>
      <c r="AY1971" s="81"/>
      <c r="AZ1971" s="82"/>
      <c r="BA1971" s="82"/>
      <c r="BB1971" s="82"/>
      <c r="BC1971" s="82"/>
      <c r="BD1971" s="82"/>
      <c r="BE1971" s="82"/>
      <c r="BF1971" s="82"/>
      <c r="BG1971" s="82"/>
      <c r="BI1971" s="26"/>
      <c r="BJ1971" s="26"/>
      <c r="BK1971" s="40"/>
      <c r="BL1971" s="81"/>
      <c r="BM1971" s="82"/>
      <c r="BN1971" s="82"/>
      <c r="BO1971" s="82"/>
      <c r="BP1971" s="82"/>
      <c r="BQ1971" s="82"/>
      <c r="BR1971" s="82"/>
      <c r="BS1971" s="82"/>
      <c r="BT1971" s="82"/>
      <c r="BV1971" s="26"/>
      <c r="BW1971" s="26"/>
      <c r="BX1971" s="40"/>
      <c r="BY1971" s="81"/>
      <c r="BZ1971" s="82"/>
      <c r="CA1971" s="82"/>
      <c r="CB1971" s="82"/>
      <c r="CC1971" s="82"/>
      <c r="CD1971" s="82"/>
      <c r="CE1971" s="82"/>
      <c r="CF1971" s="82"/>
      <c r="CG1971" s="82"/>
      <c r="CH1971" s="79"/>
      <c r="CI1971" s="26" t="s">
        <v>398</v>
      </c>
      <c r="CJ1971" s="26" t="s">
        <v>4005</v>
      </c>
      <c r="CK1971" s="40"/>
      <c r="CL1971" s="82"/>
      <c r="CM1971" s="82"/>
      <c r="CN1971" s="82"/>
      <c r="CO1971" s="26"/>
      <c r="CP1971" s="26"/>
      <c r="CQ1971" s="26"/>
      <c r="CR1971" s="40"/>
      <c r="CT1971" s="83"/>
      <c r="CU1971" s="83"/>
      <c r="CV1971" s="83"/>
      <c r="CW1971" s="83"/>
      <c r="CX1971" s="83"/>
      <c r="CY1971" s="83"/>
      <c r="CZ1971" s="83"/>
      <c r="DA1971" s="83"/>
      <c r="DB1971" s="83"/>
      <c r="DC1971" s="82"/>
    </row>
    <row r="1972" spans="1:109" s="174" customFormat="1" x14ac:dyDescent="0.2">
      <c r="A1972" s="173" t="s">
        <v>3965</v>
      </c>
      <c r="B1972" s="173" t="s">
        <v>147</v>
      </c>
      <c r="C1972" s="173">
        <f t="shared" ref="C1972:C1987" si="177">A1972*10000+B1972</f>
        <v>300360012</v>
      </c>
      <c r="D1972" s="174" t="s">
        <v>4000</v>
      </c>
      <c r="E1972" s="175" t="s">
        <v>3967</v>
      </c>
      <c r="F1972" s="175" t="s">
        <v>4004</v>
      </c>
      <c r="G1972" s="175" t="s">
        <v>4006</v>
      </c>
      <c r="H1972" s="175" t="s">
        <v>4533</v>
      </c>
      <c r="I1972" s="176" t="s">
        <v>3873</v>
      </c>
      <c r="J1972" s="177"/>
      <c r="K1972" s="177"/>
      <c r="L1972" s="177"/>
      <c r="M1972" s="177"/>
      <c r="N1972" s="177" t="s">
        <v>819</v>
      </c>
      <c r="O1972" s="176" t="s">
        <v>4013</v>
      </c>
      <c r="P1972" s="177"/>
      <c r="Q1972" s="177" t="s">
        <v>2041</v>
      </c>
      <c r="R1972" s="177"/>
      <c r="S1972" s="177"/>
      <c r="T1972" s="177" t="s">
        <v>811</v>
      </c>
      <c r="U1972" s="174" t="s">
        <v>3987</v>
      </c>
      <c r="V1972" s="177" t="s">
        <v>819</v>
      </c>
      <c r="W1972" s="177" t="s">
        <v>23</v>
      </c>
      <c r="X1972" s="177"/>
      <c r="Y1972" s="177"/>
      <c r="Z1972" s="177"/>
      <c r="AA1972" s="177"/>
      <c r="AB1972" s="177"/>
      <c r="AC1972" s="177"/>
      <c r="AD1972" s="177"/>
      <c r="AE1972" s="178"/>
      <c r="AF1972" s="178" t="s">
        <v>2042</v>
      </c>
      <c r="AG1972" s="177"/>
      <c r="AH1972" s="174" t="s">
        <v>4010</v>
      </c>
      <c r="AI1972" s="179"/>
      <c r="AJ1972" s="179"/>
      <c r="AK1972" s="180">
        <v>100000</v>
      </c>
      <c r="AL1972" s="181"/>
      <c r="AM1972" s="182"/>
      <c r="AN1972" s="182"/>
      <c r="AO1972" s="182"/>
      <c r="AP1972" s="182"/>
      <c r="AQ1972" s="182"/>
      <c r="AR1972" s="182"/>
      <c r="AS1972" s="182"/>
      <c r="AT1972" s="182"/>
      <c r="AV1972" s="179"/>
      <c r="AW1972" s="179"/>
      <c r="AX1972" s="180"/>
      <c r="AY1972" s="181"/>
      <c r="AZ1972" s="182"/>
      <c r="BA1972" s="182"/>
      <c r="BB1972" s="182"/>
      <c r="BC1972" s="182"/>
      <c r="BD1972" s="182"/>
      <c r="BE1972" s="182"/>
      <c r="BF1972" s="182"/>
      <c r="BG1972" s="182"/>
      <c r="BI1972" s="179"/>
      <c r="BJ1972" s="179"/>
      <c r="BK1972" s="180"/>
      <c r="BL1972" s="181"/>
      <c r="BM1972" s="182"/>
      <c r="BN1972" s="182"/>
      <c r="BO1972" s="182"/>
      <c r="BP1972" s="182"/>
      <c r="BQ1972" s="182"/>
      <c r="BR1972" s="182"/>
      <c r="BS1972" s="182"/>
      <c r="BT1972" s="182"/>
      <c r="BV1972" s="179"/>
      <c r="BW1972" s="179"/>
      <c r="BX1972" s="180"/>
      <c r="BY1972" s="181"/>
      <c r="BZ1972" s="182"/>
      <c r="CA1972" s="182"/>
      <c r="CB1972" s="182"/>
      <c r="CC1972" s="182"/>
      <c r="CD1972" s="182"/>
      <c r="CE1972" s="182"/>
      <c r="CF1972" s="182"/>
      <c r="CG1972" s="182"/>
      <c r="CH1972" s="173"/>
      <c r="CI1972" s="179" t="s">
        <v>398</v>
      </c>
      <c r="CJ1972" s="179" t="s">
        <v>4005</v>
      </c>
      <c r="CK1972" s="180"/>
      <c r="CL1972" s="182"/>
      <c r="CM1972" s="182"/>
      <c r="CN1972" s="182"/>
      <c r="CO1972" s="179"/>
      <c r="CP1972" s="179"/>
      <c r="CQ1972" s="179"/>
      <c r="CR1972" s="180"/>
      <c r="CT1972" s="183"/>
      <c r="CU1972" s="183"/>
      <c r="CV1972" s="183"/>
      <c r="CW1972" s="183"/>
      <c r="CX1972" s="183"/>
      <c r="CY1972" s="183"/>
      <c r="CZ1972" s="183"/>
      <c r="DA1972" s="183"/>
      <c r="DB1972" s="183"/>
      <c r="DC1972" s="182"/>
      <c r="DE1972" s="174" t="s">
        <v>550</v>
      </c>
    </row>
    <row r="1973" spans="1:109" x14ac:dyDescent="0.2">
      <c r="A1973" s="29" t="s">
        <v>4033</v>
      </c>
      <c r="B1973" s="29" t="s">
        <v>181</v>
      </c>
      <c r="C1973" s="29">
        <f t="shared" si="177"/>
        <v>300370001</v>
      </c>
      <c r="D1973" s="23" t="s">
        <v>4025</v>
      </c>
      <c r="E1973" s="20" t="s">
        <v>4058</v>
      </c>
      <c r="I1973" s="165"/>
      <c r="J1973" s="21" t="s">
        <v>548</v>
      </c>
      <c r="K1973" s="21"/>
      <c r="L1973" s="21"/>
      <c r="M1973" s="21"/>
      <c r="N1973" s="21" t="s">
        <v>819</v>
      </c>
      <c r="O1973" s="21" t="s">
        <v>4060</v>
      </c>
      <c r="P1973" s="21" t="s">
        <v>4064</v>
      </c>
      <c r="Q1973" s="21" t="s">
        <v>2041</v>
      </c>
      <c r="R1973" s="21"/>
      <c r="S1973" s="21"/>
      <c r="T1973" s="21" t="s">
        <v>811</v>
      </c>
      <c r="U1973" s="23" t="s">
        <v>4026</v>
      </c>
      <c r="V1973" s="21" t="s">
        <v>819</v>
      </c>
      <c r="W1973" s="21" t="s">
        <v>181</v>
      </c>
      <c r="X1973" s="21"/>
      <c r="Y1973" s="21"/>
      <c r="Z1973" s="21"/>
      <c r="AA1973" s="21"/>
      <c r="AB1973" s="21"/>
      <c r="AC1973" s="21" t="s">
        <v>724</v>
      </c>
      <c r="AD1973" s="21" t="s">
        <v>724</v>
      </c>
      <c r="AE1973" s="39"/>
      <c r="AF1973" s="39" t="s">
        <v>2042</v>
      </c>
      <c r="AG1973" s="21"/>
      <c r="AH1973" s="168"/>
      <c r="AK1973" s="27"/>
      <c r="AL1973" s="23" t="s">
        <v>4345</v>
      </c>
      <c r="AU1973" s="23"/>
      <c r="AX1973" s="27"/>
      <c r="AY1973" s="78"/>
      <c r="BH1973" s="23"/>
      <c r="BK1973" s="27"/>
      <c r="BL1973" s="78"/>
      <c r="BU1973" s="23"/>
      <c r="BX1973" s="27"/>
      <c r="BY1973" s="78"/>
      <c r="CH1973" s="29"/>
      <c r="CI1973" s="26" t="s">
        <v>398</v>
      </c>
      <c r="CJ1973" s="26" t="s">
        <v>1492</v>
      </c>
      <c r="CK1973" s="27"/>
      <c r="CL1973" s="28"/>
      <c r="CM1973" s="28"/>
      <c r="CN1973" s="28"/>
      <c r="CO1973" s="25"/>
      <c r="CP1973" s="25"/>
      <c r="CQ1973" s="25"/>
      <c r="CR1973" s="27"/>
      <c r="DE1973" s="128" t="s">
        <v>550</v>
      </c>
    </row>
    <row r="1974" spans="1:109" x14ac:dyDescent="0.2">
      <c r="A1974" s="29" t="s">
        <v>4033</v>
      </c>
      <c r="B1974" s="29" t="s">
        <v>22</v>
      </c>
      <c r="C1974" s="29">
        <f t="shared" si="177"/>
        <v>300370002</v>
      </c>
      <c r="D1974" s="23" t="s">
        <v>4027</v>
      </c>
      <c r="E1974" s="20" t="s">
        <v>4059</v>
      </c>
      <c r="I1974" s="165"/>
      <c r="J1974" s="21" t="s">
        <v>548</v>
      </c>
      <c r="K1974" s="21"/>
      <c r="L1974" s="21"/>
      <c r="M1974" s="21"/>
      <c r="N1974" s="21" t="s">
        <v>819</v>
      </c>
      <c r="O1974" s="21" t="s">
        <v>4060</v>
      </c>
      <c r="P1974" s="21" t="s">
        <v>4064</v>
      </c>
      <c r="Q1974" s="21" t="s">
        <v>2041</v>
      </c>
      <c r="R1974" s="21"/>
      <c r="S1974" s="21"/>
      <c r="T1974" s="21" t="s">
        <v>811</v>
      </c>
      <c r="U1974" s="23" t="s">
        <v>4028</v>
      </c>
      <c r="V1974" s="21" t="s">
        <v>819</v>
      </c>
      <c r="W1974" s="21" t="s">
        <v>181</v>
      </c>
      <c r="X1974" s="21"/>
      <c r="Y1974" s="21"/>
      <c r="Z1974" s="21"/>
      <c r="AA1974" s="21"/>
      <c r="AB1974" s="21"/>
      <c r="AC1974" s="21" t="s">
        <v>724</v>
      </c>
      <c r="AD1974" s="21" t="s">
        <v>724</v>
      </c>
      <c r="AE1974" s="39"/>
      <c r="AF1974" s="39" t="s">
        <v>2042</v>
      </c>
      <c r="AG1974" s="21"/>
      <c r="AH1974" s="168"/>
      <c r="AK1974" s="27"/>
      <c r="AL1974" s="23" t="s">
        <v>4345</v>
      </c>
      <c r="AU1974" s="23"/>
      <c r="AX1974" s="27"/>
      <c r="AY1974" s="78"/>
      <c r="BH1974" s="23"/>
      <c r="BK1974" s="27"/>
      <c r="BL1974" s="78"/>
      <c r="BU1974" s="23"/>
      <c r="BX1974" s="27"/>
      <c r="BY1974" s="78"/>
      <c r="CH1974" s="29"/>
      <c r="CI1974" s="26" t="s">
        <v>398</v>
      </c>
      <c r="CJ1974" s="26" t="s">
        <v>1492</v>
      </c>
      <c r="CK1974" s="27"/>
      <c r="CL1974" s="28"/>
      <c r="CM1974" s="28"/>
      <c r="CN1974" s="28"/>
      <c r="CO1974" s="25"/>
      <c r="CP1974" s="25"/>
      <c r="CQ1974" s="25"/>
      <c r="CR1974" s="27"/>
      <c r="DE1974" s="128" t="s">
        <v>550</v>
      </c>
    </row>
    <row r="1975" spans="1:109" x14ac:dyDescent="0.2">
      <c r="A1975" s="29" t="s">
        <v>4033</v>
      </c>
      <c r="B1975" s="29" t="s">
        <v>122</v>
      </c>
      <c r="C1975" s="29">
        <f t="shared" si="177"/>
        <v>300370003</v>
      </c>
      <c r="D1975" s="23" t="s">
        <v>4029</v>
      </c>
      <c r="E1975" s="20" t="s">
        <v>4058</v>
      </c>
      <c r="I1975" s="165"/>
      <c r="J1975" s="21" t="s">
        <v>548</v>
      </c>
      <c r="K1975" s="21" t="s">
        <v>4077</v>
      </c>
      <c r="L1975" s="21"/>
      <c r="M1975" s="21"/>
      <c r="N1975" s="21" t="s">
        <v>819</v>
      </c>
      <c r="O1975" s="21" t="s">
        <v>4060</v>
      </c>
      <c r="P1975" s="21" t="s">
        <v>4064</v>
      </c>
      <c r="Q1975" s="21" t="s">
        <v>2041</v>
      </c>
      <c r="R1975" s="21"/>
      <c r="S1975" s="21"/>
      <c r="T1975" s="21" t="s">
        <v>811</v>
      </c>
      <c r="U1975" s="23" t="s">
        <v>4030</v>
      </c>
      <c r="V1975" s="21" t="s">
        <v>819</v>
      </c>
      <c r="W1975" s="21" t="s">
        <v>181</v>
      </c>
      <c r="X1975" s="21"/>
      <c r="Y1975" s="21"/>
      <c r="Z1975" s="21"/>
      <c r="AA1975" s="21"/>
      <c r="AB1975" s="21"/>
      <c r="AC1975" s="21" t="s">
        <v>724</v>
      </c>
      <c r="AD1975" s="21" t="s">
        <v>724</v>
      </c>
      <c r="AE1975" s="39"/>
      <c r="AF1975" s="39" t="s">
        <v>2042</v>
      </c>
      <c r="AG1975" s="21"/>
      <c r="AH1975" s="168"/>
      <c r="AK1975" s="27"/>
      <c r="AL1975" s="23" t="s">
        <v>4345</v>
      </c>
      <c r="AU1975" s="23"/>
      <c r="AX1975" s="27"/>
      <c r="AY1975" s="78"/>
      <c r="BH1975" s="23"/>
      <c r="BK1975" s="27"/>
      <c r="BL1975" s="78"/>
      <c r="BU1975" s="23"/>
      <c r="BX1975" s="27"/>
      <c r="BY1975" s="78"/>
      <c r="CH1975" s="29"/>
      <c r="CI1975" s="26" t="s">
        <v>398</v>
      </c>
      <c r="CJ1975" s="26" t="s">
        <v>1492</v>
      </c>
      <c r="CK1975" s="27"/>
      <c r="CL1975" s="28"/>
      <c r="CM1975" s="28"/>
      <c r="CN1975" s="28"/>
      <c r="CO1975" s="25"/>
      <c r="CP1975" s="25"/>
      <c r="CQ1975" s="25"/>
      <c r="CR1975" s="27"/>
      <c r="DE1975" s="128" t="s">
        <v>550</v>
      </c>
    </row>
    <row r="1976" spans="1:109" x14ac:dyDescent="0.2">
      <c r="A1976" s="29" t="s">
        <v>4033</v>
      </c>
      <c r="B1976" s="29" t="s">
        <v>23</v>
      </c>
      <c r="C1976" s="29">
        <f t="shared" si="177"/>
        <v>300370004</v>
      </c>
      <c r="D1976" s="23" t="s">
        <v>4031</v>
      </c>
      <c r="E1976" s="20" t="s">
        <v>4058</v>
      </c>
      <c r="I1976" s="165"/>
      <c r="J1976" s="21" t="s">
        <v>548</v>
      </c>
      <c r="K1976" s="21"/>
      <c r="L1976" s="21"/>
      <c r="M1976" s="21"/>
      <c r="N1976" s="21" t="s">
        <v>819</v>
      </c>
      <c r="O1976" s="21" t="s">
        <v>4060</v>
      </c>
      <c r="P1976" s="21" t="s">
        <v>4064</v>
      </c>
      <c r="Q1976" s="21" t="s">
        <v>2041</v>
      </c>
      <c r="R1976" s="21"/>
      <c r="S1976" s="21"/>
      <c r="T1976" s="21" t="s">
        <v>811</v>
      </c>
      <c r="U1976" s="23" t="s">
        <v>4032</v>
      </c>
      <c r="V1976" s="21" t="s">
        <v>819</v>
      </c>
      <c r="W1976" s="21" t="s">
        <v>181</v>
      </c>
      <c r="X1976" s="21"/>
      <c r="Y1976" s="21"/>
      <c r="Z1976" s="21"/>
      <c r="AA1976" s="21"/>
      <c r="AB1976" s="21"/>
      <c r="AC1976" s="21" t="s">
        <v>724</v>
      </c>
      <c r="AD1976" s="21" t="s">
        <v>724</v>
      </c>
      <c r="AE1976" s="39"/>
      <c r="AF1976" s="39" t="s">
        <v>2042</v>
      </c>
      <c r="AG1976" s="21"/>
      <c r="AH1976" s="168"/>
      <c r="AK1976" s="27"/>
      <c r="AL1976" s="23" t="s">
        <v>4345</v>
      </c>
      <c r="AU1976" s="23"/>
      <c r="AX1976" s="27"/>
      <c r="AY1976" s="78"/>
      <c r="BH1976" s="23"/>
      <c r="BK1976" s="27"/>
      <c r="BL1976" s="78"/>
      <c r="BU1976" s="23"/>
      <c r="BX1976" s="27"/>
      <c r="BY1976" s="78"/>
      <c r="CH1976" s="29"/>
      <c r="CI1976" s="26" t="s">
        <v>398</v>
      </c>
      <c r="CJ1976" s="26" t="s">
        <v>1492</v>
      </c>
      <c r="CK1976" s="27"/>
      <c r="CL1976" s="28"/>
      <c r="CM1976" s="28"/>
      <c r="CN1976" s="28"/>
      <c r="CO1976" s="25"/>
      <c r="CP1976" s="25"/>
      <c r="CQ1976" s="25"/>
      <c r="CR1976" s="27"/>
      <c r="DE1976" s="174" t="s">
        <v>550</v>
      </c>
    </row>
    <row r="1977" spans="1:109" s="128" customFormat="1" x14ac:dyDescent="0.2">
      <c r="A1977" s="29" t="s">
        <v>4033</v>
      </c>
      <c r="B1977" s="127" t="s">
        <v>123</v>
      </c>
      <c r="C1977" s="127">
        <f t="shared" si="177"/>
        <v>300370005</v>
      </c>
      <c r="D1977" s="128" t="s">
        <v>4053</v>
      </c>
      <c r="E1977" s="20" t="s">
        <v>4058</v>
      </c>
      <c r="F1977" s="21"/>
      <c r="G1977" s="129"/>
      <c r="H1977" s="129"/>
      <c r="I1977" s="165" t="s">
        <v>4076</v>
      </c>
      <c r="J1977" s="114"/>
      <c r="K1977" s="114"/>
      <c r="L1977" s="114"/>
      <c r="M1977" s="114"/>
      <c r="N1977" s="114" t="s">
        <v>819</v>
      </c>
      <c r="O1977" s="21" t="s">
        <v>4078</v>
      </c>
      <c r="P1977" s="114"/>
      <c r="Q1977" s="114" t="s">
        <v>2041</v>
      </c>
      <c r="R1977" s="114"/>
      <c r="S1977" s="114"/>
      <c r="T1977" s="114" t="s">
        <v>811</v>
      </c>
      <c r="U1977" s="128" t="s">
        <v>4053</v>
      </c>
      <c r="V1977" s="21" t="s">
        <v>819</v>
      </c>
      <c r="W1977" s="114" t="s">
        <v>181</v>
      </c>
      <c r="X1977" s="114"/>
      <c r="Y1977" s="114"/>
      <c r="Z1977" s="114"/>
      <c r="AA1977" s="114"/>
      <c r="AB1977" s="114"/>
      <c r="AC1977" s="21" t="s">
        <v>724</v>
      </c>
      <c r="AD1977" s="21" t="s">
        <v>724</v>
      </c>
      <c r="AE1977" s="130"/>
      <c r="AF1977" s="130" t="s">
        <v>2042</v>
      </c>
      <c r="AG1977" s="114"/>
      <c r="AH1977" s="168"/>
      <c r="AI1977" s="131"/>
      <c r="AJ1977" s="131"/>
      <c r="AK1977" s="132"/>
      <c r="AL1977" s="23" t="s">
        <v>4345</v>
      </c>
      <c r="AM1977" s="134"/>
      <c r="AN1977" s="134"/>
      <c r="AO1977" s="134"/>
      <c r="AP1977" s="134"/>
      <c r="AQ1977" s="134"/>
      <c r="AR1977" s="134"/>
      <c r="AS1977" s="134"/>
      <c r="AT1977" s="134"/>
      <c r="AV1977" s="131"/>
      <c r="AW1977" s="131"/>
      <c r="AX1977" s="132"/>
      <c r="AY1977" s="133"/>
      <c r="AZ1977" s="134"/>
      <c r="BA1977" s="134"/>
      <c r="BB1977" s="134"/>
      <c r="BC1977" s="134"/>
      <c r="BD1977" s="134"/>
      <c r="BE1977" s="134"/>
      <c r="BF1977" s="134"/>
      <c r="BG1977" s="134"/>
      <c r="BI1977" s="131"/>
      <c r="BJ1977" s="131"/>
      <c r="BK1977" s="132"/>
      <c r="BL1977" s="133"/>
      <c r="BM1977" s="134"/>
      <c r="BN1977" s="134"/>
      <c r="BO1977" s="134"/>
      <c r="BP1977" s="134"/>
      <c r="BQ1977" s="134"/>
      <c r="BR1977" s="134"/>
      <c r="BS1977" s="134"/>
      <c r="BT1977" s="134"/>
      <c r="BV1977" s="131"/>
      <c r="BW1977" s="131"/>
      <c r="BX1977" s="132"/>
      <c r="BY1977" s="133"/>
      <c r="BZ1977" s="134"/>
      <c r="CA1977" s="134"/>
      <c r="CB1977" s="134"/>
      <c r="CC1977" s="134"/>
      <c r="CD1977" s="134"/>
      <c r="CE1977" s="134"/>
      <c r="CF1977" s="134"/>
      <c r="CG1977" s="134"/>
      <c r="CH1977" s="127"/>
      <c r="CI1977" s="26" t="s">
        <v>398</v>
      </c>
      <c r="CJ1977" s="26" t="s">
        <v>1492</v>
      </c>
      <c r="CK1977" s="132"/>
      <c r="CL1977" s="134"/>
      <c r="CM1977" s="134"/>
      <c r="CN1977" s="134"/>
      <c r="CO1977" s="131"/>
      <c r="CP1977" s="131"/>
      <c r="CQ1977" s="131"/>
      <c r="CR1977" s="132"/>
      <c r="CT1977" s="135"/>
      <c r="CU1977" s="135"/>
      <c r="CV1977" s="135"/>
      <c r="CW1977" s="135"/>
      <c r="CX1977" s="135"/>
      <c r="CY1977" s="135"/>
      <c r="CZ1977" s="135"/>
      <c r="DA1977" s="135"/>
      <c r="DB1977" s="135"/>
      <c r="DC1977" s="134"/>
      <c r="DE1977" s="128" t="s">
        <v>550</v>
      </c>
    </row>
    <row r="1978" spans="1:109" s="128" customFormat="1" x14ac:dyDescent="0.2">
      <c r="A1978" s="29" t="s">
        <v>4033</v>
      </c>
      <c r="B1978" s="127" t="s">
        <v>120</v>
      </c>
      <c r="C1978" s="127">
        <f t="shared" si="177"/>
        <v>300370006</v>
      </c>
      <c r="D1978" s="128" t="s">
        <v>4054</v>
      </c>
      <c r="E1978" s="20" t="s">
        <v>4058</v>
      </c>
      <c r="F1978" s="21"/>
      <c r="G1978" s="129"/>
      <c r="H1978" s="129"/>
      <c r="I1978" s="165" t="s">
        <v>4076</v>
      </c>
      <c r="J1978" s="114"/>
      <c r="K1978" s="114"/>
      <c r="L1978" s="114"/>
      <c r="M1978" s="114"/>
      <c r="N1978" s="114" t="s">
        <v>819</v>
      </c>
      <c r="O1978" s="21" t="s">
        <v>4061</v>
      </c>
      <c r="P1978" s="114"/>
      <c r="Q1978" s="114" t="s">
        <v>2041</v>
      </c>
      <c r="R1978" s="114"/>
      <c r="S1978" s="114"/>
      <c r="T1978" s="114" t="s">
        <v>811</v>
      </c>
      <c r="U1978" s="128" t="s">
        <v>4079</v>
      </c>
      <c r="V1978" s="21" t="s">
        <v>819</v>
      </c>
      <c r="W1978" s="114" t="s">
        <v>181</v>
      </c>
      <c r="X1978" s="114"/>
      <c r="Y1978" s="114"/>
      <c r="Z1978" s="114"/>
      <c r="AA1978" s="114"/>
      <c r="AB1978" s="114"/>
      <c r="AC1978" s="21" t="s">
        <v>724</v>
      </c>
      <c r="AD1978" s="21" t="s">
        <v>724</v>
      </c>
      <c r="AE1978" s="130"/>
      <c r="AF1978" s="130" t="s">
        <v>2042</v>
      </c>
      <c r="AG1978" s="114"/>
      <c r="AH1978" s="168"/>
      <c r="AI1978" s="131"/>
      <c r="AJ1978" s="131"/>
      <c r="AK1978" s="132"/>
      <c r="AL1978" s="23" t="s">
        <v>4345</v>
      </c>
      <c r="AM1978" s="134"/>
      <c r="AN1978" s="134"/>
      <c r="AO1978" s="134"/>
      <c r="AP1978" s="134"/>
      <c r="AQ1978" s="134"/>
      <c r="AR1978" s="134"/>
      <c r="AS1978" s="134"/>
      <c r="AT1978" s="134"/>
      <c r="AV1978" s="131"/>
      <c r="AW1978" s="131"/>
      <c r="AX1978" s="132"/>
      <c r="AY1978" s="133"/>
      <c r="AZ1978" s="134"/>
      <c r="BA1978" s="134"/>
      <c r="BB1978" s="134"/>
      <c r="BC1978" s="134"/>
      <c r="BD1978" s="134"/>
      <c r="BE1978" s="134"/>
      <c r="BF1978" s="134"/>
      <c r="BG1978" s="134"/>
      <c r="BI1978" s="131"/>
      <c r="BJ1978" s="131"/>
      <c r="BK1978" s="132"/>
      <c r="BL1978" s="133"/>
      <c r="BM1978" s="134"/>
      <c r="BN1978" s="134"/>
      <c r="BO1978" s="134"/>
      <c r="BP1978" s="134"/>
      <c r="BQ1978" s="134"/>
      <c r="BR1978" s="134"/>
      <c r="BS1978" s="134"/>
      <c r="BT1978" s="134"/>
      <c r="BV1978" s="131"/>
      <c r="BW1978" s="131"/>
      <c r="BX1978" s="132"/>
      <c r="BY1978" s="133"/>
      <c r="BZ1978" s="134"/>
      <c r="CA1978" s="134"/>
      <c r="CB1978" s="134"/>
      <c r="CC1978" s="134"/>
      <c r="CD1978" s="134"/>
      <c r="CE1978" s="134"/>
      <c r="CF1978" s="134"/>
      <c r="CG1978" s="134"/>
      <c r="CH1978" s="127"/>
      <c r="CI1978" s="26" t="s">
        <v>398</v>
      </c>
      <c r="CJ1978" s="26" t="s">
        <v>1492</v>
      </c>
      <c r="CK1978" s="132"/>
      <c r="CL1978" s="134"/>
      <c r="CM1978" s="134"/>
      <c r="CN1978" s="134"/>
      <c r="CO1978" s="131"/>
      <c r="CP1978" s="131"/>
      <c r="CQ1978" s="131"/>
      <c r="CR1978" s="132"/>
      <c r="CT1978" s="135"/>
      <c r="CU1978" s="135"/>
      <c r="CV1978" s="135"/>
      <c r="CW1978" s="135"/>
      <c r="CX1978" s="135"/>
      <c r="CY1978" s="135"/>
      <c r="CZ1978" s="135"/>
      <c r="DA1978" s="135"/>
      <c r="DB1978" s="135"/>
      <c r="DC1978" s="134"/>
      <c r="DE1978" s="128" t="s">
        <v>550</v>
      </c>
    </row>
    <row r="1979" spans="1:109" s="128" customFormat="1" ht="11.25" customHeight="1" x14ac:dyDescent="0.2">
      <c r="A1979" s="29" t="s">
        <v>4033</v>
      </c>
      <c r="B1979" s="127" t="s">
        <v>171</v>
      </c>
      <c r="C1979" s="127">
        <f t="shared" si="177"/>
        <v>300370007</v>
      </c>
      <c r="D1979" s="128" t="s">
        <v>4055</v>
      </c>
      <c r="E1979" s="20" t="s">
        <v>4058</v>
      </c>
      <c r="F1979" s="21"/>
      <c r="G1979" s="129"/>
      <c r="H1979" s="129"/>
      <c r="I1979" s="165" t="s">
        <v>4076</v>
      </c>
      <c r="J1979" s="114"/>
      <c r="K1979" s="114"/>
      <c r="L1979" s="114"/>
      <c r="M1979" s="114"/>
      <c r="N1979" s="114" t="s">
        <v>819</v>
      </c>
      <c r="O1979" s="21" t="s">
        <v>4061</v>
      </c>
      <c r="P1979" s="114"/>
      <c r="Q1979" s="114" t="s">
        <v>2041</v>
      </c>
      <c r="R1979" s="114"/>
      <c r="S1979" s="114"/>
      <c r="T1979" s="114" t="s">
        <v>811</v>
      </c>
      <c r="U1979" s="128" t="s">
        <v>4080</v>
      </c>
      <c r="V1979" s="21" t="s">
        <v>819</v>
      </c>
      <c r="W1979" s="114" t="s">
        <v>22</v>
      </c>
      <c r="X1979" s="114"/>
      <c r="Y1979" s="114"/>
      <c r="Z1979" s="114"/>
      <c r="AA1979" s="114"/>
      <c r="AB1979" s="114"/>
      <c r="AC1979" s="21" t="s">
        <v>4081</v>
      </c>
      <c r="AD1979" s="21" t="s">
        <v>4081</v>
      </c>
      <c r="AE1979" s="130"/>
      <c r="AF1979" s="130" t="s">
        <v>2042</v>
      </c>
      <c r="AG1979" s="114"/>
      <c r="AH1979" s="168"/>
      <c r="AI1979" s="131"/>
      <c r="AJ1979" s="131"/>
      <c r="AK1979" s="132"/>
      <c r="AL1979" s="23" t="s">
        <v>4345</v>
      </c>
      <c r="AM1979" s="134"/>
      <c r="AN1979" s="134"/>
      <c r="AO1979" s="134"/>
      <c r="AP1979" s="134"/>
      <c r="AQ1979" s="134"/>
      <c r="AR1979" s="134"/>
      <c r="AS1979" s="134"/>
      <c r="AT1979" s="134"/>
      <c r="AV1979" s="131"/>
      <c r="AW1979" s="131"/>
      <c r="AX1979" s="132"/>
      <c r="AY1979" s="133"/>
      <c r="AZ1979" s="134"/>
      <c r="BA1979" s="134"/>
      <c r="BB1979" s="134"/>
      <c r="BC1979" s="134"/>
      <c r="BD1979" s="134"/>
      <c r="BE1979" s="134"/>
      <c r="BF1979" s="134"/>
      <c r="BG1979" s="134"/>
      <c r="BI1979" s="131"/>
      <c r="BJ1979" s="131"/>
      <c r="BK1979" s="132"/>
      <c r="BL1979" s="133"/>
      <c r="BM1979" s="134"/>
      <c r="BN1979" s="134"/>
      <c r="BO1979" s="134"/>
      <c r="BP1979" s="134"/>
      <c r="BQ1979" s="134"/>
      <c r="BR1979" s="134"/>
      <c r="BS1979" s="134"/>
      <c r="BT1979" s="134"/>
      <c r="BV1979" s="131"/>
      <c r="BW1979" s="131"/>
      <c r="BX1979" s="132"/>
      <c r="BY1979" s="133"/>
      <c r="BZ1979" s="134"/>
      <c r="CA1979" s="134"/>
      <c r="CB1979" s="134"/>
      <c r="CC1979" s="134"/>
      <c r="CD1979" s="134"/>
      <c r="CE1979" s="134"/>
      <c r="CF1979" s="134"/>
      <c r="CG1979" s="134"/>
      <c r="CH1979" s="127"/>
      <c r="CI1979" s="26" t="s">
        <v>398</v>
      </c>
      <c r="CJ1979" s="26" t="s">
        <v>1492</v>
      </c>
      <c r="CK1979" s="132"/>
      <c r="CL1979" s="134"/>
      <c r="CM1979" s="134"/>
      <c r="CN1979" s="134"/>
      <c r="CO1979" s="131"/>
      <c r="CP1979" s="131"/>
      <c r="CQ1979" s="131"/>
      <c r="CR1979" s="132"/>
      <c r="CT1979" s="135"/>
      <c r="CU1979" s="135"/>
      <c r="CV1979" s="135"/>
      <c r="CW1979" s="135"/>
      <c r="CX1979" s="135"/>
      <c r="CY1979" s="135"/>
      <c r="CZ1979" s="135"/>
      <c r="DA1979" s="135"/>
      <c r="DB1979" s="135"/>
      <c r="DC1979" s="134"/>
      <c r="DE1979" s="128" t="s">
        <v>550</v>
      </c>
    </row>
    <row r="1980" spans="1:109" s="174" customFormat="1" x14ac:dyDescent="0.2">
      <c r="A1980" s="173" t="s">
        <v>4033</v>
      </c>
      <c r="B1980" s="173" t="s">
        <v>137</v>
      </c>
      <c r="C1980" s="173">
        <f t="shared" ref="C1980" si="178">A1980*10000+B1980</f>
        <v>300370008</v>
      </c>
      <c r="D1980" s="174" t="s">
        <v>4000</v>
      </c>
      <c r="E1980" s="175" t="s">
        <v>3967</v>
      </c>
      <c r="F1980" s="175" t="s">
        <v>550</v>
      </c>
      <c r="G1980" s="175" t="s">
        <v>550</v>
      </c>
      <c r="H1980" s="175" t="s">
        <v>4533</v>
      </c>
      <c r="I1980" s="176" t="s">
        <v>3873</v>
      </c>
      <c r="J1980" s="177"/>
      <c r="K1980" s="177"/>
      <c r="L1980" s="177"/>
      <c r="M1980" s="177"/>
      <c r="N1980" s="177" t="s">
        <v>819</v>
      </c>
      <c r="O1980" s="176" t="s">
        <v>4013</v>
      </c>
      <c r="P1980" s="177"/>
      <c r="Q1980" s="177" t="s">
        <v>2041</v>
      </c>
      <c r="R1980" s="177"/>
      <c r="S1980" s="177"/>
      <c r="T1980" s="177" t="s">
        <v>811</v>
      </c>
      <c r="U1980" s="128" t="s">
        <v>4341</v>
      </c>
      <c r="V1980" s="177" t="s">
        <v>819</v>
      </c>
      <c r="W1980" s="177" t="s">
        <v>23</v>
      </c>
      <c r="X1980" s="177"/>
      <c r="Y1980" s="177"/>
      <c r="Z1980" s="177"/>
      <c r="AA1980" s="177"/>
      <c r="AB1980" s="177"/>
      <c r="AC1980" s="177"/>
      <c r="AD1980" s="177"/>
      <c r="AE1980" s="178"/>
      <c r="AF1980" s="178" t="s">
        <v>2042</v>
      </c>
      <c r="AG1980" s="177"/>
      <c r="AH1980" s="174" t="s">
        <v>4342</v>
      </c>
      <c r="AI1980" s="179"/>
      <c r="AJ1980" s="179"/>
      <c r="AK1980" s="180">
        <v>100000</v>
      </c>
      <c r="AL1980" s="181"/>
      <c r="AM1980" s="182"/>
      <c r="AN1980" s="182"/>
      <c r="AO1980" s="182"/>
      <c r="AP1980" s="182"/>
      <c r="AQ1980" s="182"/>
      <c r="AR1980" s="182"/>
      <c r="AS1980" s="182"/>
      <c r="AT1980" s="182"/>
      <c r="AV1980" s="179"/>
      <c r="AW1980" s="179"/>
      <c r="AX1980" s="180"/>
      <c r="AY1980" s="181"/>
      <c r="AZ1980" s="182"/>
      <c r="BA1980" s="182"/>
      <c r="BB1980" s="182"/>
      <c r="BC1980" s="182"/>
      <c r="BD1980" s="182"/>
      <c r="BE1980" s="182"/>
      <c r="BF1980" s="182"/>
      <c r="BG1980" s="182"/>
      <c r="BI1980" s="179"/>
      <c r="BJ1980" s="179"/>
      <c r="BK1980" s="180"/>
      <c r="BL1980" s="181"/>
      <c r="BM1980" s="182"/>
      <c r="BN1980" s="182"/>
      <c r="BO1980" s="182"/>
      <c r="BP1980" s="182"/>
      <c r="BQ1980" s="182"/>
      <c r="BR1980" s="182"/>
      <c r="BS1980" s="182"/>
      <c r="BT1980" s="182"/>
      <c r="BV1980" s="179"/>
      <c r="BW1980" s="179"/>
      <c r="BX1980" s="180"/>
      <c r="BY1980" s="181"/>
      <c r="BZ1980" s="182"/>
      <c r="CA1980" s="182"/>
      <c r="CB1980" s="182"/>
      <c r="CC1980" s="182"/>
      <c r="CD1980" s="182"/>
      <c r="CE1980" s="182"/>
      <c r="CF1980" s="182"/>
      <c r="CG1980" s="182"/>
      <c r="CH1980" s="173"/>
      <c r="CI1980" s="179" t="s">
        <v>398</v>
      </c>
      <c r="CJ1980" s="179" t="s">
        <v>1492</v>
      </c>
      <c r="CK1980" s="180"/>
      <c r="CL1980" s="182"/>
      <c r="CM1980" s="182"/>
      <c r="CN1980" s="182"/>
      <c r="CO1980" s="179"/>
      <c r="CP1980" s="179"/>
      <c r="CQ1980" s="179"/>
      <c r="CR1980" s="180"/>
      <c r="CT1980" s="183"/>
      <c r="CU1980" s="183"/>
      <c r="CV1980" s="183"/>
      <c r="CW1980" s="183"/>
      <c r="CX1980" s="183"/>
      <c r="CY1980" s="183"/>
      <c r="CZ1980" s="183"/>
      <c r="DA1980" s="183"/>
      <c r="DB1980" s="183"/>
      <c r="DC1980" s="182"/>
      <c r="DE1980" s="174" t="s">
        <v>550</v>
      </c>
    </row>
    <row r="1981" spans="1:109" s="138" customFormat="1" x14ac:dyDescent="0.2">
      <c r="A1981" s="137" t="s">
        <v>4034</v>
      </c>
      <c r="B1981" s="137" t="s">
        <v>181</v>
      </c>
      <c r="C1981" s="137">
        <f t="shared" si="177"/>
        <v>300380001</v>
      </c>
      <c r="D1981" s="138" t="s">
        <v>4035</v>
      </c>
      <c r="E1981" s="58" t="s">
        <v>1433</v>
      </c>
      <c r="F1981" s="58"/>
      <c r="G1981" s="58"/>
      <c r="H1981" s="58"/>
      <c r="I1981" s="139" t="s">
        <v>1437</v>
      </c>
      <c r="J1981" s="139" t="s">
        <v>548</v>
      </c>
      <c r="K1981" s="139"/>
      <c r="L1981" s="139"/>
      <c r="M1981" s="139"/>
      <c r="N1981" s="139" t="s">
        <v>819</v>
      </c>
      <c r="O1981" s="139" t="s">
        <v>3576</v>
      </c>
      <c r="P1981" s="139"/>
      <c r="Q1981" s="139" t="s">
        <v>2041</v>
      </c>
      <c r="R1981" s="139"/>
      <c r="S1981" s="139"/>
      <c r="T1981" s="139" t="s">
        <v>811</v>
      </c>
      <c r="U1981" s="138" t="s">
        <v>4035</v>
      </c>
      <c r="V1981" s="139" t="s">
        <v>819</v>
      </c>
      <c r="W1981" s="139" t="s">
        <v>1</v>
      </c>
      <c r="X1981" s="139"/>
      <c r="Y1981" s="139"/>
      <c r="Z1981" s="139"/>
      <c r="AA1981" s="139"/>
      <c r="AB1981" s="139"/>
      <c r="AC1981" s="139"/>
      <c r="AD1981" s="139"/>
      <c r="AE1981" s="141"/>
      <c r="AF1981" s="141" t="s">
        <v>2042</v>
      </c>
      <c r="AG1981" s="139"/>
      <c r="AH1981" s="168" t="s">
        <v>4048</v>
      </c>
      <c r="AI1981" s="142"/>
      <c r="AJ1981" s="142"/>
      <c r="AK1981" s="143"/>
      <c r="AL1981" s="168"/>
      <c r="AM1981" s="145"/>
      <c r="AN1981" s="145"/>
      <c r="AO1981" s="145"/>
      <c r="AP1981" s="145"/>
      <c r="AQ1981" s="145"/>
      <c r="AR1981" s="145"/>
      <c r="AS1981" s="145"/>
      <c r="AT1981" s="145"/>
      <c r="AV1981" s="142"/>
      <c r="AW1981" s="142"/>
      <c r="AX1981" s="143"/>
      <c r="AY1981" s="144"/>
      <c r="AZ1981" s="145"/>
      <c r="BA1981" s="145"/>
      <c r="BB1981" s="145"/>
      <c r="BC1981" s="145"/>
      <c r="BD1981" s="145"/>
      <c r="BE1981" s="145"/>
      <c r="BF1981" s="145"/>
      <c r="BG1981" s="145"/>
      <c r="BI1981" s="142"/>
      <c r="BJ1981" s="142"/>
      <c r="BK1981" s="143"/>
      <c r="BM1981" s="145"/>
      <c r="BN1981" s="145"/>
      <c r="BO1981" s="145"/>
      <c r="BP1981" s="145"/>
      <c r="BQ1981" s="145"/>
      <c r="BR1981" s="145"/>
      <c r="BS1981" s="145"/>
      <c r="BT1981" s="145"/>
      <c r="BU1981" s="142"/>
      <c r="BV1981" s="142"/>
      <c r="BW1981" s="142"/>
      <c r="BX1981" s="143"/>
      <c r="BY1981" s="144"/>
      <c r="BZ1981" s="145"/>
      <c r="CA1981" s="145"/>
      <c r="CB1981" s="145"/>
      <c r="CC1981" s="145"/>
      <c r="CD1981" s="145"/>
      <c r="CE1981" s="145"/>
      <c r="CF1981" s="145"/>
      <c r="CG1981" s="145"/>
      <c r="CH1981" s="137"/>
      <c r="CI1981" s="142" t="s">
        <v>821</v>
      </c>
      <c r="CJ1981" s="142" t="s">
        <v>0</v>
      </c>
      <c r="CK1981" s="143"/>
      <c r="CL1981" s="145"/>
      <c r="CM1981" s="145"/>
      <c r="CN1981" s="145"/>
      <c r="CO1981" s="142"/>
      <c r="CP1981" s="23" t="s">
        <v>932</v>
      </c>
      <c r="CQ1981" s="142"/>
      <c r="CR1981" s="143"/>
      <c r="CT1981" s="146"/>
      <c r="CU1981" s="146"/>
      <c r="CV1981" s="146"/>
      <c r="CW1981" s="146"/>
      <c r="CX1981" s="146"/>
      <c r="CY1981" s="146"/>
      <c r="CZ1981" s="146"/>
      <c r="DA1981" s="146"/>
      <c r="DB1981" s="146"/>
      <c r="DC1981" s="145"/>
    </row>
    <row r="1982" spans="1:109" s="138" customFormat="1" x14ac:dyDescent="0.2">
      <c r="A1982" s="137" t="s">
        <v>4034</v>
      </c>
      <c r="B1982" s="137" t="s">
        <v>26</v>
      </c>
      <c r="C1982" s="137">
        <f t="shared" si="177"/>
        <v>300380002</v>
      </c>
      <c r="D1982" s="138" t="s">
        <v>4036</v>
      </c>
      <c r="E1982" s="58" t="s">
        <v>1433</v>
      </c>
      <c r="F1982" s="58"/>
      <c r="G1982" s="58"/>
      <c r="H1982" s="58"/>
      <c r="I1982" s="139" t="s">
        <v>1437</v>
      </c>
      <c r="J1982" s="139" t="s">
        <v>548</v>
      </c>
      <c r="K1982" s="139"/>
      <c r="L1982" s="139"/>
      <c r="M1982" s="139"/>
      <c r="N1982" s="139" t="s">
        <v>819</v>
      </c>
      <c r="O1982" s="139" t="s">
        <v>3576</v>
      </c>
      <c r="P1982" s="139"/>
      <c r="Q1982" s="139" t="s">
        <v>2041</v>
      </c>
      <c r="R1982" s="139"/>
      <c r="S1982" s="139"/>
      <c r="T1982" s="139" t="s">
        <v>811</v>
      </c>
      <c r="U1982" s="138" t="s">
        <v>4036</v>
      </c>
      <c r="V1982" s="139" t="s">
        <v>819</v>
      </c>
      <c r="W1982" s="139" t="s">
        <v>1</v>
      </c>
      <c r="X1982" s="139"/>
      <c r="Y1982" s="139"/>
      <c r="Z1982" s="139"/>
      <c r="AA1982" s="139"/>
      <c r="AB1982" s="139"/>
      <c r="AC1982" s="139"/>
      <c r="AD1982" s="139"/>
      <c r="AE1982" s="141"/>
      <c r="AF1982" s="141" t="s">
        <v>2042</v>
      </c>
      <c r="AG1982" s="139"/>
      <c r="AH1982" s="168" t="s">
        <v>4048</v>
      </c>
      <c r="AI1982" s="142"/>
      <c r="AJ1982" s="142"/>
      <c r="AK1982" s="143"/>
      <c r="AL1982" s="168"/>
      <c r="AM1982" s="145"/>
      <c r="AN1982" s="145"/>
      <c r="AO1982" s="145"/>
      <c r="AP1982" s="145"/>
      <c r="AQ1982" s="145"/>
      <c r="AR1982" s="145"/>
      <c r="AS1982" s="145"/>
      <c r="AT1982" s="145"/>
      <c r="AV1982" s="142"/>
      <c r="AW1982" s="142"/>
      <c r="AX1982" s="143"/>
      <c r="AY1982" s="144"/>
      <c r="AZ1982" s="145"/>
      <c r="BA1982" s="145"/>
      <c r="BB1982" s="145"/>
      <c r="BC1982" s="145"/>
      <c r="BD1982" s="145"/>
      <c r="BE1982" s="145"/>
      <c r="BF1982" s="145"/>
      <c r="BG1982" s="145"/>
      <c r="BI1982" s="142"/>
      <c r="BJ1982" s="142"/>
      <c r="BK1982" s="143"/>
      <c r="BM1982" s="145"/>
      <c r="BN1982" s="145"/>
      <c r="BO1982" s="145"/>
      <c r="BP1982" s="145"/>
      <c r="BQ1982" s="145"/>
      <c r="BR1982" s="145"/>
      <c r="BS1982" s="145"/>
      <c r="BT1982" s="145"/>
      <c r="BU1982" s="142"/>
      <c r="BV1982" s="142"/>
      <c r="BW1982" s="142"/>
      <c r="BX1982" s="143"/>
      <c r="BY1982" s="144"/>
      <c r="BZ1982" s="145"/>
      <c r="CA1982" s="145"/>
      <c r="CB1982" s="145"/>
      <c r="CC1982" s="145"/>
      <c r="CD1982" s="145"/>
      <c r="CE1982" s="145"/>
      <c r="CF1982" s="145"/>
      <c r="CG1982" s="145"/>
      <c r="CH1982" s="137"/>
      <c r="CI1982" s="142" t="s">
        <v>821</v>
      </c>
      <c r="CJ1982" s="142" t="s">
        <v>0</v>
      </c>
      <c r="CK1982" s="143"/>
      <c r="CL1982" s="145"/>
      <c r="CM1982" s="145"/>
      <c r="CN1982" s="145"/>
      <c r="CO1982" s="142"/>
      <c r="CP1982" s="23" t="s">
        <v>932</v>
      </c>
      <c r="CQ1982" s="142"/>
      <c r="CR1982" s="143"/>
      <c r="CT1982" s="146"/>
      <c r="CU1982" s="146"/>
      <c r="CV1982" s="146"/>
      <c r="CW1982" s="146"/>
      <c r="CX1982" s="146"/>
      <c r="CY1982" s="146"/>
      <c r="CZ1982" s="146"/>
      <c r="DA1982" s="146"/>
      <c r="DB1982" s="146"/>
      <c r="DC1982" s="145"/>
    </row>
    <row r="1983" spans="1:109" s="138" customFormat="1" x14ac:dyDescent="0.2">
      <c r="A1983" s="137" t="s">
        <v>4034</v>
      </c>
      <c r="B1983" s="137" t="s">
        <v>27</v>
      </c>
      <c r="C1983" s="137">
        <f t="shared" si="177"/>
        <v>300380003</v>
      </c>
      <c r="D1983" s="138" t="s">
        <v>4037</v>
      </c>
      <c r="E1983" s="58" t="s">
        <v>1433</v>
      </c>
      <c r="F1983" s="58"/>
      <c r="G1983" s="58"/>
      <c r="H1983" s="58"/>
      <c r="I1983" s="139" t="s">
        <v>1437</v>
      </c>
      <c r="J1983" s="139" t="s">
        <v>548</v>
      </c>
      <c r="K1983" s="139"/>
      <c r="L1983" s="139"/>
      <c r="M1983" s="139"/>
      <c r="N1983" s="139" t="s">
        <v>819</v>
      </c>
      <c r="O1983" s="139" t="s">
        <v>3576</v>
      </c>
      <c r="P1983" s="139"/>
      <c r="Q1983" s="139" t="s">
        <v>2041</v>
      </c>
      <c r="R1983" s="139"/>
      <c r="S1983" s="139"/>
      <c r="T1983" s="139" t="s">
        <v>811</v>
      </c>
      <c r="U1983" s="138" t="s">
        <v>4037</v>
      </c>
      <c r="V1983" s="139" t="s">
        <v>819</v>
      </c>
      <c r="W1983" s="139" t="s">
        <v>1</v>
      </c>
      <c r="X1983" s="139"/>
      <c r="Y1983" s="139"/>
      <c r="Z1983" s="139"/>
      <c r="AA1983" s="139"/>
      <c r="AB1983" s="139"/>
      <c r="AC1983" s="139"/>
      <c r="AD1983" s="139"/>
      <c r="AE1983" s="141"/>
      <c r="AF1983" s="141" t="s">
        <v>2042</v>
      </c>
      <c r="AG1983" s="139"/>
      <c r="AH1983" s="168" t="s">
        <v>4048</v>
      </c>
      <c r="AI1983" s="142"/>
      <c r="AJ1983" s="142"/>
      <c r="AK1983" s="143"/>
      <c r="AL1983" s="168"/>
      <c r="AM1983" s="145"/>
      <c r="AN1983" s="145"/>
      <c r="AO1983" s="145"/>
      <c r="AP1983" s="145"/>
      <c r="AQ1983" s="145"/>
      <c r="AR1983" s="145"/>
      <c r="AS1983" s="145"/>
      <c r="AT1983" s="145"/>
      <c r="AV1983" s="142"/>
      <c r="AW1983" s="142"/>
      <c r="AX1983" s="143"/>
      <c r="AY1983" s="144"/>
      <c r="AZ1983" s="145"/>
      <c r="BA1983" s="145"/>
      <c r="BB1983" s="145"/>
      <c r="BC1983" s="145"/>
      <c r="BD1983" s="145"/>
      <c r="BE1983" s="145"/>
      <c r="BF1983" s="145"/>
      <c r="BG1983" s="145"/>
      <c r="BI1983" s="142"/>
      <c r="BJ1983" s="142"/>
      <c r="BK1983" s="143"/>
      <c r="BM1983" s="145"/>
      <c r="BN1983" s="145"/>
      <c r="BO1983" s="145"/>
      <c r="BP1983" s="145"/>
      <c r="BQ1983" s="145"/>
      <c r="BR1983" s="145"/>
      <c r="BS1983" s="145"/>
      <c r="BT1983" s="145"/>
      <c r="BU1983" s="142"/>
      <c r="BV1983" s="142"/>
      <c r="BW1983" s="142"/>
      <c r="BX1983" s="143"/>
      <c r="BY1983" s="144"/>
      <c r="BZ1983" s="145"/>
      <c r="CA1983" s="145"/>
      <c r="CB1983" s="145"/>
      <c r="CC1983" s="145"/>
      <c r="CD1983" s="145"/>
      <c r="CE1983" s="145"/>
      <c r="CF1983" s="145"/>
      <c r="CG1983" s="145"/>
      <c r="CH1983" s="137"/>
      <c r="CI1983" s="142" t="s">
        <v>821</v>
      </c>
      <c r="CJ1983" s="142" t="s">
        <v>0</v>
      </c>
      <c r="CK1983" s="143"/>
      <c r="CL1983" s="145"/>
      <c r="CM1983" s="145"/>
      <c r="CN1983" s="145"/>
      <c r="CO1983" s="142"/>
      <c r="CP1983" s="23" t="s">
        <v>932</v>
      </c>
      <c r="CQ1983" s="142"/>
      <c r="CR1983" s="143"/>
      <c r="CT1983" s="146"/>
      <c r="CU1983" s="146"/>
      <c r="CV1983" s="146"/>
      <c r="CW1983" s="146"/>
      <c r="CX1983" s="146"/>
      <c r="CY1983" s="146"/>
      <c r="CZ1983" s="146"/>
      <c r="DA1983" s="146"/>
      <c r="DB1983" s="146"/>
      <c r="DC1983" s="145"/>
    </row>
    <row r="1984" spans="1:109" s="138" customFormat="1" x14ac:dyDescent="0.2">
      <c r="A1984" s="137" t="s">
        <v>4034</v>
      </c>
      <c r="B1984" s="137" t="s">
        <v>1</v>
      </c>
      <c r="C1984" s="137">
        <f t="shared" si="177"/>
        <v>300380004</v>
      </c>
      <c r="D1984" s="138" t="s">
        <v>4038</v>
      </c>
      <c r="E1984" s="58" t="s">
        <v>1433</v>
      </c>
      <c r="F1984" s="58"/>
      <c r="G1984" s="58"/>
      <c r="H1984" s="58"/>
      <c r="I1984" s="139" t="s">
        <v>1437</v>
      </c>
      <c r="J1984" s="139" t="s">
        <v>548</v>
      </c>
      <c r="K1984" s="139"/>
      <c r="L1984" s="139"/>
      <c r="M1984" s="139"/>
      <c r="N1984" s="139" t="s">
        <v>819</v>
      </c>
      <c r="O1984" s="139" t="s">
        <v>3576</v>
      </c>
      <c r="P1984" s="139"/>
      <c r="Q1984" s="139" t="s">
        <v>2041</v>
      </c>
      <c r="R1984" s="139"/>
      <c r="S1984" s="139"/>
      <c r="T1984" s="139" t="s">
        <v>811</v>
      </c>
      <c r="U1984" s="138" t="s">
        <v>4038</v>
      </c>
      <c r="V1984" s="139" t="s">
        <v>819</v>
      </c>
      <c r="W1984" s="139" t="s">
        <v>4063</v>
      </c>
      <c r="X1984" s="139"/>
      <c r="Y1984" s="139"/>
      <c r="Z1984" s="139"/>
      <c r="AA1984" s="139"/>
      <c r="AB1984" s="139"/>
      <c r="AC1984" s="139" t="s">
        <v>4062</v>
      </c>
      <c r="AD1984" s="139" t="s">
        <v>4062</v>
      </c>
      <c r="AE1984" s="141"/>
      <c r="AF1984" s="141" t="s">
        <v>2042</v>
      </c>
      <c r="AG1984" s="139"/>
      <c r="AH1984" s="168" t="s">
        <v>4048</v>
      </c>
      <c r="AI1984" s="142"/>
      <c r="AJ1984" s="142"/>
      <c r="AK1984" s="143"/>
      <c r="AL1984" s="168"/>
      <c r="AM1984" s="145"/>
      <c r="AN1984" s="145"/>
      <c r="AO1984" s="145"/>
      <c r="AP1984" s="145"/>
      <c r="AQ1984" s="145"/>
      <c r="AR1984" s="145"/>
      <c r="AS1984" s="145"/>
      <c r="AT1984" s="145"/>
      <c r="AV1984" s="142"/>
      <c r="AW1984" s="142"/>
      <c r="AX1984" s="143"/>
      <c r="AY1984" s="144"/>
      <c r="AZ1984" s="145"/>
      <c r="BA1984" s="145"/>
      <c r="BB1984" s="145"/>
      <c r="BC1984" s="145"/>
      <c r="BD1984" s="145"/>
      <c r="BE1984" s="145"/>
      <c r="BF1984" s="145"/>
      <c r="BG1984" s="145"/>
      <c r="BI1984" s="142"/>
      <c r="BJ1984" s="142"/>
      <c r="BK1984" s="143"/>
      <c r="BM1984" s="145"/>
      <c r="BN1984" s="145"/>
      <c r="BO1984" s="145"/>
      <c r="BP1984" s="145"/>
      <c r="BQ1984" s="145"/>
      <c r="BR1984" s="145"/>
      <c r="BS1984" s="145"/>
      <c r="BT1984" s="145"/>
      <c r="BU1984" s="142"/>
      <c r="BV1984" s="142"/>
      <c r="BW1984" s="142"/>
      <c r="BX1984" s="143"/>
      <c r="BY1984" s="144"/>
      <c r="BZ1984" s="145"/>
      <c r="CA1984" s="145"/>
      <c r="CB1984" s="145"/>
      <c r="CC1984" s="145"/>
      <c r="CD1984" s="145"/>
      <c r="CE1984" s="145"/>
      <c r="CF1984" s="145"/>
      <c r="CG1984" s="145"/>
      <c r="CH1984" s="137"/>
      <c r="CI1984" s="142" t="s">
        <v>821</v>
      </c>
      <c r="CJ1984" s="142" t="s">
        <v>0</v>
      </c>
      <c r="CK1984" s="143"/>
      <c r="CL1984" s="145"/>
      <c r="CM1984" s="145"/>
      <c r="CN1984" s="145"/>
      <c r="CO1984" s="142"/>
      <c r="CP1984" s="23" t="s">
        <v>932</v>
      </c>
      <c r="CQ1984" s="142"/>
      <c r="CR1984" s="143"/>
      <c r="CT1984" s="146"/>
      <c r="CU1984" s="146"/>
      <c r="CV1984" s="146"/>
      <c r="CW1984" s="146"/>
      <c r="CX1984" s="146"/>
      <c r="CY1984" s="146"/>
      <c r="CZ1984" s="146"/>
      <c r="DA1984" s="146"/>
      <c r="DB1984" s="146"/>
      <c r="DC1984" s="145"/>
    </row>
    <row r="1985" spans="1:109" s="138" customFormat="1" x14ac:dyDescent="0.2">
      <c r="A1985" s="137" t="s">
        <v>4034</v>
      </c>
      <c r="B1985" s="137" t="s">
        <v>2</v>
      </c>
      <c r="C1985" s="137">
        <f t="shared" si="177"/>
        <v>300380005</v>
      </c>
      <c r="D1985" s="138" t="s">
        <v>4039</v>
      </c>
      <c r="E1985" s="58" t="s">
        <v>1433</v>
      </c>
      <c r="F1985" s="58"/>
      <c r="G1985" s="58"/>
      <c r="H1985" s="58"/>
      <c r="I1985" s="139" t="s">
        <v>1437</v>
      </c>
      <c r="J1985" s="139" t="s">
        <v>548</v>
      </c>
      <c r="K1985" s="139"/>
      <c r="L1985" s="139"/>
      <c r="M1985" s="139"/>
      <c r="N1985" s="139" t="s">
        <v>819</v>
      </c>
      <c r="O1985" s="139" t="s">
        <v>3576</v>
      </c>
      <c r="P1985" s="139"/>
      <c r="Q1985" s="139" t="s">
        <v>2041</v>
      </c>
      <c r="R1985" s="139"/>
      <c r="S1985" s="139"/>
      <c r="T1985" s="139" t="s">
        <v>811</v>
      </c>
      <c r="U1985" s="138" t="s">
        <v>4039</v>
      </c>
      <c r="V1985" s="139" t="s">
        <v>819</v>
      </c>
      <c r="W1985" s="139" t="s">
        <v>1</v>
      </c>
      <c r="X1985" s="139"/>
      <c r="Y1985" s="139"/>
      <c r="Z1985" s="139"/>
      <c r="AA1985" s="139"/>
      <c r="AB1985" s="139"/>
      <c r="AC1985" s="139"/>
      <c r="AD1985" s="139"/>
      <c r="AE1985" s="141"/>
      <c r="AF1985" s="141" t="s">
        <v>2042</v>
      </c>
      <c r="AG1985" s="139"/>
      <c r="AH1985" s="168" t="s">
        <v>4048</v>
      </c>
      <c r="AI1985" s="142"/>
      <c r="AJ1985" s="142"/>
      <c r="AK1985" s="143"/>
      <c r="AL1985" s="168"/>
      <c r="AM1985" s="145"/>
      <c r="AN1985" s="145"/>
      <c r="AO1985" s="145"/>
      <c r="AP1985" s="145"/>
      <c r="AQ1985" s="145"/>
      <c r="AR1985" s="145"/>
      <c r="AS1985" s="145"/>
      <c r="AT1985" s="145"/>
      <c r="AV1985" s="142"/>
      <c r="AW1985" s="142"/>
      <c r="AX1985" s="143"/>
      <c r="AY1985" s="144"/>
      <c r="AZ1985" s="145"/>
      <c r="BA1985" s="145"/>
      <c r="BB1985" s="145"/>
      <c r="BC1985" s="145"/>
      <c r="BD1985" s="145"/>
      <c r="BE1985" s="145"/>
      <c r="BF1985" s="145"/>
      <c r="BG1985" s="145"/>
      <c r="BI1985" s="142"/>
      <c r="BJ1985" s="142"/>
      <c r="BK1985" s="143"/>
      <c r="BM1985" s="145"/>
      <c r="BN1985" s="145"/>
      <c r="BO1985" s="145"/>
      <c r="BP1985" s="145"/>
      <c r="BQ1985" s="145"/>
      <c r="BR1985" s="145"/>
      <c r="BS1985" s="145"/>
      <c r="BT1985" s="145"/>
      <c r="BU1985" s="142"/>
      <c r="BV1985" s="142"/>
      <c r="BW1985" s="142"/>
      <c r="BX1985" s="143"/>
      <c r="BY1985" s="144"/>
      <c r="BZ1985" s="145"/>
      <c r="CA1985" s="145"/>
      <c r="CB1985" s="145"/>
      <c r="CC1985" s="145"/>
      <c r="CD1985" s="145"/>
      <c r="CE1985" s="145"/>
      <c r="CF1985" s="145"/>
      <c r="CG1985" s="145"/>
      <c r="CH1985" s="137"/>
      <c r="CI1985" s="142" t="s">
        <v>821</v>
      </c>
      <c r="CJ1985" s="142" t="s">
        <v>0</v>
      </c>
      <c r="CK1985" s="143"/>
      <c r="CL1985" s="145"/>
      <c r="CM1985" s="145"/>
      <c r="CN1985" s="145"/>
      <c r="CO1985" s="142"/>
      <c r="CP1985" s="23" t="s">
        <v>932</v>
      </c>
      <c r="CQ1985" s="142"/>
      <c r="CR1985" s="143"/>
      <c r="CT1985" s="146"/>
      <c r="CU1985" s="146"/>
      <c r="CV1985" s="146"/>
      <c r="CW1985" s="146"/>
      <c r="CX1985" s="146"/>
      <c r="CY1985" s="146"/>
      <c r="CZ1985" s="146"/>
      <c r="DA1985" s="146"/>
      <c r="DB1985" s="146"/>
      <c r="DC1985" s="145"/>
    </row>
    <row r="1986" spans="1:109" s="138" customFormat="1" x14ac:dyDescent="0.2">
      <c r="A1986" s="137" t="s">
        <v>4034</v>
      </c>
      <c r="B1986" s="137" t="s">
        <v>3</v>
      </c>
      <c r="C1986" s="137">
        <f t="shared" si="177"/>
        <v>300380006</v>
      </c>
      <c r="D1986" s="138" t="s">
        <v>4040</v>
      </c>
      <c r="E1986" s="58" t="s">
        <v>1433</v>
      </c>
      <c r="F1986" s="58"/>
      <c r="G1986" s="58"/>
      <c r="H1986" s="58"/>
      <c r="I1986" s="139" t="s">
        <v>1437</v>
      </c>
      <c r="J1986" s="139" t="s">
        <v>548</v>
      </c>
      <c r="K1986" s="139"/>
      <c r="L1986" s="139"/>
      <c r="M1986" s="139"/>
      <c r="N1986" s="139" t="s">
        <v>819</v>
      </c>
      <c r="O1986" s="139" t="s">
        <v>3576</v>
      </c>
      <c r="P1986" s="139"/>
      <c r="Q1986" s="139" t="s">
        <v>2041</v>
      </c>
      <c r="R1986" s="139"/>
      <c r="S1986" s="139"/>
      <c r="T1986" s="139" t="s">
        <v>811</v>
      </c>
      <c r="U1986" s="138" t="s">
        <v>4040</v>
      </c>
      <c r="V1986" s="139" t="s">
        <v>819</v>
      </c>
      <c r="W1986" s="139" t="s">
        <v>1</v>
      </c>
      <c r="X1986" s="139"/>
      <c r="Y1986" s="139"/>
      <c r="Z1986" s="139"/>
      <c r="AA1986" s="139"/>
      <c r="AB1986" s="139"/>
      <c r="AC1986" s="139"/>
      <c r="AD1986" s="139"/>
      <c r="AE1986" s="141"/>
      <c r="AF1986" s="141" t="s">
        <v>2042</v>
      </c>
      <c r="AG1986" s="139"/>
      <c r="AH1986" s="168" t="s">
        <v>4048</v>
      </c>
      <c r="AI1986" s="142"/>
      <c r="AJ1986" s="142"/>
      <c r="AK1986" s="143"/>
      <c r="AL1986" s="168"/>
      <c r="AM1986" s="145"/>
      <c r="AN1986" s="145"/>
      <c r="AO1986" s="145"/>
      <c r="AP1986" s="145"/>
      <c r="AQ1986" s="145"/>
      <c r="AR1986" s="145"/>
      <c r="AS1986" s="145"/>
      <c r="AT1986" s="145"/>
      <c r="AV1986" s="142"/>
      <c r="AW1986" s="142"/>
      <c r="AX1986" s="143"/>
      <c r="AY1986" s="144"/>
      <c r="AZ1986" s="145"/>
      <c r="BA1986" s="145"/>
      <c r="BB1986" s="145"/>
      <c r="BC1986" s="145"/>
      <c r="BD1986" s="145"/>
      <c r="BE1986" s="145"/>
      <c r="BF1986" s="145"/>
      <c r="BG1986" s="145"/>
      <c r="BI1986" s="142"/>
      <c r="BJ1986" s="142"/>
      <c r="BK1986" s="143"/>
      <c r="BM1986" s="145"/>
      <c r="BN1986" s="145"/>
      <c r="BO1986" s="145"/>
      <c r="BP1986" s="145"/>
      <c r="BQ1986" s="145"/>
      <c r="BR1986" s="145"/>
      <c r="BS1986" s="145"/>
      <c r="BT1986" s="145"/>
      <c r="BU1986" s="142"/>
      <c r="BV1986" s="142"/>
      <c r="BW1986" s="142"/>
      <c r="BX1986" s="143"/>
      <c r="BY1986" s="144"/>
      <c r="BZ1986" s="145"/>
      <c r="CA1986" s="145"/>
      <c r="CB1986" s="145"/>
      <c r="CC1986" s="145"/>
      <c r="CD1986" s="145"/>
      <c r="CE1986" s="145"/>
      <c r="CF1986" s="145"/>
      <c r="CG1986" s="145"/>
      <c r="CH1986" s="137"/>
      <c r="CI1986" s="142" t="s">
        <v>821</v>
      </c>
      <c r="CJ1986" s="142" t="s">
        <v>0</v>
      </c>
      <c r="CK1986" s="143"/>
      <c r="CL1986" s="145"/>
      <c r="CM1986" s="145"/>
      <c r="CN1986" s="145"/>
      <c r="CO1986" s="142"/>
      <c r="CP1986" s="23" t="s">
        <v>932</v>
      </c>
      <c r="CQ1986" s="142"/>
      <c r="CR1986" s="143"/>
      <c r="CT1986" s="146"/>
      <c r="CU1986" s="146"/>
      <c r="CV1986" s="146"/>
      <c r="CW1986" s="146"/>
      <c r="CX1986" s="146"/>
      <c r="CY1986" s="146"/>
      <c r="CZ1986" s="146"/>
      <c r="DA1986" s="146"/>
      <c r="DB1986" s="146"/>
      <c r="DC1986" s="145"/>
    </row>
    <row r="1987" spans="1:109" s="138" customFormat="1" x14ac:dyDescent="0.2">
      <c r="A1987" s="137" t="s">
        <v>4034</v>
      </c>
      <c r="B1987" s="137" t="s">
        <v>4</v>
      </c>
      <c r="C1987" s="137">
        <f t="shared" si="177"/>
        <v>300380007</v>
      </c>
      <c r="D1987" s="138" t="s">
        <v>4041</v>
      </c>
      <c r="E1987" s="58" t="s">
        <v>1433</v>
      </c>
      <c r="F1987" s="58"/>
      <c r="G1987" s="58"/>
      <c r="H1987" s="58"/>
      <c r="I1987" s="139" t="s">
        <v>1437</v>
      </c>
      <c r="J1987" s="139" t="s">
        <v>548</v>
      </c>
      <c r="K1987" s="139"/>
      <c r="L1987" s="139"/>
      <c r="M1987" s="139"/>
      <c r="N1987" s="139" t="s">
        <v>819</v>
      </c>
      <c r="O1987" s="139" t="s">
        <v>3576</v>
      </c>
      <c r="P1987" s="139"/>
      <c r="Q1987" s="139" t="s">
        <v>2041</v>
      </c>
      <c r="R1987" s="139"/>
      <c r="S1987" s="139"/>
      <c r="T1987" s="139" t="s">
        <v>811</v>
      </c>
      <c r="U1987" s="138" t="s">
        <v>4041</v>
      </c>
      <c r="V1987" s="139" t="s">
        <v>819</v>
      </c>
      <c r="W1987" s="139" t="s">
        <v>1</v>
      </c>
      <c r="X1987" s="139"/>
      <c r="Y1987" s="139"/>
      <c r="Z1987" s="139"/>
      <c r="AA1987" s="139"/>
      <c r="AB1987" s="139"/>
      <c r="AC1987" s="139"/>
      <c r="AD1987" s="139"/>
      <c r="AE1987" s="141"/>
      <c r="AF1987" s="141" t="s">
        <v>2042</v>
      </c>
      <c r="AG1987" s="139"/>
      <c r="AH1987" s="168" t="s">
        <v>4048</v>
      </c>
      <c r="AI1987" s="142"/>
      <c r="AJ1987" s="142"/>
      <c r="AK1987" s="143"/>
      <c r="AL1987" s="168"/>
      <c r="AM1987" s="145"/>
      <c r="AN1987" s="145"/>
      <c r="AO1987" s="145"/>
      <c r="AP1987" s="145"/>
      <c r="AQ1987" s="145"/>
      <c r="AR1987" s="145"/>
      <c r="AS1987" s="145"/>
      <c r="AT1987" s="145"/>
      <c r="AV1987" s="142"/>
      <c r="AW1987" s="142"/>
      <c r="AX1987" s="143"/>
      <c r="AY1987" s="144"/>
      <c r="AZ1987" s="145"/>
      <c r="BA1987" s="145"/>
      <c r="BB1987" s="145"/>
      <c r="BC1987" s="145"/>
      <c r="BD1987" s="145"/>
      <c r="BE1987" s="145"/>
      <c r="BF1987" s="145"/>
      <c r="BG1987" s="145"/>
      <c r="BI1987" s="142"/>
      <c r="BJ1987" s="142"/>
      <c r="BK1987" s="143"/>
      <c r="BM1987" s="145"/>
      <c r="BN1987" s="145"/>
      <c r="BO1987" s="145"/>
      <c r="BP1987" s="145"/>
      <c r="BQ1987" s="145"/>
      <c r="BR1987" s="145"/>
      <c r="BS1987" s="145"/>
      <c r="BT1987" s="145"/>
      <c r="BU1987" s="142"/>
      <c r="BV1987" s="142"/>
      <c r="BW1987" s="142"/>
      <c r="BX1987" s="143"/>
      <c r="BY1987" s="144"/>
      <c r="BZ1987" s="145"/>
      <c r="CA1987" s="145"/>
      <c r="CB1987" s="145"/>
      <c r="CC1987" s="145"/>
      <c r="CD1987" s="145"/>
      <c r="CE1987" s="145"/>
      <c r="CF1987" s="145"/>
      <c r="CG1987" s="145"/>
      <c r="CH1987" s="137"/>
      <c r="CI1987" s="142" t="s">
        <v>821</v>
      </c>
      <c r="CJ1987" s="142" t="s">
        <v>0</v>
      </c>
      <c r="CK1987" s="143"/>
      <c r="CL1987" s="145"/>
      <c r="CM1987" s="145"/>
      <c r="CN1987" s="145"/>
      <c r="CO1987" s="142"/>
      <c r="CP1987" s="23" t="s">
        <v>932</v>
      </c>
      <c r="CQ1987" s="142"/>
      <c r="CR1987" s="143"/>
      <c r="CT1987" s="146"/>
      <c r="CU1987" s="146"/>
      <c r="CV1987" s="146"/>
      <c r="CW1987" s="146"/>
      <c r="CX1987" s="146"/>
      <c r="CY1987" s="146"/>
      <c r="CZ1987" s="146"/>
      <c r="DA1987" s="146"/>
      <c r="DB1987" s="146"/>
      <c r="DC1987" s="145"/>
    </row>
    <row r="1988" spans="1:109" s="138" customFormat="1" x14ac:dyDescent="0.2">
      <c r="A1988" s="137" t="s">
        <v>4034</v>
      </c>
      <c r="B1988" s="137" t="s">
        <v>4042</v>
      </c>
      <c r="C1988" s="137">
        <f t="shared" ref="C1988:C1994" si="179">A1988*10000+B1988</f>
        <v>300380008</v>
      </c>
      <c r="D1988" s="138" t="s">
        <v>4045</v>
      </c>
      <c r="E1988" s="58" t="s">
        <v>1433</v>
      </c>
      <c r="F1988" s="58"/>
      <c r="G1988" s="58"/>
      <c r="H1988" s="58"/>
      <c r="I1988" s="136" t="s">
        <v>1437</v>
      </c>
      <c r="J1988" s="114"/>
      <c r="K1988" s="114"/>
      <c r="L1988" s="114"/>
      <c r="M1988" s="114"/>
      <c r="N1988" s="114" t="s">
        <v>819</v>
      </c>
      <c r="O1988" s="165" t="s">
        <v>4057</v>
      </c>
      <c r="P1988" s="114"/>
      <c r="Q1988" s="114" t="s">
        <v>2041</v>
      </c>
      <c r="R1988" s="114"/>
      <c r="S1988" s="114"/>
      <c r="T1988" s="114" t="s">
        <v>811</v>
      </c>
      <c r="U1988" s="138" t="s">
        <v>4045</v>
      </c>
      <c r="V1988" s="114" t="s">
        <v>819</v>
      </c>
      <c r="W1988" s="114" t="s">
        <v>23</v>
      </c>
      <c r="X1988" s="114"/>
      <c r="Y1988" s="114"/>
      <c r="Z1988" s="114"/>
      <c r="AA1988" s="114"/>
      <c r="AB1988" s="114"/>
      <c r="AC1988" s="114"/>
      <c r="AD1988" s="114"/>
      <c r="AE1988" s="130"/>
      <c r="AF1988" s="130" t="s">
        <v>2042</v>
      </c>
      <c r="AG1988" s="114"/>
      <c r="AH1988" s="168" t="s">
        <v>4049</v>
      </c>
      <c r="AI1988" s="131"/>
      <c r="AJ1988" s="131"/>
      <c r="AK1988" s="132">
        <v>1000</v>
      </c>
      <c r="AL1988" s="133"/>
      <c r="AM1988" s="145"/>
      <c r="AN1988" s="145"/>
      <c r="AO1988" s="145"/>
      <c r="AP1988" s="145"/>
      <c r="AQ1988" s="145"/>
      <c r="AR1988" s="145"/>
      <c r="AS1988" s="145"/>
      <c r="AT1988" s="145"/>
      <c r="AV1988" s="142"/>
      <c r="AW1988" s="142"/>
      <c r="AX1988" s="143"/>
      <c r="AY1988" s="144"/>
      <c r="AZ1988" s="145"/>
      <c r="BA1988" s="145"/>
      <c r="BB1988" s="145"/>
      <c r="BC1988" s="145"/>
      <c r="BD1988" s="145"/>
      <c r="BE1988" s="145"/>
      <c r="BF1988" s="145"/>
      <c r="BG1988" s="145"/>
      <c r="BI1988" s="142"/>
      <c r="BJ1988" s="142"/>
      <c r="BK1988" s="143"/>
      <c r="BM1988" s="145"/>
      <c r="BN1988" s="145"/>
      <c r="BO1988" s="145"/>
      <c r="BP1988" s="145"/>
      <c r="BQ1988" s="145"/>
      <c r="BR1988" s="145"/>
      <c r="BS1988" s="145"/>
      <c r="BT1988" s="145"/>
      <c r="BU1988" s="142"/>
      <c r="BV1988" s="142"/>
      <c r="BW1988" s="142"/>
      <c r="BX1988" s="143"/>
      <c r="BY1988" s="144"/>
      <c r="BZ1988" s="145"/>
      <c r="CA1988" s="145"/>
      <c r="CB1988" s="145"/>
      <c r="CC1988" s="145"/>
      <c r="CD1988" s="145"/>
      <c r="CE1988" s="145"/>
      <c r="CF1988" s="145"/>
      <c r="CG1988" s="145"/>
      <c r="CH1988" s="137"/>
      <c r="CI1988" s="142" t="s">
        <v>397</v>
      </c>
      <c r="CJ1988" s="142" t="s">
        <v>1492</v>
      </c>
      <c r="CK1988" s="143"/>
      <c r="CL1988" s="145"/>
      <c r="CM1988" s="145"/>
      <c r="CN1988" s="145"/>
      <c r="CO1988" s="142"/>
      <c r="CP1988" s="23"/>
      <c r="CQ1988" s="142"/>
      <c r="CR1988" s="143"/>
      <c r="CT1988" s="146"/>
      <c r="CU1988" s="146"/>
      <c r="CV1988" s="146"/>
      <c r="CW1988" s="146"/>
      <c r="CX1988" s="146"/>
      <c r="CY1988" s="146"/>
      <c r="CZ1988" s="146"/>
      <c r="DA1988" s="146"/>
      <c r="DB1988" s="146"/>
      <c r="DC1988" s="145"/>
    </row>
    <row r="1989" spans="1:109" s="138" customFormat="1" x14ac:dyDescent="0.2">
      <c r="A1989" s="137" t="s">
        <v>4034</v>
      </c>
      <c r="B1989" s="137" t="s">
        <v>4043</v>
      </c>
      <c r="C1989" s="137">
        <f t="shared" si="179"/>
        <v>300380009</v>
      </c>
      <c r="D1989" s="138" t="s">
        <v>4046</v>
      </c>
      <c r="E1989" s="58" t="s">
        <v>1433</v>
      </c>
      <c r="F1989" s="58"/>
      <c r="G1989" s="58"/>
      <c r="H1989" s="58"/>
      <c r="I1989" s="136" t="s">
        <v>1437</v>
      </c>
      <c r="J1989" s="114"/>
      <c r="K1989" s="114"/>
      <c r="L1989" s="114"/>
      <c r="M1989" s="114"/>
      <c r="N1989" s="114" t="s">
        <v>819</v>
      </c>
      <c r="O1989" s="165" t="s">
        <v>4057</v>
      </c>
      <c r="P1989" s="114"/>
      <c r="Q1989" s="114" t="s">
        <v>2041</v>
      </c>
      <c r="R1989" s="114"/>
      <c r="S1989" s="114"/>
      <c r="T1989" s="114" t="s">
        <v>811</v>
      </c>
      <c r="U1989" s="138" t="s">
        <v>4046</v>
      </c>
      <c r="V1989" s="114" t="s">
        <v>819</v>
      </c>
      <c r="W1989" s="114" t="s">
        <v>23</v>
      </c>
      <c r="X1989" s="114"/>
      <c r="Y1989" s="114"/>
      <c r="Z1989" s="114"/>
      <c r="AA1989" s="114"/>
      <c r="AB1989" s="114"/>
      <c r="AC1989" s="114"/>
      <c r="AD1989" s="114"/>
      <c r="AE1989" s="130"/>
      <c r="AF1989" s="130" t="s">
        <v>2042</v>
      </c>
      <c r="AG1989" s="114"/>
      <c r="AH1989" s="168" t="s">
        <v>4050</v>
      </c>
      <c r="AI1989" s="131"/>
      <c r="AJ1989" s="131"/>
      <c r="AK1989" s="132">
        <v>1000</v>
      </c>
      <c r="AL1989" s="133"/>
      <c r="AM1989" s="145"/>
      <c r="AN1989" s="145"/>
      <c r="AO1989" s="145"/>
      <c r="AP1989" s="145"/>
      <c r="AQ1989" s="145"/>
      <c r="AR1989" s="145"/>
      <c r="AS1989" s="145"/>
      <c r="AT1989" s="145"/>
      <c r="AV1989" s="142"/>
      <c r="AW1989" s="142"/>
      <c r="AX1989" s="143"/>
      <c r="AY1989" s="144"/>
      <c r="AZ1989" s="145"/>
      <c r="BA1989" s="145"/>
      <c r="BB1989" s="145"/>
      <c r="BC1989" s="145"/>
      <c r="BD1989" s="145"/>
      <c r="BE1989" s="145"/>
      <c r="BF1989" s="145"/>
      <c r="BG1989" s="145"/>
      <c r="BI1989" s="142"/>
      <c r="BJ1989" s="142"/>
      <c r="BK1989" s="143"/>
      <c r="BM1989" s="145"/>
      <c r="BN1989" s="145"/>
      <c r="BO1989" s="145"/>
      <c r="BP1989" s="145"/>
      <c r="BQ1989" s="145"/>
      <c r="BR1989" s="145"/>
      <c r="BS1989" s="145"/>
      <c r="BT1989" s="145"/>
      <c r="BU1989" s="142"/>
      <c r="BV1989" s="142"/>
      <c r="BW1989" s="142"/>
      <c r="BX1989" s="143"/>
      <c r="BY1989" s="144"/>
      <c r="BZ1989" s="145"/>
      <c r="CA1989" s="145"/>
      <c r="CB1989" s="145"/>
      <c r="CC1989" s="145"/>
      <c r="CD1989" s="145"/>
      <c r="CE1989" s="145"/>
      <c r="CF1989" s="145"/>
      <c r="CG1989" s="145"/>
      <c r="CH1989" s="137"/>
      <c r="CI1989" s="142" t="s">
        <v>397</v>
      </c>
      <c r="CJ1989" s="142" t="s">
        <v>4056</v>
      </c>
      <c r="CK1989" s="143"/>
      <c r="CL1989" s="145"/>
      <c r="CM1989" s="145"/>
      <c r="CN1989" s="145"/>
      <c r="CO1989" s="142"/>
      <c r="CP1989" s="23"/>
      <c r="CQ1989" s="142"/>
      <c r="CR1989" s="143"/>
      <c r="CT1989" s="146"/>
      <c r="CU1989" s="146"/>
      <c r="CV1989" s="146"/>
      <c r="CW1989" s="146"/>
      <c r="CX1989" s="146"/>
      <c r="CY1989" s="146"/>
      <c r="CZ1989" s="146"/>
      <c r="DA1989" s="146"/>
      <c r="DB1989" s="146"/>
      <c r="DC1989" s="145"/>
    </row>
    <row r="1990" spans="1:109" s="138" customFormat="1" x14ac:dyDescent="0.2">
      <c r="A1990" s="137" t="s">
        <v>4034</v>
      </c>
      <c r="B1990" s="137" t="s">
        <v>4044</v>
      </c>
      <c r="C1990" s="137">
        <f t="shared" si="179"/>
        <v>300380010</v>
      </c>
      <c r="D1990" s="138" t="s">
        <v>4047</v>
      </c>
      <c r="E1990" s="58" t="s">
        <v>1433</v>
      </c>
      <c r="F1990" s="58"/>
      <c r="G1990" s="58"/>
      <c r="H1990" s="58"/>
      <c r="I1990" s="136" t="s">
        <v>1437</v>
      </c>
      <c r="J1990" s="114"/>
      <c r="K1990" s="114"/>
      <c r="L1990" s="114"/>
      <c r="M1990" s="114"/>
      <c r="N1990" s="114" t="s">
        <v>819</v>
      </c>
      <c r="O1990" s="165" t="s">
        <v>4057</v>
      </c>
      <c r="P1990" s="114"/>
      <c r="Q1990" s="114" t="s">
        <v>2041</v>
      </c>
      <c r="R1990" s="114"/>
      <c r="S1990" s="114"/>
      <c r="T1990" s="114" t="s">
        <v>811</v>
      </c>
      <c r="U1990" s="138" t="s">
        <v>4047</v>
      </c>
      <c r="V1990" s="114" t="s">
        <v>819</v>
      </c>
      <c r="W1990" s="114" t="s">
        <v>23</v>
      </c>
      <c r="X1990" s="114"/>
      <c r="Y1990" s="114"/>
      <c r="Z1990" s="114"/>
      <c r="AA1990" s="114"/>
      <c r="AB1990" s="114"/>
      <c r="AC1990" s="114"/>
      <c r="AD1990" s="114"/>
      <c r="AE1990" s="130"/>
      <c r="AF1990" s="130" t="s">
        <v>2042</v>
      </c>
      <c r="AG1990" s="114"/>
      <c r="AH1990" s="168" t="s">
        <v>4051</v>
      </c>
      <c r="AI1990" s="131"/>
      <c r="AJ1990" s="131"/>
      <c r="AK1990" s="132">
        <v>1000</v>
      </c>
      <c r="AL1990" s="133"/>
      <c r="AM1990" s="145"/>
      <c r="AN1990" s="145"/>
      <c r="AO1990" s="145"/>
      <c r="AP1990" s="145"/>
      <c r="AQ1990" s="145"/>
      <c r="AR1990" s="145"/>
      <c r="AS1990" s="145"/>
      <c r="AT1990" s="145"/>
      <c r="AV1990" s="142"/>
      <c r="AW1990" s="142"/>
      <c r="AX1990" s="143"/>
      <c r="AY1990" s="144"/>
      <c r="AZ1990" s="145"/>
      <c r="BA1990" s="145"/>
      <c r="BB1990" s="145"/>
      <c r="BC1990" s="145"/>
      <c r="BD1990" s="145"/>
      <c r="BE1990" s="145"/>
      <c r="BF1990" s="145"/>
      <c r="BG1990" s="145"/>
      <c r="BI1990" s="142"/>
      <c r="BJ1990" s="142"/>
      <c r="BK1990" s="143"/>
      <c r="BM1990" s="145"/>
      <c r="BN1990" s="145"/>
      <c r="BO1990" s="145"/>
      <c r="BP1990" s="145"/>
      <c r="BQ1990" s="145"/>
      <c r="BR1990" s="145"/>
      <c r="BS1990" s="145"/>
      <c r="BT1990" s="145"/>
      <c r="BU1990" s="142"/>
      <c r="BV1990" s="142"/>
      <c r="BW1990" s="142"/>
      <c r="BX1990" s="143"/>
      <c r="BY1990" s="144"/>
      <c r="BZ1990" s="145"/>
      <c r="CA1990" s="145"/>
      <c r="CB1990" s="145"/>
      <c r="CC1990" s="145"/>
      <c r="CD1990" s="145"/>
      <c r="CE1990" s="145"/>
      <c r="CF1990" s="145"/>
      <c r="CG1990" s="145"/>
      <c r="CH1990" s="137"/>
      <c r="CI1990" s="142" t="s">
        <v>397</v>
      </c>
      <c r="CJ1990" s="142" t="s">
        <v>1492</v>
      </c>
      <c r="CK1990" s="143"/>
      <c r="CL1990" s="145"/>
      <c r="CM1990" s="145"/>
      <c r="CN1990" s="145"/>
      <c r="CO1990" s="142"/>
      <c r="CP1990" s="23"/>
      <c r="CQ1990" s="142"/>
      <c r="CR1990" s="143"/>
      <c r="CT1990" s="146"/>
      <c r="CU1990" s="146"/>
      <c r="CV1990" s="146"/>
      <c r="CW1990" s="146"/>
      <c r="CX1990" s="146"/>
      <c r="CY1990" s="146"/>
      <c r="CZ1990" s="146"/>
      <c r="DA1990" s="146"/>
      <c r="DB1990" s="146"/>
      <c r="DC1990" s="145"/>
    </row>
    <row r="1991" spans="1:109" s="74" customFormat="1" x14ac:dyDescent="0.2">
      <c r="A1991" s="73" t="s">
        <v>4117</v>
      </c>
      <c r="B1991" s="73" t="s">
        <v>181</v>
      </c>
      <c r="C1991" s="73">
        <f t="shared" si="179"/>
        <v>300390001</v>
      </c>
      <c r="D1991" s="74" t="s">
        <v>4118</v>
      </c>
      <c r="E1991" s="170" t="s">
        <v>4130</v>
      </c>
      <c r="F1991" s="170"/>
      <c r="G1991" s="170"/>
      <c r="H1991" s="170"/>
      <c r="I1991" s="75" t="s">
        <v>4128</v>
      </c>
      <c r="J1991" s="75" t="s">
        <v>548</v>
      </c>
      <c r="K1991" s="75"/>
      <c r="L1991" s="75"/>
      <c r="M1991" s="75"/>
      <c r="N1991" s="75" t="s">
        <v>819</v>
      </c>
      <c r="O1991" s="75" t="s">
        <v>4127</v>
      </c>
      <c r="P1991" s="75"/>
      <c r="Q1991" s="75" t="s">
        <v>2041</v>
      </c>
      <c r="R1991" s="75"/>
      <c r="S1991" s="75"/>
      <c r="T1991" s="75" t="s">
        <v>811</v>
      </c>
      <c r="U1991" s="124" t="s">
        <v>4123</v>
      </c>
      <c r="V1991" s="75" t="s">
        <v>819</v>
      </c>
      <c r="W1991" s="75" t="s">
        <v>4122</v>
      </c>
      <c r="X1991" s="75"/>
      <c r="Y1991" s="75"/>
      <c r="Z1991" s="75"/>
      <c r="AA1991" s="75"/>
      <c r="AB1991" s="75"/>
      <c r="AC1991" s="75" t="s">
        <v>176</v>
      </c>
      <c r="AD1991" s="75" t="s">
        <v>176</v>
      </c>
      <c r="AE1991" s="76"/>
      <c r="AF1991" s="76" t="s">
        <v>2042</v>
      </c>
      <c r="AG1991" s="75"/>
      <c r="AH1991" s="168"/>
      <c r="AI1991" s="131"/>
      <c r="AJ1991" s="131"/>
      <c r="AK1991" s="132"/>
      <c r="AL1991" s="168" t="s">
        <v>4264</v>
      </c>
      <c r="AM1991" s="72"/>
      <c r="AN1991" s="72"/>
      <c r="AO1991" s="72"/>
      <c r="AP1991" s="72"/>
      <c r="AQ1991" s="72"/>
      <c r="AR1991" s="72"/>
      <c r="AS1991" s="72"/>
      <c r="AT1991" s="72"/>
      <c r="AV1991" s="71"/>
      <c r="AW1991" s="71"/>
      <c r="AX1991" s="171"/>
      <c r="AY1991" s="172"/>
      <c r="AZ1991" s="72"/>
      <c r="BA1991" s="72"/>
      <c r="BB1991" s="72"/>
      <c r="BC1991" s="72"/>
      <c r="BD1991" s="72"/>
      <c r="BE1991" s="72"/>
      <c r="BF1991" s="72"/>
      <c r="BG1991" s="72"/>
      <c r="BI1991" s="71"/>
      <c r="BJ1991" s="71"/>
      <c r="BK1991" s="171"/>
      <c r="BM1991" s="72"/>
      <c r="BN1991" s="72"/>
      <c r="BO1991" s="72"/>
      <c r="BP1991" s="72"/>
      <c r="BQ1991" s="72"/>
      <c r="BR1991" s="72"/>
      <c r="BS1991" s="72"/>
      <c r="BT1991" s="72"/>
      <c r="BU1991" s="71"/>
      <c r="BV1991" s="71"/>
      <c r="BW1991" s="71"/>
      <c r="BX1991" s="171"/>
      <c r="BY1991" s="172"/>
      <c r="BZ1991" s="72"/>
      <c r="CA1991" s="72"/>
      <c r="CB1991" s="72"/>
      <c r="CC1991" s="72"/>
      <c r="CD1991" s="72"/>
      <c r="CE1991" s="72"/>
      <c r="CF1991" s="72"/>
      <c r="CG1991" s="72"/>
      <c r="CH1991" s="73"/>
      <c r="CI1991" s="71" t="s">
        <v>397</v>
      </c>
      <c r="CJ1991" s="71" t="s">
        <v>750</v>
      </c>
      <c r="CK1991" s="171"/>
      <c r="CL1991" s="72"/>
      <c r="CM1991" s="72"/>
      <c r="CN1991" s="72"/>
      <c r="CO1991" s="71"/>
      <c r="CQ1991" s="71"/>
      <c r="CR1991" s="171"/>
      <c r="CT1991" s="77"/>
      <c r="CU1991" s="77"/>
      <c r="CV1991" s="77"/>
      <c r="CW1991" s="77"/>
      <c r="CX1991" s="77"/>
      <c r="CY1991" s="77"/>
      <c r="CZ1991" s="77"/>
      <c r="DA1991" s="77"/>
      <c r="DB1991" s="77"/>
      <c r="DC1991" s="72"/>
      <c r="DE1991" s="74" t="s">
        <v>548</v>
      </c>
    </row>
    <row r="1992" spans="1:109" s="74" customFormat="1" x14ac:dyDescent="0.2">
      <c r="A1992" s="73" t="s">
        <v>4117</v>
      </c>
      <c r="B1992" s="73" t="s">
        <v>26</v>
      </c>
      <c r="C1992" s="73">
        <f t="shared" si="179"/>
        <v>300390002</v>
      </c>
      <c r="D1992" s="74" t="s">
        <v>4119</v>
      </c>
      <c r="E1992" s="170" t="s">
        <v>4130</v>
      </c>
      <c r="F1992" s="170"/>
      <c r="G1992" s="170"/>
      <c r="H1992" s="170"/>
      <c r="I1992" s="75" t="s">
        <v>4128</v>
      </c>
      <c r="J1992" s="75" t="s">
        <v>548</v>
      </c>
      <c r="K1992" s="75"/>
      <c r="L1992" s="75"/>
      <c r="M1992" s="75"/>
      <c r="N1992" s="75" t="s">
        <v>819</v>
      </c>
      <c r="O1992" s="75" t="s">
        <v>4127</v>
      </c>
      <c r="P1992" s="75"/>
      <c r="Q1992" s="75" t="s">
        <v>2041</v>
      </c>
      <c r="R1992" s="75"/>
      <c r="S1992" s="75"/>
      <c r="T1992" s="75" t="s">
        <v>811</v>
      </c>
      <c r="U1992" s="124" t="s">
        <v>4124</v>
      </c>
      <c r="V1992" s="75" t="s">
        <v>819</v>
      </c>
      <c r="W1992" s="75" t="s">
        <v>4122</v>
      </c>
      <c r="X1992" s="75"/>
      <c r="Y1992" s="75"/>
      <c r="Z1992" s="75"/>
      <c r="AA1992" s="75"/>
      <c r="AB1992" s="75"/>
      <c r="AC1992" s="75" t="s">
        <v>176</v>
      </c>
      <c r="AD1992" s="75" t="s">
        <v>176</v>
      </c>
      <c r="AE1992" s="76"/>
      <c r="AF1992" s="76" t="s">
        <v>2042</v>
      </c>
      <c r="AG1992" s="75"/>
      <c r="AH1992" s="168"/>
      <c r="AI1992" s="131"/>
      <c r="AJ1992" s="131"/>
      <c r="AK1992" s="132"/>
      <c r="AL1992" s="168" t="s">
        <v>4264</v>
      </c>
      <c r="AM1992" s="72"/>
      <c r="AN1992" s="72"/>
      <c r="AO1992" s="72"/>
      <c r="AP1992" s="72"/>
      <c r="AQ1992" s="72"/>
      <c r="AR1992" s="72"/>
      <c r="AS1992" s="72"/>
      <c r="AT1992" s="72"/>
      <c r="AV1992" s="71"/>
      <c r="AW1992" s="71"/>
      <c r="AX1992" s="171"/>
      <c r="AY1992" s="172"/>
      <c r="AZ1992" s="72"/>
      <c r="BA1992" s="72"/>
      <c r="BB1992" s="72"/>
      <c r="BC1992" s="72"/>
      <c r="BD1992" s="72"/>
      <c r="BE1992" s="72"/>
      <c r="BF1992" s="72"/>
      <c r="BG1992" s="72"/>
      <c r="BI1992" s="71"/>
      <c r="BJ1992" s="71"/>
      <c r="BK1992" s="171"/>
      <c r="BM1992" s="72"/>
      <c r="BN1992" s="72"/>
      <c r="BO1992" s="72"/>
      <c r="BP1992" s="72"/>
      <c r="BQ1992" s="72"/>
      <c r="BR1992" s="72"/>
      <c r="BS1992" s="72"/>
      <c r="BT1992" s="72"/>
      <c r="BU1992" s="71"/>
      <c r="BV1992" s="71"/>
      <c r="BW1992" s="71"/>
      <c r="BX1992" s="171"/>
      <c r="BY1992" s="172"/>
      <c r="BZ1992" s="72"/>
      <c r="CA1992" s="72"/>
      <c r="CB1992" s="72"/>
      <c r="CC1992" s="72"/>
      <c r="CD1992" s="72"/>
      <c r="CE1992" s="72"/>
      <c r="CF1992" s="72"/>
      <c r="CG1992" s="72"/>
      <c r="CH1992" s="73"/>
      <c r="CI1992" s="71" t="s">
        <v>397</v>
      </c>
      <c r="CJ1992" s="71" t="s">
        <v>750</v>
      </c>
      <c r="CK1992" s="171"/>
      <c r="CL1992" s="72"/>
      <c r="CM1992" s="72"/>
      <c r="CN1992" s="72"/>
      <c r="CO1992" s="71"/>
      <c r="CQ1992" s="71"/>
      <c r="CR1992" s="171"/>
      <c r="CT1992" s="77"/>
      <c r="CU1992" s="77"/>
      <c r="CV1992" s="77"/>
      <c r="CW1992" s="77"/>
      <c r="CX1992" s="77"/>
      <c r="CY1992" s="77"/>
      <c r="CZ1992" s="77"/>
      <c r="DA1992" s="77"/>
      <c r="DB1992" s="77"/>
      <c r="DC1992" s="72"/>
      <c r="DE1992" s="74" t="s">
        <v>548</v>
      </c>
    </row>
    <row r="1993" spans="1:109" s="74" customFormat="1" x14ac:dyDescent="0.2">
      <c r="A1993" s="73" t="s">
        <v>4117</v>
      </c>
      <c r="B1993" s="73" t="s">
        <v>27</v>
      </c>
      <c r="C1993" s="73">
        <f t="shared" si="179"/>
        <v>300390003</v>
      </c>
      <c r="D1993" s="74" t="s">
        <v>4120</v>
      </c>
      <c r="E1993" s="170" t="s">
        <v>4130</v>
      </c>
      <c r="F1993" s="170"/>
      <c r="G1993" s="170"/>
      <c r="H1993" s="170"/>
      <c r="I1993" s="75" t="s">
        <v>4128</v>
      </c>
      <c r="J1993" s="75" t="s">
        <v>548</v>
      </c>
      <c r="K1993" s="75"/>
      <c r="L1993" s="75"/>
      <c r="M1993" s="75"/>
      <c r="N1993" s="75" t="s">
        <v>819</v>
      </c>
      <c r="O1993" s="75" t="s">
        <v>4127</v>
      </c>
      <c r="P1993" s="75"/>
      <c r="Q1993" s="75" t="s">
        <v>2041</v>
      </c>
      <c r="R1993" s="75"/>
      <c r="S1993" s="75"/>
      <c r="T1993" s="75" t="s">
        <v>811</v>
      </c>
      <c r="U1993" s="124" t="s">
        <v>4125</v>
      </c>
      <c r="V1993" s="75" t="s">
        <v>819</v>
      </c>
      <c r="W1993" s="75" t="s">
        <v>4122</v>
      </c>
      <c r="X1993" s="75"/>
      <c r="Y1993" s="75"/>
      <c r="Z1993" s="75"/>
      <c r="AA1993" s="75"/>
      <c r="AB1993" s="75"/>
      <c r="AC1993" s="75" t="s">
        <v>176</v>
      </c>
      <c r="AD1993" s="75" t="s">
        <v>176</v>
      </c>
      <c r="AE1993" s="76"/>
      <c r="AF1993" s="76" t="s">
        <v>2042</v>
      </c>
      <c r="AG1993" s="75"/>
      <c r="AH1993" s="168"/>
      <c r="AI1993" s="131"/>
      <c r="AJ1993" s="131"/>
      <c r="AK1993" s="132"/>
      <c r="AL1993" s="168" t="s">
        <v>4263</v>
      </c>
      <c r="AM1993" s="72"/>
      <c r="AN1993" s="72"/>
      <c r="AO1993" s="72"/>
      <c r="AP1993" s="72"/>
      <c r="AQ1993" s="72"/>
      <c r="AR1993" s="72"/>
      <c r="AS1993" s="72"/>
      <c r="AT1993" s="72"/>
      <c r="AV1993" s="71"/>
      <c r="AW1993" s="71"/>
      <c r="AX1993" s="171"/>
      <c r="AY1993" s="172"/>
      <c r="AZ1993" s="72"/>
      <c r="BA1993" s="72"/>
      <c r="BB1993" s="72"/>
      <c r="BC1993" s="72"/>
      <c r="BD1993" s="72"/>
      <c r="BE1993" s="72"/>
      <c r="BF1993" s="72"/>
      <c r="BG1993" s="72"/>
      <c r="BI1993" s="71"/>
      <c r="BJ1993" s="71"/>
      <c r="BK1993" s="171"/>
      <c r="BM1993" s="72"/>
      <c r="BN1993" s="72"/>
      <c r="BO1993" s="72"/>
      <c r="BP1993" s="72"/>
      <c r="BQ1993" s="72"/>
      <c r="BR1993" s="72"/>
      <c r="BS1993" s="72"/>
      <c r="BT1993" s="72"/>
      <c r="BU1993" s="71"/>
      <c r="BV1993" s="71"/>
      <c r="BW1993" s="71"/>
      <c r="BX1993" s="171"/>
      <c r="BY1993" s="172"/>
      <c r="BZ1993" s="72"/>
      <c r="CA1993" s="72"/>
      <c r="CB1993" s="72"/>
      <c r="CC1993" s="72"/>
      <c r="CD1993" s="72"/>
      <c r="CE1993" s="72"/>
      <c r="CF1993" s="72"/>
      <c r="CG1993" s="72"/>
      <c r="CH1993" s="73"/>
      <c r="CI1993" s="71" t="s">
        <v>397</v>
      </c>
      <c r="CJ1993" s="71" t="s">
        <v>750</v>
      </c>
      <c r="CK1993" s="171"/>
      <c r="CL1993" s="72"/>
      <c r="CM1993" s="72"/>
      <c r="CN1993" s="72"/>
      <c r="CO1993" s="71"/>
      <c r="CQ1993" s="71"/>
      <c r="CR1993" s="171"/>
      <c r="CT1993" s="77"/>
      <c r="CU1993" s="77"/>
      <c r="CV1993" s="77"/>
      <c r="CW1993" s="77"/>
      <c r="CX1993" s="77"/>
      <c r="CY1993" s="77"/>
      <c r="CZ1993" s="77"/>
      <c r="DA1993" s="77"/>
      <c r="DB1993" s="77"/>
      <c r="DC1993" s="72"/>
      <c r="DE1993" s="74" t="s">
        <v>548</v>
      </c>
    </row>
    <row r="1994" spans="1:109" s="74" customFormat="1" x14ac:dyDescent="0.2">
      <c r="A1994" s="73" t="s">
        <v>4117</v>
      </c>
      <c r="B1994" s="73" t="s">
        <v>1</v>
      </c>
      <c r="C1994" s="73">
        <f t="shared" si="179"/>
        <v>300390004</v>
      </c>
      <c r="D1994" s="74" t="s">
        <v>4121</v>
      </c>
      <c r="E1994" s="170" t="s">
        <v>4130</v>
      </c>
      <c r="F1994" s="170"/>
      <c r="G1994" s="170"/>
      <c r="H1994" s="170"/>
      <c r="I1994" s="75" t="s">
        <v>4128</v>
      </c>
      <c r="J1994" s="75" t="s">
        <v>548</v>
      </c>
      <c r="K1994" s="75"/>
      <c r="L1994" s="75"/>
      <c r="M1994" s="75"/>
      <c r="N1994" s="75" t="s">
        <v>819</v>
      </c>
      <c r="O1994" s="75" t="s">
        <v>4127</v>
      </c>
      <c r="P1994" s="75"/>
      <c r="Q1994" s="75" t="s">
        <v>2041</v>
      </c>
      <c r="R1994" s="75"/>
      <c r="S1994" s="75"/>
      <c r="T1994" s="75" t="s">
        <v>811</v>
      </c>
      <c r="U1994" s="124" t="s">
        <v>4126</v>
      </c>
      <c r="V1994" s="75" t="s">
        <v>819</v>
      </c>
      <c r="W1994" s="75" t="s">
        <v>4122</v>
      </c>
      <c r="X1994" s="75"/>
      <c r="Y1994" s="75"/>
      <c r="Z1994" s="75"/>
      <c r="AA1994" s="75"/>
      <c r="AB1994" s="75"/>
      <c r="AC1994" s="75" t="s">
        <v>176</v>
      </c>
      <c r="AD1994" s="75" t="s">
        <v>176</v>
      </c>
      <c r="AE1994" s="76"/>
      <c r="AF1994" s="76" t="s">
        <v>2042</v>
      </c>
      <c r="AG1994" s="75"/>
      <c r="AH1994" s="168"/>
      <c r="AI1994" s="131"/>
      <c r="AJ1994" s="131"/>
      <c r="AK1994" s="132"/>
      <c r="AL1994" s="168" t="s">
        <v>4263</v>
      </c>
      <c r="AM1994" s="72"/>
      <c r="AN1994" s="72"/>
      <c r="AO1994" s="72"/>
      <c r="AP1994" s="72"/>
      <c r="AQ1994" s="72"/>
      <c r="AR1994" s="72"/>
      <c r="AS1994" s="72"/>
      <c r="AT1994" s="72"/>
      <c r="AV1994" s="71"/>
      <c r="AW1994" s="71"/>
      <c r="AX1994" s="171"/>
      <c r="AY1994" s="172"/>
      <c r="AZ1994" s="72"/>
      <c r="BA1994" s="72"/>
      <c r="BB1994" s="72"/>
      <c r="BC1994" s="72"/>
      <c r="BD1994" s="72"/>
      <c r="BE1994" s="72"/>
      <c r="BF1994" s="72"/>
      <c r="BG1994" s="72"/>
      <c r="BI1994" s="71"/>
      <c r="BJ1994" s="71"/>
      <c r="BK1994" s="171"/>
      <c r="BM1994" s="72"/>
      <c r="BN1994" s="72"/>
      <c r="BO1994" s="72"/>
      <c r="BP1994" s="72"/>
      <c r="BQ1994" s="72"/>
      <c r="BR1994" s="72"/>
      <c r="BS1994" s="72"/>
      <c r="BT1994" s="72"/>
      <c r="BU1994" s="71"/>
      <c r="BV1994" s="71"/>
      <c r="BW1994" s="71"/>
      <c r="BX1994" s="171"/>
      <c r="BY1994" s="172"/>
      <c r="BZ1994" s="72"/>
      <c r="CA1994" s="72"/>
      <c r="CB1994" s="72"/>
      <c r="CC1994" s="72"/>
      <c r="CD1994" s="72"/>
      <c r="CE1994" s="72"/>
      <c r="CF1994" s="72"/>
      <c r="CG1994" s="72"/>
      <c r="CH1994" s="73"/>
      <c r="CI1994" s="71" t="s">
        <v>397</v>
      </c>
      <c r="CJ1994" s="71" t="s">
        <v>750</v>
      </c>
      <c r="CK1994" s="171"/>
      <c r="CL1994" s="72"/>
      <c r="CM1994" s="72"/>
      <c r="CN1994" s="72"/>
      <c r="CO1994" s="71"/>
      <c r="CQ1994" s="71"/>
      <c r="CR1994" s="171"/>
      <c r="CT1994" s="77"/>
      <c r="CU1994" s="77"/>
      <c r="CV1994" s="77"/>
      <c r="CW1994" s="77"/>
      <c r="CX1994" s="77"/>
      <c r="CY1994" s="77"/>
      <c r="CZ1994" s="77"/>
      <c r="DA1994" s="77"/>
      <c r="DB1994" s="77"/>
      <c r="DC1994" s="72"/>
      <c r="DE1994" s="74" t="s">
        <v>548</v>
      </c>
    </row>
    <row r="1995" spans="1:109" s="74" customFormat="1" x14ac:dyDescent="0.2">
      <c r="A1995" s="73" t="s">
        <v>4117</v>
      </c>
      <c r="B1995" s="73" t="s">
        <v>4129</v>
      </c>
      <c r="C1995" s="73">
        <f t="shared" ref="C1995" si="180">A1995*10000+B1995</f>
        <v>300390005</v>
      </c>
      <c r="D1995" s="74" t="s">
        <v>4131</v>
      </c>
      <c r="E1995" s="170" t="s">
        <v>1623</v>
      </c>
      <c r="F1995" s="170"/>
      <c r="G1995" s="170"/>
      <c r="H1995" s="170"/>
      <c r="I1995" s="75" t="s">
        <v>4138</v>
      </c>
      <c r="J1995" s="75" t="s">
        <v>548</v>
      </c>
      <c r="K1995" s="75"/>
      <c r="L1995" s="75"/>
      <c r="M1995" s="75"/>
      <c r="N1995" s="75" t="s">
        <v>819</v>
      </c>
      <c r="O1995" s="75" t="s">
        <v>4127</v>
      </c>
      <c r="P1995" s="75"/>
      <c r="Q1995" s="75" t="s">
        <v>2041</v>
      </c>
      <c r="R1995" s="75"/>
      <c r="S1995" s="75"/>
      <c r="T1995" s="75" t="s">
        <v>811</v>
      </c>
      <c r="U1995" s="124" t="s">
        <v>4126</v>
      </c>
      <c r="V1995" s="75" t="s">
        <v>819</v>
      </c>
      <c r="W1995" s="75" t="s">
        <v>181</v>
      </c>
      <c r="X1995" s="75"/>
      <c r="Y1995" s="75"/>
      <c r="Z1995" s="75"/>
      <c r="AA1995" s="75"/>
      <c r="AB1995" s="75"/>
      <c r="AC1995" s="75" t="s">
        <v>4229</v>
      </c>
      <c r="AD1995" s="75" t="s">
        <v>4229</v>
      </c>
      <c r="AE1995" s="76"/>
      <c r="AF1995" s="76" t="s">
        <v>2042</v>
      </c>
      <c r="AG1995" s="75"/>
      <c r="AH1995" s="168"/>
      <c r="AI1995" s="131"/>
      <c r="AJ1995" s="131"/>
      <c r="AK1995" s="132"/>
      <c r="AL1995" s="168" t="s">
        <v>4263</v>
      </c>
      <c r="AM1995" s="72"/>
      <c r="AN1995" s="72"/>
      <c r="AO1995" s="72"/>
      <c r="AP1995" s="72"/>
      <c r="AQ1995" s="72"/>
      <c r="AR1995" s="72"/>
      <c r="AS1995" s="72"/>
      <c r="AT1995" s="72"/>
      <c r="AV1995" s="71"/>
      <c r="AW1995" s="71"/>
      <c r="AX1995" s="171"/>
      <c r="AY1995" s="172"/>
      <c r="AZ1995" s="72"/>
      <c r="BA1995" s="72"/>
      <c r="BB1995" s="72"/>
      <c r="BC1995" s="72"/>
      <c r="BD1995" s="72"/>
      <c r="BE1995" s="72"/>
      <c r="BF1995" s="72"/>
      <c r="BG1995" s="72"/>
      <c r="BI1995" s="71"/>
      <c r="BJ1995" s="71"/>
      <c r="BK1995" s="171"/>
      <c r="BM1995" s="72"/>
      <c r="BN1995" s="72"/>
      <c r="BO1995" s="72"/>
      <c r="BP1995" s="72"/>
      <c r="BQ1995" s="72"/>
      <c r="BR1995" s="72"/>
      <c r="BS1995" s="72"/>
      <c r="BT1995" s="72"/>
      <c r="BU1995" s="71"/>
      <c r="BV1995" s="71"/>
      <c r="BW1995" s="71"/>
      <c r="BX1995" s="171"/>
      <c r="BY1995" s="172"/>
      <c r="BZ1995" s="72"/>
      <c r="CA1995" s="72"/>
      <c r="CB1995" s="72"/>
      <c r="CC1995" s="72"/>
      <c r="CD1995" s="72"/>
      <c r="CE1995" s="72"/>
      <c r="CF1995" s="72"/>
      <c r="CG1995" s="72"/>
      <c r="CH1995" s="73"/>
      <c r="CI1995" s="71" t="s">
        <v>397</v>
      </c>
      <c r="CJ1995" s="71" t="s">
        <v>750</v>
      </c>
      <c r="CK1995" s="171"/>
      <c r="CL1995" s="72"/>
      <c r="CM1995" s="72"/>
      <c r="CN1995" s="72"/>
      <c r="CO1995" s="71"/>
      <c r="CQ1995" s="71"/>
      <c r="CR1995" s="171"/>
      <c r="CT1995" s="77"/>
      <c r="CU1995" s="77"/>
      <c r="CV1995" s="77"/>
      <c r="CW1995" s="77"/>
      <c r="CX1995" s="77"/>
      <c r="CY1995" s="77"/>
      <c r="CZ1995" s="77"/>
      <c r="DA1995" s="77"/>
      <c r="DB1995" s="77"/>
      <c r="DC1995" s="72"/>
      <c r="DE1995" s="74" t="s">
        <v>548</v>
      </c>
    </row>
    <row r="1996" spans="1:109" s="74" customFormat="1" x14ac:dyDescent="0.2">
      <c r="A1996" s="73" t="s">
        <v>4117</v>
      </c>
      <c r="B1996" s="73" t="s">
        <v>120</v>
      </c>
      <c r="C1996" s="73">
        <f t="shared" ref="C1996:C2009" si="181">A1996*10000+B1996</f>
        <v>300390006</v>
      </c>
      <c r="D1996" s="74" t="s">
        <v>4132</v>
      </c>
      <c r="E1996" s="170" t="s">
        <v>4230</v>
      </c>
      <c r="F1996" s="170"/>
      <c r="G1996" s="170"/>
      <c r="H1996" s="170"/>
      <c r="I1996" s="75" t="s">
        <v>4137</v>
      </c>
      <c r="J1996" s="75" t="s">
        <v>548</v>
      </c>
      <c r="K1996" s="75"/>
      <c r="L1996" s="75"/>
      <c r="M1996" s="75"/>
      <c r="N1996" s="75" t="s">
        <v>819</v>
      </c>
      <c r="O1996" s="75" t="s">
        <v>4127</v>
      </c>
      <c r="P1996" s="75"/>
      <c r="Q1996" s="75" t="s">
        <v>2041</v>
      </c>
      <c r="R1996" s="75"/>
      <c r="S1996" s="75"/>
      <c r="T1996" s="75" t="s">
        <v>811</v>
      </c>
      <c r="U1996" s="124" t="s">
        <v>4126</v>
      </c>
      <c r="V1996" s="75" t="s">
        <v>819</v>
      </c>
      <c r="W1996" s="75" t="s">
        <v>181</v>
      </c>
      <c r="X1996" s="75"/>
      <c r="Y1996" s="75"/>
      <c r="Z1996" s="75"/>
      <c r="AA1996" s="75"/>
      <c r="AB1996" s="75"/>
      <c r="AC1996" s="75" t="s">
        <v>4229</v>
      </c>
      <c r="AD1996" s="75" t="s">
        <v>4229</v>
      </c>
      <c r="AE1996" s="76"/>
      <c r="AF1996" s="76" t="s">
        <v>2042</v>
      </c>
      <c r="AG1996" s="75"/>
      <c r="AH1996" s="168"/>
      <c r="AI1996" s="131"/>
      <c r="AJ1996" s="131"/>
      <c r="AK1996" s="132"/>
      <c r="AL1996" s="168" t="s">
        <v>4263</v>
      </c>
      <c r="AM1996" s="72"/>
      <c r="AN1996" s="72"/>
      <c r="AO1996" s="72"/>
      <c r="AP1996" s="72"/>
      <c r="AQ1996" s="72"/>
      <c r="AR1996" s="72"/>
      <c r="AS1996" s="72"/>
      <c r="AT1996" s="72"/>
      <c r="AV1996" s="71"/>
      <c r="AW1996" s="71"/>
      <c r="AX1996" s="171"/>
      <c r="AY1996" s="172"/>
      <c r="AZ1996" s="72"/>
      <c r="BA1996" s="72"/>
      <c r="BB1996" s="72"/>
      <c r="BC1996" s="72"/>
      <c r="BD1996" s="72"/>
      <c r="BE1996" s="72"/>
      <c r="BF1996" s="72"/>
      <c r="BG1996" s="72"/>
      <c r="BI1996" s="71"/>
      <c r="BJ1996" s="71"/>
      <c r="BK1996" s="171"/>
      <c r="BM1996" s="72"/>
      <c r="BN1996" s="72"/>
      <c r="BO1996" s="72"/>
      <c r="BP1996" s="72"/>
      <c r="BQ1996" s="72"/>
      <c r="BR1996" s="72"/>
      <c r="BS1996" s="72"/>
      <c r="BT1996" s="72"/>
      <c r="BU1996" s="71"/>
      <c r="BV1996" s="71"/>
      <c r="BW1996" s="71"/>
      <c r="BX1996" s="171"/>
      <c r="BY1996" s="172"/>
      <c r="BZ1996" s="72"/>
      <c r="CA1996" s="72"/>
      <c r="CB1996" s="72"/>
      <c r="CC1996" s="72"/>
      <c r="CD1996" s="72"/>
      <c r="CE1996" s="72"/>
      <c r="CF1996" s="72"/>
      <c r="CG1996" s="72"/>
      <c r="CH1996" s="73"/>
      <c r="CI1996" s="71" t="s">
        <v>397</v>
      </c>
      <c r="CJ1996" s="71" t="s">
        <v>750</v>
      </c>
      <c r="CK1996" s="171"/>
      <c r="CL1996" s="72"/>
      <c r="CM1996" s="72"/>
      <c r="CN1996" s="72"/>
      <c r="CO1996" s="71"/>
      <c r="CQ1996" s="71"/>
      <c r="CR1996" s="171"/>
      <c r="CT1996" s="77"/>
      <c r="CU1996" s="77"/>
      <c r="CV1996" s="77"/>
      <c r="CW1996" s="77"/>
      <c r="CX1996" s="77"/>
      <c r="CY1996" s="77"/>
      <c r="CZ1996" s="77"/>
      <c r="DA1996" s="77"/>
      <c r="DB1996" s="77"/>
      <c r="DC1996" s="72"/>
      <c r="DE1996" s="74" t="s">
        <v>548</v>
      </c>
    </row>
    <row r="1997" spans="1:109" s="74" customFormat="1" x14ac:dyDescent="0.2">
      <c r="A1997" s="73" t="s">
        <v>4117</v>
      </c>
      <c r="B1997" s="73" t="s">
        <v>171</v>
      </c>
      <c r="C1997" s="73">
        <f t="shared" si="181"/>
        <v>300390007</v>
      </c>
      <c r="D1997" s="74" t="s">
        <v>4133</v>
      </c>
      <c r="E1997" s="170" t="s">
        <v>4230</v>
      </c>
      <c r="F1997" s="170"/>
      <c r="G1997" s="170"/>
      <c r="H1997" s="170"/>
      <c r="I1997" s="75" t="s">
        <v>4137</v>
      </c>
      <c r="J1997" s="75" t="s">
        <v>548</v>
      </c>
      <c r="K1997" s="75"/>
      <c r="L1997" s="75"/>
      <c r="M1997" s="75"/>
      <c r="N1997" s="75" t="s">
        <v>819</v>
      </c>
      <c r="O1997" s="75" t="s">
        <v>4127</v>
      </c>
      <c r="P1997" s="75"/>
      <c r="Q1997" s="75" t="s">
        <v>2041</v>
      </c>
      <c r="R1997" s="75"/>
      <c r="S1997" s="75"/>
      <c r="T1997" s="75" t="s">
        <v>811</v>
      </c>
      <c r="U1997" s="124" t="s">
        <v>4126</v>
      </c>
      <c r="V1997" s="75" t="s">
        <v>819</v>
      </c>
      <c r="W1997" s="75" t="s">
        <v>181</v>
      </c>
      <c r="X1997" s="75"/>
      <c r="Y1997" s="75"/>
      <c r="Z1997" s="75"/>
      <c r="AA1997" s="75"/>
      <c r="AB1997" s="75"/>
      <c r="AC1997" s="75" t="s">
        <v>4229</v>
      </c>
      <c r="AD1997" s="75" t="s">
        <v>4229</v>
      </c>
      <c r="AE1997" s="76"/>
      <c r="AF1997" s="76" t="s">
        <v>2042</v>
      </c>
      <c r="AG1997" s="75"/>
      <c r="AH1997" s="168"/>
      <c r="AI1997" s="131"/>
      <c r="AJ1997" s="131"/>
      <c r="AK1997" s="132"/>
      <c r="AL1997" s="168" t="s">
        <v>4263</v>
      </c>
      <c r="AM1997" s="72"/>
      <c r="AN1997" s="72"/>
      <c r="AO1997" s="72"/>
      <c r="AP1997" s="72"/>
      <c r="AQ1997" s="72"/>
      <c r="AR1997" s="72"/>
      <c r="AS1997" s="72"/>
      <c r="AT1997" s="72"/>
      <c r="AV1997" s="71"/>
      <c r="AW1997" s="71"/>
      <c r="AX1997" s="171"/>
      <c r="AY1997" s="172"/>
      <c r="AZ1997" s="72"/>
      <c r="BA1997" s="72"/>
      <c r="BB1997" s="72"/>
      <c r="BC1997" s="72"/>
      <c r="BD1997" s="72"/>
      <c r="BE1997" s="72"/>
      <c r="BF1997" s="72"/>
      <c r="BG1997" s="72"/>
      <c r="BI1997" s="71"/>
      <c r="BJ1997" s="71"/>
      <c r="BK1997" s="171"/>
      <c r="BM1997" s="72"/>
      <c r="BN1997" s="72"/>
      <c r="BO1997" s="72"/>
      <c r="BP1997" s="72"/>
      <c r="BQ1997" s="72"/>
      <c r="BR1997" s="72"/>
      <c r="BS1997" s="72"/>
      <c r="BT1997" s="72"/>
      <c r="BU1997" s="71"/>
      <c r="BV1997" s="71"/>
      <c r="BW1997" s="71"/>
      <c r="BX1997" s="171"/>
      <c r="BY1997" s="172"/>
      <c r="BZ1997" s="72"/>
      <c r="CA1997" s="72"/>
      <c r="CB1997" s="72"/>
      <c r="CC1997" s="72"/>
      <c r="CD1997" s="72"/>
      <c r="CE1997" s="72"/>
      <c r="CF1997" s="72"/>
      <c r="CG1997" s="72"/>
      <c r="CH1997" s="73"/>
      <c r="CI1997" s="71" t="s">
        <v>397</v>
      </c>
      <c r="CJ1997" s="71" t="s">
        <v>750</v>
      </c>
      <c r="CK1997" s="171"/>
      <c r="CL1997" s="72"/>
      <c r="CM1997" s="72"/>
      <c r="CN1997" s="72"/>
      <c r="CO1997" s="71"/>
      <c r="CQ1997" s="71"/>
      <c r="CR1997" s="171"/>
      <c r="CT1997" s="77"/>
      <c r="CU1997" s="77"/>
      <c r="CV1997" s="77"/>
      <c r="CW1997" s="77"/>
      <c r="CX1997" s="77"/>
      <c r="CY1997" s="77"/>
      <c r="CZ1997" s="77"/>
      <c r="DA1997" s="77"/>
      <c r="DB1997" s="77"/>
      <c r="DC1997" s="72"/>
      <c r="DE1997" s="74" t="s">
        <v>548</v>
      </c>
    </row>
    <row r="1998" spans="1:109" s="74" customFormat="1" x14ac:dyDescent="0.2">
      <c r="A1998" s="73" t="s">
        <v>4117</v>
      </c>
      <c r="B1998" s="73" t="s">
        <v>137</v>
      </c>
      <c r="C1998" s="73">
        <f t="shared" si="181"/>
        <v>300390008</v>
      </c>
      <c r="D1998" s="74" t="s">
        <v>4134</v>
      </c>
      <c r="E1998" s="170" t="s">
        <v>4230</v>
      </c>
      <c r="F1998" s="170"/>
      <c r="G1998" s="170"/>
      <c r="H1998" s="170"/>
      <c r="I1998" s="75" t="s">
        <v>4137</v>
      </c>
      <c r="J1998" s="75" t="s">
        <v>548</v>
      </c>
      <c r="K1998" s="75"/>
      <c r="L1998" s="75"/>
      <c r="M1998" s="75"/>
      <c r="N1998" s="75" t="s">
        <v>819</v>
      </c>
      <c r="O1998" s="75" t="s">
        <v>4127</v>
      </c>
      <c r="P1998" s="75"/>
      <c r="Q1998" s="75" t="s">
        <v>2041</v>
      </c>
      <c r="R1998" s="75"/>
      <c r="S1998" s="75"/>
      <c r="T1998" s="75" t="s">
        <v>811</v>
      </c>
      <c r="U1998" s="124" t="s">
        <v>4126</v>
      </c>
      <c r="V1998" s="75" t="s">
        <v>819</v>
      </c>
      <c r="W1998" s="75" t="s">
        <v>181</v>
      </c>
      <c r="X1998" s="75"/>
      <c r="Y1998" s="75"/>
      <c r="Z1998" s="75"/>
      <c r="AA1998" s="75"/>
      <c r="AB1998" s="75"/>
      <c r="AC1998" s="75" t="s">
        <v>4229</v>
      </c>
      <c r="AD1998" s="75" t="s">
        <v>4229</v>
      </c>
      <c r="AE1998" s="76"/>
      <c r="AF1998" s="76" t="s">
        <v>2042</v>
      </c>
      <c r="AG1998" s="75"/>
      <c r="AH1998" s="168"/>
      <c r="AI1998" s="131"/>
      <c r="AJ1998" s="131"/>
      <c r="AK1998" s="132"/>
      <c r="AL1998" s="168" t="s">
        <v>4263</v>
      </c>
      <c r="AM1998" s="72"/>
      <c r="AN1998" s="72"/>
      <c r="AO1998" s="72"/>
      <c r="AP1998" s="72"/>
      <c r="AQ1998" s="72"/>
      <c r="AR1998" s="72"/>
      <c r="AS1998" s="72"/>
      <c r="AT1998" s="72"/>
      <c r="AV1998" s="71"/>
      <c r="AW1998" s="71"/>
      <c r="AX1998" s="171"/>
      <c r="AY1998" s="172"/>
      <c r="AZ1998" s="72"/>
      <c r="BA1998" s="72"/>
      <c r="BB1998" s="72"/>
      <c r="BC1998" s="72"/>
      <c r="BD1998" s="72"/>
      <c r="BE1998" s="72"/>
      <c r="BF1998" s="72"/>
      <c r="BG1998" s="72"/>
      <c r="BI1998" s="71"/>
      <c r="BJ1998" s="71"/>
      <c r="BK1998" s="171"/>
      <c r="BM1998" s="72"/>
      <c r="BN1998" s="72"/>
      <c r="BO1998" s="72"/>
      <c r="BP1998" s="72"/>
      <c r="BQ1998" s="72"/>
      <c r="BR1998" s="72"/>
      <c r="BS1998" s="72"/>
      <c r="BT1998" s="72"/>
      <c r="BU1998" s="71"/>
      <c r="BV1998" s="71"/>
      <c r="BW1998" s="71"/>
      <c r="BX1998" s="171"/>
      <c r="BY1998" s="172"/>
      <c r="BZ1998" s="72"/>
      <c r="CA1998" s="72"/>
      <c r="CB1998" s="72"/>
      <c r="CC1998" s="72"/>
      <c r="CD1998" s="72"/>
      <c r="CE1998" s="72"/>
      <c r="CF1998" s="72"/>
      <c r="CG1998" s="72"/>
      <c r="CH1998" s="73"/>
      <c r="CI1998" s="71" t="s">
        <v>397</v>
      </c>
      <c r="CJ1998" s="71" t="s">
        <v>750</v>
      </c>
      <c r="CK1998" s="171"/>
      <c r="CL1998" s="72"/>
      <c r="CM1998" s="72"/>
      <c r="CN1998" s="72"/>
      <c r="CO1998" s="71"/>
      <c r="CQ1998" s="71"/>
      <c r="CR1998" s="171"/>
      <c r="CT1998" s="77"/>
      <c r="CU1998" s="77"/>
      <c r="CV1998" s="77"/>
      <c r="CW1998" s="77"/>
      <c r="CX1998" s="77"/>
      <c r="CY1998" s="77"/>
      <c r="CZ1998" s="77"/>
      <c r="DA1998" s="77"/>
      <c r="DB1998" s="77"/>
      <c r="DC1998" s="72"/>
      <c r="DE1998" s="74" t="s">
        <v>548</v>
      </c>
    </row>
    <row r="1999" spans="1:109" s="74" customFormat="1" x14ac:dyDescent="0.2">
      <c r="A1999" s="73" t="s">
        <v>4117</v>
      </c>
      <c r="B1999" s="73" t="s">
        <v>145</v>
      </c>
      <c r="C1999" s="73">
        <f t="shared" si="181"/>
        <v>300390009</v>
      </c>
      <c r="D1999" s="74" t="s">
        <v>4135</v>
      </c>
      <c r="E1999" s="170" t="s">
        <v>4230</v>
      </c>
      <c r="F1999" s="170"/>
      <c r="G1999" s="170"/>
      <c r="H1999" s="170"/>
      <c r="I1999" s="75" t="s">
        <v>4244</v>
      </c>
      <c r="J1999" s="75" t="s">
        <v>548</v>
      </c>
      <c r="K1999" s="75"/>
      <c r="L1999" s="75"/>
      <c r="M1999" s="75"/>
      <c r="N1999" s="75" t="s">
        <v>819</v>
      </c>
      <c r="O1999" s="75" t="s">
        <v>4127</v>
      </c>
      <c r="P1999" s="75"/>
      <c r="Q1999" s="75" t="s">
        <v>2041</v>
      </c>
      <c r="R1999" s="75"/>
      <c r="S1999" s="75"/>
      <c r="T1999" s="75" t="s">
        <v>811</v>
      </c>
      <c r="U1999" s="124" t="s">
        <v>4126</v>
      </c>
      <c r="V1999" s="75" t="s">
        <v>819</v>
      </c>
      <c r="W1999" s="75" t="s">
        <v>181</v>
      </c>
      <c r="X1999" s="75"/>
      <c r="Y1999" s="75"/>
      <c r="Z1999" s="75"/>
      <c r="AA1999" s="75"/>
      <c r="AB1999" s="75"/>
      <c r="AC1999" s="75" t="s">
        <v>4229</v>
      </c>
      <c r="AD1999" s="75" t="s">
        <v>4229</v>
      </c>
      <c r="AE1999" s="76"/>
      <c r="AF1999" s="76" t="s">
        <v>2042</v>
      </c>
      <c r="AG1999" s="75"/>
      <c r="AH1999" s="168"/>
      <c r="AI1999" s="131"/>
      <c r="AJ1999" s="131"/>
      <c r="AK1999" s="132"/>
      <c r="AL1999" s="168" t="s">
        <v>4263</v>
      </c>
      <c r="AM1999" s="72"/>
      <c r="AN1999" s="72"/>
      <c r="AO1999" s="72"/>
      <c r="AP1999" s="72"/>
      <c r="AQ1999" s="72"/>
      <c r="AR1999" s="72"/>
      <c r="AS1999" s="72"/>
      <c r="AT1999" s="72"/>
      <c r="AV1999" s="71"/>
      <c r="AW1999" s="71"/>
      <c r="AX1999" s="171"/>
      <c r="AY1999" s="172"/>
      <c r="AZ1999" s="72"/>
      <c r="BA1999" s="72"/>
      <c r="BB1999" s="72"/>
      <c r="BC1999" s="72"/>
      <c r="BD1999" s="72"/>
      <c r="BE1999" s="72"/>
      <c r="BF1999" s="72"/>
      <c r="BG1999" s="72"/>
      <c r="BI1999" s="71"/>
      <c r="BJ1999" s="71"/>
      <c r="BK1999" s="171"/>
      <c r="BM1999" s="72"/>
      <c r="BN1999" s="72"/>
      <c r="BO1999" s="72"/>
      <c r="BP1999" s="72"/>
      <c r="BQ1999" s="72"/>
      <c r="BR1999" s="72"/>
      <c r="BS1999" s="72"/>
      <c r="BT1999" s="72"/>
      <c r="BU1999" s="71"/>
      <c r="BV1999" s="71"/>
      <c r="BW1999" s="71"/>
      <c r="BX1999" s="171"/>
      <c r="BY1999" s="172"/>
      <c r="BZ1999" s="72"/>
      <c r="CA1999" s="72"/>
      <c r="CB1999" s="72"/>
      <c r="CC1999" s="72"/>
      <c r="CD1999" s="72"/>
      <c r="CE1999" s="72"/>
      <c r="CF1999" s="72"/>
      <c r="CG1999" s="72"/>
      <c r="CH1999" s="73"/>
      <c r="CI1999" s="71" t="s">
        <v>397</v>
      </c>
      <c r="CJ1999" s="71" t="s">
        <v>750</v>
      </c>
      <c r="CK1999" s="171"/>
      <c r="CL1999" s="72"/>
      <c r="CM1999" s="72"/>
      <c r="CN1999" s="72"/>
      <c r="CO1999" s="71"/>
      <c r="CQ1999" s="71"/>
      <c r="CR1999" s="171"/>
      <c r="CT1999" s="77"/>
      <c r="CU1999" s="77"/>
      <c r="CV1999" s="77"/>
      <c r="CW1999" s="77"/>
      <c r="CX1999" s="77"/>
      <c r="CY1999" s="77"/>
      <c r="CZ1999" s="77"/>
      <c r="DA1999" s="77"/>
      <c r="DB1999" s="77"/>
      <c r="DC1999" s="72"/>
      <c r="DE1999" s="74" t="s">
        <v>548</v>
      </c>
    </row>
    <row r="2000" spans="1:109" s="74" customFormat="1" x14ac:dyDescent="0.2">
      <c r="A2000" s="73" t="s">
        <v>4117</v>
      </c>
      <c r="B2000" s="73" t="s">
        <v>146</v>
      </c>
      <c r="C2000" s="73">
        <f t="shared" si="181"/>
        <v>300390010</v>
      </c>
      <c r="D2000" s="74" t="s">
        <v>4136</v>
      </c>
      <c r="E2000" s="170" t="s">
        <v>4230</v>
      </c>
      <c r="F2000" s="170"/>
      <c r="G2000" s="170"/>
      <c r="H2000" s="170"/>
      <c r="I2000" s="75" t="s">
        <v>4137</v>
      </c>
      <c r="J2000" s="75" t="s">
        <v>548</v>
      </c>
      <c r="K2000" s="75"/>
      <c r="L2000" s="75"/>
      <c r="M2000" s="75"/>
      <c r="N2000" s="75" t="s">
        <v>819</v>
      </c>
      <c r="O2000" s="75" t="s">
        <v>4127</v>
      </c>
      <c r="P2000" s="75"/>
      <c r="Q2000" s="75" t="s">
        <v>2041</v>
      </c>
      <c r="R2000" s="75"/>
      <c r="S2000" s="75"/>
      <c r="T2000" s="75" t="s">
        <v>811</v>
      </c>
      <c r="U2000" s="124" t="s">
        <v>4126</v>
      </c>
      <c r="V2000" s="75" t="s">
        <v>819</v>
      </c>
      <c r="W2000" s="75" t="s">
        <v>181</v>
      </c>
      <c r="X2000" s="75"/>
      <c r="Y2000" s="75"/>
      <c r="Z2000" s="75"/>
      <c r="AA2000" s="75"/>
      <c r="AB2000" s="75"/>
      <c r="AC2000" s="75" t="s">
        <v>4229</v>
      </c>
      <c r="AD2000" s="75" t="s">
        <v>4229</v>
      </c>
      <c r="AE2000" s="76"/>
      <c r="AF2000" s="76" t="s">
        <v>2042</v>
      </c>
      <c r="AG2000" s="75"/>
      <c r="AH2000" s="168"/>
      <c r="AI2000" s="131"/>
      <c r="AJ2000" s="131"/>
      <c r="AK2000" s="132"/>
      <c r="AL2000" s="168" t="s">
        <v>4263</v>
      </c>
      <c r="AM2000" s="72"/>
      <c r="AN2000" s="72"/>
      <c r="AO2000" s="72"/>
      <c r="AP2000" s="72"/>
      <c r="AQ2000" s="72"/>
      <c r="AR2000" s="72"/>
      <c r="AS2000" s="72"/>
      <c r="AT2000" s="72"/>
      <c r="AV2000" s="71"/>
      <c r="AW2000" s="71"/>
      <c r="AX2000" s="171"/>
      <c r="AY2000" s="172"/>
      <c r="AZ2000" s="72"/>
      <c r="BA2000" s="72"/>
      <c r="BB2000" s="72"/>
      <c r="BC2000" s="72"/>
      <c r="BD2000" s="72"/>
      <c r="BE2000" s="72"/>
      <c r="BF2000" s="72"/>
      <c r="BG2000" s="72"/>
      <c r="BI2000" s="71"/>
      <c r="BJ2000" s="71"/>
      <c r="BK2000" s="171"/>
      <c r="BM2000" s="72"/>
      <c r="BN2000" s="72"/>
      <c r="BO2000" s="72"/>
      <c r="BP2000" s="72"/>
      <c r="BQ2000" s="72"/>
      <c r="BR2000" s="72"/>
      <c r="BS2000" s="72"/>
      <c r="BT2000" s="72"/>
      <c r="BU2000" s="71"/>
      <c r="BV2000" s="71"/>
      <c r="BW2000" s="71"/>
      <c r="BX2000" s="171"/>
      <c r="BY2000" s="172"/>
      <c r="BZ2000" s="72"/>
      <c r="CA2000" s="72"/>
      <c r="CB2000" s="72"/>
      <c r="CC2000" s="72"/>
      <c r="CD2000" s="72"/>
      <c r="CE2000" s="72"/>
      <c r="CF2000" s="72"/>
      <c r="CG2000" s="72"/>
      <c r="CH2000" s="73"/>
      <c r="CI2000" s="71" t="s">
        <v>397</v>
      </c>
      <c r="CJ2000" s="71" t="s">
        <v>750</v>
      </c>
      <c r="CK2000" s="171"/>
      <c r="CL2000" s="72"/>
      <c r="CM2000" s="72"/>
      <c r="CN2000" s="72"/>
      <c r="CO2000" s="71"/>
      <c r="CQ2000" s="71"/>
      <c r="CR2000" s="171"/>
      <c r="CT2000" s="77"/>
      <c r="CU2000" s="77"/>
      <c r="CV2000" s="77"/>
      <c r="CW2000" s="77"/>
      <c r="CX2000" s="77"/>
      <c r="CY2000" s="77"/>
      <c r="CZ2000" s="77"/>
      <c r="DA2000" s="77"/>
      <c r="DB2000" s="77"/>
      <c r="DC2000" s="72"/>
      <c r="DE2000" s="74" t="s">
        <v>548</v>
      </c>
    </row>
    <row r="2001" spans="1:109" s="74" customFormat="1" x14ac:dyDescent="0.2">
      <c r="A2001" s="73" t="s">
        <v>4117</v>
      </c>
      <c r="B2001" s="73" t="s">
        <v>175</v>
      </c>
      <c r="C2001" s="73">
        <f t="shared" si="181"/>
        <v>300390011</v>
      </c>
      <c r="D2001" s="74" t="s">
        <v>4232</v>
      </c>
      <c r="E2001" s="170" t="s">
        <v>4230</v>
      </c>
      <c r="F2001" s="170"/>
      <c r="G2001" s="170"/>
      <c r="H2001" s="170"/>
      <c r="I2001" s="75" t="s">
        <v>3991</v>
      </c>
      <c r="J2001" s="75"/>
      <c r="K2001" s="75"/>
      <c r="L2001" s="75"/>
      <c r="M2001" s="75"/>
      <c r="N2001" s="75" t="s">
        <v>819</v>
      </c>
      <c r="O2001" s="75" t="s">
        <v>4233</v>
      </c>
      <c r="P2001" s="75"/>
      <c r="Q2001" s="75" t="s">
        <v>2041</v>
      </c>
      <c r="R2001" s="75"/>
      <c r="S2001" s="75"/>
      <c r="T2001" s="75" t="s">
        <v>811</v>
      </c>
      <c r="U2001" s="124" t="s">
        <v>4232</v>
      </c>
      <c r="V2001" s="75" t="s">
        <v>819</v>
      </c>
      <c r="W2001" s="75" t="s">
        <v>181</v>
      </c>
      <c r="X2001" s="75"/>
      <c r="Y2001" s="75"/>
      <c r="Z2001" s="75"/>
      <c r="AA2001" s="75"/>
      <c r="AB2001" s="75"/>
      <c r="AC2001" s="75" t="s">
        <v>4229</v>
      </c>
      <c r="AD2001" s="75" t="s">
        <v>4229</v>
      </c>
      <c r="AE2001" s="76"/>
      <c r="AF2001" s="76" t="s">
        <v>2042</v>
      </c>
      <c r="AG2001" s="75"/>
      <c r="AH2001" s="168"/>
      <c r="AI2001" s="25"/>
      <c r="AJ2001" s="25"/>
      <c r="AK2001" s="27"/>
      <c r="AL2001" s="168" t="s">
        <v>4263</v>
      </c>
      <c r="AM2001" s="72"/>
      <c r="AN2001" s="72"/>
      <c r="AO2001" s="72"/>
      <c r="AP2001" s="72"/>
      <c r="AQ2001" s="72"/>
      <c r="AR2001" s="72"/>
      <c r="AS2001" s="72"/>
      <c r="AT2001" s="72"/>
      <c r="AV2001" s="71"/>
      <c r="AW2001" s="71"/>
      <c r="AX2001" s="171"/>
      <c r="AY2001" s="172"/>
      <c r="AZ2001" s="72"/>
      <c r="BA2001" s="72"/>
      <c r="BB2001" s="72"/>
      <c r="BC2001" s="72"/>
      <c r="BD2001" s="72"/>
      <c r="BE2001" s="72"/>
      <c r="BF2001" s="72"/>
      <c r="BG2001" s="72"/>
      <c r="BI2001" s="71"/>
      <c r="BJ2001" s="71"/>
      <c r="BK2001" s="171"/>
      <c r="BM2001" s="72"/>
      <c r="BN2001" s="72"/>
      <c r="BO2001" s="72"/>
      <c r="BP2001" s="72"/>
      <c r="BQ2001" s="72"/>
      <c r="BR2001" s="72"/>
      <c r="BS2001" s="72"/>
      <c r="BT2001" s="72"/>
      <c r="BU2001" s="71"/>
      <c r="BV2001" s="71"/>
      <c r="BW2001" s="71"/>
      <c r="BX2001" s="171"/>
      <c r="BY2001" s="172"/>
      <c r="BZ2001" s="72"/>
      <c r="CA2001" s="72"/>
      <c r="CB2001" s="72"/>
      <c r="CC2001" s="72"/>
      <c r="CD2001" s="72"/>
      <c r="CE2001" s="72"/>
      <c r="CF2001" s="72"/>
      <c r="CG2001" s="72"/>
      <c r="CH2001" s="73"/>
      <c r="CI2001" s="71" t="s">
        <v>397</v>
      </c>
      <c r="CJ2001" s="71" t="s">
        <v>750</v>
      </c>
      <c r="CK2001" s="171"/>
      <c r="CL2001" s="72"/>
      <c r="CM2001" s="72"/>
      <c r="CN2001" s="72"/>
      <c r="CO2001" s="71"/>
      <c r="CQ2001" s="71"/>
      <c r="CR2001" s="171"/>
      <c r="CT2001" s="77"/>
      <c r="CU2001" s="77"/>
      <c r="CV2001" s="77"/>
      <c r="CW2001" s="77"/>
      <c r="CX2001" s="77"/>
      <c r="CY2001" s="77"/>
      <c r="CZ2001" s="77"/>
      <c r="DA2001" s="77"/>
      <c r="DB2001" s="77"/>
      <c r="DC2001" s="72"/>
      <c r="DE2001" s="74" t="s">
        <v>550</v>
      </c>
    </row>
    <row r="2002" spans="1:109" s="74" customFormat="1" x14ac:dyDescent="0.2">
      <c r="A2002" s="73" t="s">
        <v>4117</v>
      </c>
      <c r="B2002" s="73" t="s">
        <v>147</v>
      </c>
      <c r="C2002" s="73">
        <f t="shared" si="181"/>
        <v>300390012</v>
      </c>
      <c r="D2002" s="74" t="s">
        <v>4234</v>
      </c>
      <c r="E2002" s="170" t="s">
        <v>4230</v>
      </c>
      <c r="F2002" s="170"/>
      <c r="G2002" s="170"/>
      <c r="H2002" s="170"/>
      <c r="I2002" s="75" t="s">
        <v>3991</v>
      </c>
      <c r="J2002" s="75"/>
      <c r="K2002" s="75"/>
      <c r="L2002" s="75"/>
      <c r="M2002" s="75"/>
      <c r="N2002" s="75" t="s">
        <v>819</v>
      </c>
      <c r="O2002" s="75" t="s">
        <v>4233</v>
      </c>
      <c r="P2002" s="75"/>
      <c r="Q2002" s="75" t="s">
        <v>2041</v>
      </c>
      <c r="R2002" s="75"/>
      <c r="S2002" s="75"/>
      <c r="T2002" s="75" t="s">
        <v>811</v>
      </c>
      <c r="U2002" s="124" t="s">
        <v>4234</v>
      </c>
      <c r="V2002" s="75" t="s">
        <v>819</v>
      </c>
      <c r="W2002" s="75" t="s">
        <v>22</v>
      </c>
      <c r="X2002" s="75"/>
      <c r="Y2002" s="75"/>
      <c r="Z2002" s="75"/>
      <c r="AA2002" s="75"/>
      <c r="AB2002" s="75"/>
      <c r="AC2002" s="75" t="s">
        <v>4235</v>
      </c>
      <c r="AD2002" s="75" t="s">
        <v>4235</v>
      </c>
      <c r="AE2002" s="76"/>
      <c r="AF2002" s="76" t="s">
        <v>2042</v>
      </c>
      <c r="AG2002" s="75"/>
      <c r="AH2002" s="168"/>
      <c r="AI2002" s="25"/>
      <c r="AJ2002" s="25"/>
      <c r="AK2002" s="27"/>
      <c r="AL2002" s="168" t="s">
        <v>4263</v>
      </c>
      <c r="AM2002" s="72"/>
      <c r="AN2002" s="72"/>
      <c r="AO2002" s="72"/>
      <c r="AP2002" s="72"/>
      <c r="AQ2002" s="72"/>
      <c r="AR2002" s="72"/>
      <c r="AS2002" s="72"/>
      <c r="AT2002" s="72"/>
      <c r="AV2002" s="71"/>
      <c r="AW2002" s="71"/>
      <c r="AX2002" s="171"/>
      <c r="AY2002" s="172"/>
      <c r="AZ2002" s="72"/>
      <c r="BA2002" s="72"/>
      <c r="BB2002" s="72"/>
      <c r="BC2002" s="72"/>
      <c r="BD2002" s="72"/>
      <c r="BE2002" s="72"/>
      <c r="BF2002" s="72"/>
      <c r="BG2002" s="72"/>
      <c r="BI2002" s="71"/>
      <c r="BJ2002" s="71"/>
      <c r="BK2002" s="171"/>
      <c r="BM2002" s="72"/>
      <c r="BN2002" s="72"/>
      <c r="BO2002" s="72"/>
      <c r="BP2002" s="72"/>
      <c r="BQ2002" s="72"/>
      <c r="BR2002" s="72"/>
      <c r="BS2002" s="72"/>
      <c r="BT2002" s="72"/>
      <c r="BU2002" s="71"/>
      <c r="BV2002" s="71"/>
      <c r="BW2002" s="71"/>
      <c r="BX2002" s="171"/>
      <c r="BY2002" s="172"/>
      <c r="BZ2002" s="72"/>
      <c r="CA2002" s="72"/>
      <c r="CB2002" s="72"/>
      <c r="CC2002" s="72"/>
      <c r="CD2002" s="72"/>
      <c r="CE2002" s="72"/>
      <c r="CF2002" s="72"/>
      <c r="CG2002" s="72"/>
      <c r="CH2002" s="73"/>
      <c r="CI2002" s="71" t="s">
        <v>397</v>
      </c>
      <c r="CJ2002" s="71" t="s">
        <v>750</v>
      </c>
      <c r="CK2002" s="171"/>
      <c r="CL2002" s="72"/>
      <c r="CM2002" s="72"/>
      <c r="CN2002" s="72"/>
      <c r="CO2002" s="71"/>
      <c r="CQ2002" s="71"/>
      <c r="CR2002" s="171"/>
      <c r="CT2002" s="77"/>
      <c r="CU2002" s="77"/>
      <c r="CV2002" s="77"/>
      <c r="CW2002" s="77"/>
      <c r="CX2002" s="77"/>
      <c r="CY2002" s="77"/>
      <c r="CZ2002" s="77"/>
      <c r="DA2002" s="77"/>
      <c r="DB2002" s="77"/>
      <c r="DC2002" s="72"/>
      <c r="DE2002" s="74" t="s">
        <v>550</v>
      </c>
    </row>
    <row r="2003" spans="1:109" s="74" customFormat="1" x14ac:dyDescent="0.2">
      <c r="A2003" s="73" t="s">
        <v>4117</v>
      </c>
      <c r="B2003" s="73" t="s">
        <v>148</v>
      </c>
      <c r="C2003" s="73">
        <f t="shared" si="181"/>
        <v>300390013</v>
      </c>
      <c r="D2003" s="74" t="s">
        <v>4236</v>
      </c>
      <c r="E2003" s="170" t="s">
        <v>4230</v>
      </c>
      <c r="F2003" s="170"/>
      <c r="G2003" s="170"/>
      <c r="H2003" s="170"/>
      <c r="I2003" s="75" t="s">
        <v>3991</v>
      </c>
      <c r="J2003" s="75"/>
      <c r="K2003" s="75"/>
      <c r="L2003" s="75"/>
      <c r="M2003" s="75"/>
      <c r="N2003" s="75" t="s">
        <v>819</v>
      </c>
      <c r="O2003" s="75" t="s">
        <v>4233</v>
      </c>
      <c r="P2003" s="75"/>
      <c r="Q2003" s="75" t="s">
        <v>2041</v>
      </c>
      <c r="R2003" s="75"/>
      <c r="S2003" s="75"/>
      <c r="T2003" s="75" t="s">
        <v>811</v>
      </c>
      <c r="U2003" s="124" t="s">
        <v>4236</v>
      </c>
      <c r="V2003" s="75" t="s">
        <v>819</v>
      </c>
      <c r="W2003" s="75" t="s">
        <v>23</v>
      </c>
      <c r="X2003" s="75"/>
      <c r="Y2003" s="75"/>
      <c r="Z2003" s="75"/>
      <c r="AA2003" s="75"/>
      <c r="AB2003" s="75"/>
      <c r="AC2003" s="75" t="s">
        <v>123</v>
      </c>
      <c r="AD2003" s="75" t="s">
        <v>123</v>
      </c>
      <c r="AE2003" s="76"/>
      <c r="AF2003" s="76" t="s">
        <v>2042</v>
      </c>
      <c r="AG2003" s="75"/>
      <c r="AH2003" s="168"/>
      <c r="AI2003" s="25"/>
      <c r="AJ2003" s="25"/>
      <c r="AK2003" s="27"/>
      <c r="AL2003" s="168" t="s">
        <v>4263</v>
      </c>
      <c r="AM2003" s="72"/>
      <c r="AN2003" s="72"/>
      <c r="AO2003" s="72"/>
      <c r="AP2003" s="72"/>
      <c r="AQ2003" s="72"/>
      <c r="AR2003" s="72"/>
      <c r="AS2003" s="72"/>
      <c r="AT2003" s="72"/>
      <c r="AV2003" s="71"/>
      <c r="AW2003" s="71"/>
      <c r="AX2003" s="171"/>
      <c r="AY2003" s="172"/>
      <c r="AZ2003" s="72"/>
      <c r="BA2003" s="72"/>
      <c r="BB2003" s="72"/>
      <c r="BC2003" s="72"/>
      <c r="BD2003" s="72"/>
      <c r="BE2003" s="72"/>
      <c r="BF2003" s="72"/>
      <c r="BG2003" s="72"/>
      <c r="BI2003" s="71"/>
      <c r="BJ2003" s="71"/>
      <c r="BK2003" s="171"/>
      <c r="BM2003" s="72"/>
      <c r="BN2003" s="72"/>
      <c r="BO2003" s="72"/>
      <c r="BP2003" s="72"/>
      <c r="BQ2003" s="72"/>
      <c r="BR2003" s="72"/>
      <c r="BS2003" s="72"/>
      <c r="BT2003" s="72"/>
      <c r="BU2003" s="71"/>
      <c r="BV2003" s="71"/>
      <c r="BW2003" s="71"/>
      <c r="BX2003" s="171"/>
      <c r="BY2003" s="172"/>
      <c r="BZ2003" s="72"/>
      <c r="CA2003" s="72"/>
      <c r="CB2003" s="72"/>
      <c r="CC2003" s="72"/>
      <c r="CD2003" s="72"/>
      <c r="CE2003" s="72"/>
      <c r="CF2003" s="72"/>
      <c r="CG2003" s="72"/>
      <c r="CH2003" s="73"/>
      <c r="CI2003" s="71" t="s">
        <v>397</v>
      </c>
      <c r="CJ2003" s="71" t="s">
        <v>750</v>
      </c>
      <c r="CK2003" s="171"/>
      <c r="CL2003" s="72"/>
      <c r="CM2003" s="72"/>
      <c r="CN2003" s="72"/>
      <c r="CO2003" s="71"/>
      <c r="CQ2003" s="71"/>
      <c r="CR2003" s="171"/>
      <c r="CT2003" s="77"/>
      <c r="CU2003" s="77"/>
      <c r="CV2003" s="77"/>
      <c r="CW2003" s="77"/>
      <c r="CX2003" s="77"/>
      <c r="CY2003" s="77"/>
      <c r="CZ2003" s="77"/>
      <c r="DA2003" s="77"/>
      <c r="DB2003" s="77"/>
      <c r="DC2003" s="72"/>
      <c r="DE2003" s="74" t="s">
        <v>550</v>
      </c>
    </row>
    <row r="2004" spans="1:109" s="174" customFormat="1" x14ac:dyDescent="0.2">
      <c r="A2004" s="173" t="s">
        <v>4245</v>
      </c>
      <c r="B2004" s="173" t="s">
        <v>170</v>
      </c>
      <c r="C2004" s="173">
        <f t="shared" si="181"/>
        <v>300390014</v>
      </c>
      <c r="D2004" s="174" t="s">
        <v>4246</v>
      </c>
      <c r="E2004" s="170" t="s">
        <v>4130</v>
      </c>
      <c r="F2004" s="175" t="s">
        <v>550</v>
      </c>
      <c r="G2004" s="175" t="s">
        <v>550</v>
      </c>
      <c r="H2004" s="175" t="s">
        <v>4533</v>
      </c>
      <c r="I2004" s="75" t="s">
        <v>3991</v>
      </c>
      <c r="J2004" s="177"/>
      <c r="K2004" s="177"/>
      <c r="L2004" s="177"/>
      <c r="M2004" s="177"/>
      <c r="N2004" s="177" t="s">
        <v>819</v>
      </c>
      <c r="O2004" s="176" t="s">
        <v>4013</v>
      </c>
      <c r="P2004" s="177"/>
      <c r="Q2004" s="177" t="s">
        <v>2041</v>
      </c>
      <c r="R2004" s="177"/>
      <c r="S2004" s="177"/>
      <c r="T2004" s="177" t="s">
        <v>811</v>
      </c>
      <c r="U2004" s="124" t="s">
        <v>4246</v>
      </c>
      <c r="V2004" s="177" t="s">
        <v>819</v>
      </c>
      <c r="W2004" s="177" t="s">
        <v>23</v>
      </c>
      <c r="X2004" s="177"/>
      <c r="Y2004" s="177"/>
      <c r="Z2004" s="177"/>
      <c r="AA2004" s="177"/>
      <c r="AB2004" s="177"/>
      <c r="AC2004" s="177"/>
      <c r="AD2004" s="177"/>
      <c r="AE2004" s="178"/>
      <c r="AF2004" s="178" t="s">
        <v>2042</v>
      </c>
      <c r="AG2004" s="177"/>
      <c r="AH2004" s="174" t="s">
        <v>4262</v>
      </c>
      <c r="AI2004" s="179"/>
      <c r="AJ2004" s="179"/>
      <c r="AK2004" s="180">
        <v>100000</v>
      </c>
      <c r="AL2004" s="181"/>
      <c r="AM2004" s="182"/>
      <c r="AN2004" s="182"/>
      <c r="AO2004" s="182"/>
      <c r="AP2004" s="182"/>
      <c r="AQ2004" s="182"/>
      <c r="AR2004" s="182"/>
      <c r="AS2004" s="182"/>
      <c r="AT2004" s="182"/>
      <c r="AV2004" s="179"/>
      <c r="AW2004" s="179"/>
      <c r="AX2004" s="180"/>
      <c r="AY2004" s="181"/>
      <c r="AZ2004" s="182"/>
      <c r="BA2004" s="182"/>
      <c r="BB2004" s="182"/>
      <c r="BC2004" s="182"/>
      <c r="BD2004" s="182"/>
      <c r="BE2004" s="182"/>
      <c r="BF2004" s="182"/>
      <c r="BG2004" s="182"/>
      <c r="BI2004" s="179"/>
      <c r="BJ2004" s="179"/>
      <c r="BK2004" s="180"/>
      <c r="BL2004" s="181"/>
      <c r="BM2004" s="182"/>
      <c r="BN2004" s="182"/>
      <c r="BO2004" s="182"/>
      <c r="BP2004" s="182"/>
      <c r="BQ2004" s="182"/>
      <c r="BR2004" s="182"/>
      <c r="BS2004" s="182"/>
      <c r="BT2004" s="182"/>
      <c r="BV2004" s="179"/>
      <c r="BW2004" s="179"/>
      <c r="BX2004" s="180"/>
      <c r="BY2004" s="181"/>
      <c r="BZ2004" s="182"/>
      <c r="CA2004" s="182"/>
      <c r="CB2004" s="182"/>
      <c r="CC2004" s="182"/>
      <c r="CD2004" s="182"/>
      <c r="CE2004" s="182"/>
      <c r="CF2004" s="182"/>
      <c r="CG2004" s="182"/>
      <c r="CH2004" s="173"/>
      <c r="CI2004" s="179" t="s">
        <v>398</v>
      </c>
      <c r="CJ2004" s="179" t="s">
        <v>1492</v>
      </c>
      <c r="CK2004" s="180"/>
      <c r="CL2004" s="182"/>
      <c r="CM2004" s="182"/>
      <c r="CN2004" s="182"/>
      <c r="CO2004" s="179"/>
      <c r="CP2004" s="179"/>
      <c r="CQ2004" s="179"/>
      <c r="CR2004" s="180"/>
      <c r="CT2004" s="183"/>
      <c r="CU2004" s="183"/>
      <c r="CV2004" s="183"/>
      <c r="CW2004" s="183"/>
      <c r="CX2004" s="183"/>
      <c r="CY2004" s="183"/>
      <c r="CZ2004" s="183"/>
      <c r="DA2004" s="183"/>
      <c r="DB2004" s="183"/>
      <c r="DC2004" s="182"/>
      <c r="DE2004" s="174" t="s">
        <v>550</v>
      </c>
    </row>
    <row r="2005" spans="1:109" s="74" customFormat="1" x14ac:dyDescent="0.2">
      <c r="A2005" s="73" t="s">
        <v>4293</v>
      </c>
      <c r="B2005" s="73" t="s">
        <v>181</v>
      </c>
      <c r="C2005" s="73">
        <f t="shared" si="181"/>
        <v>300400001</v>
      </c>
      <c r="D2005" s="74" t="s">
        <v>4294</v>
      </c>
      <c r="E2005" s="170" t="s">
        <v>3518</v>
      </c>
      <c r="F2005" s="170"/>
      <c r="G2005" s="170"/>
      <c r="H2005" s="170"/>
      <c r="I2005" s="75" t="s">
        <v>1443</v>
      </c>
      <c r="J2005" s="75" t="s">
        <v>548</v>
      </c>
      <c r="K2005" s="75"/>
      <c r="L2005" s="75"/>
      <c r="M2005" s="75"/>
      <c r="N2005" s="75" t="s">
        <v>819</v>
      </c>
      <c r="O2005" s="165" t="s">
        <v>4307</v>
      </c>
      <c r="P2005" s="75"/>
      <c r="Q2005" s="75" t="s">
        <v>2041</v>
      </c>
      <c r="R2005" s="75"/>
      <c r="S2005" s="75"/>
      <c r="T2005" s="75" t="s">
        <v>811</v>
      </c>
      <c r="U2005" s="124" t="s">
        <v>4295</v>
      </c>
      <c r="V2005" s="75" t="s">
        <v>819</v>
      </c>
      <c r="W2005" s="75" t="s">
        <v>23</v>
      </c>
      <c r="X2005" s="75"/>
      <c r="Y2005" s="75"/>
      <c r="Z2005" s="75"/>
      <c r="AA2005" s="75"/>
      <c r="AB2005" s="75"/>
      <c r="AC2005" s="75"/>
      <c r="AD2005" s="75"/>
      <c r="AE2005" s="76"/>
      <c r="AF2005" s="76" t="s">
        <v>2042</v>
      </c>
      <c r="AG2005" s="75"/>
      <c r="AH2005" s="168"/>
      <c r="AI2005" s="25"/>
      <c r="AJ2005" s="25"/>
      <c r="AK2005" s="27"/>
      <c r="AL2005" s="168" t="s">
        <v>4344</v>
      </c>
      <c r="AM2005" s="72"/>
      <c r="AN2005" s="72"/>
      <c r="AO2005" s="72"/>
      <c r="AP2005" s="72"/>
      <c r="AQ2005" s="72"/>
      <c r="AR2005" s="72"/>
      <c r="AS2005" s="72"/>
      <c r="AT2005" s="72"/>
      <c r="AV2005" s="71"/>
      <c r="AW2005" s="71"/>
      <c r="AX2005" s="171"/>
      <c r="AY2005" s="172"/>
      <c r="AZ2005" s="72"/>
      <c r="BA2005" s="72"/>
      <c r="BB2005" s="72"/>
      <c r="BC2005" s="72"/>
      <c r="BD2005" s="72"/>
      <c r="BE2005" s="72"/>
      <c r="BF2005" s="72"/>
      <c r="BG2005" s="72"/>
      <c r="BI2005" s="71"/>
      <c r="BJ2005" s="71"/>
      <c r="BK2005" s="171"/>
      <c r="BM2005" s="72"/>
      <c r="BN2005" s="72"/>
      <c r="BO2005" s="72"/>
      <c r="BP2005" s="72"/>
      <c r="BQ2005" s="72"/>
      <c r="BR2005" s="72"/>
      <c r="BS2005" s="72"/>
      <c r="BT2005" s="72"/>
      <c r="BU2005" s="71"/>
      <c r="BV2005" s="71"/>
      <c r="BW2005" s="71"/>
      <c r="BX2005" s="171"/>
      <c r="BY2005" s="172"/>
      <c r="BZ2005" s="72"/>
      <c r="CA2005" s="72"/>
      <c r="CB2005" s="72"/>
      <c r="CC2005" s="72"/>
      <c r="CD2005" s="72"/>
      <c r="CE2005" s="72"/>
      <c r="CF2005" s="72"/>
      <c r="CG2005" s="72"/>
      <c r="CH2005" s="73"/>
      <c r="CI2005" s="71" t="s">
        <v>397</v>
      </c>
      <c r="CJ2005" s="71" t="s">
        <v>750</v>
      </c>
      <c r="CK2005" s="171"/>
      <c r="CL2005" s="72"/>
      <c r="CM2005" s="72"/>
      <c r="CN2005" s="72"/>
      <c r="CO2005" s="71"/>
      <c r="CQ2005" s="71"/>
      <c r="CR2005" s="171"/>
      <c r="CT2005" s="77"/>
      <c r="CU2005" s="77"/>
      <c r="CV2005" s="77"/>
      <c r="CW2005" s="77"/>
      <c r="CX2005" s="77"/>
      <c r="CY2005" s="77"/>
      <c r="CZ2005" s="77"/>
      <c r="DA2005" s="77"/>
      <c r="DB2005" s="77"/>
      <c r="DC2005" s="72"/>
      <c r="DE2005" s="74" t="s">
        <v>548</v>
      </c>
    </row>
    <row r="2006" spans="1:109" s="74" customFormat="1" x14ac:dyDescent="0.2">
      <c r="A2006" s="73" t="s">
        <v>4293</v>
      </c>
      <c r="B2006" s="73" t="s">
        <v>22</v>
      </c>
      <c r="C2006" s="73">
        <f t="shared" si="181"/>
        <v>300400002</v>
      </c>
      <c r="D2006" s="74" t="s">
        <v>4294</v>
      </c>
      <c r="E2006" s="170" t="s">
        <v>3518</v>
      </c>
      <c r="F2006" s="170"/>
      <c r="G2006" s="170"/>
      <c r="H2006" s="170"/>
      <c r="I2006" s="75" t="s">
        <v>4303</v>
      </c>
      <c r="J2006" s="75" t="s">
        <v>548</v>
      </c>
      <c r="K2006" s="75"/>
      <c r="L2006" s="75"/>
      <c r="M2006" s="75"/>
      <c r="N2006" s="75" t="s">
        <v>819</v>
      </c>
      <c r="O2006" s="165" t="s">
        <v>4307</v>
      </c>
      <c r="P2006" s="75"/>
      <c r="Q2006" s="75" t="s">
        <v>2041</v>
      </c>
      <c r="R2006" s="75"/>
      <c r="S2006" s="75"/>
      <c r="T2006" s="75" t="s">
        <v>811</v>
      </c>
      <c r="U2006" s="124" t="s">
        <v>4296</v>
      </c>
      <c r="V2006" s="75" t="s">
        <v>819</v>
      </c>
      <c r="W2006" s="75" t="s">
        <v>23</v>
      </c>
      <c r="X2006" s="75"/>
      <c r="Y2006" s="75"/>
      <c r="Z2006" s="75"/>
      <c r="AA2006" s="75"/>
      <c r="AB2006" s="75"/>
      <c r="AC2006" s="75"/>
      <c r="AD2006" s="75"/>
      <c r="AE2006" s="76"/>
      <c r="AF2006" s="76" t="s">
        <v>2042</v>
      </c>
      <c r="AG2006" s="75"/>
      <c r="AH2006" s="168"/>
      <c r="AI2006" s="25"/>
      <c r="AJ2006" s="25"/>
      <c r="AK2006" s="27"/>
      <c r="AL2006" s="168" t="s">
        <v>4344</v>
      </c>
      <c r="AM2006" s="72"/>
      <c r="AN2006" s="72"/>
      <c r="AO2006" s="72"/>
      <c r="AP2006" s="72"/>
      <c r="AQ2006" s="72"/>
      <c r="AR2006" s="72"/>
      <c r="AS2006" s="72"/>
      <c r="AT2006" s="72"/>
      <c r="AV2006" s="71"/>
      <c r="AW2006" s="71"/>
      <c r="AX2006" s="171"/>
      <c r="AY2006" s="172"/>
      <c r="AZ2006" s="72"/>
      <c r="BA2006" s="72"/>
      <c r="BB2006" s="72"/>
      <c r="BC2006" s="72"/>
      <c r="BD2006" s="72"/>
      <c r="BE2006" s="72"/>
      <c r="BF2006" s="72"/>
      <c r="BG2006" s="72"/>
      <c r="BI2006" s="71"/>
      <c r="BJ2006" s="71"/>
      <c r="BK2006" s="171"/>
      <c r="BM2006" s="72"/>
      <c r="BN2006" s="72"/>
      <c r="BO2006" s="72"/>
      <c r="BP2006" s="72"/>
      <c r="BQ2006" s="72"/>
      <c r="BR2006" s="72"/>
      <c r="BS2006" s="72"/>
      <c r="BT2006" s="72"/>
      <c r="BU2006" s="71"/>
      <c r="BV2006" s="71"/>
      <c r="BW2006" s="71"/>
      <c r="BX2006" s="171"/>
      <c r="BY2006" s="172"/>
      <c r="BZ2006" s="72"/>
      <c r="CA2006" s="72"/>
      <c r="CB2006" s="72"/>
      <c r="CC2006" s="72"/>
      <c r="CD2006" s="72"/>
      <c r="CE2006" s="72"/>
      <c r="CF2006" s="72"/>
      <c r="CG2006" s="72"/>
      <c r="CH2006" s="73"/>
      <c r="CI2006" s="71" t="s">
        <v>397</v>
      </c>
      <c r="CJ2006" s="71" t="s">
        <v>750</v>
      </c>
      <c r="CK2006" s="171"/>
      <c r="CL2006" s="72"/>
      <c r="CM2006" s="72"/>
      <c r="CN2006" s="72"/>
      <c r="CO2006" s="71"/>
      <c r="CQ2006" s="71"/>
      <c r="CR2006" s="171"/>
      <c r="CT2006" s="77"/>
      <c r="CU2006" s="77"/>
      <c r="CV2006" s="77"/>
      <c r="CW2006" s="77"/>
      <c r="CX2006" s="77"/>
      <c r="CY2006" s="77"/>
      <c r="CZ2006" s="77"/>
      <c r="DA2006" s="77"/>
      <c r="DB2006" s="77"/>
      <c r="DC2006" s="72"/>
      <c r="DE2006" s="74" t="s">
        <v>548</v>
      </c>
    </row>
    <row r="2007" spans="1:109" s="74" customFormat="1" x14ac:dyDescent="0.2">
      <c r="A2007" s="73" t="s">
        <v>4293</v>
      </c>
      <c r="B2007" s="73" t="s">
        <v>122</v>
      </c>
      <c r="C2007" s="73">
        <f t="shared" si="181"/>
        <v>300400003</v>
      </c>
      <c r="D2007" s="74" t="s">
        <v>4294</v>
      </c>
      <c r="E2007" s="170" t="s">
        <v>1910</v>
      </c>
      <c r="F2007" s="170"/>
      <c r="G2007" s="170"/>
      <c r="H2007" s="170"/>
      <c r="I2007" s="75" t="s">
        <v>4304</v>
      </c>
      <c r="J2007" s="75" t="s">
        <v>548</v>
      </c>
      <c r="K2007" s="75"/>
      <c r="L2007" s="75"/>
      <c r="M2007" s="75"/>
      <c r="N2007" s="75" t="s">
        <v>819</v>
      </c>
      <c r="O2007" s="165" t="s">
        <v>4307</v>
      </c>
      <c r="P2007" s="75"/>
      <c r="Q2007" s="75" t="s">
        <v>2041</v>
      </c>
      <c r="R2007" s="75"/>
      <c r="S2007" s="75"/>
      <c r="T2007" s="75" t="s">
        <v>811</v>
      </c>
      <c r="U2007" s="124" t="s">
        <v>4297</v>
      </c>
      <c r="V2007" s="75" t="s">
        <v>819</v>
      </c>
      <c r="W2007" s="75" t="s">
        <v>23</v>
      </c>
      <c r="X2007" s="75"/>
      <c r="Y2007" s="75"/>
      <c r="Z2007" s="75"/>
      <c r="AA2007" s="75"/>
      <c r="AB2007" s="75"/>
      <c r="AC2007" s="75"/>
      <c r="AD2007" s="75"/>
      <c r="AE2007" s="76"/>
      <c r="AF2007" s="76" t="s">
        <v>2042</v>
      </c>
      <c r="AG2007" s="75"/>
      <c r="AH2007" s="168"/>
      <c r="AI2007" s="25"/>
      <c r="AJ2007" s="25"/>
      <c r="AK2007" s="27"/>
      <c r="AL2007" s="168" t="s">
        <v>4344</v>
      </c>
      <c r="AM2007" s="72"/>
      <c r="AN2007" s="72"/>
      <c r="AO2007" s="72"/>
      <c r="AP2007" s="72"/>
      <c r="AQ2007" s="72"/>
      <c r="AR2007" s="72"/>
      <c r="AS2007" s="72"/>
      <c r="AT2007" s="72"/>
      <c r="AV2007" s="71"/>
      <c r="AW2007" s="71"/>
      <c r="AX2007" s="171"/>
      <c r="AY2007" s="172"/>
      <c r="AZ2007" s="72"/>
      <c r="BA2007" s="72"/>
      <c r="BB2007" s="72"/>
      <c r="BC2007" s="72"/>
      <c r="BD2007" s="72"/>
      <c r="BE2007" s="72"/>
      <c r="BF2007" s="72"/>
      <c r="BG2007" s="72"/>
      <c r="BI2007" s="71"/>
      <c r="BJ2007" s="71"/>
      <c r="BK2007" s="171"/>
      <c r="BM2007" s="72"/>
      <c r="BN2007" s="72"/>
      <c r="BO2007" s="72"/>
      <c r="BP2007" s="72"/>
      <c r="BQ2007" s="72"/>
      <c r="BR2007" s="72"/>
      <c r="BS2007" s="72"/>
      <c r="BT2007" s="72"/>
      <c r="BU2007" s="71"/>
      <c r="BV2007" s="71"/>
      <c r="BW2007" s="71"/>
      <c r="BX2007" s="171"/>
      <c r="BY2007" s="172"/>
      <c r="BZ2007" s="72"/>
      <c r="CA2007" s="72"/>
      <c r="CB2007" s="72"/>
      <c r="CC2007" s="72"/>
      <c r="CD2007" s="72"/>
      <c r="CE2007" s="72"/>
      <c r="CF2007" s="72"/>
      <c r="CG2007" s="72"/>
      <c r="CH2007" s="73"/>
      <c r="CI2007" s="71" t="s">
        <v>397</v>
      </c>
      <c r="CJ2007" s="71" t="s">
        <v>750</v>
      </c>
      <c r="CK2007" s="171"/>
      <c r="CL2007" s="72"/>
      <c r="CM2007" s="72"/>
      <c r="CN2007" s="72"/>
      <c r="CO2007" s="71"/>
      <c r="CQ2007" s="71"/>
      <c r="CR2007" s="171"/>
      <c r="CT2007" s="77"/>
      <c r="CU2007" s="77"/>
      <c r="CV2007" s="77"/>
      <c r="CW2007" s="77"/>
      <c r="CX2007" s="77"/>
      <c r="CY2007" s="77"/>
      <c r="CZ2007" s="77"/>
      <c r="DA2007" s="77"/>
      <c r="DB2007" s="77"/>
      <c r="DC2007" s="72"/>
      <c r="DE2007" s="74" t="s">
        <v>548</v>
      </c>
    </row>
    <row r="2008" spans="1:109" s="74" customFormat="1" x14ac:dyDescent="0.2">
      <c r="A2008" s="73" t="s">
        <v>4293</v>
      </c>
      <c r="B2008" s="73" t="s">
        <v>23</v>
      </c>
      <c r="C2008" s="73">
        <f t="shared" si="181"/>
        <v>300400004</v>
      </c>
      <c r="D2008" s="74" t="s">
        <v>4294</v>
      </c>
      <c r="E2008" s="170" t="s">
        <v>1620</v>
      </c>
      <c r="F2008" s="170"/>
      <c r="G2008" s="170"/>
      <c r="H2008" s="170"/>
      <c r="I2008" s="75" t="s">
        <v>4305</v>
      </c>
      <c r="J2008" s="75" t="s">
        <v>548</v>
      </c>
      <c r="K2008" s="75"/>
      <c r="L2008" s="75"/>
      <c r="M2008" s="75"/>
      <c r="N2008" s="75" t="s">
        <v>819</v>
      </c>
      <c r="O2008" s="165" t="s">
        <v>4307</v>
      </c>
      <c r="P2008" s="75"/>
      <c r="Q2008" s="75" t="s">
        <v>2041</v>
      </c>
      <c r="R2008" s="75"/>
      <c r="S2008" s="75"/>
      <c r="T2008" s="75" t="s">
        <v>811</v>
      </c>
      <c r="U2008" s="124" t="s">
        <v>4298</v>
      </c>
      <c r="V2008" s="75" t="s">
        <v>819</v>
      </c>
      <c r="W2008" s="75" t="s">
        <v>23</v>
      </c>
      <c r="X2008" s="75"/>
      <c r="Y2008" s="75"/>
      <c r="Z2008" s="75"/>
      <c r="AA2008" s="75"/>
      <c r="AB2008" s="75"/>
      <c r="AC2008" s="75"/>
      <c r="AD2008" s="75"/>
      <c r="AE2008" s="76"/>
      <c r="AF2008" s="76" t="s">
        <v>2042</v>
      </c>
      <c r="AG2008" s="75"/>
      <c r="AH2008" s="168"/>
      <c r="AI2008" s="25"/>
      <c r="AJ2008" s="25"/>
      <c r="AK2008" s="27"/>
      <c r="AL2008" s="168" t="s">
        <v>4344</v>
      </c>
      <c r="AM2008" s="72"/>
      <c r="AN2008" s="72"/>
      <c r="AO2008" s="72"/>
      <c r="AP2008" s="72"/>
      <c r="AQ2008" s="72"/>
      <c r="AR2008" s="72"/>
      <c r="AS2008" s="72"/>
      <c r="AT2008" s="72"/>
      <c r="AV2008" s="71"/>
      <c r="AW2008" s="71"/>
      <c r="AX2008" s="171"/>
      <c r="AY2008" s="172"/>
      <c r="AZ2008" s="72"/>
      <c r="BA2008" s="72"/>
      <c r="BB2008" s="72"/>
      <c r="BC2008" s="72"/>
      <c r="BD2008" s="72"/>
      <c r="BE2008" s="72"/>
      <c r="BF2008" s="72"/>
      <c r="BG2008" s="72"/>
      <c r="BI2008" s="71"/>
      <c r="BJ2008" s="71"/>
      <c r="BK2008" s="171"/>
      <c r="BM2008" s="72"/>
      <c r="BN2008" s="72"/>
      <c r="BO2008" s="72"/>
      <c r="BP2008" s="72"/>
      <c r="BQ2008" s="72"/>
      <c r="BR2008" s="72"/>
      <c r="BS2008" s="72"/>
      <c r="BT2008" s="72"/>
      <c r="BU2008" s="71"/>
      <c r="BV2008" s="71"/>
      <c r="BW2008" s="71"/>
      <c r="BX2008" s="171"/>
      <c r="BY2008" s="172"/>
      <c r="BZ2008" s="72"/>
      <c r="CA2008" s="72"/>
      <c r="CB2008" s="72"/>
      <c r="CC2008" s="72"/>
      <c r="CD2008" s="72"/>
      <c r="CE2008" s="72"/>
      <c r="CF2008" s="72"/>
      <c r="CG2008" s="72"/>
      <c r="CH2008" s="73"/>
      <c r="CI2008" s="71" t="s">
        <v>397</v>
      </c>
      <c r="CJ2008" s="71" t="s">
        <v>750</v>
      </c>
      <c r="CK2008" s="171"/>
      <c r="CL2008" s="72"/>
      <c r="CM2008" s="72"/>
      <c r="CN2008" s="72"/>
      <c r="CO2008" s="71"/>
      <c r="CQ2008" s="71"/>
      <c r="CR2008" s="171"/>
      <c r="CT2008" s="77"/>
      <c r="CU2008" s="77"/>
      <c r="CV2008" s="77"/>
      <c r="CW2008" s="77"/>
      <c r="CX2008" s="77"/>
      <c r="CY2008" s="77"/>
      <c r="CZ2008" s="77"/>
      <c r="DA2008" s="77"/>
      <c r="DB2008" s="77"/>
      <c r="DC2008" s="72"/>
      <c r="DE2008" s="74" t="s">
        <v>548</v>
      </c>
    </row>
    <row r="2009" spans="1:109" s="74" customFormat="1" x14ac:dyDescent="0.2">
      <c r="A2009" s="73" t="s">
        <v>4293</v>
      </c>
      <c r="B2009" s="73" t="s">
        <v>123</v>
      </c>
      <c r="C2009" s="73">
        <f t="shared" si="181"/>
        <v>300400005</v>
      </c>
      <c r="D2009" s="74" t="s">
        <v>4294</v>
      </c>
      <c r="E2009" s="170" t="s">
        <v>4265</v>
      </c>
      <c r="F2009" s="170"/>
      <c r="G2009" s="170"/>
      <c r="H2009" s="170"/>
      <c r="I2009" s="75" t="s">
        <v>4306</v>
      </c>
      <c r="J2009" s="75" t="s">
        <v>548</v>
      </c>
      <c r="K2009" s="75"/>
      <c r="L2009" s="75"/>
      <c r="M2009" s="75"/>
      <c r="N2009" s="75" t="s">
        <v>819</v>
      </c>
      <c r="O2009" s="165" t="s">
        <v>4307</v>
      </c>
      <c r="P2009" s="75"/>
      <c r="Q2009" s="75" t="s">
        <v>2041</v>
      </c>
      <c r="R2009" s="75"/>
      <c r="S2009" s="75"/>
      <c r="T2009" s="75" t="s">
        <v>811</v>
      </c>
      <c r="U2009" s="124" t="s">
        <v>4299</v>
      </c>
      <c r="V2009" s="75" t="s">
        <v>819</v>
      </c>
      <c r="W2009" s="75" t="s">
        <v>23</v>
      </c>
      <c r="X2009" s="75"/>
      <c r="Y2009" s="75"/>
      <c r="Z2009" s="75"/>
      <c r="AA2009" s="75"/>
      <c r="AB2009" s="75"/>
      <c r="AC2009" s="75"/>
      <c r="AD2009" s="75"/>
      <c r="AE2009" s="76"/>
      <c r="AF2009" s="76" t="s">
        <v>2042</v>
      </c>
      <c r="AG2009" s="75"/>
      <c r="AH2009" s="168"/>
      <c r="AI2009" s="25"/>
      <c r="AJ2009" s="25"/>
      <c r="AK2009" s="27"/>
      <c r="AL2009" s="168" t="s">
        <v>4344</v>
      </c>
      <c r="AM2009" s="72"/>
      <c r="AN2009" s="72"/>
      <c r="AO2009" s="72"/>
      <c r="AP2009" s="72"/>
      <c r="AQ2009" s="72"/>
      <c r="AR2009" s="72"/>
      <c r="AS2009" s="72"/>
      <c r="AT2009" s="72"/>
      <c r="AV2009" s="71"/>
      <c r="AW2009" s="71"/>
      <c r="AX2009" s="171"/>
      <c r="AY2009" s="172"/>
      <c r="AZ2009" s="72"/>
      <c r="BA2009" s="72"/>
      <c r="BB2009" s="72"/>
      <c r="BC2009" s="72"/>
      <c r="BD2009" s="72"/>
      <c r="BE2009" s="72"/>
      <c r="BF2009" s="72"/>
      <c r="BG2009" s="72"/>
      <c r="BI2009" s="71"/>
      <c r="BJ2009" s="71"/>
      <c r="BK2009" s="171"/>
      <c r="BM2009" s="72"/>
      <c r="BN2009" s="72"/>
      <c r="BO2009" s="72"/>
      <c r="BP2009" s="72"/>
      <c r="BQ2009" s="72"/>
      <c r="BR2009" s="72"/>
      <c r="BS2009" s="72"/>
      <c r="BT2009" s="72"/>
      <c r="BU2009" s="71"/>
      <c r="BV2009" s="71"/>
      <c r="BW2009" s="71"/>
      <c r="BX2009" s="171"/>
      <c r="BY2009" s="172"/>
      <c r="BZ2009" s="72"/>
      <c r="CA2009" s="72"/>
      <c r="CB2009" s="72"/>
      <c r="CC2009" s="72"/>
      <c r="CD2009" s="72"/>
      <c r="CE2009" s="72"/>
      <c r="CF2009" s="72"/>
      <c r="CG2009" s="72"/>
      <c r="CH2009" s="73"/>
      <c r="CI2009" s="71" t="s">
        <v>397</v>
      </c>
      <c r="CJ2009" s="71" t="s">
        <v>750</v>
      </c>
      <c r="CK2009" s="171"/>
      <c r="CL2009" s="72"/>
      <c r="CM2009" s="72"/>
      <c r="CN2009" s="72"/>
      <c r="CO2009" s="71"/>
      <c r="CQ2009" s="71"/>
      <c r="CR2009" s="171"/>
      <c r="CT2009" s="77"/>
      <c r="CU2009" s="77"/>
      <c r="CV2009" s="77"/>
      <c r="CW2009" s="77"/>
      <c r="CX2009" s="77"/>
      <c r="CY2009" s="77"/>
      <c r="CZ2009" s="77"/>
      <c r="DA2009" s="77"/>
      <c r="DB2009" s="77"/>
      <c r="DC2009" s="72"/>
      <c r="DE2009" s="74" t="s">
        <v>548</v>
      </c>
    </row>
    <row r="2010" spans="1:109" s="74" customFormat="1" x14ac:dyDescent="0.2">
      <c r="A2010" s="73" t="s">
        <v>4293</v>
      </c>
      <c r="B2010" s="73" t="s">
        <v>120</v>
      </c>
      <c r="C2010" s="73">
        <f t="shared" ref="C2010:C2018" si="182">A2010*10000+B2010</f>
        <v>300400006</v>
      </c>
      <c r="D2010" s="74" t="s">
        <v>4294</v>
      </c>
      <c r="E2010" s="170" t="s">
        <v>3371</v>
      </c>
      <c r="F2010" s="170"/>
      <c r="G2010" s="170"/>
      <c r="H2010" s="170"/>
      <c r="I2010" s="75" t="s">
        <v>4304</v>
      </c>
      <c r="J2010" s="75" t="s">
        <v>548</v>
      </c>
      <c r="K2010" s="75"/>
      <c r="L2010" s="75"/>
      <c r="M2010" s="75"/>
      <c r="N2010" s="75" t="s">
        <v>819</v>
      </c>
      <c r="O2010" s="165" t="s">
        <v>4307</v>
      </c>
      <c r="P2010" s="75"/>
      <c r="Q2010" s="75" t="s">
        <v>2041</v>
      </c>
      <c r="R2010" s="75"/>
      <c r="S2010" s="75"/>
      <c r="T2010" s="75" t="s">
        <v>811</v>
      </c>
      <c r="U2010" s="124" t="s">
        <v>4300</v>
      </c>
      <c r="V2010" s="75" t="s">
        <v>819</v>
      </c>
      <c r="W2010" s="75" t="s">
        <v>23</v>
      </c>
      <c r="X2010" s="75"/>
      <c r="Y2010" s="75"/>
      <c r="Z2010" s="75"/>
      <c r="AA2010" s="75"/>
      <c r="AB2010" s="75"/>
      <c r="AC2010" s="75"/>
      <c r="AD2010" s="75"/>
      <c r="AE2010" s="76"/>
      <c r="AF2010" s="76" t="s">
        <v>2042</v>
      </c>
      <c r="AG2010" s="75"/>
      <c r="AH2010" s="168"/>
      <c r="AI2010" s="25"/>
      <c r="AJ2010" s="25"/>
      <c r="AK2010" s="27"/>
      <c r="AL2010" s="168" t="s">
        <v>4344</v>
      </c>
      <c r="AM2010" s="72"/>
      <c r="AN2010" s="72"/>
      <c r="AO2010" s="72"/>
      <c r="AP2010" s="72"/>
      <c r="AQ2010" s="72"/>
      <c r="AR2010" s="72"/>
      <c r="AS2010" s="72"/>
      <c r="AT2010" s="72"/>
      <c r="AV2010" s="71"/>
      <c r="AW2010" s="71"/>
      <c r="AX2010" s="171"/>
      <c r="AY2010" s="172"/>
      <c r="AZ2010" s="72"/>
      <c r="BA2010" s="72"/>
      <c r="BB2010" s="72"/>
      <c r="BC2010" s="72"/>
      <c r="BD2010" s="72"/>
      <c r="BE2010" s="72"/>
      <c r="BF2010" s="72"/>
      <c r="BG2010" s="72"/>
      <c r="BI2010" s="71"/>
      <c r="BJ2010" s="71"/>
      <c r="BK2010" s="171"/>
      <c r="BM2010" s="72"/>
      <c r="BN2010" s="72"/>
      <c r="BO2010" s="72"/>
      <c r="BP2010" s="72"/>
      <c r="BQ2010" s="72"/>
      <c r="BR2010" s="72"/>
      <c r="BS2010" s="72"/>
      <c r="BT2010" s="72"/>
      <c r="BU2010" s="71"/>
      <c r="BV2010" s="71"/>
      <c r="BW2010" s="71"/>
      <c r="BX2010" s="171"/>
      <c r="BY2010" s="172"/>
      <c r="BZ2010" s="72"/>
      <c r="CA2010" s="72"/>
      <c r="CB2010" s="72"/>
      <c r="CC2010" s="72"/>
      <c r="CD2010" s="72"/>
      <c r="CE2010" s="72"/>
      <c r="CF2010" s="72"/>
      <c r="CG2010" s="72"/>
      <c r="CH2010" s="73"/>
      <c r="CI2010" s="71" t="s">
        <v>397</v>
      </c>
      <c r="CJ2010" s="71" t="s">
        <v>750</v>
      </c>
      <c r="CK2010" s="171"/>
      <c r="CL2010" s="72"/>
      <c r="CM2010" s="72"/>
      <c r="CN2010" s="72"/>
      <c r="CO2010" s="71"/>
      <c r="CQ2010" s="71"/>
      <c r="CR2010" s="171"/>
      <c r="CT2010" s="77"/>
      <c r="CU2010" s="77"/>
      <c r="CV2010" s="77"/>
      <c r="CW2010" s="77"/>
      <c r="CX2010" s="77"/>
      <c r="CY2010" s="77"/>
      <c r="CZ2010" s="77"/>
      <c r="DA2010" s="77"/>
      <c r="DB2010" s="77"/>
      <c r="DC2010" s="72"/>
      <c r="DE2010" s="74" t="s">
        <v>548</v>
      </c>
    </row>
    <row r="2011" spans="1:109" s="74" customFormat="1" x14ac:dyDescent="0.2">
      <c r="A2011" s="73" t="s">
        <v>4293</v>
      </c>
      <c r="B2011" s="73" t="s">
        <v>171</v>
      </c>
      <c r="C2011" s="73">
        <f t="shared" si="182"/>
        <v>300400007</v>
      </c>
      <c r="D2011" s="74" t="s">
        <v>4294</v>
      </c>
      <c r="E2011" s="170" t="s">
        <v>977</v>
      </c>
      <c r="F2011" s="170"/>
      <c r="G2011" s="170"/>
      <c r="H2011" s="170"/>
      <c r="I2011" s="75" t="s">
        <v>1393</v>
      </c>
      <c r="J2011" s="75" t="s">
        <v>548</v>
      </c>
      <c r="K2011" s="75"/>
      <c r="L2011" s="75"/>
      <c r="M2011" s="75"/>
      <c r="N2011" s="75" t="s">
        <v>819</v>
      </c>
      <c r="O2011" s="165" t="s">
        <v>4307</v>
      </c>
      <c r="P2011" s="75"/>
      <c r="Q2011" s="75" t="s">
        <v>2041</v>
      </c>
      <c r="R2011" s="75"/>
      <c r="S2011" s="75"/>
      <c r="T2011" s="75" t="s">
        <v>811</v>
      </c>
      <c r="U2011" s="124" t="s">
        <v>4301</v>
      </c>
      <c r="V2011" s="75" t="s">
        <v>819</v>
      </c>
      <c r="W2011" s="75" t="s">
        <v>23</v>
      </c>
      <c r="X2011" s="75"/>
      <c r="Y2011" s="75"/>
      <c r="Z2011" s="75"/>
      <c r="AA2011" s="75"/>
      <c r="AB2011" s="75"/>
      <c r="AC2011" s="75"/>
      <c r="AD2011" s="75"/>
      <c r="AE2011" s="76"/>
      <c r="AF2011" s="76" t="s">
        <v>2042</v>
      </c>
      <c r="AG2011" s="75"/>
      <c r="AH2011" s="168"/>
      <c r="AI2011" s="25"/>
      <c r="AJ2011" s="25"/>
      <c r="AK2011" s="27"/>
      <c r="AL2011" s="168" t="s">
        <v>4344</v>
      </c>
      <c r="AM2011" s="72"/>
      <c r="AN2011" s="72"/>
      <c r="AO2011" s="72"/>
      <c r="AP2011" s="72"/>
      <c r="AQ2011" s="72"/>
      <c r="AR2011" s="72"/>
      <c r="AS2011" s="72"/>
      <c r="AT2011" s="72"/>
      <c r="AV2011" s="71"/>
      <c r="AW2011" s="71"/>
      <c r="AX2011" s="171"/>
      <c r="AY2011" s="172"/>
      <c r="AZ2011" s="72"/>
      <c r="BA2011" s="72"/>
      <c r="BB2011" s="72"/>
      <c r="BC2011" s="72"/>
      <c r="BD2011" s="72"/>
      <c r="BE2011" s="72"/>
      <c r="BF2011" s="72"/>
      <c r="BG2011" s="72"/>
      <c r="BI2011" s="71"/>
      <c r="BJ2011" s="71"/>
      <c r="BK2011" s="171"/>
      <c r="BM2011" s="72"/>
      <c r="BN2011" s="72"/>
      <c r="BO2011" s="72"/>
      <c r="BP2011" s="72"/>
      <c r="BQ2011" s="72"/>
      <c r="BR2011" s="72"/>
      <c r="BS2011" s="72"/>
      <c r="BT2011" s="72"/>
      <c r="BU2011" s="71"/>
      <c r="BV2011" s="71"/>
      <c r="BW2011" s="71"/>
      <c r="BX2011" s="171"/>
      <c r="BY2011" s="172"/>
      <c r="BZ2011" s="72"/>
      <c r="CA2011" s="72"/>
      <c r="CB2011" s="72"/>
      <c r="CC2011" s="72"/>
      <c r="CD2011" s="72"/>
      <c r="CE2011" s="72"/>
      <c r="CF2011" s="72"/>
      <c r="CG2011" s="72"/>
      <c r="CH2011" s="73"/>
      <c r="CI2011" s="71" t="s">
        <v>397</v>
      </c>
      <c r="CJ2011" s="71" t="s">
        <v>750</v>
      </c>
      <c r="CK2011" s="171"/>
      <c r="CL2011" s="72"/>
      <c r="CM2011" s="72"/>
      <c r="CN2011" s="72"/>
      <c r="CO2011" s="71"/>
      <c r="CQ2011" s="71"/>
      <c r="CR2011" s="171"/>
      <c r="CT2011" s="77"/>
      <c r="CU2011" s="77"/>
      <c r="CV2011" s="77"/>
      <c r="CW2011" s="77"/>
      <c r="CX2011" s="77"/>
      <c r="CY2011" s="77"/>
      <c r="CZ2011" s="77"/>
      <c r="DA2011" s="77"/>
      <c r="DB2011" s="77"/>
      <c r="DC2011" s="72"/>
      <c r="DE2011" s="74" t="s">
        <v>548</v>
      </c>
    </row>
    <row r="2012" spans="1:109" s="74" customFormat="1" x14ac:dyDescent="0.2">
      <c r="A2012" s="73" t="s">
        <v>4293</v>
      </c>
      <c r="B2012" s="73" t="s">
        <v>137</v>
      </c>
      <c r="C2012" s="73">
        <f t="shared" si="182"/>
        <v>300400008</v>
      </c>
      <c r="D2012" s="74" t="s">
        <v>4294</v>
      </c>
      <c r="E2012" s="170" t="s">
        <v>3373</v>
      </c>
      <c r="F2012" s="170"/>
      <c r="G2012" s="170"/>
      <c r="H2012" s="170"/>
      <c r="I2012" s="75" t="s">
        <v>4305</v>
      </c>
      <c r="J2012" s="75" t="s">
        <v>548</v>
      </c>
      <c r="K2012" s="75"/>
      <c r="L2012" s="75"/>
      <c r="M2012" s="75"/>
      <c r="N2012" s="75" t="s">
        <v>819</v>
      </c>
      <c r="O2012" s="165" t="s">
        <v>4307</v>
      </c>
      <c r="P2012" s="75"/>
      <c r="Q2012" s="75" t="s">
        <v>2041</v>
      </c>
      <c r="R2012" s="75"/>
      <c r="S2012" s="75"/>
      <c r="T2012" s="75" t="s">
        <v>811</v>
      </c>
      <c r="U2012" s="124" t="s">
        <v>4302</v>
      </c>
      <c r="V2012" s="75" t="s">
        <v>819</v>
      </c>
      <c r="W2012" s="75" t="s">
        <v>23</v>
      </c>
      <c r="X2012" s="75"/>
      <c r="Y2012" s="75"/>
      <c r="Z2012" s="75"/>
      <c r="AA2012" s="75"/>
      <c r="AB2012" s="75"/>
      <c r="AC2012" s="75"/>
      <c r="AD2012" s="75"/>
      <c r="AE2012" s="76"/>
      <c r="AF2012" s="76" t="s">
        <v>2042</v>
      </c>
      <c r="AG2012" s="75"/>
      <c r="AH2012" s="168"/>
      <c r="AI2012" s="25"/>
      <c r="AJ2012" s="25"/>
      <c r="AK2012" s="27"/>
      <c r="AL2012" s="168" t="s">
        <v>4344</v>
      </c>
      <c r="AM2012" s="72"/>
      <c r="AN2012" s="72"/>
      <c r="AO2012" s="72"/>
      <c r="AP2012" s="72"/>
      <c r="AQ2012" s="72"/>
      <c r="AR2012" s="72"/>
      <c r="AS2012" s="72"/>
      <c r="AT2012" s="72"/>
      <c r="AV2012" s="71"/>
      <c r="AW2012" s="71"/>
      <c r="AX2012" s="171"/>
      <c r="AY2012" s="172"/>
      <c r="AZ2012" s="72"/>
      <c r="BA2012" s="72"/>
      <c r="BB2012" s="72"/>
      <c r="BC2012" s="72"/>
      <c r="BD2012" s="72"/>
      <c r="BE2012" s="72"/>
      <c r="BF2012" s="72"/>
      <c r="BG2012" s="72"/>
      <c r="BI2012" s="71"/>
      <c r="BJ2012" s="71"/>
      <c r="BK2012" s="171"/>
      <c r="BM2012" s="72"/>
      <c r="BN2012" s="72"/>
      <c r="BO2012" s="72"/>
      <c r="BP2012" s="72"/>
      <c r="BQ2012" s="72"/>
      <c r="BR2012" s="72"/>
      <c r="BS2012" s="72"/>
      <c r="BT2012" s="72"/>
      <c r="BU2012" s="71"/>
      <c r="BV2012" s="71"/>
      <c r="BW2012" s="71"/>
      <c r="BX2012" s="171"/>
      <c r="BY2012" s="172"/>
      <c r="BZ2012" s="72"/>
      <c r="CA2012" s="72"/>
      <c r="CB2012" s="72"/>
      <c r="CC2012" s="72"/>
      <c r="CD2012" s="72"/>
      <c r="CE2012" s="72"/>
      <c r="CF2012" s="72"/>
      <c r="CG2012" s="72"/>
      <c r="CH2012" s="73"/>
      <c r="CI2012" s="71" t="s">
        <v>397</v>
      </c>
      <c r="CJ2012" s="71" t="s">
        <v>750</v>
      </c>
      <c r="CK2012" s="171"/>
      <c r="CL2012" s="72"/>
      <c r="CM2012" s="72"/>
      <c r="CN2012" s="72"/>
      <c r="CO2012" s="71"/>
      <c r="CQ2012" s="71"/>
      <c r="CR2012" s="171"/>
      <c r="CT2012" s="77"/>
      <c r="CU2012" s="77"/>
      <c r="CV2012" s="77"/>
      <c r="CW2012" s="77"/>
      <c r="CX2012" s="77"/>
      <c r="CY2012" s="77"/>
      <c r="CZ2012" s="77"/>
      <c r="DA2012" s="77"/>
      <c r="DB2012" s="77"/>
      <c r="DC2012" s="72"/>
      <c r="DE2012" s="74" t="s">
        <v>548</v>
      </c>
    </row>
    <row r="2013" spans="1:109" s="74" customFormat="1" x14ac:dyDescent="0.2">
      <c r="A2013" s="73" t="s">
        <v>4293</v>
      </c>
      <c r="B2013" s="73" t="s">
        <v>145</v>
      </c>
      <c r="C2013" s="73">
        <f t="shared" si="182"/>
        <v>300400009</v>
      </c>
      <c r="D2013" s="74" t="s">
        <v>4294</v>
      </c>
      <c r="E2013" s="170" t="s">
        <v>3373</v>
      </c>
      <c r="F2013" s="170"/>
      <c r="G2013" s="170"/>
      <c r="H2013" s="170"/>
      <c r="I2013" s="75" t="s">
        <v>4305</v>
      </c>
      <c r="J2013" s="75" t="s">
        <v>550</v>
      </c>
      <c r="K2013" s="75"/>
      <c r="L2013" s="75"/>
      <c r="M2013" s="75"/>
      <c r="N2013" s="75" t="s">
        <v>819</v>
      </c>
      <c r="O2013" s="165" t="s">
        <v>4307</v>
      </c>
      <c r="P2013" s="75"/>
      <c r="Q2013" s="75" t="s">
        <v>2041</v>
      </c>
      <c r="R2013" s="75"/>
      <c r="S2013" s="75"/>
      <c r="T2013" s="75" t="s">
        <v>811</v>
      </c>
      <c r="U2013" s="124" t="s">
        <v>4313</v>
      </c>
      <c r="V2013" s="75" t="s">
        <v>819</v>
      </c>
      <c r="W2013" s="75" t="s">
        <v>23</v>
      </c>
      <c r="X2013" s="75"/>
      <c r="Y2013" s="75"/>
      <c r="Z2013" s="75"/>
      <c r="AA2013" s="75"/>
      <c r="AB2013" s="75"/>
      <c r="AC2013" s="75"/>
      <c r="AD2013" s="75"/>
      <c r="AE2013" s="76"/>
      <c r="AF2013" s="76" t="s">
        <v>2041</v>
      </c>
      <c r="AG2013" s="75"/>
      <c r="AH2013" s="168"/>
      <c r="AI2013" s="25"/>
      <c r="AJ2013" s="25"/>
      <c r="AK2013" s="27"/>
      <c r="AL2013" s="168" t="s">
        <v>4344</v>
      </c>
      <c r="AM2013" s="72"/>
      <c r="AN2013" s="72"/>
      <c r="AO2013" s="72"/>
      <c r="AP2013" s="72"/>
      <c r="AQ2013" s="72"/>
      <c r="AR2013" s="72"/>
      <c r="AS2013" s="72"/>
      <c r="AT2013" s="72"/>
      <c r="AV2013" s="71"/>
      <c r="AW2013" s="71"/>
      <c r="AX2013" s="171"/>
      <c r="AY2013" s="172"/>
      <c r="AZ2013" s="72"/>
      <c r="BA2013" s="72"/>
      <c r="BB2013" s="72"/>
      <c r="BC2013" s="72"/>
      <c r="BD2013" s="72"/>
      <c r="BE2013" s="72"/>
      <c r="BF2013" s="72"/>
      <c r="BG2013" s="72"/>
      <c r="BI2013" s="71"/>
      <c r="BJ2013" s="71"/>
      <c r="BK2013" s="171"/>
      <c r="BM2013" s="72"/>
      <c r="BN2013" s="72"/>
      <c r="BO2013" s="72"/>
      <c r="BP2013" s="72"/>
      <c r="BQ2013" s="72"/>
      <c r="BR2013" s="72"/>
      <c r="BS2013" s="72"/>
      <c r="BT2013" s="72"/>
      <c r="BU2013" s="71"/>
      <c r="BV2013" s="71"/>
      <c r="BW2013" s="71"/>
      <c r="BX2013" s="171"/>
      <c r="BY2013" s="172"/>
      <c r="BZ2013" s="72"/>
      <c r="CA2013" s="72"/>
      <c r="CB2013" s="72"/>
      <c r="CC2013" s="72"/>
      <c r="CD2013" s="72"/>
      <c r="CE2013" s="72"/>
      <c r="CF2013" s="72"/>
      <c r="CG2013" s="72"/>
      <c r="CH2013" s="73"/>
      <c r="CI2013" s="71" t="s">
        <v>397</v>
      </c>
      <c r="CJ2013" s="71" t="s">
        <v>750</v>
      </c>
      <c r="CK2013" s="171"/>
      <c r="CL2013" s="72"/>
      <c r="CM2013" s="72"/>
      <c r="CN2013" s="72"/>
      <c r="CO2013" s="71"/>
      <c r="CQ2013" s="71"/>
      <c r="CR2013" s="171"/>
      <c r="CT2013" s="77"/>
      <c r="CU2013" s="77"/>
      <c r="CV2013" s="77"/>
      <c r="CW2013" s="77"/>
      <c r="CX2013" s="77"/>
      <c r="CY2013" s="77"/>
      <c r="CZ2013" s="77"/>
      <c r="DA2013" s="77"/>
      <c r="DB2013" s="77"/>
      <c r="DC2013" s="72"/>
      <c r="DE2013" s="74" t="s">
        <v>548</v>
      </c>
    </row>
    <row r="2014" spans="1:109" s="74" customFormat="1" x14ac:dyDescent="0.2">
      <c r="A2014" s="73" t="s">
        <v>4293</v>
      </c>
      <c r="B2014" s="73" t="s">
        <v>146</v>
      </c>
      <c r="C2014" s="73">
        <f t="shared" si="182"/>
        <v>300400010</v>
      </c>
      <c r="D2014" s="74" t="s">
        <v>4294</v>
      </c>
      <c r="E2014" s="170" t="s">
        <v>1425</v>
      </c>
      <c r="F2014" s="170"/>
      <c r="G2014" s="170"/>
      <c r="H2014" s="170"/>
      <c r="I2014" s="75" t="s">
        <v>1445</v>
      </c>
      <c r="J2014" s="75" t="s">
        <v>550</v>
      </c>
      <c r="K2014" s="75"/>
      <c r="L2014" s="75"/>
      <c r="M2014" s="75"/>
      <c r="N2014" s="75" t="s">
        <v>819</v>
      </c>
      <c r="O2014" s="165" t="s">
        <v>4307</v>
      </c>
      <c r="P2014" s="75"/>
      <c r="Q2014" s="75" t="s">
        <v>2041</v>
      </c>
      <c r="R2014" s="75"/>
      <c r="S2014" s="75"/>
      <c r="T2014" s="75" t="s">
        <v>811</v>
      </c>
      <c r="U2014" s="124" t="s">
        <v>4314</v>
      </c>
      <c r="V2014" s="75" t="s">
        <v>819</v>
      </c>
      <c r="W2014" s="75" t="s">
        <v>23</v>
      </c>
      <c r="X2014" s="75"/>
      <c r="Y2014" s="75"/>
      <c r="Z2014" s="75"/>
      <c r="AA2014" s="75"/>
      <c r="AB2014" s="75"/>
      <c r="AC2014" s="75"/>
      <c r="AD2014" s="75"/>
      <c r="AE2014" s="76"/>
      <c r="AF2014" s="76" t="s">
        <v>2041</v>
      </c>
      <c r="AG2014" s="75"/>
      <c r="AH2014" s="168"/>
      <c r="AI2014" s="25"/>
      <c r="AJ2014" s="25"/>
      <c r="AK2014" s="27"/>
      <c r="AL2014" s="168" t="s">
        <v>4344</v>
      </c>
      <c r="AM2014" s="72"/>
      <c r="AN2014" s="72"/>
      <c r="AO2014" s="72"/>
      <c r="AP2014" s="72"/>
      <c r="AQ2014" s="72"/>
      <c r="AR2014" s="72"/>
      <c r="AS2014" s="72"/>
      <c r="AT2014" s="72"/>
      <c r="AV2014" s="71"/>
      <c r="AW2014" s="71"/>
      <c r="AX2014" s="171"/>
      <c r="AY2014" s="172"/>
      <c r="AZ2014" s="72"/>
      <c r="BA2014" s="72"/>
      <c r="BB2014" s="72"/>
      <c r="BC2014" s="72"/>
      <c r="BD2014" s="72"/>
      <c r="BE2014" s="72"/>
      <c r="BF2014" s="72"/>
      <c r="BG2014" s="72"/>
      <c r="BI2014" s="71"/>
      <c r="BJ2014" s="71"/>
      <c r="BK2014" s="171"/>
      <c r="BM2014" s="72"/>
      <c r="BN2014" s="72"/>
      <c r="BO2014" s="72"/>
      <c r="BP2014" s="72"/>
      <c r="BQ2014" s="72"/>
      <c r="BR2014" s="72"/>
      <c r="BS2014" s="72"/>
      <c r="BT2014" s="72"/>
      <c r="BU2014" s="71"/>
      <c r="BV2014" s="71"/>
      <c r="BW2014" s="71"/>
      <c r="BX2014" s="171"/>
      <c r="BY2014" s="172"/>
      <c r="BZ2014" s="72"/>
      <c r="CA2014" s="72"/>
      <c r="CB2014" s="72"/>
      <c r="CC2014" s="72"/>
      <c r="CD2014" s="72"/>
      <c r="CE2014" s="72"/>
      <c r="CF2014" s="72"/>
      <c r="CG2014" s="72"/>
      <c r="CH2014" s="73"/>
      <c r="CI2014" s="71" t="s">
        <v>397</v>
      </c>
      <c r="CJ2014" s="71" t="s">
        <v>750</v>
      </c>
      <c r="CK2014" s="171"/>
      <c r="CL2014" s="72"/>
      <c r="CM2014" s="72"/>
      <c r="CN2014" s="72"/>
      <c r="CO2014" s="71"/>
      <c r="CQ2014" s="71"/>
      <c r="CR2014" s="171"/>
      <c r="CT2014" s="77"/>
      <c r="CU2014" s="77"/>
      <c r="CV2014" s="77"/>
      <c r="CW2014" s="77"/>
      <c r="CX2014" s="77"/>
      <c r="CY2014" s="77"/>
      <c r="CZ2014" s="77"/>
      <c r="DA2014" s="77"/>
      <c r="DB2014" s="77"/>
      <c r="DC2014" s="72"/>
      <c r="DE2014" s="74" t="s">
        <v>548</v>
      </c>
    </row>
    <row r="2015" spans="1:109" s="74" customFormat="1" x14ac:dyDescent="0.2">
      <c r="A2015" s="73" t="s">
        <v>4293</v>
      </c>
      <c r="B2015" s="73" t="s">
        <v>175</v>
      </c>
      <c r="C2015" s="73">
        <f t="shared" si="182"/>
        <v>300400011</v>
      </c>
      <c r="D2015" s="74" t="s">
        <v>4294</v>
      </c>
      <c r="E2015" s="170" t="s">
        <v>4266</v>
      </c>
      <c r="F2015" s="170"/>
      <c r="G2015" s="170"/>
      <c r="H2015" s="170"/>
      <c r="I2015" s="75" t="s">
        <v>3877</v>
      </c>
      <c r="J2015" s="75" t="s">
        <v>550</v>
      </c>
      <c r="K2015" s="75"/>
      <c r="L2015" s="75"/>
      <c r="M2015" s="75"/>
      <c r="N2015" s="75" t="s">
        <v>819</v>
      </c>
      <c r="O2015" s="165" t="s">
        <v>4307</v>
      </c>
      <c r="P2015" s="75"/>
      <c r="Q2015" s="75" t="s">
        <v>2041</v>
      </c>
      <c r="R2015" s="75"/>
      <c r="S2015" s="75"/>
      <c r="T2015" s="75" t="s">
        <v>811</v>
      </c>
      <c r="U2015" s="124" t="s">
        <v>4315</v>
      </c>
      <c r="V2015" s="75" t="s">
        <v>819</v>
      </c>
      <c r="W2015" s="75" t="s">
        <v>23</v>
      </c>
      <c r="X2015" s="75"/>
      <c r="Y2015" s="75"/>
      <c r="Z2015" s="75"/>
      <c r="AA2015" s="75"/>
      <c r="AB2015" s="75"/>
      <c r="AC2015" s="75"/>
      <c r="AD2015" s="75"/>
      <c r="AE2015" s="76"/>
      <c r="AF2015" s="76" t="s">
        <v>2041</v>
      </c>
      <c r="AG2015" s="75"/>
      <c r="AH2015" s="168"/>
      <c r="AI2015" s="25"/>
      <c r="AJ2015" s="25"/>
      <c r="AK2015" s="27"/>
      <c r="AL2015" s="168" t="s">
        <v>4344</v>
      </c>
      <c r="AM2015" s="72"/>
      <c r="AN2015" s="72"/>
      <c r="AO2015" s="72"/>
      <c r="AP2015" s="72"/>
      <c r="AQ2015" s="72"/>
      <c r="AR2015" s="72"/>
      <c r="AS2015" s="72"/>
      <c r="AT2015" s="72"/>
      <c r="AV2015" s="71"/>
      <c r="AW2015" s="71"/>
      <c r="AX2015" s="171"/>
      <c r="AY2015" s="172"/>
      <c r="AZ2015" s="72"/>
      <c r="BA2015" s="72"/>
      <c r="BB2015" s="72"/>
      <c r="BC2015" s="72"/>
      <c r="BD2015" s="72"/>
      <c r="BE2015" s="72"/>
      <c r="BF2015" s="72"/>
      <c r="BG2015" s="72"/>
      <c r="BI2015" s="71"/>
      <c r="BJ2015" s="71"/>
      <c r="BK2015" s="171"/>
      <c r="BM2015" s="72"/>
      <c r="BN2015" s="72"/>
      <c r="BO2015" s="72"/>
      <c r="BP2015" s="72"/>
      <c r="BQ2015" s="72"/>
      <c r="BR2015" s="72"/>
      <c r="BS2015" s="72"/>
      <c r="BT2015" s="72"/>
      <c r="BU2015" s="71"/>
      <c r="BV2015" s="71"/>
      <c r="BW2015" s="71"/>
      <c r="BX2015" s="171"/>
      <c r="BY2015" s="172"/>
      <c r="BZ2015" s="72"/>
      <c r="CA2015" s="72"/>
      <c r="CB2015" s="72"/>
      <c r="CC2015" s="72"/>
      <c r="CD2015" s="72"/>
      <c r="CE2015" s="72"/>
      <c r="CF2015" s="72"/>
      <c r="CG2015" s="72"/>
      <c r="CH2015" s="73"/>
      <c r="CI2015" s="71" t="s">
        <v>397</v>
      </c>
      <c r="CJ2015" s="71" t="s">
        <v>750</v>
      </c>
      <c r="CK2015" s="171"/>
      <c r="CL2015" s="72"/>
      <c r="CM2015" s="72"/>
      <c r="CN2015" s="72"/>
      <c r="CO2015" s="71"/>
      <c r="CQ2015" s="71"/>
      <c r="CR2015" s="171"/>
      <c r="CT2015" s="77"/>
      <c r="CU2015" s="77"/>
      <c r="CV2015" s="77"/>
      <c r="CW2015" s="77"/>
      <c r="CX2015" s="77"/>
      <c r="CY2015" s="77"/>
      <c r="CZ2015" s="77"/>
      <c r="DA2015" s="77"/>
      <c r="DB2015" s="77"/>
      <c r="DC2015" s="72"/>
      <c r="DE2015" s="74" t="s">
        <v>550</v>
      </c>
    </row>
    <row r="2016" spans="1:109" s="74" customFormat="1" x14ac:dyDescent="0.2">
      <c r="A2016" s="73" t="s">
        <v>4293</v>
      </c>
      <c r="B2016" s="73" t="s">
        <v>147</v>
      </c>
      <c r="C2016" s="73">
        <f t="shared" si="182"/>
        <v>300400012</v>
      </c>
      <c r="D2016" s="74" t="s">
        <v>4294</v>
      </c>
      <c r="E2016" s="170" t="s">
        <v>1423</v>
      </c>
      <c r="F2016" s="170"/>
      <c r="G2016" s="170"/>
      <c r="H2016" s="170"/>
      <c r="I2016" s="75" t="s">
        <v>1444</v>
      </c>
      <c r="J2016" s="75" t="s">
        <v>550</v>
      </c>
      <c r="K2016" s="75"/>
      <c r="L2016" s="75"/>
      <c r="M2016" s="75"/>
      <c r="N2016" s="75" t="s">
        <v>819</v>
      </c>
      <c r="O2016" s="165" t="s">
        <v>4307</v>
      </c>
      <c r="P2016" s="75"/>
      <c r="Q2016" s="75" t="s">
        <v>2041</v>
      </c>
      <c r="R2016" s="75"/>
      <c r="S2016" s="75"/>
      <c r="T2016" s="75" t="s">
        <v>811</v>
      </c>
      <c r="U2016" s="124" t="s">
        <v>4316</v>
      </c>
      <c r="V2016" s="75" t="s">
        <v>819</v>
      </c>
      <c r="W2016" s="75" t="s">
        <v>23</v>
      </c>
      <c r="X2016" s="75"/>
      <c r="Y2016" s="75"/>
      <c r="Z2016" s="75"/>
      <c r="AA2016" s="75"/>
      <c r="AB2016" s="75"/>
      <c r="AC2016" s="75"/>
      <c r="AD2016" s="75"/>
      <c r="AE2016" s="76"/>
      <c r="AF2016" s="76" t="s">
        <v>2041</v>
      </c>
      <c r="AG2016" s="75"/>
      <c r="AH2016" s="168"/>
      <c r="AI2016" s="25"/>
      <c r="AJ2016" s="25"/>
      <c r="AK2016" s="27"/>
      <c r="AL2016" s="168" t="s">
        <v>4344</v>
      </c>
      <c r="AM2016" s="72"/>
      <c r="AN2016" s="72"/>
      <c r="AO2016" s="72"/>
      <c r="AP2016" s="72"/>
      <c r="AQ2016" s="72"/>
      <c r="AR2016" s="72"/>
      <c r="AS2016" s="72"/>
      <c r="AT2016" s="72"/>
      <c r="AV2016" s="71"/>
      <c r="AW2016" s="71"/>
      <c r="AX2016" s="171"/>
      <c r="AY2016" s="172"/>
      <c r="AZ2016" s="72"/>
      <c r="BA2016" s="72"/>
      <c r="BB2016" s="72"/>
      <c r="BC2016" s="72"/>
      <c r="BD2016" s="72"/>
      <c r="BE2016" s="72"/>
      <c r="BF2016" s="72"/>
      <c r="BG2016" s="72"/>
      <c r="BI2016" s="71"/>
      <c r="BJ2016" s="71"/>
      <c r="BK2016" s="171"/>
      <c r="BM2016" s="72"/>
      <c r="BN2016" s="72"/>
      <c r="BO2016" s="72"/>
      <c r="BP2016" s="72"/>
      <c r="BQ2016" s="72"/>
      <c r="BR2016" s="72"/>
      <c r="BS2016" s="72"/>
      <c r="BT2016" s="72"/>
      <c r="BU2016" s="71"/>
      <c r="BV2016" s="71"/>
      <c r="BW2016" s="71"/>
      <c r="BX2016" s="171"/>
      <c r="BY2016" s="172"/>
      <c r="BZ2016" s="72"/>
      <c r="CA2016" s="72"/>
      <c r="CB2016" s="72"/>
      <c r="CC2016" s="72"/>
      <c r="CD2016" s="72"/>
      <c r="CE2016" s="72"/>
      <c r="CF2016" s="72"/>
      <c r="CG2016" s="72"/>
      <c r="CH2016" s="73"/>
      <c r="CI2016" s="71" t="s">
        <v>397</v>
      </c>
      <c r="CJ2016" s="71" t="s">
        <v>750</v>
      </c>
      <c r="CK2016" s="171"/>
      <c r="CL2016" s="72"/>
      <c r="CM2016" s="72"/>
      <c r="CN2016" s="72"/>
      <c r="CO2016" s="71"/>
      <c r="CQ2016" s="71"/>
      <c r="CR2016" s="171"/>
      <c r="CT2016" s="77"/>
      <c r="CU2016" s="77"/>
      <c r="CV2016" s="77"/>
      <c r="CW2016" s="77"/>
      <c r="CX2016" s="77"/>
      <c r="CY2016" s="77"/>
      <c r="CZ2016" s="77"/>
      <c r="DA2016" s="77"/>
      <c r="DB2016" s="77"/>
      <c r="DC2016" s="72"/>
      <c r="DE2016" s="74" t="s">
        <v>550</v>
      </c>
    </row>
    <row r="2017" spans="1:109" s="74" customFormat="1" x14ac:dyDescent="0.2">
      <c r="A2017" s="73" t="s">
        <v>4293</v>
      </c>
      <c r="B2017" s="73" t="s">
        <v>148</v>
      </c>
      <c r="C2017" s="73">
        <f t="shared" si="182"/>
        <v>300400013</v>
      </c>
      <c r="D2017" s="74" t="s">
        <v>4294</v>
      </c>
      <c r="E2017" s="170" t="s">
        <v>4267</v>
      </c>
      <c r="F2017" s="170"/>
      <c r="G2017" s="170"/>
      <c r="H2017" s="170"/>
      <c r="I2017" s="75" t="s">
        <v>1444</v>
      </c>
      <c r="J2017" s="75" t="s">
        <v>550</v>
      </c>
      <c r="K2017" s="75"/>
      <c r="L2017" s="75"/>
      <c r="M2017" s="75"/>
      <c r="N2017" s="75" t="s">
        <v>819</v>
      </c>
      <c r="O2017" s="165" t="s">
        <v>4307</v>
      </c>
      <c r="P2017" s="75"/>
      <c r="Q2017" s="75" t="s">
        <v>2041</v>
      </c>
      <c r="R2017" s="75"/>
      <c r="S2017" s="75"/>
      <c r="T2017" s="75" t="s">
        <v>811</v>
      </c>
      <c r="U2017" s="124" t="s">
        <v>4317</v>
      </c>
      <c r="V2017" s="75" t="s">
        <v>819</v>
      </c>
      <c r="W2017" s="75" t="s">
        <v>23</v>
      </c>
      <c r="X2017" s="75"/>
      <c r="Y2017" s="75"/>
      <c r="Z2017" s="75"/>
      <c r="AA2017" s="75"/>
      <c r="AB2017" s="75"/>
      <c r="AC2017" s="75"/>
      <c r="AD2017" s="75"/>
      <c r="AE2017" s="76"/>
      <c r="AF2017" s="76" t="s">
        <v>2041</v>
      </c>
      <c r="AG2017" s="75"/>
      <c r="AH2017" s="168"/>
      <c r="AI2017" s="25"/>
      <c r="AJ2017" s="25"/>
      <c r="AK2017" s="27"/>
      <c r="AL2017" s="168" t="s">
        <v>4344</v>
      </c>
      <c r="AM2017" s="72"/>
      <c r="AN2017" s="72"/>
      <c r="AO2017" s="72"/>
      <c r="AP2017" s="72"/>
      <c r="AQ2017" s="72"/>
      <c r="AR2017" s="72"/>
      <c r="AS2017" s="72"/>
      <c r="AT2017" s="72"/>
      <c r="AV2017" s="71"/>
      <c r="AW2017" s="71"/>
      <c r="AX2017" s="171"/>
      <c r="AY2017" s="172"/>
      <c r="AZ2017" s="72"/>
      <c r="BA2017" s="72"/>
      <c r="BB2017" s="72"/>
      <c r="BC2017" s="72"/>
      <c r="BD2017" s="72"/>
      <c r="BE2017" s="72"/>
      <c r="BF2017" s="72"/>
      <c r="BG2017" s="72"/>
      <c r="BI2017" s="71"/>
      <c r="BJ2017" s="71"/>
      <c r="BK2017" s="171"/>
      <c r="BM2017" s="72"/>
      <c r="BN2017" s="72"/>
      <c r="BO2017" s="72"/>
      <c r="BP2017" s="72"/>
      <c r="BQ2017" s="72"/>
      <c r="BR2017" s="72"/>
      <c r="BS2017" s="72"/>
      <c r="BT2017" s="72"/>
      <c r="BU2017" s="71"/>
      <c r="BV2017" s="71"/>
      <c r="BW2017" s="71"/>
      <c r="BX2017" s="171"/>
      <c r="BY2017" s="172"/>
      <c r="BZ2017" s="72"/>
      <c r="CA2017" s="72"/>
      <c r="CB2017" s="72"/>
      <c r="CC2017" s="72"/>
      <c r="CD2017" s="72"/>
      <c r="CE2017" s="72"/>
      <c r="CF2017" s="72"/>
      <c r="CG2017" s="72"/>
      <c r="CH2017" s="73"/>
      <c r="CI2017" s="71" t="s">
        <v>397</v>
      </c>
      <c r="CJ2017" s="71" t="s">
        <v>750</v>
      </c>
      <c r="CK2017" s="171"/>
      <c r="CL2017" s="72"/>
      <c r="CM2017" s="72"/>
      <c r="CN2017" s="72"/>
      <c r="CO2017" s="71"/>
      <c r="CQ2017" s="71"/>
      <c r="CR2017" s="171"/>
      <c r="CT2017" s="77"/>
      <c r="CU2017" s="77"/>
      <c r="CV2017" s="77"/>
      <c r="CW2017" s="77"/>
      <c r="CX2017" s="77"/>
      <c r="CY2017" s="77"/>
      <c r="CZ2017" s="77"/>
      <c r="DA2017" s="77"/>
      <c r="DB2017" s="77"/>
      <c r="DC2017" s="72"/>
      <c r="DE2017" s="74" t="s">
        <v>550</v>
      </c>
    </row>
    <row r="2018" spans="1:109" s="74" customFormat="1" x14ac:dyDescent="0.2">
      <c r="A2018" s="73" t="s">
        <v>4293</v>
      </c>
      <c r="B2018" s="73" t="s">
        <v>170</v>
      </c>
      <c r="C2018" s="73">
        <f t="shared" si="182"/>
        <v>300400014</v>
      </c>
      <c r="D2018" s="74" t="s">
        <v>4294</v>
      </c>
      <c r="E2018" s="170" t="s">
        <v>979</v>
      </c>
      <c r="F2018" s="170"/>
      <c r="G2018" s="170"/>
      <c r="H2018" s="170"/>
      <c r="I2018" s="75" t="s">
        <v>4308</v>
      </c>
      <c r="J2018" s="75" t="s">
        <v>550</v>
      </c>
      <c r="K2018" s="75"/>
      <c r="L2018" s="75"/>
      <c r="M2018" s="75"/>
      <c r="N2018" s="75" t="s">
        <v>819</v>
      </c>
      <c r="O2018" s="165" t="s">
        <v>4307</v>
      </c>
      <c r="P2018" s="75"/>
      <c r="Q2018" s="75" t="s">
        <v>2041</v>
      </c>
      <c r="R2018" s="75"/>
      <c r="S2018" s="75"/>
      <c r="T2018" s="75" t="s">
        <v>811</v>
      </c>
      <c r="U2018" s="124" t="s">
        <v>4318</v>
      </c>
      <c r="V2018" s="75" t="s">
        <v>819</v>
      </c>
      <c r="W2018" s="75" t="s">
        <v>23</v>
      </c>
      <c r="X2018" s="75"/>
      <c r="Y2018" s="75"/>
      <c r="Z2018" s="75"/>
      <c r="AA2018" s="75"/>
      <c r="AB2018" s="75"/>
      <c r="AC2018" s="75"/>
      <c r="AD2018" s="75"/>
      <c r="AE2018" s="76"/>
      <c r="AF2018" s="76" t="s">
        <v>2041</v>
      </c>
      <c r="AG2018" s="75"/>
      <c r="AH2018" s="168"/>
      <c r="AI2018" s="25"/>
      <c r="AJ2018" s="25"/>
      <c r="AK2018" s="27"/>
      <c r="AL2018" s="168" t="s">
        <v>4344</v>
      </c>
      <c r="AM2018" s="72"/>
      <c r="AN2018" s="72"/>
      <c r="AO2018" s="72"/>
      <c r="AP2018" s="72"/>
      <c r="AQ2018" s="72"/>
      <c r="AR2018" s="72"/>
      <c r="AS2018" s="72"/>
      <c r="AT2018" s="72"/>
      <c r="AV2018" s="71"/>
      <c r="AW2018" s="71"/>
      <c r="AX2018" s="171"/>
      <c r="AY2018" s="172"/>
      <c r="AZ2018" s="72"/>
      <c r="BA2018" s="72"/>
      <c r="BB2018" s="72"/>
      <c r="BC2018" s="72"/>
      <c r="BD2018" s="72"/>
      <c r="BE2018" s="72"/>
      <c r="BF2018" s="72"/>
      <c r="BG2018" s="72"/>
      <c r="BI2018" s="71"/>
      <c r="BJ2018" s="71"/>
      <c r="BK2018" s="171"/>
      <c r="BM2018" s="72"/>
      <c r="BN2018" s="72"/>
      <c r="BO2018" s="72"/>
      <c r="BP2018" s="72"/>
      <c r="BQ2018" s="72"/>
      <c r="BR2018" s="72"/>
      <c r="BS2018" s="72"/>
      <c r="BT2018" s="72"/>
      <c r="BU2018" s="71"/>
      <c r="BV2018" s="71"/>
      <c r="BW2018" s="71"/>
      <c r="BX2018" s="171"/>
      <c r="BY2018" s="172"/>
      <c r="BZ2018" s="72"/>
      <c r="CA2018" s="72"/>
      <c r="CB2018" s="72"/>
      <c r="CC2018" s="72"/>
      <c r="CD2018" s="72"/>
      <c r="CE2018" s="72"/>
      <c r="CF2018" s="72"/>
      <c r="CG2018" s="72"/>
      <c r="CH2018" s="73"/>
      <c r="CI2018" s="71" t="s">
        <v>397</v>
      </c>
      <c r="CJ2018" s="71" t="s">
        <v>750</v>
      </c>
      <c r="CK2018" s="171"/>
      <c r="CL2018" s="72"/>
      <c r="CM2018" s="72"/>
      <c r="CN2018" s="72"/>
      <c r="CO2018" s="71"/>
      <c r="CQ2018" s="71"/>
      <c r="CR2018" s="171"/>
      <c r="CT2018" s="77"/>
      <c r="CU2018" s="77"/>
      <c r="CV2018" s="77"/>
      <c r="CW2018" s="77"/>
      <c r="CX2018" s="77"/>
      <c r="CY2018" s="77"/>
      <c r="CZ2018" s="77"/>
      <c r="DA2018" s="77"/>
      <c r="DB2018" s="77"/>
      <c r="DC2018" s="72"/>
      <c r="DE2018" s="74" t="s">
        <v>550</v>
      </c>
    </row>
    <row r="2019" spans="1:109" s="74" customFormat="1" x14ac:dyDescent="0.2">
      <c r="A2019" s="73" t="s">
        <v>4293</v>
      </c>
      <c r="B2019" s="73" t="s">
        <v>176</v>
      </c>
      <c r="C2019" s="73">
        <f t="shared" ref="C2019:C2020" si="183">A2019*10000+B2019</f>
        <v>300400015</v>
      </c>
      <c r="D2019" s="74" t="s">
        <v>4309</v>
      </c>
      <c r="E2019" s="170" t="s">
        <v>1383</v>
      </c>
      <c r="F2019" s="170"/>
      <c r="G2019" s="170"/>
      <c r="H2019" s="170"/>
      <c r="I2019" s="75" t="s">
        <v>1444</v>
      </c>
      <c r="J2019" s="75"/>
      <c r="K2019" s="75"/>
      <c r="L2019" s="75"/>
      <c r="M2019" s="75"/>
      <c r="N2019" s="75" t="s">
        <v>819</v>
      </c>
      <c r="O2019" s="165" t="s">
        <v>4325</v>
      </c>
      <c r="P2019" s="75"/>
      <c r="Q2019" s="75" t="s">
        <v>2041</v>
      </c>
      <c r="R2019" s="75"/>
      <c r="S2019" s="75"/>
      <c r="T2019" s="75" t="s">
        <v>811</v>
      </c>
      <c r="U2019" s="124" t="s">
        <v>4319</v>
      </c>
      <c r="V2019" s="75" t="s">
        <v>819</v>
      </c>
      <c r="W2019" s="75" t="s">
        <v>181</v>
      </c>
      <c r="X2019" s="75"/>
      <c r="Y2019" s="75"/>
      <c r="Z2019" s="75"/>
      <c r="AA2019" s="75"/>
      <c r="AB2019" s="75"/>
      <c r="AC2019" s="75" t="s">
        <v>4322</v>
      </c>
      <c r="AD2019" s="75" t="s">
        <v>4322</v>
      </c>
      <c r="AE2019" s="76"/>
      <c r="AF2019" s="76" t="s">
        <v>2041</v>
      </c>
      <c r="AG2019" s="75"/>
      <c r="AH2019" s="168"/>
      <c r="AI2019" s="25"/>
      <c r="AJ2019" s="25"/>
      <c r="AK2019" s="27"/>
      <c r="AL2019" s="168" t="s">
        <v>4344</v>
      </c>
      <c r="AM2019" s="72"/>
      <c r="AN2019" s="72"/>
      <c r="AO2019" s="72"/>
      <c r="AP2019" s="72"/>
      <c r="AQ2019" s="72"/>
      <c r="AR2019" s="72"/>
      <c r="AS2019" s="72"/>
      <c r="AT2019" s="72"/>
      <c r="AV2019" s="71"/>
      <c r="AW2019" s="71"/>
      <c r="AX2019" s="171"/>
      <c r="AY2019" s="172"/>
      <c r="AZ2019" s="72"/>
      <c r="BA2019" s="72"/>
      <c r="BB2019" s="72"/>
      <c r="BC2019" s="72"/>
      <c r="BD2019" s="72"/>
      <c r="BE2019" s="72"/>
      <c r="BF2019" s="72"/>
      <c r="BG2019" s="72"/>
      <c r="BI2019" s="71"/>
      <c r="BJ2019" s="71"/>
      <c r="BK2019" s="171"/>
      <c r="BM2019" s="72"/>
      <c r="BN2019" s="72"/>
      <c r="BO2019" s="72"/>
      <c r="BP2019" s="72"/>
      <c r="BQ2019" s="72"/>
      <c r="BR2019" s="72"/>
      <c r="BS2019" s="72"/>
      <c r="BT2019" s="72"/>
      <c r="BU2019" s="71"/>
      <c r="BV2019" s="71"/>
      <c r="BW2019" s="71"/>
      <c r="BX2019" s="171"/>
      <c r="BY2019" s="172"/>
      <c r="BZ2019" s="72"/>
      <c r="CA2019" s="72"/>
      <c r="CB2019" s="72"/>
      <c r="CC2019" s="72"/>
      <c r="CD2019" s="72"/>
      <c r="CE2019" s="72"/>
      <c r="CF2019" s="72"/>
      <c r="CG2019" s="72"/>
      <c r="CH2019" s="73"/>
      <c r="CI2019" s="71" t="s">
        <v>397</v>
      </c>
      <c r="CJ2019" s="71" t="s">
        <v>750</v>
      </c>
      <c r="CK2019" s="171"/>
      <c r="CL2019" s="72"/>
      <c r="CM2019" s="72"/>
      <c r="CN2019" s="72"/>
      <c r="CO2019" s="71"/>
      <c r="CQ2019" s="71"/>
      <c r="CR2019" s="171"/>
      <c r="CT2019" s="77"/>
      <c r="CU2019" s="77"/>
      <c r="CV2019" s="77"/>
      <c r="CW2019" s="77"/>
      <c r="CX2019" s="77"/>
      <c r="CY2019" s="77"/>
      <c r="CZ2019" s="77"/>
      <c r="DA2019" s="77"/>
      <c r="DB2019" s="77"/>
      <c r="DC2019" s="72"/>
      <c r="DE2019" s="74" t="s">
        <v>4312</v>
      </c>
    </row>
    <row r="2020" spans="1:109" s="74" customFormat="1" x14ac:dyDescent="0.2">
      <c r="A2020" s="73" t="s">
        <v>4293</v>
      </c>
      <c r="B2020" s="73" t="s">
        <v>138</v>
      </c>
      <c r="C2020" s="73">
        <f t="shared" si="183"/>
        <v>300400016</v>
      </c>
      <c r="D2020" s="74" t="s">
        <v>4310</v>
      </c>
      <c r="E2020" s="170" t="s">
        <v>1364</v>
      </c>
      <c r="F2020" s="170"/>
      <c r="G2020" s="170"/>
      <c r="H2020" s="170"/>
      <c r="I2020" s="75" t="s">
        <v>1444</v>
      </c>
      <c r="J2020" s="75"/>
      <c r="K2020" s="75"/>
      <c r="L2020" s="75"/>
      <c r="M2020" s="75"/>
      <c r="N2020" s="75" t="s">
        <v>819</v>
      </c>
      <c r="O2020" s="165" t="s">
        <v>4325</v>
      </c>
      <c r="P2020" s="75"/>
      <c r="Q2020" s="75" t="s">
        <v>2041</v>
      </c>
      <c r="R2020" s="75"/>
      <c r="S2020" s="75"/>
      <c r="T2020" s="75" t="s">
        <v>811</v>
      </c>
      <c r="U2020" s="124" t="s">
        <v>4320</v>
      </c>
      <c r="V2020" s="75" t="s">
        <v>819</v>
      </c>
      <c r="W2020" s="75" t="s">
        <v>181</v>
      </c>
      <c r="X2020" s="75"/>
      <c r="Y2020" s="75"/>
      <c r="Z2020" s="75"/>
      <c r="AA2020" s="75"/>
      <c r="AB2020" s="75"/>
      <c r="AC2020" s="75" t="s">
        <v>4323</v>
      </c>
      <c r="AD2020" s="75" t="s">
        <v>4323</v>
      </c>
      <c r="AE2020" s="76"/>
      <c r="AF2020" s="76" t="s">
        <v>2041</v>
      </c>
      <c r="AG2020" s="75"/>
      <c r="AH2020" s="168"/>
      <c r="AI2020" s="25"/>
      <c r="AJ2020" s="25"/>
      <c r="AK2020" s="27"/>
      <c r="AL2020" s="168" t="s">
        <v>4344</v>
      </c>
      <c r="AM2020" s="72"/>
      <c r="AN2020" s="72"/>
      <c r="AO2020" s="72"/>
      <c r="AP2020" s="72"/>
      <c r="AQ2020" s="72"/>
      <c r="AR2020" s="72"/>
      <c r="AS2020" s="72"/>
      <c r="AT2020" s="72"/>
      <c r="AV2020" s="71"/>
      <c r="AW2020" s="71"/>
      <c r="AX2020" s="171"/>
      <c r="AY2020" s="172"/>
      <c r="AZ2020" s="72"/>
      <c r="BA2020" s="72"/>
      <c r="BB2020" s="72"/>
      <c r="BC2020" s="72"/>
      <c r="BD2020" s="72"/>
      <c r="BE2020" s="72"/>
      <c r="BF2020" s="72"/>
      <c r="BG2020" s="72"/>
      <c r="BI2020" s="71"/>
      <c r="BJ2020" s="71"/>
      <c r="BK2020" s="171"/>
      <c r="BM2020" s="72"/>
      <c r="BN2020" s="72"/>
      <c r="BO2020" s="72"/>
      <c r="BP2020" s="72"/>
      <c r="BQ2020" s="72"/>
      <c r="BR2020" s="72"/>
      <c r="BS2020" s="72"/>
      <c r="BT2020" s="72"/>
      <c r="BU2020" s="71"/>
      <c r="BV2020" s="71"/>
      <c r="BW2020" s="71"/>
      <c r="BX2020" s="171"/>
      <c r="BY2020" s="172"/>
      <c r="BZ2020" s="72"/>
      <c r="CA2020" s="72"/>
      <c r="CB2020" s="72"/>
      <c r="CC2020" s="72"/>
      <c r="CD2020" s="72"/>
      <c r="CE2020" s="72"/>
      <c r="CF2020" s="72"/>
      <c r="CG2020" s="72"/>
      <c r="CH2020" s="73"/>
      <c r="CI2020" s="71" t="s">
        <v>397</v>
      </c>
      <c r="CJ2020" s="71" t="s">
        <v>750</v>
      </c>
      <c r="CK2020" s="171"/>
      <c r="CL2020" s="72"/>
      <c r="CM2020" s="72"/>
      <c r="CN2020" s="72"/>
      <c r="CO2020" s="71"/>
      <c r="CQ2020" s="71"/>
      <c r="CR2020" s="171"/>
      <c r="CT2020" s="77"/>
      <c r="CU2020" s="77"/>
      <c r="CV2020" s="77"/>
      <c r="CW2020" s="77"/>
      <c r="CX2020" s="77"/>
      <c r="CY2020" s="77"/>
      <c r="CZ2020" s="77"/>
      <c r="DA2020" s="77"/>
      <c r="DB2020" s="77"/>
      <c r="DC2020" s="72"/>
      <c r="DE2020" s="74" t="s">
        <v>4312</v>
      </c>
    </row>
    <row r="2021" spans="1:109" s="74" customFormat="1" x14ac:dyDescent="0.2">
      <c r="A2021" s="73" t="s">
        <v>4293</v>
      </c>
      <c r="B2021" s="73" t="s">
        <v>178</v>
      </c>
      <c r="C2021" s="73">
        <f t="shared" ref="C2021:C2037" si="184">A2021*10000+B2021</f>
        <v>300400017</v>
      </c>
      <c r="D2021" s="74" t="s">
        <v>4311</v>
      </c>
      <c r="E2021" s="170" t="s">
        <v>3935</v>
      </c>
      <c r="F2021" s="170"/>
      <c r="G2021" s="170"/>
      <c r="H2021" s="170"/>
      <c r="I2021" s="75" t="s">
        <v>1444</v>
      </c>
      <c r="J2021" s="75"/>
      <c r="K2021" s="75"/>
      <c r="L2021" s="75"/>
      <c r="M2021" s="75"/>
      <c r="N2021" s="75" t="s">
        <v>819</v>
      </c>
      <c r="O2021" s="165" t="s">
        <v>4325</v>
      </c>
      <c r="P2021" s="75"/>
      <c r="Q2021" s="75" t="s">
        <v>2041</v>
      </c>
      <c r="R2021" s="75"/>
      <c r="S2021" s="75"/>
      <c r="T2021" s="75" t="s">
        <v>811</v>
      </c>
      <c r="U2021" s="124" t="s">
        <v>4321</v>
      </c>
      <c r="V2021" s="75" t="s">
        <v>819</v>
      </c>
      <c r="W2021" s="75" t="s">
        <v>22</v>
      </c>
      <c r="X2021" s="75"/>
      <c r="Y2021" s="75"/>
      <c r="Z2021" s="75"/>
      <c r="AA2021" s="75"/>
      <c r="AB2021" s="75"/>
      <c r="AC2021" s="75" t="s">
        <v>4324</v>
      </c>
      <c r="AD2021" s="75" t="s">
        <v>4324</v>
      </c>
      <c r="AE2021" s="76"/>
      <c r="AF2021" s="76" t="s">
        <v>2041</v>
      </c>
      <c r="AG2021" s="75"/>
      <c r="AH2021" s="168"/>
      <c r="AI2021" s="25"/>
      <c r="AJ2021" s="25"/>
      <c r="AK2021" s="27"/>
      <c r="AL2021" s="168" t="s">
        <v>4344</v>
      </c>
      <c r="AM2021" s="72"/>
      <c r="AN2021" s="72"/>
      <c r="AO2021" s="72"/>
      <c r="AP2021" s="72"/>
      <c r="AQ2021" s="72"/>
      <c r="AR2021" s="72"/>
      <c r="AS2021" s="72"/>
      <c r="AT2021" s="72"/>
      <c r="AV2021" s="71"/>
      <c r="AW2021" s="71"/>
      <c r="AX2021" s="171"/>
      <c r="AY2021" s="172"/>
      <c r="AZ2021" s="72"/>
      <c r="BA2021" s="72"/>
      <c r="BB2021" s="72"/>
      <c r="BC2021" s="72"/>
      <c r="BD2021" s="72"/>
      <c r="BE2021" s="72"/>
      <c r="BF2021" s="72"/>
      <c r="BG2021" s="72"/>
      <c r="BI2021" s="71"/>
      <c r="BJ2021" s="71"/>
      <c r="BK2021" s="171"/>
      <c r="BM2021" s="72"/>
      <c r="BN2021" s="72"/>
      <c r="BO2021" s="72"/>
      <c r="BP2021" s="72"/>
      <c r="BQ2021" s="72"/>
      <c r="BR2021" s="72"/>
      <c r="BS2021" s="72"/>
      <c r="BT2021" s="72"/>
      <c r="BU2021" s="71"/>
      <c r="BV2021" s="71"/>
      <c r="BW2021" s="71"/>
      <c r="BX2021" s="171"/>
      <c r="BY2021" s="172"/>
      <c r="BZ2021" s="72"/>
      <c r="CA2021" s="72"/>
      <c r="CB2021" s="72"/>
      <c r="CC2021" s="72"/>
      <c r="CD2021" s="72"/>
      <c r="CE2021" s="72"/>
      <c r="CF2021" s="72"/>
      <c r="CG2021" s="72"/>
      <c r="CH2021" s="73"/>
      <c r="CI2021" s="71" t="s">
        <v>397</v>
      </c>
      <c r="CJ2021" s="71" t="s">
        <v>750</v>
      </c>
      <c r="CK2021" s="171"/>
      <c r="CL2021" s="72"/>
      <c r="CM2021" s="72"/>
      <c r="CN2021" s="72"/>
      <c r="CO2021" s="71"/>
      <c r="CQ2021" s="71"/>
      <c r="CR2021" s="171"/>
      <c r="CT2021" s="77"/>
      <c r="CU2021" s="77"/>
      <c r="CV2021" s="77"/>
      <c r="CW2021" s="77"/>
      <c r="CX2021" s="77"/>
      <c r="CY2021" s="77"/>
      <c r="CZ2021" s="77"/>
      <c r="DA2021" s="77"/>
      <c r="DB2021" s="77"/>
      <c r="DC2021" s="72"/>
      <c r="DE2021" s="74" t="s">
        <v>550</v>
      </c>
    </row>
    <row r="2022" spans="1:109" s="174" customFormat="1" x14ac:dyDescent="0.2">
      <c r="A2022" s="73" t="s">
        <v>4293</v>
      </c>
      <c r="B2022" s="173" t="s">
        <v>179</v>
      </c>
      <c r="C2022" s="173">
        <f t="shared" si="184"/>
        <v>300400018</v>
      </c>
      <c r="D2022" s="174" t="s">
        <v>4246</v>
      </c>
      <c r="E2022" s="170" t="s">
        <v>4130</v>
      </c>
      <c r="F2022" s="175" t="s">
        <v>550</v>
      </c>
      <c r="G2022" s="175" t="s">
        <v>550</v>
      </c>
      <c r="H2022" s="175" t="s">
        <v>4533</v>
      </c>
      <c r="I2022" s="75" t="s">
        <v>3991</v>
      </c>
      <c r="J2022" s="177"/>
      <c r="K2022" s="177"/>
      <c r="L2022" s="177"/>
      <c r="M2022" s="177"/>
      <c r="N2022" s="177" t="s">
        <v>819</v>
      </c>
      <c r="O2022" s="176" t="s">
        <v>4013</v>
      </c>
      <c r="P2022" s="177"/>
      <c r="Q2022" s="177" t="s">
        <v>2041</v>
      </c>
      <c r="R2022" s="177"/>
      <c r="S2022" s="177"/>
      <c r="T2022" s="177" t="s">
        <v>811</v>
      </c>
      <c r="U2022" s="124" t="s">
        <v>4246</v>
      </c>
      <c r="V2022" s="177" t="s">
        <v>819</v>
      </c>
      <c r="W2022" s="177" t="s">
        <v>23</v>
      </c>
      <c r="X2022" s="177"/>
      <c r="Y2022" s="177"/>
      <c r="Z2022" s="177"/>
      <c r="AA2022" s="177"/>
      <c r="AB2022" s="177"/>
      <c r="AC2022" s="177"/>
      <c r="AD2022" s="177"/>
      <c r="AE2022" s="178"/>
      <c r="AF2022" s="178" t="s">
        <v>2042</v>
      </c>
      <c r="AG2022" s="177"/>
      <c r="AH2022" s="174" t="s">
        <v>4343</v>
      </c>
      <c r="AI2022" s="179"/>
      <c r="AJ2022" s="179"/>
      <c r="AK2022" s="180">
        <v>100000</v>
      </c>
      <c r="AL2022" s="181"/>
      <c r="AM2022" s="182"/>
      <c r="AN2022" s="182"/>
      <c r="AO2022" s="182"/>
      <c r="AP2022" s="182"/>
      <c r="AQ2022" s="182"/>
      <c r="AR2022" s="182"/>
      <c r="AS2022" s="182"/>
      <c r="AT2022" s="182"/>
      <c r="AV2022" s="179"/>
      <c r="AW2022" s="179"/>
      <c r="AX2022" s="180"/>
      <c r="AY2022" s="181"/>
      <c r="AZ2022" s="182"/>
      <c r="BA2022" s="182"/>
      <c r="BB2022" s="182"/>
      <c r="BC2022" s="182"/>
      <c r="BD2022" s="182"/>
      <c r="BE2022" s="182"/>
      <c r="BF2022" s="182"/>
      <c r="BG2022" s="182"/>
      <c r="BI2022" s="179"/>
      <c r="BJ2022" s="179"/>
      <c r="BK2022" s="180"/>
      <c r="BL2022" s="181"/>
      <c r="BM2022" s="182"/>
      <c r="BN2022" s="182"/>
      <c r="BO2022" s="182"/>
      <c r="BP2022" s="182"/>
      <c r="BQ2022" s="182"/>
      <c r="BR2022" s="182"/>
      <c r="BS2022" s="182"/>
      <c r="BT2022" s="182"/>
      <c r="BV2022" s="179"/>
      <c r="BW2022" s="179"/>
      <c r="BX2022" s="180"/>
      <c r="BY2022" s="181"/>
      <c r="BZ2022" s="182"/>
      <c r="CA2022" s="182"/>
      <c r="CB2022" s="182"/>
      <c r="CC2022" s="182"/>
      <c r="CD2022" s="182"/>
      <c r="CE2022" s="182"/>
      <c r="CF2022" s="182"/>
      <c r="CG2022" s="182"/>
      <c r="CH2022" s="173"/>
      <c r="CI2022" s="179" t="s">
        <v>398</v>
      </c>
      <c r="CJ2022" s="179" t="s">
        <v>1492</v>
      </c>
      <c r="CK2022" s="180"/>
      <c r="CL2022" s="182"/>
      <c r="CM2022" s="182"/>
      <c r="CN2022" s="182"/>
      <c r="CO2022" s="179"/>
      <c r="CP2022" s="179"/>
      <c r="CQ2022" s="179"/>
      <c r="CR2022" s="180"/>
      <c r="CT2022" s="183"/>
      <c r="CU2022" s="183"/>
      <c r="CV2022" s="183"/>
      <c r="CW2022" s="183"/>
      <c r="CX2022" s="183"/>
      <c r="CY2022" s="183"/>
      <c r="CZ2022" s="183"/>
      <c r="DA2022" s="183"/>
      <c r="DB2022" s="183"/>
      <c r="DC2022" s="182"/>
      <c r="DE2022" s="174" t="s">
        <v>550</v>
      </c>
    </row>
    <row r="2023" spans="1:109" s="25" customFormat="1" ht="13.5" x14ac:dyDescent="0.2">
      <c r="A2023" s="29" t="s">
        <v>4380</v>
      </c>
      <c r="B2023" s="34" t="s">
        <v>0</v>
      </c>
      <c r="C2023" s="34">
        <f t="shared" si="184"/>
        <v>300410001</v>
      </c>
      <c r="D2023" s="34" t="s">
        <v>4427</v>
      </c>
      <c r="E2023" s="188" t="s">
        <v>3583</v>
      </c>
      <c r="F2023" s="20"/>
      <c r="G2023" s="20"/>
      <c r="H2023" s="20"/>
      <c r="I2023" s="186" t="s">
        <v>641</v>
      </c>
      <c r="J2023" s="21" t="s">
        <v>550</v>
      </c>
      <c r="K2023" s="21"/>
      <c r="L2023" s="21"/>
      <c r="M2023" s="21"/>
      <c r="N2023" s="139" t="s">
        <v>819</v>
      </c>
      <c r="O2023" s="165" t="s">
        <v>4386</v>
      </c>
      <c r="P2023" s="21"/>
      <c r="Q2023" s="21" t="s">
        <v>2041</v>
      </c>
      <c r="R2023" s="21"/>
      <c r="S2023" s="21"/>
      <c r="T2023" s="75" t="s">
        <v>811</v>
      </c>
      <c r="U2023" s="124" t="s">
        <v>4385</v>
      </c>
      <c r="V2023" s="75" t="s">
        <v>819</v>
      </c>
      <c r="W2023" s="21" t="s">
        <v>181</v>
      </c>
      <c r="X2023" s="21"/>
      <c r="Z2023" s="21"/>
      <c r="AA2023" s="21"/>
      <c r="AB2023" s="35"/>
      <c r="AC2023" s="35" t="s">
        <v>4381</v>
      </c>
      <c r="AD2023" s="35" t="s">
        <v>4381</v>
      </c>
      <c r="AE2023" s="36"/>
      <c r="AF2023" s="24" t="s">
        <v>2041</v>
      </c>
      <c r="AG2023" s="35"/>
      <c r="AH2023" s="168"/>
      <c r="AK2023" s="27"/>
      <c r="AL2023" s="189" t="s">
        <v>4504</v>
      </c>
      <c r="AM2023" s="27"/>
      <c r="AN2023" s="27"/>
      <c r="AO2023" s="27"/>
      <c r="AP2023" s="27"/>
      <c r="AQ2023" s="27"/>
      <c r="AR2023" s="27"/>
      <c r="AS2023" s="27"/>
      <c r="AT2023" s="27"/>
      <c r="AX2023" s="27"/>
      <c r="AY2023" s="27"/>
      <c r="AZ2023" s="27"/>
      <c r="BA2023" s="27"/>
      <c r="BB2023" s="27"/>
      <c r="BC2023" s="27"/>
      <c r="BD2023" s="27"/>
      <c r="BE2023" s="27"/>
      <c r="BF2023" s="27"/>
      <c r="BG2023" s="27"/>
      <c r="BK2023" s="27"/>
      <c r="BL2023" s="27"/>
      <c r="BM2023" s="27"/>
      <c r="BN2023" s="27"/>
      <c r="BO2023" s="27"/>
      <c r="BP2023" s="27"/>
      <c r="BQ2023" s="27"/>
      <c r="BR2023" s="27"/>
      <c r="BS2023" s="27"/>
      <c r="BT2023" s="27"/>
      <c r="BX2023" s="27"/>
      <c r="BY2023" s="27"/>
      <c r="BZ2023" s="27"/>
      <c r="CA2023" s="27"/>
      <c r="CB2023" s="27"/>
      <c r="CC2023" s="27"/>
      <c r="CD2023" s="27"/>
      <c r="CE2023" s="27"/>
      <c r="CF2023" s="27"/>
      <c r="CG2023" s="27"/>
      <c r="CH2023" s="23"/>
      <c r="CI2023" s="71" t="s">
        <v>397</v>
      </c>
      <c r="CJ2023" s="71" t="s">
        <v>750</v>
      </c>
      <c r="CP2023" s="74"/>
      <c r="CT2023" s="38"/>
      <c r="CU2023" s="38"/>
      <c r="CV2023" s="38"/>
      <c r="CW2023" s="38"/>
      <c r="CX2023" s="38"/>
      <c r="CY2023" s="38"/>
      <c r="CZ2023" s="38"/>
      <c r="DA2023" s="38"/>
      <c r="DB2023" s="38"/>
      <c r="DC2023" s="27"/>
      <c r="DE2023" s="74" t="s">
        <v>550</v>
      </c>
    </row>
    <row r="2024" spans="1:109" s="25" customFormat="1" ht="13.5" x14ac:dyDescent="0.2">
      <c r="A2024" s="29" t="s">
        <v>4380</v>
      </c>
      <c r="B2024" s="34" t="s">
        <v>26</v>
      </c>
      <c r="C2024" s="34">
        <f t="shared" si="184"/>
        <v>300410002</v>
      </c>
      <c r="D2024" s="34" t="s">
        <v>4427</v>
      </c>
      <c r="E2024" s="188" t="s">
        <v>3922</v>
      </c>
      <c r="F2024" s="21"/>
      <c r="G2024" s="21"/>
      <c r="H2024" s="21"/>
      <c r="I2024" s="186" t="s">
        <v>4346</v>
      </c>
      <c r="J2024" s="21" t="s">
        <v>550</v>
      </c>
      <c r="K2024" s="21"/>
      <c r="L2024" s="21"/>
      <c r="M2024" s="21"/>
      <c r="N2024" s="139" t="s">
        <v>819</v>
      </c>
      <c r="O2024" s="165" t="s">
        <v>4386</v>
      </c>
      <c r="P2024" s="21"/>
      <c r="Q2024" s="21" t="s">
        <v>2041</v>
      </c>
      <c r="R2024" s="21"/>
      <c r="S2024" s="21"/>
      <c r="T2024" s="75" t="s">
        <v>811</v>
      </c>
      <c r="U2024" s="124" t="s">
        <v>4429</v>
      </c>
      <c r="V2024" s="75" t="s">
        <v>819</v>
      </c>
      <c r="W2024" s="21" t="s">
        <v>4383</v>
      </c>
      <c r="X2024" s="21"/>
      <c r="Z2024" s="21"/>
      <c r="AA2024" s="21"/>
      <c r="AB2024" s="35"/>
      <c r="AC2024" s="35" t="s">
        <v>4381</v>
      </c>
      <c r="AD2024" s="35" t="s">
        <v>4381</v>
      </c>
      <c r="AE2024" s="36"/>
      <c r="AF2024" s="24" t="s">
        <v>2041</v>
      </c>
      <c r="AG2024" s="35"/>
      <c r="AH2024" s="168"/>
      <c r="AK2024" s="27"/>
      <c r="AL2024" s="189" t="s">
        <v>4504</v>
      </c>
      <c r="AM2024" s="27"/>
      <c r="AN2024" s="27"/>
      <c r="AO2024" s="27"/>
      <c r="AP2024" s="27"/>
      <c r="AQ2024" s="27"/>
      <c r="AR2024" s="27"/>
      <c r="AS2024" s="27"/>
      <c r="AT2024" s="27"/>
      <c r="AX2024" s="27"/>
      <c r="AY2024" s="27"/>
      <c r="AZ2024" s="27"/>
      <c r="BA2024" s="27"/>
      <c r="BB2024" s="27"/>
      <c r="BC2024" s="27"/>
      <c r="BD2024" s="27"/>
      <c r="BE2024" s="27"/>
      <c r="BF2024" s="27"/>
      <c r="BG2024" s="27"/>
      <c r="BK2024" s="27"/>
      <c r="BL2024" s="27"/>
      <c r="BM2024" s="27"/>
      <c r="BN2024" s="27"/>
      <c r="BO2024" s="27"/>
      <c r="BP2024" s="27"/>
      <c r="BQ2024" s="27"/>
      <c r="BR2024" s="27"/>
      <c r="BS2024" s="27"/>
      <c r="BT2024" s="27"/>
      <c r="BX2024" s="27"/>
      <c r="BY2024" s="27"/>
      <c r="BZ2024" s="27"/>
      <c r="CA2024" s="27"/>
      <c r="CB2024" s="27"/>
      <c r="CC2024" s="27"/>
      <c r="CD2024" s="27"/>
      <c r="CE2024" s="27"/>
      <c r="CF2024" s="27"/>
      <c r="CG2024" s="27"/>
      <c r="CH2024" s="23"/>
      <c r="CI2024" s="71" t="s">
        <v>397</v>
      </c>
      <c r="CJ2024" s="71" t="s">
        <v>750</v>
      </c>
      <c r="CP2024" s="74"/>
      <c r="CT2024" s="38"/>
      <c r="CU2024" s="38"/>
      <c r="CV2024" s="38"/>
      <c r="CW2024" s="38"/>
      <c r="CX2024" s="38"/>
      <c r="CY2024" s="38"/>
      <c r="CZ2024" s="38"/>
      <c r="DA2024" s="38"/>
      <c r="DB2024" s="38"/>
      <c r="DC2024" s="27"/>
      <c r="DE2024" s="74" t="s">
        <v>550</v>
      </c>
    </row>
    <row r="2025" spans="1:109" s="25" customFormat="1" ht="13.5" x14ac:dyDescent="0.2">
      <c r="A2025" s="29" t="s">
        <v>4380</v>
      </c>
      <c r="B2025" s="34" t="s">
        <v>27</v>
      </c>
      <c r="C2025" s="34">
        <f t="shared" si="184"/>
        <v>300410003</v>
      </c>
      <c r="D2025" s="34" t="s">
        <v>4427</v>
      </c>
      <c r="E2025" s="188" t="s">
        <v>3922</v>
      </c>
      <c r="F2025" s="21"/>
      <c r="G2025" s="21"/>
      <c r="H2025" s="21"/>
      <c r="I2025" s="186" t="s">
        <v>4346</v>
      </c>
      <c r="J2025" s="21" t="s">
        <v>550</v>
      </c>
      <c r="K2025" s="21"/>
      <c r="L2025" s="21"/>
      <c r="M2025" s="21"/>
      <c r="N2025" s="139" t="s">
        <v>819</v>
      </c>
      <c r="O2025" s="165" t="s">
        <v>4386</v>
      </c>
      <c r="P2025" s="21"/>
      <c r="Q2025" s="21" t="s">
        <v>2041</v>
      </c>
      <c r="R2025" s="21"/>
      <c r="S2025" s="21"/>
      <c r="T2025" s="75" t="s">
        <v>811</v>
      </c>
      <c r="U2025" s="124" t="s">
        <v>4430</v>
      </c>
      <c r="V2025" s="75" t="s">
        <v>819</v>
      </c>
      <c r="W2025" s="21" t="s">
        <v>4383</v>
      </c>
      <c r="X2025" s="21"/>
      <c r="Z2025" s="21"/>
      <c r="AA2025" s="21"/>
      <c r="AB2025" s="35"/>
      <c r="AC2025" s="35" t="s">
        <v>4381</v>
      </c>
      <c r="AD2025" s="35" t="s">
        <v>4381</v>
      </c>
      <c r="AE2025" s="36"/>
      <c r="AF2025" s="24" t="s">
        <v>2041</v>
      </c>
      <c r="AG2025" s="35"/>
      <c r="AH2025" s="168"/>
      <c r="AK2025" s="27"/>
      <c r="AL2025" s="189" t="s">
        <v>4504</v>
      </c>
      <c r="AM2025" s="27"/>
      <c r="AN2025" s="27"/>
      <c r="AO2025" s="27"/>
      <c r="AP2025" s="27"/>
      <c r="AQ2025" s="27"/>
      <c r="AR2025" s="27"/>
      <c r="AS2025" s="27"/>
      <c r="AT2025" s="27"/>
      <c r="AX2025" s="27"/>
      <c r="AY2025" s="27"/>
      <c r="AZ2025" s="27"/>
      <c r="BA2025" s="27"/>
      <c r="BB2025" s="27"/>
      <c r="BC2025" s="27"/>
      <c r="BD2025" s="27"/>
      <c r="BE2025" s="27"/>
      <c r="BF2025" s="27"/>
      <c r="BG2025" s="27"/>
      <c r="BK2025" s="27"/>
      <c r="BL2025" s="27"/>
      <c r="BM2025" s="27"/>
      <c r="BN2025" s="27"/>
      <c r="BO2025" s="27"/>
      <c r="BP2025" s="27"/>
      <c r="BQ2025" s="27"/>
      <c r="BR2025" s="27"/>
      <c r="BS2025" s="27"/>
      <c r="BT2025" s="27"/>
      <c r="BX2025" s="27"/>
      <c r="BY2025" s="27"/>
      <c r="BZ2025" s="27"/>
      <c r="CA2025" s="27"/>
      <c r="CB2025" s="27"/>
      <c r="CC2025" s="27"/>
      <c r="CD2025" s="27"/>
      <c r="CE2025" s="27"/>
      <c r="CF2025" s="27"/>
      <c r="CG2025" s="27"/>
      <c r="CH2025" s="23"/>
      <c r="CI2025" s="71" t="s">
        <v>397</v>
      </c>
      <c r="CJ2025" s="71" t="s">
        <v>750</v>
      </c>
      <c r="CP2025" s="74"/>
      <c r="CT2025" s="38"/>
      <c r="CU2025" s="38"/>
      <c r="CV2025" s="38"/>
      <c r="CW2025" s="38"/>
      <c r="CX2025" s="38"/>
      <c r="CY2025" s="38"/>
      <c r="CZ2025" s="38"/>
      <c r="DA2025" s="38"/>
      <c r="DB2025" s="38"/>
      <c r="DC2025" s="27"/>
      <c r="DE2025" s="74" t="s">
        <v>550</v>
      </c>
    </row>
    <row r="2026" spans="1:109" s="25" customFormat="1" ht="13.5" x14ac:dyDescent="0.2">
      <c r="A2026" s="29" t="s">
        <v>4380</v>
      </c>
      <c r="B2026" s="34" t="s">
        <v>1</v>
      </c>
      <c r="C2026" s="34">
        <f t="shared" si="184"/>
        <v>300410004</v>
      </c>
      <c r="D2026" s="34" t="s">
        <v>4427</v>
      </c>
      <c r="E2026" s="188" t="s">
        <v>3922</v>
      </c>
      <c r="F2026" s="21"/>
      <c r="G2026" s="21"/>
      <c r="H2026" s="21"/>
      <c r="I2026" s="186" t="s">
        <v>4346</v>
      </c>
      <c r="J2026" s="21" t="s">
        <v>550</v>
      </c>
      <c r="K2026" s="21"/>
      <c r="L2026" s="21"/>
      <c r="M2026" s="21"/>
      <c r="N2026" s="139" t="s">
        <v>819</v>
      </c>
      <c r="O2026" s="165" t="s">
        <v>4386</v>
      </c>
      <c r="P2026" s="21"/>
      <c r="Q2026" s="21" t="s">
        <v>2041</v>
      </c>
      <c r="R2026" s="21"/>
      <c r="S2026" s="21"/>
      <c r="T2026" s="75" t="s">
        <v>811</v>
      </c>
      <c r="U2026" s="124" t="s">
        <v>4431</v>
      </c>
      <c r="V2026" s="75" t="s">
        <v>819</v>
      </c>
      <c r="W2026" s="21" t="s">
        <v>4383</v>
      </c>
      <c r="X2026" s="21"/>
      <c r="Z2026" s="21"/>
      <c r="AA2026" s="21"/>
      <c r="AB2026" s="21"/>
      <c r="AC2026" s="35" t="s">
        <v>4381</v>
      </c>
      <c r="AD2026" s="35" t="s">
        <v>4381</v>
      </c>
      <c r="AE2026" s="39"/>
      <c r="AF2026" s="24" t="s">
        <v>2041</v>
      </c>
      <c r="AG2026" s="21"/>
      <c r="AH2026" s="168"/>
      <c r="AK2026" s="27"/>
      <c r="AL2026" s="189" t="s">
        <v>4504</v>
      </c>
      <c r="AM2026" s="27"/>
      <c r="AN2026" s="27"/>
      <c r="AO2026" s="27"/>
      <c r="AP2026" s="27"/>
      <c r="AQ2026" s="27"/>
      <c r="AR2026" s="27"/>
      <c r="AS2026" s="27"/>
      <c r="AT2026" s="27"/>
      <c r="AX2026" s="27"/>
      <c r="AY2026" s="27"/>
      <c r="AZ2026" s="27"/>
      <c r="BA2026" s="27"/>
      <c r="BB2026" s="27"/>
      <c r="BC2026" s="27"/>
      <c r="BD2026" s="27"/>
      <c r="BE2026" s="27"/>
      <c r="BF2026" s="27"/>
      <c r="BG2026" s="27"/>
      <c r="BK2026" s="27"/>
      <c r="BL2026" s="27"/>
      <c r="BM2026" s="27"/>
      <c r="BN2026" s="27"/>
      <c r="BO2026" s="27"/>
      <c r="BP2026" s="27"/>
      <c r="BQ2026" s="27"/>
      <c r="BR2026" s="27"/>
      <c r="BS2026" s="27"/>
      <c r="BT2026" s="27"/>
      <c r="BX2026" s="27"/>
      <c r="BY2026" s="27"/>
      <c r="BZ2026" s="27"/>
      <c r="CA2026" s="27"/>
      <c r="CB2026" s="27"/>
      <c r="CC2026" s="27"/>
      <c r="CD2026" s="27"/>
      <c r="CE2026" s="27"/>
      <c r="CF2026" s="27"/>
      <c r="CG2026" s="27"/>
      <c r="CH2026" s="23"/>
      <c r="CI2026" s="71" t="s">
        <v>397</v>
      </c>
      <c r="CJ2026" s="71" t="s">
        <v>750</v>
      </c>
      <c r="CP2026" s="74"/>
      <c r="CT2026" s="38"/>
      <c r="CU2026" s="38"/>
      <c r="CV2026" s="38"/>
      <c r="CW2026" s="38"/>
      <c r="CX2026" s="38"/>
      <c r="CY2026" s="38"/>
      <c r="CZ2026" s="38"/>
      <c r="DA2026" s="38"/>
      <c r="DB2026" s="38"/>
      <c r="DC2026" s="27"/>
      <c r="DE2026" s="74" t="s">
        <v>550</v>
      </c>
    </row>
    <row r="2027" spans="1:109" s="25" customFormat="1" ht="13.5" x14ac:dyDescent="0.2">
      <c r="A2027" s="29" t="s">
        <v>4380</v>
      </c>
      <c r="B2027" s="34" t="s">
        <v>2</v>
      </c>
      <c r="C2027" s="34">
        <f t="shared" si="184"/>
        <v>300410005</v>
      </c>
      <c r="D2027" s="34" t="s">
        <v>4427</v>
      </c>
      <c r="E2027" s="188" t="s">
        <v>3935</v>
      </c>
      <c r="F2027" s="21"/>
      <c r="G2027" s="21"/>
      <c r="H2027" s="21"/>
      <c r="I2027" s="187" t="s">
        <v>3895</v>
      </c>
      <c r="J2027" s="21" t="s">
        <v>550</v>
      </c>
      <c r="K2027" s="21"/>
      <c r="L2027" s="21"/>
      <c r="M2027" s="21"/>
      <c r="N2027" s="139" t="s">
        <v>819</v>
      </c>
      <c r="O2027" s="165" t="s">
        <v>4386</v>
      </c>
      <c r="P2027" s="21"/>
      <c r="Q2027" s="21" t="s">
        <v>2041</v>
      </c>
      <c r="R2027" s="21"/>
      <c r="S2027" s="21"/>
      <c r="T2027" s="75" t="s">
        <v>811</v>
      </c>
      <c r="U2027" s="124" t="s">
        <v>4432</v>
      </c>
      <c r="V2027" s="75" t="s">
        <v>819</v>
      </c>
      <c r="W2027" s="21" t="s">
        <v>4384</v>
      </c>
      <c r="X2027" s="21"/>
      <c r="Z2027" s="21"/>
      <c r="AA2027" s="21"/>
      <c r="AB2027" s="21"/>
      <c r="AC2027" s="21" t="s">
        <v>4382</v>
      </c>
      <c r="AD2027" s="21" t="s">
        <v>4382</v>
      </c>
      <c r="AE2027" s="39"/>
      <c r="AF2027" s="24" t="s">
        <v>2041</v>
      </c>
      <c r="AG2027" s="21"/>
      <c r="AH2027" s="168"/>
      <c r="AK2027" s="27"/>
      <c r="AL2027" s="189" t="s">
        <v>4504</v>
      </c>
      <c r="AM2027" s="27"/>
      <c r="AN2027" s="27"/>
      <c r="AO2027" s="27"/>
      <c r="AP2027" s="27"/>
      <c r="AQ2027" s="27"/>
      <c r="AR2027" s="27"/>
      <c r="AS2027" s="27"/>
      <c r="AT2027" s="27"/>
      <c r="AX2027" s="27"/>
      <c r="AY2027" s="27"/>
      <c r="AZ2027" s="27"/>
      <c r="BA2027" s="27"/>
      <c r="BB2027" s="27"/>
      <c r="BC2027" s="27"/>
      <c r="BD2027" s="27"/>
      <c r="BE2027" s="27"/>
      <c r="BF2027" s="27"/>
      <c r="BG2027" s="27"/>
      <c r="BK2027" s="27"/>
      <c r="BL2027" s="27"/>
      <c r="BM2027" s="27"/>
      <c r="BN2027" s="27"/>
      <c r="BO2027" s="27"/>
      <c r="BP2027" s="27"/>
      <c r="BQ2027" s="27"/>
      <c r="BR2027" s="27"/>
      <c r="BS2027" s="27"/>
      <c r="BT2027" s="27"/>
      <c r="BX2027" s="27"/>
      <c r="BY2027" s="27"/>
      <c r="BZ2027" s="27"/>
      <c r="CA2027" s="27"/>
      <c r="CB2027" s="27"/>
      <c r="CC2027" s="27"/>
      <c r="CD2027" s="27"/>
      <c r="CE2027" s="27"/>
      <c r="CF2027" s="27"/>
      <c r="CG2027" s="27"/>
      <c r="CH2027" s="23"/>
      <c r="CI2027" s="71" t="s">
        <v>397</v>
      </c>
      <c r="CJ2027" s="71" t="s">
        <v>750</v>
      </c>
      <c r="CP2027" s="74"/>
      <c r="CT2027" s="38"/>
      <c r="CU2027" s="38"/>
      <c r="CV2027" s="38"/>
      <c r="CW2027" s="38"/>
      <c r="CX2027" s="38"/>
      <c r="CY2027" s="38"/>
      <c r="CZ2027" s="38"/>
      <c r="DA2027" s="38"/>
      <c r="DB2027" s="38"/>
      <c r="DC2027" s="27"/>
      <c r="DE2027" s="74" t="s">
        <v>550</v>
      </c>
    </row>
    <row r="2028" spans="1:109" s="174" customFormat="1" x14ac:dyDescent="0.2">
      <c r="A2028" s="29" t="s">
        <v>4380</v>
      </c>
      <c r="B2028" s="173" t="s">
        <v>120</v>
      </c>
      <c r="C2028" s="173">
        <f t="shared" ref="C2028" si="185">A2028*10000+B2028</f>
        <v>300410006</v>
      </c>
      <c r="D2028" s="174" t="s">
        <v>4502</v>
      </c>
      <c r="E2028" s="170" t="s">
        <v>4130</v>
      </c>
      <c r="F2028" s="175" t="s">
        <v>550</v>
      </c>
      <c r="G2028" s="175" t="s">
        <v>550</v>
      </c>
      <c r="H2028" s="175" t="s">
        <v>4533</v>
      </c>
      <c r="I2028" s="75" t="s">
        <v>3991</v>
      </c>
      <c r="J2028" s="177"/>
      <c r="K2028" s="177"/>
      <c r="L2028" s="177"/>
      <c r="M2028" s="177"/>
      <c r="N2028" s="177" t="s">
        <v>819</v>
      </c>
      <c r="O2028" s="176" t="s">
        <v>4013</v>
      </c>
      <c r="P2028" s="177"/>
      <c r="Q2028" s="177" t="s">
        <v>2041</v>
      </c>
      <c r="R2028" s="177"/>
      <c r="S2028" s="177"/>
      <c r="T2028" s="177" t="s">
        <v>811</v>
      </c>
      <c r="U2028" s="124" t="s">
        <v>4502</v>
      </c>
      <c r="V2028" s="177" t="s">
        <v>819</v>
      </c>
      <c r="W2028" s="177" t="s">
        <v>23</v>
      </c>
      <c r="X2028" s="177"/>
      <c r="Y2028" s="177"/>
      <c r="Z2028" s="177"/>
      <c r="AA2028" s="177"/>
      <c r="AB2028" s="177"/>
      <c r="AC2028" s="177"/>
      <c r="AD2028" s="177"/>
      <c r="AE2028" s="178"/>
      <c r="AF2028" s="178" t="s">
        <v>2042</v>
      </c>
      <c r="AG2028" s="177"/>
      <c r="AH2028" s="189" t="s">
        <v>4503</v>
      </c>
      <c r="AI2028" s="179"/>
      <c r="AJ2028" s="179"/>
      <c r="AK2028" s="180">
        <v>100000</v>
      </c>
      <c r="AL2028" s="181"/>
      <c r="AM2028" s="182"/>
      <c r="AN2028" s="182"/>
      <c r="AO2028" s="182"/>
      <c r="AP2028" s="182"/>
      <c r="AQ2028" s="182"/>
      <c r="AR2028" s="182"/>
      <c r="AS2028" s="182"/>
      <c r="AT2028" s="182"/>
      <c r="AV2028" s="179"/>
      <c r="AW2028" s="179"/>
      <c r="AX2028" s="180"/>
      <c r="AY2028" s="181"/>
      <c r="AZ2028" s="182"/>
      <c r="BA2028" s="182"/>
      <c r="BB2028" s="182"/>
      <c r="BC2028" s="182"/>
      <c r="BD2028" s="182"/>
      <c r="BE2028" s="182"/>
      <c r="BF2028" s="182"/>
      <c r="BG2028" s="182"/>
      <c r="BI2028" s="179"/>
      <c r="BJ2028" s="179"/>
      <c r="BK2028" s="180"/>
      <c r="BL2028" s="181"/>
      <c r="BM2028" s="182"/>
      <c r="BN2028" s="182"/>
      <c r="BO2028" s="182"/>
      <c r="BP2028" s="182"/>
      <c r="BQ2028" s="182"/>
      <c r="BR2028" s="182"/>
      <c r="BS2028" s="182"/>
      <c r="BT2028" s="182"/>
      <c r="BV2028" s="179"/>
      <c r="BW2028" s="179"/>
      <c r="BX2028" s="180"/>
      <c r="BY2028" s="181"/>
      <c r="BZ2028" s="182"/>
      <c r="CA2028" s="182"/>
      <c r="CB2028" s="182"/>
      <c r="CC2028" s="182"/>
      <c r="CD2028" s="182"/>
      <c r="CE2028" s="182"/>
      <c r="CF2028" s="182"/>
      <c r="CG2028" s="182"/>
      <c r="CH2028" s="173"/>
      <c r="CI2028" s="179" t="s">
        <v>398</v>
      </c>
      <c r="CJ2028" s="179" t="s">
        <v>1492</v>
      </c>
      <c r="CK2028" s="180"/>
      <c r="CL2028" s="182"/>
      <c r="CM2028" s="182"/>
      <c r="CN2028" s="182"/>
      <c r="CO2028" s="179"/>
      <c r="CP2028" s="179"/>
      <c r="CQ2028" s="179"/>
      <c r="CR2028" s="180"/>
      <c r="CT2028" s="183"/>
      <c r="CU2028" s="183"/>
      <c r="CV2028" s="183"/>
      <c r="CW2028" s="183"/>
      <c r="CX2028" s="183"/>
      <c r="CY2028" s="183"/>
      <c r="CZ2028" s="183"/>
      <c r="DA2028" s="183"/>
      <c r="DB2028" s="183"/>
      <c r="DC2028" s="182"/>
      <c r="DE2028" s="174" t="s">
        <v>550</v>
      </c>
    </row>
    <row r="2029" spans="1:109" s="25" customFormat="1" x14ac:dyDescent="0.2">
      <c r="A2029" s="29" t="s">
        <v>4426</v>
      </c>
      <c r="B2029" s="34" t="s">
        <v>181</v>
      </c>
      <c r="C2029" s="34">
        <f t="shared" si="184"/>
        <v>300420001</v>
      </c>
      <c r="D2029" s="34" t="s">
        <v>4428</v>
      </c>
      <c r="E2029" s="188" t="s">
        <v>4350</v>
      </c>
      <c r="F2029" s="21"/>
      <c r="G2029" s="21"/>
      <c r="H2029" s="21"/>
      <c r="I2029" s="21" t="s">
        <v>157</v>
      </c>
      <c r="J2029" s="21" t="s">
        <v>550</v>
      </c>
      <c r="K2029" s="21"/>
      <c r="L2029" s="21"/>
      <c r="M2029" s="21"/>
      <c r="N2029" s="139" t="s">
        <v>819</v>
      </c>
      <c r="O2029" s="21" t="s">
        <v>158</v>
      </c>
      <c r="P2029" s="21"/>
      <c r="Q2029" s="21" t="s">
        <v>2041</v>
      </c>
      <c r="R2029" s="21"/>
      <c r="S2029" s="21"/>
      <c r="T2029" s="75" t="s">
        <v>811</v>
      </c>
      <c r="U2029" s="124" t="s">
        <v>4433</v>
      </c>
      <c r="V2029" s="75" t="s">
        <v>819</v>
      </c>
      <c r="W2029" s="21" t="s">
        <v>1</v>
      </c>
      <c r="X2029" s="21"/>
      <c r="Z2029" s="21"/>
      <c r="AA2029" s="21"/>
      <c r="AB2029" s="21"/>
      <c r="AC2029" s="21"/>
      <c r="AD2029" s="21"/>
      <c r="AE2029" s="39"/>
      <c r="AF2029" s="24" t="s">
        <v>2041</v>
      </c>
      <c r="AG2029" s="21"/>
      <c r="AH2029" s="37" t="s">
        <v>4484</v>
      </c>
      <c r="AK2029" s="27"/>
      <c r="AL2029" s="27">
        <v>800401</v>
      </c>
      <c r="AM2029" s="27"/>
      <c r="AN2029" s="27"/>
      <c r="AO2029" s="27"/>
      <c r="AP2029" s="27"/>
      <c r="AQ2029" s="27"/>
      <c r="AR2029" s="27"/>
      <c r="AS2029" s="27"/>
      <c r="AT2029" s="27"/>
      <c r="AX2029" s="27"/>
      <c r="AY2029" s="27"/>
      <c r="AZ2029" s="27"/>
      <c r="BA2029" s="27"/>
      <c r="BB2029" s="27"/>
      <c r="BC2029" s="27"/>
      <c r="BD2029" s="27"/>
      <c r="BE2029" s="27"/>
      <c r="BF2029" s="27"/>
      <c r="BG2029" s="27"/>
      <c r="BK2029" s="27"/>
      <c r="BL2029" s="27"/>
      <c r="BM2029" s="27"/>
      <c r="BN2029" s="27"/>
      <c r="BO2029" s="27"/>
      <c r="BP2029" s="27"/>
      <c r="BQ2029" s="27"/>
      <c r="BR2029" s="27"/>
      <c r="BS2029" s="27"/>
      <c r="BT2029" s="27"/>
      <c r="BX2029" s="27"/>
      <c r="BY2029" s="27"/>
      <c r="BZ2029" s="27"/>
      <c r="CA2029" s="27"/>
      <c r="CB2029" s="27"/>
      <c r="CC2029" s="27"/>
      <c r="CD2029" s="27"/>
      <c r="CE2029" s="27"/>
      <c r="CF2029" s="27"/>
      <c r="CG2029" s="27"/>
      <c r="CH2029" s="23"/>
      <c r="CI2029" s="142" t="s">
        <v>821</v>
      </c>
      <c r="CJ2029" s="142" t="s">
        <v>0</v>
      </c>
      <c r="CP2029" s="74" t="s">
        <v>932</v>
      </c>
      <c r="CT2029" s="38"/>
      <c r="CU2029" s="38"/>
      <c r="CV2029" s="38"/>
      <c r="CW2029" s="38"/>
      <c r="CX2029" s="38"/>
      <c r="CY2029" s="38"/>
      <c r="CZ2029" s="38"/>
      <c r="DA2029" s="38"/>
      <c r="DB2029" s="38"/>
      <c r="DC2029" s="27"/>
    </row>
    <row r="2030" spans="1:109" s="25" customFormat="1" x14ac:dyDescent="0.2">
      <c r="A2030" s="29" t="s">
        <v>4426</v>
      </c>
      <c r="B2030" s="34" t="s">
        <v>22</v>
      </c>
      <c r="C2030" s="34">
        <f t="shared" si="184"/>
        <v>300420002</v>
      </c>
      <c r="D2030" s="34" t="s">
        <v>4428</v>
      </c>
      <c r="E2030" s="165" t="s">
        <v>3518</v>
      </c>
      <c r="F2030" s="21"/>
      <c r="G2030" s="21"/>
      <c r="H2030" s="21"/>
      <c r="I2030" s="21" t="s">
        <v>4352</v>
      </c>
      <c r="J2030" s="21" t="s">
        <v>550</v>
      </c>
      <c r="K2030" s="21"/>
      <c r="L2030" s="21"/>
      <c r="M2030" s="21"/>
      <c r="N2030" s="139" t="s">
        <v>819</v>
      </c>
      <c r="O2030" s="21" t="s">
        <v>158</v>
      </c>
      <c r="P2030" s="21"/>
      <c r="Q2030" s="21" t="s">
        <v>2041</v>
      </c>
      <c r="R2030" s="21"/>
      <c r="S2030" s="21"/>
      <c r="T2030" s="75" t="s">
        <v>811</v>
      </c>
      <c r="U2030" s="124" t="s">
        <v>4434</v>
      </c>
      <c r="V2030" s="75" t="s">
        <v>819</v>
      </c>
      <c r="W2030" s="21" t="s">
        <v>1</v>
      </c>
      <c r="X2030" s="21"/>
      <c r="Z2030" s="21"/>
      <c r="AA2030" s="21"/>
      <c r="AB2030" s="21"/>
      <c r="AC2030" s="21"/>
      <c r="AD2030" s="21"/>
      <c r="AE2030" s="39"/>
      <c r="AF2030" s="24" t="s">
        <v>2041</v>
      </c>
      <c r="AG2030" s="21"/>
      <c r="AH2030" s="37" t="s">
        <v>4484</v>
      </c>
      <c r="AK2030" s="27"/>
      <c r="AL2030" s="27">
        <v>800401</v>
      </c>
      <c r="AM2030" s="27"/>
      <c r="AN2030" s="27"/>
      <c r="AO2030" s="27"/>
      <c r="AP2030" s="27"/>
      <c r="AQ2030" s="27"/>
      <c r="AR2030" s="27"/>
      <c r="AS2030" s="27"/>
      <c r="AT2030" s="27"/>
      <c r="AX2030" s="27"/>
      <c r="AY2030" s="27"/>
      <c r="AZ2030" s="27"/>
      <c r="BA2030" s="27"/>
      <c r="BB2030" s="27"/>
      <c r="BC2030" s="27"/>
      <c r="BD2030" s="27"/>
      <c r="BE2030" s="27"/>
      <c r="BF2030" s="27"/>
      <c r="BG2030" s="27"/>
      <c r="BK2030" s="27"/>
      <c r="BL2030" s="27"/>
      <c r="BM2030" s="27"/>
      <c r="BN2030" s="27"/>
      <c r="BO2030" s="27"/>
      <c r="BP2030" s="27"/>
      <c r="BQ2030" s="27"/>
      <c r="BR2030" s="27"/>
      <c r="BS2030" s="27"/>
      <c r="BT2030" s="27"/>
      <c r="BX2030" s="27"/>
      <c r="BY2030" s="27"/>
      <c r="BZ2030" s="27"/>
      <c r="CA2030" s="27"/>
      <c r="CB2030" s="27"/>
      <c r="CC2030" s="27"/>
      <c r="CD2030" s="27"/>
      <c r="CE2030" s="27"/>
      <c r="CF2030" s="27"/>
      <c r="CG2030" s="27"/>
      <c r="CH2030" s="23"/>
      <c r="CI2030" s="142" t="s">
        <v>821</v>
      </c>
      <c r="CJ2030" s="142" t="s">
        <v>0</v>
      </c>
      <c r="CP2030" s="74" t="s">
        <v>932</v>
      </c>
      <c r="CT2030" s="38"/>
      <c r="CU2030" s="38"/>
      <c r="CV2030" s="38"/>
      <c r="CW2030" s="38"/>
      <c r="CX2030" s="38"/>
      <c r="CY2030" s="38"/>
      <c r="CZ2030" s="38"/>
      <c r="DA2030" s="38"/>
      <c r="DB2030" s="38"/>
      <c r="DC2030" s="27"/>
    </row>
    <row r="2031" spans="1:109" s="25" customFormat="1" x14ac:dyDescent="0.2">
      <c r="A2031" s="29" t="s">
        <v>4426</v>
      </c>
      <c r="B2031" s="34" t="s">
        <v>122</v>
      </c>
      <c r="C2031" s="34">
        <f t="shared" si="184"/>
        <v>300420003</v>
      </c>
      <c r="D2031" s="34" t="s">
        <v>4428</v>
      </c>
      <c r="E2031" s="165" t="s">
        <v>1304</v>
      </c>
      <c r="F2031" s="21"/>
      <c r="G2031" s="21"/>
      <c r="H2031" s="21"/>
      <c r="I2031" s="21" t="s">
        <v>4354</v>
      </c>
      <c r="J2031" s="21" t="s">
        <v>550</v>
      </c>
      <c r="K2031" s="21"/>
      <c r="L2031" s="21"/>
      <c r="M2031" s="21"/>
      <c r="N2031" s="139" t="s">
        <v>819</v>
      </c>
      <c r="O2031" s="21" t="s">
        <v>158</v>
      </c>
      <c r="P2031" s="21"/>
      <c r="Q2031" s="21" t="s">
        <v>2041</v>
      </c>
      <c r="R2031" s="21"/>
      <c r="S2031" s="21"/>
      <c r="T2031" s="75" t="s">
        <v>811</v>
      </c>
      <c r="U2031" s="124" t="s">
        <v>4435</v>
      </c>
      <c r="V2031" s="75" t="s">
        <v>819</v>
      </c>
      <c r="W2031" s="21" t="s">
        <v>1</v>
      </c>
      <c r="X2031" s="21"/>
      <c r="Z2031" s="21"/>
      <c r="AA2031" s="21"/>
      <c r="AB2031" s="21"/>
      <c r="AC2031" s="21"/>
      <c r="AD2031" s="21"/>
      <c r="AE2031" s="39"/>
      <c r="AF2031" s="24" t="s">
        <v>2041</v>
      </c>
      <c r="AG2031" s="21"/>
      <c r="AH2031" s="37" t="s">
        <v>4484</v>
      </c>
      <c r="AK2031" s="27"/>
      <c r="AL2031" s="27">
        <v>800401</v>
      </c>
      <c r="AM2031" s="27"/>
      <c r="AN2031" s="27"/>
      <c r="AO2031" s="27"/>
      <c r="AP2031" s="27"/>
      <c r="AQ2031" s="27"/>
      <c r="AR2031" s="27"/>
      <c r="AS2031" s="27"/>
      <c r="AT2031" s="27"/>
      <c r="AX2031" s="27"/>
      <c r="AY2031" s="27"/>
      <c r="AZ2031" s="27"/>
      <c r="BA2031" s="27"/>
      <c r="BB2031" s="27"/>
      <c r="BC2031" s="27"/>
      <c r="BD2031" s="27"/>
      <c r="BE2031" s="27"/>
      <c r="BF2031" s="27"/>
      <c r="BG2031" s="27"/>
      <c r="BK2031" s="27"/>
      <c r="BL2031" s="27"/>
      <c r="BM2031" s="27"/>
      <c r="BN2031" s="27"/>
      <c r="BO2031" s="27"/>
      <c r="BP2031" s="27"/>
      <c r="BQ2031" s="27"/>
      <c r="BR2031" s="27"/>
      <c r="BS2031" s="27"/>
      <c r="BT2031" s="27"/>
      <c r="BX2031" s="27"/>
      <c r="BY2031" s="27"/>
      <c r="BZ2031" s="27"/>
      <c r="CA2031" s="27"/>
      <c r="CB2031" s="27"/>
      <c r="CC2031" s="27"/>
      <c r="CD2031" s="27"/>
      <c r="CE2031" s="27"/>
      <c r="CF2031" s="27"/>
      <c r="CG2031" s="27"/>
      <c r="CH2031" s="23"/>
      <c r="CI2031" s="142" t="s">
        <v>821</v>
      </c>
      <c r="CJ2031" s="142" t="s">
        <v>0</v>
      </c>
      <c r="CP2031" s="74" t="s">
        <v>932</v>
      </c>
      <c r="CT2031" s="38"/>
      <c r="CU2031" s="38"/>
      <c r="CV2031" s="38"/>
      <c r="CW2031" s="38"/>
      <c r="CX2031" s="38"/>
      <c r="CY2031" s="38"/>
      <c r="CZ2031" s="38"/>
      <c r="DA2031" s="38"/>
      <c r="DB2031" s="38"/>
      <c r="DC2031" s="27"/>
    </row>
    <row r="2032" spans="1:109" s="25" customFormat="1" x14ac:dyDescent="0.2">
      <c r="A2032" s="29" t="s">
        <v>4426</v>
      </c>
      <c r="B2032" s="34" t="s">
        <v>23</v>
      </c>
      <c r="C2032" s="34">
        <f t="shared" si="184"/>
        <v>300420004</v>
      </c>
      <c r="D2032" s="34" t="s">
        <v>4428</v>
      </c>
      <c r="E2032" s="165" t="s">
        <v>3518</v>
      </c>
      <c r="F2032" s="21"/>
      <c r="G2032" s="21"/>
      <c r="H2032" s="21"/>
      <c r="I2032" s="21" t="s">
        <v>4356</v>
      </c>
      <c r="J2032" s="21" t="s">
        <v>550</v>
      </c>
      <c r="K2032" s="21"/>
      <c r="L2032" s="21"/>
      <c r="M2032" s="21"/>
      <c r="N2032" s="139" t="s">
        <v>819</v>
      </c>
      <c r="O2032" s="21" t="s">
        <v>158</v>
      </c>
      <c r="P2032" s="21"/>
      <c r="Q2032" s="21" t="s">
        <v>2041</v>
      </c>
      <c r="R2032" s="21"/>
      <c r="S2032" s="21"/>
      <c r="T2032" s="75" t="s">
        <v>811</v>
      </c>
      <c r="U2032" s="124" t="s">
        <v>4436</v>
      </c>
      <c r="V2032" s="75" t="s">
        <v>819</v>
      </c>
      <c r="W2032" s="21" t="s">
        <v>1</v>
      </c>
      <c r="X2032" s="21"/>
      <c r="Z2032" s="21"/>
      <c r="AA2032" s="21"/>
      <c r="AB2032" s="21"/>
      <c r="AC2032" s="21"/>
      <c r="AD2032" s="21"/>
      <c r="AE2032" s="39"/>
      <c r="AF2032" s="24" t="s">
        <v>2041</v>
      </c>
      <c r="AG2032" s="21"/>
      <c r="AH2032" s="37" t="s">
        <v>4484</v>
      </c>
      <c r="AK2032" s="27"/>
      <c r="AL2032" s="27">
        <v>800401</v>
      </c>
      <c r="AM2032" s="27"/>
      <c r="AN2032" s="27"/>
      <c r="AO2032" s="27"/>
      <c r="AP2032" s="27"/>
      <c r="AQ2032" s="27"/>
      <c r="AR2032" s="27"/>
      <c r="AS2032" s="27"/>
      <c r="AT2032" s="27"/>
      <c r="AX2032" s="27"/>
      <c r="AY2032" s="27"/>
      <c r="AZ2032" s="27"/>
      <c r="BA2032" s="27"/>
      <c r="BB2032" s="27"/>
      <c r="BC2032" s="27"/>
      <c r="BD2032" s="27"/>
      <c r="BE2032" s="27"/>
      <c r="BF2032" s="27"/>
      <c r="BG2032" s="27"/>
      <c r="BK2032" s="27"/>
      <c r="BL2032" s="27"/>
      <c r="BM2032" s="27"/>
      <c r="BN2032" s="27"/>
      <c r="BO2032" s="27"/>
      <c r="BP2032" s="27"/>
      <c r="BQ2032" s="27"/>
      <c r="BR2032" s="27"/>
      <c r="BS2032" s="27"/>
      <c r="BT2032" s="27"/>
      <c r="BX2032" s="27"/>
      <c r="BY2032" s="27"/>
      <c r="BZ2032" s="27"/>
      <c r="CA2032" s="27"/>
      <c r="CB2032" s="27"/>
      <c r="CC2032" s="27"/>
      <c r="CD2032" s="27"/>
      <c r="CE2032" s="27"/>
      <c r="CF2032" s="27"/>
      <c r="CG2032" s="27"/>
      <c r="CH2032" s="23"/>
      <c r="CI2032" s="142" t="s">
        <v>821</v>
      </c>
      <c r="CJ2032" s="142" t="s">
        <v>0</v>
      </c>
      <c r="CP2032" s="74" t="s">
        <v>932</v>
      </c>
      <c r="CT2032" s="38"/>
      <c r="CU2032" s="38"/>
      <c r="CV2032" s="38"/>
      <c r="CW2032" s="38"/>
      <c r="CX2032" s="38"/>
      <c r="CY2032" s="38"/>
      <c r="CZ2032" s="38"/>
      <c r="DA2032" s="38"/>
      <c r="DB2032" s="38"/>
      <c r="DC2032" s="27"/>
    </row>
    <row r="2033" spans="1:109" s="25" customFormat="1" x14ac:dyDescent="0.2">
      <c r="A2033" s="29" t="s">
        <v>4426</v>
      </c>
      <c r="B2033" s="34" t="s">
        <v>123</v>
      </c>
      <c r="C2033" s="34">
        <f t="shared" si="184"/>
        <v>300420005</v>
      </c>
      <c r="D2033" s="34" t="s">
        <v>4428</v>
      </c>
      <c r="E2033" s="165" t="s">
        <v>3518</v>
      </c>
      <c r="F2033" s="21"/>
      <c r="G2033" s="21"/>
      <c r="H2033" s="21"/>
      <c r="I2033" s="21" t="s">
        <v>157</v>
      </c>
      <c r="J2033" s="21" t="s">
        <v>550</v>
      </c>
      <c r="K2033" s="21"/>
      <c r="L2033" s="21"/>
      <c r="M2033" s="21"/>
      <c r="N2033" s="139" t="s">
        <v>819</v>
      </c>
      <c r="O2033" s="21" t="s">
        <v>158</v>
      </c>
      <c r="P2033" s="21"/>
      <c r="Q2033" s="21" t="s">
        <v>2041</v>
      </c>
      <c r="R2033" s="21"/>
      <c r="S2033" s="21"/>
      <c r="T2033" s="75" t="s">
        <v>811</v>
      </c>
      <c r="U2033" s="124" t="s">
        <v>4437</v>
      </c>
      <c r="V2033" s="75" t="s">
        <v>819</v>
      </c>
      <c r="W2033" s="21" t="s">
        <v>1</v>
      </c>
      <c r="X2033" s="21"/>
      <c r="Z2033" s="21"/>
      <c r="AA2033" s="21"/>
      <c r="AB2033" s="21"/>
      <c r="AC2033" s="21"/>
      <c r="AD2033" s="21"/>
      <c r="AE2033" s="39"/>
      <c r="AF2033" s="24" t="s">
        <v>2041</v>
      </c>
      <c r="AG2033" s="21"/>
      <c r="AH2033" s="37" t="s">
        <v>4484</v>
      </c>
      <c r="AK2033" s="27"/>
      <c r="AL2033" s="27">
        <v>800403</v>
      </c>
      <c r="AM2033" s="27"/>
      <c r="AN2033" s="27"/>
      <c r="AO2033" s="27"/>
      <c r="AP2033" s="27"/>
      <c r="AQ2033" s="27"/>
      <c r="AR2033" s="27"/>
      <c r="AS2033" s="27"/>
      <c r="AT2033" s="27"/>
      <c r="AX2033" s="27"/>
      <c r="AY2033" s="27"/>
      <c r="AZ2033" s="27"/>
      <c r="BA2033" s="27"/>
      <c r="BB2033" s="27"/>
      <c r="BC2033" s="27"/>
      <c r="BD2033" s="27"/>
      <c r="BE2033" s="27"/>
      <c r="BF2033" s="27"/>
      <c r="BG2033" s="27"/>
      <c r="BK2033" s="27"/>
      <c r="BL2033" s="27"/>
      <c r="BM2033" s="27"/>
      <c r="BN2033" s="27"/>
      <c r="BO2033" s="27"/>
      <c r="BP2033" s="27"/>
      <c r="BQ2033" s="27"/>
      <c r="BR2033" s="27"/>
      <c r="BS2033" s="27"/>
      <c r="BT2033" s="27"/>
      <c r="BX2033" s="27"/>
      <c r="BY2033" s="27"/>
      <c r="BZ2033" s="27"/>
      <c r="CA2033" s="27"/>
      <c r="CB2033" s="27"/>
      <c r="CC2033" s="27"/>
      <c r="CD2033" s="27"/>
      <c r="CE2033" s="27"/>
      <c r="CF2033" s="27"/>
      <c r="CG2033" s="27"/>
      <c r="CH2033" s="23"/>
      <c r="CI2033" s="142" t="s">
        <v>821</v>
      </c>
      <c r="CJ2033" s="142" t="s">
        <v>0</v>
      </c>
      <c r="CP2033" s="74" t="s">
        <v>932</v>
      </c>
      <c r="CT2033" s="38"/>
      <c r="CU2033" s="38"/>
      <c r="CV2033" s="38"/>
      <c r="CW2033" s="38"/>
      <c r="CX2033" s="38"/>
      <c r="CY2033" s="38"/>
      <c r="CZ2033" s="38"/>
      <c r="DA2033" s="38"/>
      <c r="DB2033" s="38"/>
      <c r="DC2033" s="27"/>
    </row>
    <row r="2034" spans="1:109" s="138" customFormat="1" x14ac:dyDescent="0.2">
      <c r="A2034" s="29" t="s">
        <v>4426</v>
      </c>
      <c r="B2034" s="137" t="s">
        <v>4443</v>
      </c>
      <c r="C2034" s="34">
        <f t="shared" si="184"/>
        <v>300420006</v>
      </c>
      <c r="D2034" s="34" t="s">
        <v>4446</v>
      </c>
      <c r="E2034" s="129" t="s">
        <v>1124</v>
      </c>
      <c r="F2034" s="21"/>
      <c r="G2034" s="21"/>
      <c r="H2034" s="21"/>
      <c r="I2034" s="136" t="s">
        <v>157</v>
      </c>
      <c r="J2034" s="114"/>
      <c r="K2034" s="114"/>
      <c r="L2034" s="114"/>
      <c r="M2034" s="114"/>
      <c r="N2034" s="114" t="s">
        <v>819</v>
      </c>
      <c r="O2034" s="21" t="s">
        <v>4452</v>
      </c>
      <c r="P2034" s="114"/>
      <c r="Q2034" s="114" t="s">
        <v>2041</v>
      </c>
      <c r="R2034" s="114"/>
      <c r="S2034" s="114"/>
      <c r="T2034" s="114" t="s">
        <v>3433</v>
      </c>
      <c r="U2034" s="124" t="s">
        <v>4447</v>
      </c>
      <c r="V2034" s="114" t="s">
        <v>819</v>
      </c>
      <c r="W2034" s="114" t="s">
        <v>4450</v>
      </c>
      <c r="X2034" s="114"/>
      <c r="Y2034" s="114"/>
      <c r="Z2034" s="114"/>
      <c r="AA2034" s="114"/>
      <c r="AB2034" s="114"/>
      <c r="AC2034" s="114" t="s">
        <v>4454</v>
      </c>
      <c r="AD2034" s="114" t="s">
        <v>4454</v>
      </c>
      <c r="AE2034" s="130"/>
      <c r="AF2034" s="130" t="s">
        <v>2042</v>
      </c>
      <c r="AG2034" s="114"/>
      <c r="AH2034" s="37" t="s">
        <v>4484</v>
      </c>
      <c r="AI2034" s="131"/>
      <c r="AJ2034" s="131"/>
      <c r="AK2034" s="132"/>
      <c r="AL2034" s="133" t="s">
        <v>4485</v>
      </c>
      <c r="AM2034" s="145"/>
      <c r="AN2034" s="145"/>
      <c r="AO2034" s="145"/>
      <c r="AP2034" s="145"/>
      <c r="AQ2034" s="145"/>
      <c r="AR2034" s="145"/>
      <c r="AS2034" s="145"/>
      <c r="AT2034" s="145"/>
      <c r="AV2034" s="142"/>
      <c r="AW2034" s="142"/>
      <c r="AX2034" s="143"/>
      <c r="AY2034" s="144"/>
      <c r="AZ2034" s="145"/>
      <c r="BA2034" s="145"/>
      <c r="BB2034" s="145"/>
      <c r="BC2034" s="145"/>
      <c r="BD2034" s="145"/>
      <c r="BE2034" s="145"/>
      <c r="BF2034" s="145"/>
      <c r="BG2034" s="145"/>
      <c r="BI2034" s="142"/>
      <c r="BJ2034" s="142"/>
      <c r="BK2034" s="143"/>
      <c r="BM2034" s="145"/>
      <c r="BN2034" s="145"/>
      <c r="BO2034" s="145"/>
      <c r="BP2034" s="145"/>
      <c r="BQ2034" s="145"/>
      <c r="BR2034" s="145"/>
      <c r="BS2034" s="145"/>
      <c r="BT2034" s="145"/>
      <c r="BU2034" s="142"/>
      <c r="BV2034" s="142"/>
      <c r="BW2034" s="142"/>
      <c r="BX2034" s="143"/>
      <c r="BY2034" s="144"/>
      <c r="BZ2034" s="145"/>
      <c r="CA2034" s="145"/>
      <c r="CB2034" s="145"/>
      <c r="CC2034" s="145"/>
      <c r="CD2034" s="145"/>
      <c r="CE2034" s="145"/>
      <c r="CF2034" s="145"/>
      <c r="CG2034" s="145"/>
      <c r="CH2034" s="137"/>
      <c r="CI2034" s="142" t="s">
        <v>821</v>
      </c>
      <c r="CJ2034" s="142" t="s">
        <v>0</v>
      </c>
      <c r="CK2034" s="143"/>
      <c r="CL2034" s="145"/>
      <c r="CM2034" s="145"/>
      <c r="CN2034" s="145"/>
      <c r="CO2034" s="142"/>
      <c r="CP2034" s="23"/>
      <c r="CQ2034" s="142"/>
      <c r="CR2034" s="143"/>
      <c r="CT2034" s="146"/>
      <c r="CU2034" s="146"/>
      <c r="CV2034" s="146"/>
      <c r="CW2034" s="146"/>
      <c r="CX2034" s="146"/>
      <c r="CY2034" s="146"/>
      <c r="CZ2034" s="146"/>
      <c r="DA2034" s="146"/>
      <c r="DB2034" s="146"/>
      <c r="DC2034" s="145"/>
      <c r="DE2034" s="138" t="s">
        <v>4453</v>
      </c>
    </row>
    <row r="2035" spans="1:109" s="138" customFormat="1" x14ac:dyDescent="0.2">
      <c r="A2035" s="29" t="s">
        <v>4426</v>
      </c>
      <c r="B2035" s="137" t="s">
        <v>4444</v>
      </c>
      <c r="C2035" s="34">
        <f t="shared" si="184"/>
        <v>300420007</v>
      </c>
      <c r="D2035" s="34" t="s">
        <v>4446</v>
      </c>
      <c r="E2035" s="129" t="s">
        <v>1124</v>
      </c>
      <c r="F2035" s="21"/>
      <c r="G2035" s="21"/>
      <c r="H2035" s="21"/>
      <c r="I2035" s="136" t="s">
        <v>157</v>
      </c>
      <c r="J2035" s="114"/>
      <c r="K2035" s="114"/>
      <c r="L2035" s="114"/>
      <c r="M2035" s="114"/>
      <c r="N2035" s="114" t="s">
        <v>819</v>
      </c>
      <c r="O2035" s="21" t="s">
        <v>4452</v>
      </c>
      <c r="P2035" s="114"/>
      <c r="Q2035" s="114" t="s">
        <v>2041</v>
      </c>
      <c r="R2035" s="114"/>
      <c r="S2035" s="114"/>
      <c r="T2035" s="114" t="s">
        <v>3433</v>
      </c>
      <c r="U2035" s="124" t="s">
        <v>4448</v>
      </c>
      <c r="V2035" s="114" t="s">
        <v>819</v>
      </c>
      <c r="W2035" s="114" t="s">
        <v>4451</v>
      </c>
      <c r="X2035" s="114"/>
      <c r="Y2035" s="114"/>
      <c r="Z2035" s="114"/>
      <c r="AA2035" s="114"/>
      <c r="AB2035" s="114"/>
      <c r="AC2035" s="114" t="s">
        <v>4455</v>
      </c>
      <c r="AD2035" s="114" t="s">
        <v>4455</v>
      </c>
      <c r="AE2035" s="130"/>
      <c r="AF2035" s="130" t="s">
        <v>2042</v>
      </c>
      <c r="AG2035" s="114"/>
      <c r="AH2035" s="37" t="s">
        <v>4484</v>
      </c>
      <c r="AI2035" s="131"/>
      <c r="AJ2035" s="131"/>
      <c r="AK2035" s="132"/>
      <c r="AL2035" s="133" t="s">
        <v>4486</v>
      </c>
      <c r="AM2035" s="145"/>
      <c r="AN2035" s="145"/>
      <c r="AO2035" s="145"/>
      <c r="AP2035" s="145"/>
      <c r="AQ2035" s="145"/>
      <c r="AR2035" s="145"/>
      <c r="AS2035" s="145"/>
      <c r="AT2035" s="145"/>
      <c r="AV2035" s="142"/>
      <c r="AW2035" s="142"/>
      <c r="AX2035" s="143"/>
      <c r="AY2035" s="144"/>
      <c r="AZ2035" s="145"/>
      <c r="BA2035" s="145"/>
      <c r="BB2035" s="145"/>
      <c r="BC2035" s="145"/>
      <c r="BD2035" s="145"/>
      <c r="BE2035" s="145"/>
      <c r="BF2035" s="145"/>
      <c r="BG2035" s="145"/>
      <c r="BI2035" s="142"/>
      <c r="BJ2035" s="142"/>
      <c r="BK2035" s="143"/>
      <c r="BM2035" s="145"/>
      <c r="BN2035" s="145"/>
      <c r="BO2035" s="145"/>
      <c r="BP2035" s="145"/>
      <c r="BQ2035" s="145"/>
      <c r="BR2035" s="145"/>
      <c r="BS2035" s="145"/>
      <c r="BT2035" s="145"/>
      <c r="BU2035" s="142"/>
      <c r="BV2035" s="142"/>
      <c r="BW2035" s="142"/>
      <c r="BX2035" s="143"/>
      <c r="BY2035" s="144"/>
      <c r="BZ2035" s="145"/>
      <c r="CA2035" s="145"/>
      <c r="CB2035" s="145"/>
      <c r="CC2035" s="145"/>
      <c r="CD2035" s="145"/>
      <c r="CE2035" s="145"/>
      <c r="CF2035" s="145"/>
      <c r="CG2035" s="145"/>
      <c r="CH2035" s="137"/>
      <c r="CI2035" s="142" t="s">
        <v>821</v>
      </c>
      <c r="CJ2035" s="142" t="s">
        <v>0</v>
      </c>
      <c r="CK2035" s="143"/>
      <c r="CL2035" s="145"/>
      <c r="CM2035" s="145"/>
      <c r="CN2035" s="145"/>
      <c r="CO2035" s="142"/>
      <c r="CP2035" s="23"/>
      <c r="CQ2035" s="142"/>
      <c r="CR2035" s="143"/>
      <c r="CT2035" s="146"/>
      <c r="CU2035" s="146"/>
      <c r="CV2035" s="146"/>
      <c r="CW2035" s="146"/>
      <c r="CX2035" s="146"/>
      <c r="CY2035" s="146"/>
      <c r="CZ2035" s="146"/>
      <c r="DA2035" s="146"/>
      <c r="DB2035" s="146"/>
      <c r="DC2035" s="145"/>
      <c r="DE2035" s="138" t="s">
        <v>4453</v>
      </c>
    </row>
    <row r="2036" spans="1:109" s="138" customFormat="1" x14ac:dyDescent="0.2">
      <c r="A2036" s="29" t="s">
        <v>4426</v>
      </c>
      <c r="B2036" s="137" t="s">
        <v>4445</v>
      </c>
      <c r="C2036" s="34">
        <f t="shared" si="184"/>
        <v>300420008</v>
      </c>
      <c r="D2036" s="34" t="s">
        <v>4446</v>
      </c>
      <c r="E2036" s="129" t="s">
        <v>1124</v>
      </c>
      <c r="F2036" s="21"/>
      <c r="G2036" s="21"/>
      <c r="H2036" s="21"/>
      <c r="I2036" s="136" t="s">
        <v>157</v>
      </c>
      <c r="J2036" s="114"/>
      <c r="K2036" s="114"/>
      <c r="L2036" s="114"/>
      <c r="M2036" s="114"/>
      <c r="N2036" s="114" t="s">
        <v>819</v>
      </c>
      <c r="O2036" s="21" t="s">
        <v>4452</v>
      </c>
      <c r="P2036" s="114"/>
      <c r="Q2036" s="114" t="s">
        <v>2041</v>
      </c>
      <c r="R2036" s="114"/>
      <c r="S2036" s="114"/>
      <c r="T2036" s="114" t="s">
        <v>3433</v>
      </c>
      <c r="U2036" s="124" t="s">
        <v>4449</v>
      </c>
      <c r="V2036" s="114" t="s">
        <v>819</v>
      </c>
      <c r="W2036" s="114" t="s">
        <v>4450</v>
      </c>
      <c r="X2036" s="114"/>
      <c r="Y2036" s="114"/>
      <c r="Z2036" s="114"/>
      <c r="AA2036" s="114"/>
      <c r="AB2036" s="114"/>
      <c r="AC2036" s="114" t="s">
        <v>4456</v>
      </c>
      <c r="AD2036" s="114" t="s">
        <v>4456</v>
      </c>
      <c r="AE2036" s="130"/>
      <c r="AF2036" s="130" t="s">
        <v>2042</v>
      </c>
      <c r="AG2036" s="114"/>
      <c r="AH2036" s="37" t="s">
        <v>4484</v>
      </c>
      <c r="AI2036" s="131"/>
      <c r="AJ2036" s="131"/>
      <c r="AK2036" s="132"/>
      <c r="AL2036" s="133" t="s">
        <v>4487</v>
      </c>
      <c r="AM2036" s="145"/>
      <c r="AN2036" s="145"/>
      <c r="AO2036" s="145"/>
      <c r="AP2036" s="145"/>
      <c r="AQ2036" s="145"/>
      <c r="AR2036" s="145"/>
      <c r="AS2036" s="145"/>
      <c r="AT2036" s="145"/>
      <c r="AV2036" s="142"/>
      <c r="AW2036" s="142"/>
      <c r="AX2036" s="143"/>
      <c r="AY2036" s="144"/>
      <c r="AZ2036" s="145"/>
      <c r="BA2036" s="145"/>
      <c r="BB2036" s="145"/>
      <c r="BC2036" s="145"/>
      <c r="BD2036" s="145"/>
      <c r="BE2036" s="145"/>
      <c r="BF2036" s="145"/>
      <c r="BG2036" s="145"/>
      <c r="BI2036" s="142"/>
      <c r="BJ2036" s="142"/>
      <c r="BK2036" s="143"/>
      <c r="BM2036" s="145"/>
      <c r="BN2036" s="145"/>
      <c r="BO2036" s="145"/>
      <c r="BP2036" s="145"/>
      <c r="BQ2036" s="145"/>
      <c r="BR2036" s="145"/>
      <c r="BS2036" s="145"/>
      <c r="BT2036" s="145"/>
      <c r="BU2036" s="142"/>
      <c r="BV2036" s="142"/>
      <c r="BW2036" s="142"/>
      <c r="BX2036" s="143"/>
      <c r="BY2036" s="144"/>
      <c r="BZ2036" s="145"/>
      <c r="CA2036" s="145"/>
      <c r="CB2036" s="145"/>
      <c r="CC2036" s="145"/>
      <c r="CD2036" s="145"/>
      <c r="CE2036" s="145"/>
      <c r="CF2036" s="145"/>
      <c r="CG2036" s="145"/>
      <c r="CH2036" s="137"/>
      <c r="CI2036" s="142" t="s">
        <v>821</v>
      </c>
      <c r="CJ2036" s="142" t="s">
        <v>0</v>
      </c>
      <c r="CK2036" s="143"/>
      <c r="CL2036" s="145"/>
      <c r="CM2036" s="145"/>
      <c r="CN2036" s="145"/>
      <c r="CO2036" s="142"/>
      <c r="CP2036" s="23"/>
      <c r="CQ2036" s="142"/>
      <c r="CR2036" s="143"/>
      <c r="CT2036" s="146"/>
      <c r="CU2036" s="146"/>
      <c r="CV2036" s="146"/>
      <c r="CW2036" s="146"/>
      <c r="CX2036" s="146"/>
      <c r="CY2036" s="146"/>
      <c r="CZ2036" s="146"/>
      <c r="DA2036" s="146"/>
      <c r="DB2036" s="146"/>
      <c r="DC2036" s="145"/>
      <c r="DE2036" s="138" t="s">
        <v>4453</v>
      </c>
    </row>
    <row r="2037" spans="1:109" s="57" customFormat="1" x14ac:dyDescent="0.2">
      <c r="A2037" s="64" t="s">
        <v>4540</v>
      </c>
      <c r="B2037" s="64" t="s">
        <v>181</v>
      </c>
      <c r="C2037" s="64">
        <f t="shared" si="184"/>
        <v>300430001</v>
      </c>
      <c r="D2037" s="57" t="s">
        <v>4541</v>
      </c>
      <c r="E2037" s="58" t="s">
        <v>4568</v>
      </c>
      <c r="F2037" s="59"/>
      <c r="G2037" s="59"/>
      <c r="H2037" s="59"/>
      <c r="I2037" s="236" t="s">
        <v>4567</v>
      </c>
      <c r="J2037" s="59" t="s">
        <v>548</v>
      </c>
      <c r="K2037" s="59"/>
      <c r="L2037" s="59"/>
      <c r="M2037" s="59"/>
      <c r="N2037" s="59" t="s">
        <v>819</v>
      </c>
      <c r="O2037" s="59" t="s">
        <v>4544</v>
      </c>
      <c r="P2037" s="59" t="s">
        <v>4569</v>
      </c>
      <c r="Q2037" s="59" t="s">
        <v>2041</v>
      </c>
      <c r="R2037" s="59"/>
      <c r="S2037" s="59"/>
      <c r="T2037" s="59" t="s">
        <v>811</v>
      </c>
      <c r="U2037" s="57" t="s">
        <v>4541</v>
      </c>
      <c r="V2037" s="59" t="s">
        <v>819</v>
      </c>
      <c r="W2037" s="59" t="s">
        <v>181</v>
      </c>
      <c r="X2037" s="59"/>
      <c r="Y2037" s="59"/>
      <c r="Z2037" s="59"/>
      <c r="AA2037" s="59"/>
      <c r="AB2037" s="59"/>
      <c r="AC2037" s="59" t="s">
        <v>4545</v>
      </c>
      <c r="AD2037" s="59" t="s">
        <v>4545</v>
      </c>
      <c r="AE2037" s="60"/>
      <c r="AF2037" s="60" t="s">
        <v>4840</v>
      </c>
      <c r="AG2037" s="59"/>
      <c r="AH2037" s="57" t="s">
        <v>4562</v>
      </c>
      <c r="AI2037" s="61"/>
      <c r="AJ2037" s="61"/>
      <c r="AK2037" s="62"/>
      <c r="AL2037" s="213" t="s">
        <v>4563</v>
      </c>
      <c r="AM2037" s="63"/>
      <c r="AN2037" s="63"/>
      <c r="AO2037" s="63"/>
      <c r="AP2037" s="63"/>
      <c r="AQ2037" s="63"/>
      <c r="AR2037" s="63"/>
      <c r="AS2037" s="63"/>
      <c r="AT2037" s="63"/>
      <c r="AV2037" s="61"/>
      <c r="AW2037" s="61"/>
      <c r="AX2037" s="62"/>
      <c r="AY2037" s="213"/>
      <c r="AZ2037" s="63"/>
      <c r="BA2037" s="63"/>
      <c r="BB2037" s="63"/>
      <c r="BC2037" s="63"/>
      <c r="BD2037" s="63"/>
      <c r="BE2037" s="63"/>
      <c r="BF2037" s="63"/>
      <c r="BG2037" s="63"/>
      <c r="BI2037" s="61"/>
      <c r="BJ2037" s="61"/>
      <c r="BK2037" s="62"/>
      <c r="BL2037" s="213"/>
      <c r="BM2037" s="63"/>
      <c r="BN2037" s="63"/>
      <c r="BO2037" s="63"/>
      <c r="BP2037" s="63"/>
      <c r="BQ2037" s="63"/>
      <c r="BR2037" s="63"/>
      <c r="BS2037" s="63"/>
      <c r="BT2037" s="63"/>
      <c r="BV2037" s="61"/>
      <c r="BW2037" s="61"/>
      <c r="BX2037" s="62"/>
      <c r="BY2037" s="213"/>
      <c r="BZ2037" s="63"/>
      <c r="CA2037" s="63"/>
      <c r="CB2037" s="63"/>
      <c r="CC2037" s="63"/>
      <c r="CD2037" s="63"/>
      <c r="CE2037" s="63"/>
      <c r="CF2037" s="63"/>
      <c r="CG2037" s="63"/>
      <c r="CH2037" s="64"/>
      <c r="CI2037" s="61" t="s">
        <v>4566</v>
      </c>
      <c r="CJ2037" s="61" t="s">
        <v>0</v>
      </c>
      <c r="CK2037" s="62"/>
      <c r="CL2037" s="63"/>
      <c r="CM2037" s="63"/>
      <c r="CN2037" s="63"/>
      <c r="CO2037" s="61"/>
      <c r="CP2037" s="57" t="s">
        <v>932</v>
      </c>
      <c r="CQ2037" s="61"/>
      <c r="CR2037" s="62"/>
      <c r="CT2037" s="65"/>
      <c r="CU2037" s="65"/>
      <c r="CV2037" s="65"/>
      <c r="CW2037" s="65"/>
      <c r="CX2037" s="65"/>
      <c r="CY2037" s="65"/>
      <c r="CZ2037" s="65"/>
      <c r="DA2037" s="65"/>
      <c r="DB2037" s="65"/>
      <c r="DC2037" s="63"/>
    </row>
    <row r="2038" spans="1:109" s="57" customFormat="1" x14ac:dyDescent="0.2">
      <c r="A2038" s="64" t="s">
        <v>4540</v>
      </c>
      <c r="B2038" s="64" t="s">
        <v>22</v>
      </c>
      <c r="C2038" s="64">
        <f t="shared" ref="C2038" si="186">A2038*10000+B2038</f>
        <v>300430002</v>
      </c>
      <c r="D2038" s="57" t="s">
        <v>4542</v>
      </c>
      <c r="E2038" s="58" t="s">
        <v>4568</v>
      </c>
      <c r="F2038" s="59"/>
      <c r="G2038" s="59"/>
      <c r="H2038" s="59"/>
      <c r="I2038" s="236" t="s">
        <v>4567</v>
      </c>
      <c r="J2038" s="59" t="s">
        <v>548</v>
      </c>
      <c r="K2038" s="59"/>
      <c r="L2038" s="59"/>
      <c r="M2038" s="59"/>
      <c r="N2038" s="59" t="s">
        <v>819</v>
      </c>
      <c r="O2038" s="59" t="s">
        <v>4544</v>
      </c>
      <c r="P2038" s="59" t="s">
        <v>4569</v>
      </c>
      <c r="Q2038" s="59" t="s">
        <v>2041</v>
      </c>
      <c r="R2038" s="59"/>
      <c r="S2038" s="59"/>
      <c r="T2038" s="59" t="s">
        <v>811</v>
      </c>
      <c r="U2038" s="57" t="s">
        <v>4542</v>
      </c>
      <c r="V2038" s="59" t="s">
        <v>819</v>
      </c>
      <c r="W2038" s="59" t="s">
        <v>181</v>
      </c>
      <c r="X2038" s="59"/>
      <c r="Y2038" s="59"/>
      <c r="Z2038" s="59"/>
      <c r="AA2038" s="59"/>
      <c r="AB2038" s="59"/>
      <c r="AC2038" s="59" t="s">
        <v>4545</v>
      </c>
      <c r="AD2038" s="59" t="s">
        <v>4545</v>
      </c>
      <c r="AE2038" s="60"/>
      <c r="AF2038" s="60" t="s">
        <v>2042</v>
      </c>
      <c r="AG2038" s="59"/>
      <c r="AH2038" s="57" t="s">
        <v>4562</v>
      </c>
      <c r="AI2038" s="61"/>
      <c r="AJ2038" s="61"/>
      <c r="AK2038" s="62"/>
      <c r="AL2038" s="213" t="s">
        <v>4563</v>
      </c>
      <c r="AM2038" s="63"/>
      <c r="AN2038" s="63"/>
      <c r="AO2038" s="63"/>
      <c r="AP2038" s="63"/>
      <c r="AQ2038" s="63"/>
      <c r="AR2038" s="63"/>
      <c r="AS2038" s="63"/>
      <c r="AT2038" s="63"/>
      <c r="AV2038" s="61"/>
      <c r="AW2038" s="61"/>
      <c r="AX2038" s="62"/>
      <c r="AY2038" s="213"/>
      <c r="AZ2038" s="63"/>
      <c r="BA2038" s="63"/>
      <c r="BB2038" s="63"/>
      <c r="BC2038" s="63"/>
      <c r="BD2038" s="63"/>
      <c r="BE2038" s="63"/>
      <c r="BF2038" s="63"/>
      <c r="BG2038" s="63"/>
      <c r="BI2038" s="61"/>
      <c r="BJ2038" s="61"/>
      <c r="BK2038" s="62"/>
      <c r="BL2038" s="213"/>
      <c r="BM2038" s="63"/>
      <c r="BN2038" s="63"/>
      <c r="BO2038" s="63"/>
      <c r="BP2038" s="63"/>
      <c r="BQ2038" s="63"/>
      <c r="BR2038" s="63"/>
      <c r="BS2038" s="63"/>
      <c r="BT2038" s="63"/>
      <c r="BV2038" s="61"/>
      <c r="BW2038" s="61"/>
      <c r="BX2038" s="62"/>
      <c r="BY2038" s="213"/>
      <c r="BZ2038" s="63"/>
      <c r="CA2038" s="63"/>
      <c r="CB2038" s="63"/>
      <c r="CC2038" s="63"/>
      <c r="CD2038" s="63"/>
      <c r="CE2038" s="63"/>
      <c r="CF2038" s="63"/>
      <c r="CG2038" s="63"/>
      <c r="CH2038" s="64"/>
      <c r="CI2038" s="61" t="s">
        <v>4566</v>
      </c>
      <c r="CJ2038" s="61" t="s">
        <v>0</v>
      </c>
      <c r="CK2038" s="62"/>
      <c r="CL2038" s="63"/>
      <c r="CM2038" s="63"/>
      <c r="CN2038" s="63"/>
      <c r="CO2038" s="61"/>
      <c r="CP2038" s="57" t="s">
        <v>932</v>
      </c>
      <c r="CQ2038" s="61"/>
      <c r="CR2038" s="62"/>
      <c r="CT2038" s="65"/>
      <c r="CU2038" s="65"/>
      <c r="CV2038" s="65"/>
      <c r="CW2038" s="65"/>
      <c r="CX2038" s="65"/>
      <c r="CY2038" s="65"/>
      <c r="CZ2038" s="65"/>
      <c r="DA2038" s="65"/>
      <c r="DB2038" s="65"/>
      <c r="DC2038" s="63"/>
    </row>
    <row r="2039" spans="1:109" s="57" customFormat="1" x14ac:dyDescent="0.2">
      <c r="A2039" s="64" t="s">
        <v>4540</v>
      </c>
      <c r="B2039" s="64" t="s">
        <v>122</v>
      </c>
      <c r="C2039" s="64">
        <f t="shared" ref="C2039:C2056" si="187">A2039*10000+B2039</f>
        <v>300430003</v>
      </c>
      <c r="D2039" s="57" t="s">
        <v>4543</v>
      </c>
      <c r="E2039" s="58" t="s">
        <v>4568</v>
      </c>
      <c r="F2039" s="59"/>
      <c r="G2039" s="59"/>
      <c r="H2039" s="59"/>
      <c r="I2039" s="236" t="s">
        <v>4567</v>
      </c>
      <c r="J2039" s="59" t="s">
        <v>548</v>
      </c>
      <c r="K2039" s="59"/>
      <c r="L2039" s="59"/>
      <c r="M2039" s="59"/>
      <c r="N2039" s="59" t="s">
        <v>819</v>
      </c>
      <c r="O2039" s="59" t="s">
        <v>4544</v>
      </c>
      <c r="P2039" s="59" t="s">
        <v>4569</v>
      </c>
      <c r="Q2039" s="59" t="s">
        <v>2041</v>
      </c>
      <c r="R2039" s="59"/>
      <c r="S2039" s="59"/>
      <c r="T2039" s="59" t="s">
        <v>811</v>
      </c>
      <c r="U2039" s="57" t="s">
        <v>4543</v>
      </c>
      <c r="V2039" s="59" t="s">
        <v>819</v>
      </c>
      <c r="W2039" s="59" t="s">
        <v>181</v>
      </c>
      <c r="X2039" s="59"/>
      <c r="Y2039" s="59"/>
      <c r="Z2039" s="59"/>
      <c r="AA2039" s="59"/>
      <c r="AB2039" s="59"/>
      <c r="AC2039" s="59" t="s">
        <v>4545</v>
      </c>
      <c r="AD2039" s="59" t="s">
        <v>4545</v>
      </c>
      <c r="AE2039" s="60"/>
      <c r="AF2039" s="60" t="s">
        <v>2042</v>
      </c>
      <c r="AG2039" s="59"/>
      <c r="AH2039" s="57" t="s">
        <v>4562</v>
      </c>
      <c r="AI2039" s="61"/>
      <c r="AJ2039" s="61"/>
      <c r="AK2039" s="62"/>
      <c r="AL2039" s="213" t="s">
        <v>4564</v>
      </c>
      <c r="AM2039" s="63"/>
      <c r="AN2039" s="63"/>
      <c r="AO2039" s="63"/>
      <c r="AP2039" s="63"/>
      <c r="AQ2039" s="63"/>
      <c r="AR2039" s="63"/>
      <c r="AS2039" s="63"/>
      <c r="AT2039" s="63"/>
      <c r="AV2039" s="61"/>
      <c r="AW2039" s="61"/>
      <c r="AX2039" s="62"/>
      <c r="AY2039" s="213"/>
      <c r="AZ2039" s="63"/>
      <c r="BA2039" s="63"/>
      <c r="BB2039" s="63"/>
      <c r="BC2039" s="63"/>
      <c r="BD2039" s="63"/>
      <c r="BE2039" s="63"/>
      <c r="BF2039" s="63"/>
      <c r="BG2039" s="63"/>
      <c r="BI2039" s="61"/>
      <c r="BJ2039" s="61"/>
      <c r="BK2039" s="62"/>
      <c r="BL2039" s="213"/>
      <c r="BM2039" s="63"/>
      <c r="BN2039" s="63"/>
      <c r="BO2039" s="63"/>
      <c r="BP2039" s="63"/>
      <c r="BQ2039" s="63"/>
      <c r="BR2039" s="63"/>
      <c r="BS2039" s="63"/>
      <c r="BT2039" s="63"/>
      <c r="BV2039" s="61"/>
      <c r="BW2039" s="61"/>
      <c r="BX2039" s="62"/>
      <c r="BY2039" s="213"/>
      <c r="BZ2039" s="63"/>
      <c r="CA2039" s="63"/>
      <c r="CB2039" s="63"/>
      <c r="CC2039" s="63"/>
      <c r="CD2039" s="63"/>
      <c r="CE2039" s="63"/>
      <c r="CF2039" s="63"/>
      <c r="CG2039" s="63"/>
      <c r="CH2039" s="64"/>
      <c r="CI2039" s="61" t="s">
        <v>4566</v>
      </c>
      <c r="CJ2039" s="61" t="s">
        <v>0</v>
      </c>
      <c r="CK2039" s="62"/>
      <c r="CL2039" s="63"/>
      <c r="CM2039" s="63"/>
      <c r="CN2039" s="63"/>
      <c r="CO2039" s="61"/>
      <c r="CP2039" s="57" t="s">
        <v>932</v>
      </c>
      <c r="CQ2039" s="61"/>
      <c r="CR2039" s="62"/>
      <c r="CT2039" s="65"/>
      <c r="CU2039" s="65"/>
      <c r="CV2039" s="65"/>
      <c r="CW2039" s="65"/>
      <c r="CX2039" s="65"/>
      <c r="CY2039" s="65"/>
      <c r="CZ2039" s="65"/>
      <c r="DA2039" s="65"/>
      <c r="DB2039" s="65"/>
      <c r="DC2039" s="63"/>
    </row>
    <row r="2040" spans="1:109" s="128" customFormat="1" x14ac:dyDescent="0.2">
      <c r="A2040" s="127" t="s">
        <v>4731</v>
      </c>
      <c r="B2040" s="127" t="s">
        <v>181</v>
      </c>
      <c r="C2040" s="127">
        <f t="shared" si="187"/>
        <v>300440001</v>
      </c>
      <c r="D2040" s="128" t="s">
        <v>4732</v>
      </c>
      <c r="E2040" s="129" t="s">
        <v>3505</v>
      </c>
      <c r="F2040" s="129"/>
      <c r="G2040" s="129"/>
      <c r="H2040" s="129"/>
      <c r="I2040" s="114" t="s">
        <v>1567</v>
      </c>
      <c r="J2040" s="114" t="s">
        <v>548</v>
      </c>
      <c r="K2040" s="114"/>
      <c r="L2040" s="114"/>
      <c r="M2040" s="114"/>
      <c r="N2040" s="114" t="s">
        <v>819</v>
      </c>
      <c r="O2040" s="114" t="s">
        <v>158</v>
      </c>
      <c r="P2040" s="114"/>
      <c r="Q2040" s="114" t="s">
        <v>2041</v>
      </c>
      <c r="R2040" s="114"/>
      <c r="S2040" s="114"/>
      <c r="T2040" s="114" t="s">
        <v>811</v>
      </c>
      <c r="U2040" s="117" t="s">
        <v>4742</v>
      </c>
      <c r="V2040" s="114" t="s">
        <v>819</v>
      </c>
      <c r="W2040" s="114" t="s">
        <v>1</v>
      </c>
      <c r="X2040" s="114"/>
      <c r="Y2040" s="114"/>
      <c r="Z2040" s="114"/>
      <c r="AA2040" s="114"/>
      <c r="AB2040" s="114"/>
      <c r="AC2040" s="114"/>
      <c r="AD2040" s="114"/>
      <c r="AE2040" s="130"/>
      <c r="AF2040" s="130" t="s">
        <v>2042</v>
      </c>
      <c r="AG2040" s="114"/>
      <c r="AH2040" s="128" t="s">
        <v>4744</v>
      </c>
      <c r="AI2040" s="131"/>
      <c r="AJ2040" s="131"/>
      <c r="AK2040" s="132"/>
      <c r="AM2040" s="134"/>
      <c r="AN2040" s="134"/>
      <c r="AO2040" s="134"/>
      <c r="AP2040" s="134"/>
      <c r="AQ2040" s="134"/>
      <c r="AR2040" s="134"/>
      <c r="AS2040" s="134"/>
      <c r="AT2040" s="134"/>
      <c r="AV2040" s="131"/>
      <c r="AW2040" s="131"/>
      <c r="AX2040" s="132"/>
      <c r="AY2040" s="133"/>
      <c r="AZ2040" s="134"/>
      <c r="BA2040" s="134"/>
      <c r="BB2040" s="134"/>
      <c r="BC2040" s="134"/>
      <c r="BD2040" s="134"/>
      <c r="BE2040" s="134"/>
      <c r="BF2040" s="134"/>
      <c r="BG2040" s="134"/>
      <c r="BI2040" s="131"/>
      <c r="BJ2040" s="131"/>
      <c r="BK2040" s="132"/>
      <c r="BL2040" s="133"/>
      <c r="BM2040" s="134"/>
      <c r="BN2040" s="134"/>
      <c r="BO2040" s="134"/>
      <c r="BP2040" s="134"/>
      <c r="BQ2040" s="134"/>
      <c r="BR2040" s="134"/>
      <c r="BS2040" s="134"/>
      <c r="BT2040" s="134"/>
      <c r="BV2040" s="131"/>
      <c r="BW2040" s="131"/>
      <c r="BX2040" s="132"/>
      <c r="BY2040" s="133"/>
      <c r="BZ2040" s="134"/>
      <c r="CA2040" s="134"/>
      <c r="CB2040" s="134"/>
      <c r="CC2040" s="134"/>
      <c r="CD2040" s="134"/>
      <c r="CE2040" s="134"/>
      <c r="CF2040" s="134"/>
      <c r="CG2040" s="134"/>
      <c r="CH2040" s="127"/>
      <c r="CI2040" s="131" t="s">
        <v>821</v>
      </c>
      <c r="CJ2040" s="131" t="s">
        <v>0</v>
      </c>
      <c r="CK2040" s="132"/>
      <c r="CL2040" s="134"/>
      <c r="CM2040" s="134"/>
      <c r="CN2040" s="134"/>
      <c r="CO2040" s="131"/>
      <c r="CP2040" s="131"/>
      <c r="CQ2040" s="131"/>
      <c r="CR2040" s="132"/>
      <c r="CT2040" s="135"/>
      <c r="CU2040" s="135"/>
      <c r="CV2040" s="135"/>
      <c r="CW2040" s="135"/>
      <c r="CX2040" s="135"/>
      <c r="CY2040" s="135"/>
      <c r="CZ2040" s="135"/>
      <c r="DA2040" s="135"/>
      <c r="DB2040" s="135"/>
      <c r="DC2040" s="134"/>
    </row>
    <row r="2041" spans="1:109" s="128" customFormat="1" x14ac:dyDescent="0.2">
      <c r="A2041" s="127" t="s">
        <v>4731</v>
      </c>
      <c r="B2041" s="127" t="s">
        <v>22</v>
      </c>
      <c r="C2041" s="127">
        <f t="shared" si="187"/>
        <v>300440002</v>
      </c>
      <c r="D2041" s="128" t="s">
        <v>4733</v>
      </c>
      <c r="E2041" s="129" t="s">
        <v>3505</v>
      </c>
      <c r="F2041" s="129"/>
      <c r="G2041" s="129"/>
      <c r="H2041" s="129"/>
      <c r="I2041" s="114" t="s">
        <v>1567</v>
      </c>
      <c r="J2041" s="114" t="s">
        <v>548</v>
      </c>
      <c r="K2041" s="114"/>
      <c r="L2041" s="114"/>
      <c r="M2041" s="114"/>
      <c r="N2041" s="114" t="s">
        <v>819</v>
      </c>
      <c r="O2041" s="114" t="s">
        <v>158</v>
      </c>
      <c r="P2041" s="114"/>
      <c r="Q2041" s="114" t="s">
        <v>2041</v>
      </c>
      <c r="R2041" s="114"/>
      <c r="S2041" s="114"/>
      <c r="T2041" s="114" t="s">
        <v>811</v>
      </c>
      <c r="U2041" s="117" t="s">
        <v>4742</v>
      </c>
      <c r="V2041" s="114" t="s">
        <v>819</v>
      </c>
      <c r="W2041" s="114" t="s">
        <v>1</v>
      </c>
      <c r="X2041" s="114"/>
      <c r="Y2041" s="114"/>
      <c r="Z2041" s="114"/>
      <c r="AA2041" s="114"/>
      <c r="AB2041" s="114"/>
      <c r="AC2041" s="114"/>
      <c r="AD2041" s="114"/>
      <c r="AE2041" s="130"/>
      <c r="AF2041" s="130" t="s">
        <v>2042</v>
      </c>
      <c r="AG2041" s="114"/>
      <c r="AH2041" s="128" t="s">
        <v>4744</v>
      </c>
      <c r="AI2041" s="131"/>
      <c r="AJ2041" s="131"/>
      <c r="AK2041" s="132"/>
      <c r="AM2041" s="134"/>
      <c r="AN2041" s="134"/>
      <c r="AO2041" s="134"/>
      <c r="AP2041" s="134"/>
      <c r="AQ2041" s="134"/>
      <c r="AR2041" s="134"/>
      <c r="AS2041" s="134"/>
      <c r="AT2041" s="134"/>
      <c r="AV2041" s="131"/>
      <c r="AW2041" s="131"/>
      <c r="AX2041" s="132"/>
      <c r="AY2041" s="133"/>
      <c r="AZ2041" s="134"/>
      <c r="BA2041" s="134"/>
      <c r="BB2041" s="134"/>
      <c r="BC2041" s="134"/>
      <c r="BD2041" s="134"/>
      <c r="BE2041" s="134"/>
      <c r="BF2041" s="134"/>
      <c r="BG2041" s="134"/>
      <c r="BI2041" s="131"/>
      <c r="BJ2041" s="131"/>
      <c r="BK2041" s="132"/>
      <c r="BL2041" s="133"/>
      <c r="BM2041" s="134"/>
      <c r="BN2041" s="134"/>
      <c r="BO2041" s="134"/>
      <c r="BP2041" s="134"/>
      <c r="BQ2041" s="134"/>
      <c r="BR2041" s="134"/>
      <c r="BS2041" s="134"/>
      <c r="BT2041" s="134"/>
      <c r="BV2041" s="131"/>
      <c r="BW2041" s="131"/>
      <c r="BX2041" s="132"/>
      <c r="BY2041" s="133"/>
      <c r="BZ2041" s="134"/>
      <c r="CA2041" s="134"/>
      <c r="CB2041" s="134"/>
      <c r="CC2041" s="134"/>
      <c r="CD2041" s="134"/>
      <c r="CE2041" s="134"/>
      <c r="CF2041" s="134"/>
      <c r="CG2041" s="134"/>
      <c r="CH2041" s="127"/>
      <c r="CI2041" s="131" t="s">
        <v>821</v>
      </c>
      <c r="CJ2041" s="131" t="s">
        <v>0</v>
      </c>
      <c r="CK2041" s="132"/>
      <c r="CL2041" s="134"/>
      <c r="CM2041" s="134"/>
      <c r="CN2041" s="134"/>
      <c r="CO2041" s="131"/>
      <c r="CP2041" s="131"/>
      <c r="CQ2041" s="131"/>
      <c r="CR2041" s="132"/>
      <c r="CT2041" s="135"/>
      <c r="CU2041" s="135"/>
      <c r="CV2041" s="135"/>
      <c r="CW2041" s="135"/>
      <c r="CX2041" s="135"/>
      <c r="CY2041" s="135"/>
      <c r="CZ2041" s="135"/>
      <c r="DA2041" s="135"/>
      <c r="DB2041" s="135"/>
      <c r="DC2041" s="134"/>
    </row>
    <row r="2042" spans="1:109" s="128" customFormat="1" x14ac:dyDescent="0.2">
      <c r="A2042" s="127" t="s">
        <v>4731</v>
      </c>
      <c r="B2042" s="127" t="s">
        <v>122</v>
      </c>
      <c r="C2042" s="127">
        <f t="shared" si="187"/>
        <v>300440003</v>
      </c>
      <c r="D2042" s="128" t="s">
        <v>4734</v>
      </c>
      <c r="E2042" s="129" t="s">
        <v>3505</v>
      </c>
      <c r="F2042" s="129"/>
      <c r="G2042" s="129"/>
      <c r="H2042" s="129"/>
      <c r="I2042" s="114" t="s">
        <v>1567</v>
      </c>
      <c r="J2042" s="114" t="s">
        <v>548</v>
      </c>
      <c r="K2042" s="114"/>
      <c r="L2042" s="114"/>
      <c r="M2042" s="114"/>
      <c r="N2042" s="114" t="s">
        <v>819</v>
      </c>
      <c r="O2042" s="114" t="s">
        <v>158</v>
      </c>
      <c r="P2042" s="114"/>
      <c r="Q2042" s="114" t="s">
        <v>2041</v>
      </c>
      <c r="R2042" s="114"/>
      <c r="S2042" s="114"/>
      <c r="T2042" s="114" t="s">
        <v>811</v>
      </c>
      <c r="U2042" s="117" t="s">
        <v>4742</v>
      </c>
      <c r="V2042" s="114" t="s">
        <v>819</v>
      </c>
      <c r="W2042" s="114" t="s">
        <v>1</v>
      </c>
      <c r="X2042" s="114"/>
      <c r="Y2042" s="114"/>
      <c r="Z2042" s="114"/>
      <c r="AA2042" s="114"/>
      <c r="AB2042" s="114"/>
      <c r="AC2042" s="114"/>
      <c r="AD2042" s="114"/>
      <c r="AE2042" s="130"/>
      <c r="AF2042" s="130" t="s">
        <v>2042</v>
      </c>
      <c r="AG2042" s="114"/>
      <c r="AH2042" s="128" t="s">
        <v>4744</v>
      </c>
      <c r="AI2042" s="131"/>
      <c r="AJ2042" s="131"/>
      <c r="AK2042" s="132"/>
      <c r="AM2042" s="134"/>
      <c r="AN2042" s="134"/>
      <c r="AO2042" s="134"/>
      <c r="AP2042" s="134"/>
      <c r="AQ2042" s="134"/>
      <c r="AR2042" s="134"/>
      <c r="AS2042" s="134"/>
      <c r="AT2042" s="134"/>
      <c r="AV2042" s="131"/>
      <c r="AW2042" s="131"/>
      <c r="AX2042" s="132"/>
      <c r="AY2042" s="133"/>
      <c r="AZ2042" s="134"/>
      <c r="BA2042" s="134"/>
      <c r="BB2042" s="134"/>
      <c r="BC2042" s="134"/>
      <c r="BD2042" s="134"/>
      <c r="BE2042" s="134"/>
      <c r="BF2042" s="134"/>
      <c r="BG2042" s="134"/>
      <c r="BI2042" s="131"/>
      <c r="BJ2042" s="131"/>
      <c r="BK2042" s="132"/>
      <c r="BL2042" s="133"/>
      <c r="BM2042" s="134"/>
      <c r="BN2042" s="134"/>
      <c r="BO2042" s="134"/>
      <c r="BP2042" s="134"/>
      <c r="BQ2042" s="134"/>
      <c r="BR2042" s="134"/>
      <c r="BS2042" s="134"/>
      <c r="BT2042" s="134"/>
      <c r="BV2042" s="131"/>
      <c r="BW2042" s="131"/>
      <c r="BX2042" s="132"/>
      <c r="BY2042" s="133"/>
      <c r="BZ2042" s="134"/>
      <c r="CA2042" s="134"/>
      <c r="CB2042" s="134"/>
      <c r="CC2042" s="134"/>
      <c r="CD2042" s="134"/>
      <c r="CE2042" s="134"/>
      <c r="CF2042" s="134"/>
      <c r="CG2042" s="134"/>
      <c r="CH2042" s="127"/>
      <c r="CI2042" s="131" t="s">
        <v>821</v>
      </c>
      <c r="CJ2042" s="131" t="s">
        <v>0</v>
      </c>
      <c r="CK2042" s="132"/>
      <c r="CL2042" s="134"/>
      <c r="CM2042" s="134"/>
      <c r="CN2042" s="134"/>
      <c r="CO2042" s="131"/>
      <c r="CP2042" s="131"/>
      <c r="CQ2042" s="131"/>
      <c r="CR2042" s="132"/>
      <c r="CT2042" s="135"/>
      <c r="CU2042" s="135"/>
      <c r="CV2042" s="135"/>
      <c r="CW2042" s="135"/>
      <c r="CX2042" s="135"/>
      <c r="CY2042" s="135"/>
      <c r="CZ2042" s="135"/>
      <c r="DA2042" s="135"/>
      <c r="DB2042" s="135"/>
      <c r="DC2042" s="134"/>
    </row>
    <row r="2043" spans="1:109" s="128" customFormat="1" x14ac:dyDescent="0.2">
      <c r="A2043" s="127" t="s">
        <v>4731</v>
      </c>
      <c r="B2043" s="127" t="s">
        <v>1</v>
      </c>
      <c r="C2043" s="127">
        <f t="shared" si="187"/>
        <v>300440004</v>
      </c>
      <c r="D2043" s="128" t="s">
        <v>4735</v>
      </c>
      <c r="E2043" s="129" t="s">
        <v>3505</v>
      </c>
      <c r="F2043" s="129"/>
      <c r="G2043" s="129"/>
      <c r="H2043" s="129"/>
      <c r="I2043" s="114" t="s">
        <v>1567</v>
      </c>
      <c r="J2043" s="114" t="s">
        <v>548</v>
      </c>
      <c r="K2043" s="114"/>
      <c r="L2043" s="114"/>
      <c r="M2043" s="114"/>
      <c r="N2043" s="114" t="s">
        <v>819</v>
      </c>
      <c r="O2043" s="114" t="s">
        <v>158</v>
      </c>
      <c r="P2043" s="114"/>
      <c r="Q2043" s="114" t="s">
        <v>2041</v>
      </c>
      <c r="R2043" s="114"/>
      <c r="S2043" s="114"/>
      <c r="T2043" s="114" t="s">
        <v>811</v>
      </c>
      <c r="U2043" s="117" t="s">
        <v>4742</v>
      </c>
      <c r="V2043" s="114" t="s">
        <v>819</v>
      </c>
      <c r="W2043" s="114" t="s">
        <v>1</v>
      </c>
      <c r="X2043" s="114"/>
      <c r="Y2043" s="114"/>
      <c r="Z2043" s="114"/>
      <c r="AA2043" s="114"/>
      <c r="AB2043" s="114"/>
      <c r="AC2043" s="114"/>
      <c r="AD2043" s="114"/>
      <c r="AE2043" s="130"/>
      <c r="AF2043" s="130" t="s">
        <v>2042</v>
      </c>
      <c r="AG2043" s="114"/>
      <c r="AH2043" s="128" t="s">
        <v>4744</v>
      </c>
      <c r="AI2043" s="131"/>
      <c r="AJ2043" s="131"/>
      <c r="AK2043" s="132"/>
      <c r="AM2043" s="134"/>
      <c r="AN2043" s="134"/>
      <c r="AO2043" s="134"/>
      <c r="AP2043" s="134"/>
      <c r="AQ2043" s="134"/>
      <c r="AR2043" s="134"/>
      <c r="AS2043" s="134"/>
      <c r="AT2043" s="134"/>
      <c r="AV2043" s="131"/>
      <c r="AW2043" s="131"/>
      <c r="AX2043" s="132"/>
      <c r="AY2043" s="133"/>
      <c r="AZ2043" s="134"/>
      <c r="BA2043" s="134"/>
      <c r="BB2043" s="134"/>
      <c r="BC2043" s="134"/>
      <c r="BD2043" s="134"/>
      <c r="BE2043" s="134"/>
      <c r="BF2043" s="134"/>
      <c r="BG2043" s="134"/>
      <c r="BI2043" s="131"/>
      <c r="BJ2043" s="131"/>
      <c r="BK2043" s="132"/>
      <c r="BL2043" s="133"/>
      <c r="BM2043" s="134"/>
      <c r="BN2043" s="134"/>
      <c r="BO2043" s="134"/>
      <c r="BP2043" s="134"/>
      <c r="BQ2043" s="134"/>
      <c r="BR2043" s="134"/>
      <c r="BS2043" s="134"/>
      <c r="BT2043" s="134"/>
      <c r="BV2043" s="131"/>
      <c r="BW2043" s="131"/>
      <c r="BX2043" s="132"/>
      <c r="BY2043" s="133"/>
      <c r="BZ2043" s="134"/>
      <c r="CA2043" s="134"/>
      <c r="CB2043" s="134"/>
      <c r="CC2043" s="134"/>
      <c r="CD2043" s="134"/>
      <c r="CE2043" s="134"/>
      <c r="CF2043" s="134"/>
      <c r="CG2043" s="134"/>
      <c r="CH2043" s="127"/>
      <c r="CI2043" s="131" t="s">
        <v>821</v>
      </c>
      <c r="CJ2043" s="131" t="s">
        <v>0</v>
      </c>
      <c r="CK2043" s="132"/>
      <c r="CL2043" s="134"/>
      <c r="CM2043" s="134"/>
      <c r="CN2043" s="134"/>
      <c r="CO2043" s="131"/>
      <c r="CP2043" s="131"/>
      <c r="CQ2043" s="131"/>
      <c r="CR2043" s="132"/>
      <c r="CT2043" s="135"/>
      <c r="CU2043" s="135"/>
      <c r="CV2043" s="135"/>
      <c r="CW2043" s="135"/>
      <c r="CX2043" s="135"/>
      <c r="CY2043" s="135"/>
      <c r="CZ2043" s="135"/>
      <c r="DA2043" s="135"/>
      <c r="DB2043" s="135"/>
      <c r="DC2043" s="134"/>
    </row>
    <row r="2044" spans="1:109" s="128" customFormat="1" x14ac:dyDescent="0.2">
      <c r="A2044" s="127" t="s">
        <v>4731</v>
      </c>
      <c r="B2044" s="127" t="s">
        <v>2</v>
      </c>
      <c r="C2044" s="127">
        <f t="shared" si="187"/>
        <v>300440005</v>
      </c>
      <c r="D2044" s="128" t="s">
        <v>4736</v>
      </c>
      <c r="E2044" s="129" t="s">
        <v>3505</v>
      </c>
      <c r="F2044" s="129"/>
      <c r="G2044" s="129"/>
      <c r="H2044" s="129"/>
      <c r="I2044" s="114" t="s">
        <v>1567</v>
      </c>
      <c r="J2044" s="114" t="s">
        <v>548</v>
      </c>
      <c r="K2044" s="114"/>
      <c r="L2044" s="114"/>
      <c r="M2044" s="114"/>
      <c r="N2044" s="114" t="s">
        <v>819</v>
      </c>
      <c r="O2044" s="114" t="s">
        <v>158</v>
      </c>
      <c r="P2044" s="114"/>
      <c r="Q2044" s="114" t="s">
        <v>2041</v>
      </c>
      <c r="R2044" s="114"/>
      <c r="S2044" s="114"/>
      <c r="T2044" s="114" t="s">
        <v>811</v>
      </c>
      <c r="U2044" s="117" t="s">
        <v>4742</v>
      </c>
      <c r="V2044" s="114" t="s">
        <v>819</v>
      </c>
      <c r="W2044" s="114" t="s">
        <v>1</v>
      </c>
      <c r="X2044" s="114"/>
      <c r="Y2044" s="114"/>
      <c r="Z2044" s="114"/>
      <c r="AA2044" s="114"/>
      <c r="AB2044" s="114"/>
      <c r="AC2044" s="114"/>
      <c r="AD2044" s="114"/>
      <c r="AE2044" s="130"/>
      <c r="AF2044" s="130" t="s">
        <v>2042</v>
      </c>
      <c r="AG2044" s="114"/>
      <c r="AH2044" s="128" t="s">
        <v>4744</v>
      </c>
      <c r="AI2044" s="131"/>
      <c r="AJ2044" s="131"/>
      <c r="AK2044" s="132"/>
      <c r="AM2044" s="134"/>
      <c r="AN2044" s="134"/>
      <c r="AO2044" s="134"/>
      <c r="AP2044" s="134"/>
      <c r="AQ2044" s="134"/>
      <c r="AR2044" s="134"/>
      <c r="AS2044" s="134"/>
      <c r="AT2044" s="134"/>
      <c r="AV2044" s="131"/>
      <c r="AW2044" s="131"/>
      <c r="AX2044" s="132"/>
      <c r="AY2044" s="133"/>
      <c r="AZ2044" s="134"/>
      <c r="BA2044" s="134"/>
      <c r="BB2044" s="134"/>
      <c r="BC2044" s="134"/>
      <c r="BD2044" s="134"/>
      <c r="BE2044" s="134"/>
      <c r="BF2044" s="134"/>
      <c r="BG2044" s="134"/>
      <c r="BI2044" s="131"/>
      <c r="BJ2044" s="131"/>
      <c r="BK2044" s="132"/>
      <c r="BL2044" s="133"/>
      <c r="BM2044" s="134"/>
      <c r="BN2044" s="134"/>
      <c r="BO2044" s="134"/>
      <c r="BP2044" s="134"/>
      <c r="BQ2044" s="134"/>
      <c r="BR2044" s="134"/>
      <c r="BS2044" s="134"/>
      <c r="BT2044" s="134"/>
      <c r="BV2044" s="131"/>
      <c r="BW2044" s="131"/>
      <c r="BX2044" s="132"/>
      <c r="BY2044" s="133"/>
      <c r="BZ2044" s="134"/>
      <c r="CA2044" s="134"/>
      <c r="CB2044" s="134"/>
      <c r="CC2044" s="134"/>
      <c r="CD2044" s="134"/>
      <c r="CE2044" s="134"/>
      <c r="CF2044" s="134"/>
      <c r="CG2044" s="134"/>
      <c r="CH2044" s="127"/>
      <c r="CI2044" s="131" t="s">
        <v>821</v>
      </c>
      <c r="CJ2044" s="131" t="s">
        <v>0</v>
      </c>
      <c r="CK2044" s="132"/>
      <c r="CL2044" s="134"/>
      <c r="CM2044" s="134"/>
      <c r="CN2044" s="134"/>
      <c r="CO2044" s="131"/>
      <c r="CP2044" s="131"/>
      <c r="CQ2044" s="131"/>
      <c r="CR2044" s="132"/>
      <c r="CT2044" s="135"/>
      <c r="CU2044" s="135"/>
      <c r="CV2044" s="135"/>
      <c r="CW2044" s="135"/>
      <c r="CX2044" s="135"/>
      <c r="CY2044" s="135"/>
      <c r="CZ2044" s="135"/>
      <c r="DA2044" s="135"/>
      <c r="DB2044" s="135"/>
      <c r="DC2044" s="134"/>
    </row>
    <row r="2045" spans="1:109" s="128" customFormat="1" x14ac:dyDescent="0.2">
      <c r="A2045" s="127" t="s">
        <v>4731</v>
      </c>
      <c r="B2045" s="127" t="s">
        <v>3</v>
      </c>
      <c r="C2045" s="127">
        <f t="shared" si="187"/>
        <v>300440006</v>
      </c>
      <c r="D2045" s="128" t="s">
        <v>4737</v>
      </c>
      <c r="E2045" s="129" t="s">
        <v>3505</v>
      </c>
      <c r="F2045" s="129"/>
      <c r="G2045" s="129"/>
      <c r="H2045" s="129"/>
      <c r="I2045" s="114" t="s">
        <v>1567</v>
      </c>
      <c r="J2045" s="114" t="s">
        <v>548</v>
      </c>
      <c r="K2045" s="114"/>
      <c r="L2045" s="114"/>
      <c r="M2045" s="114"/>
      <c r="N2045" s="114" t="s">
        <v>819</v>
      </c>
      <c r="O2045" s="114" t="s">
        <v>158</v>
      </c>
      <c r="P2045" s="114"/>
      <c r="Q2045" s="114" t="s">
        <v>2041</v>
      </c>
      <c r="R2045" s="114"/>
      <c r="S2045" s="114"/>
      <c r="T2045" s="114" t="s">
        <v>811</v>
      </c>
      <c r="U2045" s="117" t="s">
        <v>4742</v>
      </c>
      <c r="V2045" s="114" t="s">
        <v>819</v>
      </c>
      <c r="W2045" s="114" t="s">
        <v>1</v>
      </c>
      <c r="X2045" s="114"/>
      <c r="Y2045" s="114"/>
      <c r="Z2045" s="114"/>
      <c r="AA2045" s="114"/>
      <c r="AB2045" s="114"/>
      <c r="AC2045" s="114"/>
      <c r="AD2045" s="114"/>
      <c r="AE2045" s="130"/>
      <c r="AF2045" s="130" t="s">
        <v>2042</v>
      </c>
      <c r="AG2045" s="114"/>
      <c r="AH2045" s="128" t="s">
        <v>4744</v>
      </c>
      <c r="AI2045" s="131"/>
      <c r="AJ2045" s="131"/>
      <c r="AK2045" s="132"/>
      <c r="AM2045" s="134"/>
      <c r="AN2045" s="134"/>
      <c r="AO2045" s="134"/>
      <c r="AP2045" s="134"/>
      <c r="AQ2045" s="134"/>
      <c r="AR2045" s="134"/>
      <c r="AS2045" s="134"/>
      <c r="AT2045" s="134"/>
      <c r="AV2045" s="131"/>
      <c r="AW2045" s="131"/>
      <c r="AX2045" s="132"/>
      <c r="AY2045" s="133"/>
      <c r="AZ2045" s="134"/>
      <c r="BA2045" s="134"/>
      <c r="BB2045" s="134"/>
      <c r="BC2045" s="134"/>
      <c r="BD2045" s="134"/>
      <c r="BE2045" s="134"/>
      <c r="BF2045" s="134"/>
      <c r="BG2045" s="134"/>
      <c r="BI2045" s="131"/>
      <c r="BJ2045" s="131"/>
      <c r="BK2045" s="132"/>
      <c r="BL2045" s="133"/>
      <c r="BM2045" s="134"/>
      <c r="BN2045" s="134"/>
      <c r="BO2045" s="134"/>
      <c r="BP2045" s="134"/>
      <c r="BQ2045" s="134"/>
      <c r="BR2045" s="134"/>
      <c r="BS2045" s="134"/>
      <c r="BT2045" s="134"/>
      <c r="BV2045" s="131"/>
      <c r="BW2045" s="131"/>
      <c r="BX2045" s="132"/>
      <c r="BY2045" s="133"/>
      <c r="BZ2045" s="134"/>
      <c r="CA2045" s="134"/>
      <c r="CB2045" s="134"/>
      <c r="CC2045" s="134"/>
      <c r="CD2045" s="134"/>
      <c r="CE2045" s="134"/>
      <c r="CF2045" s="134"/>
      <c r="CG2045" s="134"/>
      <c r="CH2045" s="127"/>
      <c r="CI2045" s="131" t="s">
        <v>821</v>
      </c>
      <c r="CJ2045" s="131" t="s">
        <v>0</v>
      </c>
      <c r="CK2045" s="132"/>
      <c r="CL2045" s="134"/>
      <c r="CM2045" s="134"/>
      <c r="CN2045" s="134"/>
      <c r="CO2045" s="131"/>
      <c r="CP2045" s="131"/>
      <c r="CQ2045" s="131"/>
      <c r="CR2045" s="132"/>
      <c r="CT2045" s="135"/>
      <c r="CU2045" s="135"/>
      <c r="CV2045" s="135"/>
      <c r="CW2045" s="135"/>
      <c r="CX2045" s="135"/>
      <c r="CY2045" s="135"/>
      <c r="CZ2045" s="135"/>
      <c r="DA2045" s="135"/>
      <c r="DB2045" s="135"/>
      <c r="DC2045" s="134"/>
    </row>
    <row r="2046" spans="1:109" s="128" customFormat="1" x14ac:dyDescent="0.2">
      <c r="A2046" s="127" t="s">
        <v>4731</v>
      </c>
      <c r="B2046" s="127" t="s">
        <v>4</v>
      </c>
      <c r="C2046" s="127">
        <f t="shared" si="187"/>
        <v>300440007</v>
      </c>
      <c r="D2046" s="128" t="s">
        <v>4738</v>
      </c>
      <c r="E2046" s="129" t="s">
        <v>3505</v>
      </c>
      <c r="F2046" s="129"/>
      <c r="G2046" s="129"/>
      <c r="H2046" s="129"/>
      <c r="I2046" s="114" t="s">
        <v>1567</v>
      </c>
      <c r="J2046" s="114"/>
      <c r="K2046" s="114"/>
      <c r="L2046" s="114"/>
      <c r="M2046" s="114"/>
      <c r="N2046" s="114" t="s">
        <v>819</v>
      </c>
      <c r="O2046" s="114" t="s">
        <v>3506</v>
      </c>
      <c r="P2046" s="114"/>
      <c r="Q2046" s="114" t="s">
        <v>2041</v>
      </c>
      <c r="R2046" s="114"/>
      <c r="S2046" s="114"/>
      <c r="T2046" s="114" t="s">
        <v>811</v>
      </c>
      <c r="U2046" s="117" t="s">
        <v>4743</v>
      </c>
      <c r="V2046" s="114" t="s">
        <v>3488</v>
      </c>
      <c r="W2046" s="114" t="s">
        <v>1</v>
      </c>
      <c r="X2046" s="114"/>
      <c r="Y2046" s="114"/>
      <c r="Z2046" s="114"/>
      <c r="AA2046" s="114"/>
      <c r="AB2046" s="114"/>
      <c r="AC2046" s="114"/>
      <c r="AD2046" s="114"/>
      <c r="AE2046" s="130"/>
      <c r="AF2046" s="130" t="s">
        <v>2042</v>
      </c>
      <c r="AG2046" s="114"/>
      <c r="AH2046" s="128" t="s">
        <v>4744</v>
      </c>
      <c r="AI2046" s="131"/>
      <c r="AJ2046" s="131"/>
      <c r="AK2046" s="132"/>
      <c r="AL2046" s="128" t="s">
        <v>4750</v>
      </c>
      <c r="AM2046" s="134"/>
      <c r="AN2046" s="134"/>
      <c r="AO2046" s="134"/>
      <c r="AP2046" s="134"/>
      <c r="AQ2046" s="134"/>
      <c r="AR2046" s="134"/>
      <c r="AS2046" s="134"/>
      <c r="AT2046" s="134"/>
      <c r="AV2046" s="131"/>
      <c r="AW2046" s="131"/>
      <c r="AX2046" s="132"/>
      <c r="AY2046" s="133"/>
      <c r="AZ2046" s="134"/>
      <c r="BA2046" s="134"/>
      <c r="BB2046" s="134"/>
      <c r="BC2046" s="134"/>
      <c r="BD2046" s="134"/>
      <c r="BE2046" s="134"/>
      <c r="BF2046" s="134"/>
      <c r="BG2046" s="134"/>
      <c r="BI2046" s="131"/>
      <c r="BJ2046" s="131"/>
      <c r="BK2046" s="132"/>
      <c r="BL2046" s="133"/>
      <c r="BM2046" s="134"/>
      <c r="BN2046" s="134"/>
      <c r="BO2046" s="134"/>
      <c r="BP2046" s="134"/>
      <c r="BQ2046" s="134"/>
      <c r="BR2046" s="134"/>
      <c r="BS2046" s="134"/>
      <c r="BT2046" s="134"/>
      <c r="BV2046" s="131"/>
      <c r="BW2046" s="131"/>
      <c r="BX2046" s="132"/>
      <c r="BY2046" s="133"/>
      <c r="BZ2046" s="134"/>
      <c r="CA2046" s="134"/>
      <c r="CB2046" s="134"/>
      <c r="CC2046" s="134"/>
      <c r="CD2046" s="134"/>
      <c r="CE2046" s="134"/>
      <c r="CF2046" s="134"/>
      <c r="CG2046" s="134"/>
      <c r="CH2046" s="127"/>
      <c r="CI2046" s="131" t="s">
        <v>821</v>
      </c>
      <c r="CJ2046" s="131" t="s">
        <v>0</v>
      </c>
      <c r="CK2046" s="132"/>
      <c r="CL2046" s="134"/>
      <c r="CM2046" s="134"/>
      <c r="CN2046" s="134"/>
      <c r="CO2046" s="131"/>
      <c r="CP2046" s="131"/>
      <c r="CQ2046" s="131"/>
      <c r="CR2046" s="132"/>
      <c r="CT2046" s="135"/>
      <c r="CU2046" s="135"/>
      <c r="CV2046" s="135"/>
      <c r="CW2046" s="135"/>
      <c r="CX2046" s="135"/>
      <c r="CY2046" s="135"/>
      <c r="CZ2046" s="135"/>
      <c r="DA2046" s="135"/>
      <c r="DB2046" s="135"/>
      <c r="DC2046" s="134"/>
      <c r="DE2046" s="128" t="s">
        <v>550</v>
      </c>
    </row>
    <row r="2047" spans="1:109" s="128" customFormat="1" x14ac:dyDescent="0.2">
      <c r="A2047" s="127" t="s">
        <v>4731</v>
      </c>
      <c r="B2047" s="127" t="s">
        <v>5</v>
      </c>
      <c r="C2047" s="127">
        <f t="shared" si="187"/>
        <v>300440008</v>
      </c>
      <c r="D2047" s="128" t="s">
        <v>4739</v>
      </c>
      <c r="E2047" s="129" t="s">
        <v>3505</v>
      </c>
      <c r="F2047" s="129"/>
      <c r="G2047" s="129"/>
      <c r="H2047" s="129"/>
      <c r="I2047" s="114" t="s">
        <v>1567</v>
      </c>
      <c r="J2047" s="114"/>
      <c r="K2047" s="114"/>
      <c r="L2047" s="114"/>
      <c r="M2047" s="114"/>
      <c r="N2047" s="114" t="s">
        <v>819</v>
      </c>
      <c r="O2047" s="114" t="s">
        <v>3506</v>
      </c>
      <c r="P2047" s="114"/>
      <c r="Q2047" s="114" t="s">
        <v>2041</v>
      </c>
      <c r="R2047" s="114"/>
      <c r="S2047" s="114"/>
      <c r="T2047" s="114" t="s">
        <v>811</v>
      </c>
      <c r="U2047" s="117" t="s">
        <v>4743</v>
      </c>
      <c r="V2047" s="114" t="s">
        <v>3492</v>
      </c>
      <c r="W2047" s="114" t="s">
        <v>1</v>
      </c>
      <c r="X2047" s="114"/>
      <c r="Y2047" s="114"/>
      <c r="Z2047" s="114"/>
      <c r="AA2047" s="114"/>
      <c r="AB2047" s="114"/>
      <c r="AC2047" s="114"/>
      <c r="AD2047" s="114"/>
      <c r="AE2047" s="130"/>
      <c r="AF2047" s="130" t="s">
        <v>2042</v>
      </c>
      <c r="AG2047" s="114"/>
      <c r="AH2047" s="128" t="s">
        <v>4744</v>
      </c>
      <c r="AI2047" s="131"/>
      <c r="AJ2047" s="131"/>
      <c r="AK2047" s="132"/>
      <c r="AL2047" s="128" t="s">
        <v>4750</v>
      </c>
      <c r="AM2047" s="134"/>
      <c r="AN2047" s="134"/>
      <c r="AO2047" s="134"/>
      <c r="AP2047" s="134"/>
      <c r="AQ2047" s="134"/>
      <c r="AR2047" s="134"/>
      <c r="AS2047" s="134"/>
      <c r="AT2047" s="134"/>
      <c r="AV2047" s="131"/>
      <c r="AW2047" s="131"/>
      <c r="AX2047" s="132"/>
      <c r="AY2047" s="133"/>
      <c r="AZ2047" s="134"/>
      <c r="BA2047" s="134"/>
      <c r="BB2047" s="134"/>
      <c r="BC2047" s="134"/>
      <c r="BD2047" s="134"/>
      <c r="BE2047" s="134"/>
      <c r="BF2047" s="134"/>
      <c r="BG2047" s="134"/>
      <c r="BI2047" s="131"/>
      <c r="BJ2047" s="131"/>
      <c r="BK2047" s="132"/>
      <c r="BL2047" s="133"/>
      <c r="BM2047" s="134"/>
      <c r="BN2047" s="134"/>
      <c r="BO2047" s="134"/>
      <c r="BP2047" s="134"/>
      <c r="BQ2047" s="134"/>
      <c r="BR2047" s="134"/>
      <c r="BS2047" s="134"/>
      <c r="BT2047" s="134"/>
      <c r="BV2047" s="131"/>
      <c r="BW2047" s="131"/>
      <c r="BX2047" s="132"/>
      <c r="BY2047" s="133"/>
      <c r="BZ2047" s="134"/>
      <c r="CA2047" s="134"/>
      <c r="CB2047" s="134"/>
      <c r="CC2047" s="134"/>
      <c r="CD2047" s="134"/>
      <c r="CE2047" s="134"/>
      <c r="CF2047" s="134"/>
      <c r="CG2047" s="134"/>
      <c r="CH2047" s="127"/>
      <c r="CI2047" s="131" t="s">
        <v>821</v>
      </c>
      <c r="CJ2047" s="131" t="s">
        <v>0</v>
      </c>
      <c r="CK2047" s="132"/>
      <c r="CL2047" s="134"/>
      <c r="CM2047" s="134"/>
      <c r="CN2047" s="134"/>
      <c r="CO2047" s="131"/>
      <c r="CP2047" s="131"/>
      <c r="CQ2047" s="131"/>
      <c r="CR2047" s="132"/>
      <c r="CT2047" s="135"/>
      <c r="CU2047" s="135"/>
      <c r="CV2047" s="135"/>
      <c r="CW2047" s="135"/>
      <c r="CX2047" s="135"/>
      <c r="CY2047" s="135"/>
      <c r="CZ2047" s="135"/>
      <c r="DA2047" s="135"/>
      <c r="DB2047" s="135"/>
      <c r="DC2047" s="134"/>
      <c r="DE2047" s="128" t="s">
        <v>550</v>
      </c>
    </row>
    <row r="2048" spans="1:109" s="128" customFormat="1" x14ac:dyDescent="0.2">
      <c r="A2048" s="127" t="s">
        <v>4731</v>
      </c>
      <c r="B2048" s="127" t="s">
        <v>6</v>
      </c>
      <c r="C2048" s="127">
        <f t="shared" si="187"/>
        <v>300440009</v>
      </c>
      <c r="D2048" s="128" t="s">
        <v>4740</v>
      </c>
      <c r="E2048" s="129" t="s">
        <v>3505</v>
      </c>
      <c r="F2048" s="129"/>
      <c r="G2048" s="129"/>
      <c r="H2048" s="129"/>
      <c r="I2048" s="114" t="s">
        <v>1567</v>
      </c>
      <c r="J2048" s="114"/>
      <c r="K2048" s="114"/>
      <c r="L2048" s="114"/>
      <c r="M2048" s="114"/>
      <c r="N2048" s="114" t="s">
        <v>819</v>
      </c>
      <c r="O2048" s="114" t="s">
        <v>3506</v>
      </c>
      <c r="P2048" s="114"/>
      <c r="Q2048" s="114" t="s">
        <v>2041</v>
      </c>
      <c r="R2048" s="114"/>
      <c r="S2048" s="114"/>
      <c r="T2048" s="114" t="s">
        <v>811</v>
      </c>
      <c r="U2048" s="117" t="s">
        <v>4743</v>
      </c>
      <c r="V2048" s="114" t="s">
        <v>3495</v>
      </c>
      <c r="W2048" s="114" t="s">
        <v>1</v>
      </c>
      <c r="X2048" s="114"/>
      <c r="Y2048" s="114"/>
      <c r="Z2048" s="114"/>
      <c r="AA2048" s="114"/>
      <c r="AB2048" s="114"/>
      <c r="AC2048" s="114"/>
      <c r="AD2048" s="114"/>
      <c r="AE2048" s="130"/>
      <c r="AF2048" s="130" t="s">
        <v>2042</v>
      </c>
      <c r="AG2048" s="114"/>
      <c r="AH2048" s="128" t="s">
        <v>4744</v>
      </c>
      <c r="AI2048" s="131"/>
      <c r="AJ2048" s="131"/>
      <c r="AK2048" s="132"/>
      <c r="AL2048" s="128" t="s">
        <v>4750</v>
      </c>
      <c r="AM2048" s="134"/>
      <c r="AN2048" s="134"/>
      <c r="AO2048" s="134"/>
      <c r="AP2048" s="134"/>
      <c r="AQ2048" s="134"/>
      <c r="AR2048" s="134"/>
      <c r="AS2048" s="134"/>
      <c r="AT2048" s="134"/>
      <c r="AV2048" s="131"/>
      <c r="AW2048" s="131"/>
      <c r="AX2048" s="132"/>
      <c r="AY2048" s="133"/>
      <c r="AZ2048" s="134"/>
      <c r="BA2048" s="134"/>
      <c r="BB2048" s="134"/>
      <c r="BC2048" s="134"/>
      <c r="BD2048" s="134"/>
      <c r="BE2048" s="134"/>
      <c r="BF2048" s="134"/>
      <c r="BG2048" s="134"/>
      <c r="BI2048" s="131"/>
      <c r="BJ2048" s="131"/>
      <c r="BK2048" s="132"/>
      <c r="BL2048" s="133"/>
      <c r="BM2048" s="134"/>
      <c r="BN2048" s="134"/>
      <c r="BO2048" s="134"/>
      <c r="BP2048" s="134"/>
      <c r="BQ2048" s="134"/>
      <c r="BR2048" s="134"/>
      <c r="BS2048" s="134"/>
      <c r="BT2048" s="134"/>
      <c r="BV2048" s="131"/>
      <c r="BW2048" s="131"/>
      <c r="BX2048" s="132"/>
      <c r="BY2048" s="133"/>
      <c r="BZ2048" s="134"/>
      <c r="CA2048" s="134"/>
      <c r="CB2048" s="134"/>
      <c r="CC2048" s="134"/>
      <c r="CD2048" s="134"/>
      <c r="CE2048" s="134"/>
      <c r="CF2048" s="134"/>
      <c r="CG2048" s="134"/>
      <c r="CH2048" s="127"/>
      <c r="CI2048" s="131" t="s">
        <v>821</v>
      </c>
      <c r="CJ2048" s="131" t="s">
        <v>0</v>
      </c>
      <c r="CK2048" s="132"/>
      <c r="CL2048" s="134"/>
      <c r="CM2048" s="134"/>
      <c r="CN2048" s="134"/>
      <c r="CO2048" s="131"/>
      <c r="CP2048" s="131"/>
      <c r="CQ2048" s="131"/>
      <c r="CR2048" s="132"/>
      <c r="CT2048" s="135"/>
      <c r="CU2048" s="135"/>
      <c r="CV2048" s="135"/>
      <c r="CW2048" s="135"/>
      <c r="CX2048" s="135"/>
      <c r="CY2048" s="135"/>
      <c r="CZ2048" s="135"/>
      <c r="DA2048" s="135"/>
      <c r="DB2048" s="135"/>
      <c r="DC2048" s="134"/>
      <c r="DE2048" s="128" t="s">
        <v>550</v>
      </c>
    </row>
    <row r="2049" spans="1:110" s="128" customFormat="1" x14ac:dyDescent="0.2">
      <c r="A2049" s="127" t="s">
        <v>4731</v>
      </c>
      <c r="B2049" s="127" t="s">
        <v>7</v>
      </c>
      <c r="C2049" s="127">
        <f t="shared" si="187"/>
        <v>300440010</v>
      </c>
      <c r="D2049" s="128" t="s">
        <v>4741</v>
      </c>
      <c r="E2049" s="129" t="s">
        <v>3505</v>
      </c>
      <c r="F2049" s="129"/>
      <c r="G2049" s="129"/>
      <c r="H2049" s="129"/>
      <c r="I2049" s="114" t="s">
        <v>1567</v>
      </c>
      <c r="J2049" s="114"/>
      <c r="K2049" s="114"/>
      <c r="L2049" s="114"/>
      <c r="M2049" s="114"/>
      <c r="N2049" s="114" t="s">
        <v>819</v>
      </c>
      <c r="O2049" s="114" t="s">
        <v>3506</v>
      </c>
      <c r="P2049" s="114"/>
      <c r="Q2049" s="114" t="s">
        <v>2041</v>
      </c>
      <c r="R2049" s="114"/>
      <c r="S2049" s="114"/>
      <c r="T2049" s="114" t="s">
        <v>811</v>
      </c>
      <c r="U2049" s="117" t="s">
        <v>4743</v>
      </c>
      <c r="V2049" s="114" t="s">
        <v>3497</v>
      </c>
      <c r="W2049" s="114" t="s">
        <v>1</v>
      </c>
      <c r="X2049" s="114"/>
      <c r="Y2049" s="114"/>
      <c r="Z2049" s="114"/>
      <c r="AA2049" s="114"/>
      <c r="AB2049" s="114"/>
      <c r="AC2049" s="114"/>
      <c r="AD2049" s="114"/>
      <c r="AE2049" s="130"/>
      <c r="AF2049" s="130" t="s">
        <v>2042</v>
      </c>
      <c r="AG2049" s="114"/>
      <c r="AH2049" s="128" t="s">
        <v>4744</v>
      </c>
      <c r="AI2049" s="131"/>
      <c r="AJ2049" s="131"/>
      <c r="AK2049" s="132"/>
      <c r="AL2049" s="128" t="s">
        <v>4750</v>
      </c>
      <c r="AM2049" s="134"/>
      <c r="AN2049" s="134"/>
      <c r="AO2049" s="134"/>
      <c r="AP2049" s="134"/>
      <c r="AQ2049" s="134"/>
      <c r="AR2049" s="134"/>
      <c r="AS2049" s="134"/>
      <c r="AT2049" s="134"/>
      <c r="AV2049" s="131"/>
      <c r="AW2049" s="131"/>
      <c r="AX2049" s="132"/>
      <c r="AY2049" s="133"/>
      <c r="AZ2049" s="134"/>
      <c r="BA2049" s="134"/>
      <c r="BB2049" s="134"/>
      <c r="BC2049" s="134"/>
      <c r="BD2049" s="134"/>
      <c r="BE2049" s="134"/>
      <c r="BF2049" s="134"/>
      <c r="BG2049" s="134"/>
      <c r="BI2049" s="131"/>
      <c r="BJ2049" s="131"/>
      <c r="BK2049" s="132"/>
      <c r="BL2049" s="133"/>
      <c r="BM2049" s="134"/>
      <c r="BN2049" s="134"/>
      <c r="BO2049" s="134"/>
      <c r="BP2049" s="134"/>
      <c r="BQ2049" s="134"/>
      <c r="BR2049" s="134"/>
      <c r="BS2049" s="134"/>
      <c r="BT2049" s="134"/>
      <c r="BV2049" s="131"/>
      <c r="BW2049" s="131"/>
      <c r="BX2049" s="132"/>
      <c r="BY2049" s="133"/>
      <c r="BZ2049" s="134"/>
      <c r="CA2049" s="134"/>
      <c r="CB2049" s="134"/>
      <c r="CC2049" s="134"/>
      <c r="CD2049" s="134"/>
      <c r="CE2049" s="134"/>
      <c r="CF2049" s="134"/>
      <c r="CG2049" s="134"/>
      <c r="CH2049" s="127"/>
      <c r="CI2049" s="131" t="s">
        <v>821</v>
      </c>
      <c r="CJ2049" s="131" t="s">
        <v>0</v>
      </c>
      <c r="CK2049" s="132"/>
      <c r="CL2049" s="134"/>
      <c r="CM2049" s="134"/>
      <c r="CN2049" s="134"/>
      <c r="CO2049" s="131"/>
      <c r="CP2049" s="131"/>
      <c r="CQ2049" s="131"/>
      <c r="CR2049" s="132"/>
      <c r="CT2049" s="135"/>
      <c r="CU2049" s="135"/>
      <c r="CV2049" s="135"/>
      <c r="CW2049" s="135"/>
      <c r="CX2049" s="135"/>
      <c r="CY2049" s="135"/>
      <c r="CZ2049" s="135"/>
      <c r="DA2049" s="135"/>
      <c r="DB2049" s="135"/>
      <c r="DC2049" s="134"/>
      <c r="DE2049" s="128" t="s">
        <v>548</v>
      </c>
    </row>
    <row r="2050" spans="1:110" s="128" customFormat="1" x14ac:dyDescent="0.2">
      <c r="A2050" s="127" t="s">
        <v>4751</v>
      </c>
      <c r="B2050" s="127" t="s">
        <v>181</v>
      </c>
      <c r="C2050" s="127">
        <f t="shared" si="187"/>
        <v>300450001</v>
      </c>
      <c r="D2050" s="128" t="s">
        <v>4752</v>
      </c>
      <c r="E2050" s="129" t="s">
        <v>4753</v>
      </c>
      <c r="F2050" s="129"/>
      <c r="G2050" s="129"/>
      <c r="H2050" s="129"/>
      <c r="I2050" s="237" t="s">
        <v>1437</v>
      </c>
      <c r="J2050" s="114" t="s">
        <v>548</v>
      </c>
      <c r="K2050" s="114"/>
      <c r="L2050" s="114"/>
      <c r="M2050" s="114"/>
      <c r="N2050" s="114" t="s">
        <v>819</v>
      </c>
      <c r="O2050" s="114" t="s">
        <v>4775</v>
      </c>
      <c r="P2050" s="114"/>
      <c r="Q2050" s="114" t="s">
        <v>2041</v>
      </c>
      <c r="R2050" s="114"/>
      <c r="S2050" s="114"/>
      <c r="T2050" s="114" t="s">
        <v>3433</v>
      </c>
      <c r="U2050" s="128" t="s">
        <v>4754</v>
      </c>
      <c r="V2050" s="114" t="s">
        <v>819</v>
      </c>
      <c r="W2050" s="114" t="s">
        <v>1</v>
      </c>
      <c r="X2050" s="114"/>
      <c r="Y2050" s="114"/>
      <c r="Z2050" s="114"/>
      <c r="AA2050" s="114"/>
      <c r="AB2050" s="114"/>
      <c r="AC2050" s="114"/>
      <c r="AD2050" s="114"/>
      <c r="AE2050" s="130"/>
      <c r="AF2050" s="130" t="s">
        <v>4755</v>
      </c>
      <c r="AG2050" s="114"/>
      <c r="AH2050" s="238" t="s">
        <v>4769</v>
      </c>
      <c r="AI2050" s="131"/>
      <c r="AJ2050" s="131"/>
      <c r="AK2050" s="132"/>
      <c r="AL2050" s="133"/>
      <c r="AM2050" s="134"/>
      <c r="AN2050" s="134"/>
      <c r="AO2050" s="134"/>
      <c r="AP2050" s="134"/>
      <c r="AQ2050" s="134"/>
      <c r="AR2050" s="134"/>
      <c r="AS2050" s="134"/>
      <c r="AT2050" s="134"/>
      <c r="AV2050" s="131"/>
      <c r="AW2050" s="131"/>
      <c r="AX2050" s="132"/>
      <c r="AY2050" s="133"/>
      <c r="AZ2050" s="134"/>
      <c r="BA2050" s="134"/>
      <c r="BB2050" s="134"/>
      <c r="BC2050" s="134"/>
      <c r="BD2050" s="134"/>
      <c r="BE2050" s="134"/>
      <c r="BF2050" s="134"/>
      <c r="BG2050" s="134"/>
      <c r="BI2050" s="131"/>
      <c r="BJ2050" s="131"/>
      <c r="BK2050" s="132"/>
      <c r="BL2050" s="133"/>
      <c r="BM2050" s="134"/>
      <c r="BN2050" s="134"/>
      <c r="BO2050" s="134"/>
      <c r="BP2050" s="134"/>
      <c r="BQ2050" s="134"/>
      <c r="BR2050" s="134"/>
      <c r="BS2050" s="134"/>
      <c r="BT2050" s="134"/>
      <c r="BV2050" s="131"/>
      <c r="BW2050" s="131"/>
      <c r="BX2050" s="132"/>
      <c r="BY2050" s="133"/>
      <c r="BZ2050" s="134"/>
      <c r="CA2050" s="134"/>
      <c r="CB2050" s="134"/>
      <c r="CC2050" s="134"/>
      <c r="CD2050" s="134"/>
      <c r="CE2050" s="134"/>
      <c r="CF2050" s="134"/>
      <c r="CG2050" s="134"/>
      <c r="CH2050" s="127"/>
      <c r="CI2050" s="131" t="s">
        <v>821</v>
      </c>
      <c r="CJ2050" s="131" t="s">
        <v>0</v>
      </c>
      <c r="CK2050" s="132"/>
      <c r="CL2050" s="134"/>
      <c r="CM2050" s="134"/>
      <c r="CN2050" s="134"/>
      <c r="CO2050" s="131"/>
      <c r="CP2050" s="128" t="s">
        <v>932</v>
      </c>
      <c r="CQ2050" s="131"/>
      <c r="CR2050" s="132"/>
      <c r="CT2050" s="135"/>
      <c r="CU2050" s="135"/>
      <c r="CV2050" s="135"/>
      <c r="CW2050" s="135"/>
      <c r="CX2050" s="135"/>
      <c r="CY2050" s="135"/>
      <c r="CZ2050" s="135"/>
      <c r="DA2050" s="135"/>
      <c r="DB2050" s="135"/>
      <c r="DC2050" s="134"/>
    </row>
    <row r="2051" spans="1:110" s="128" customFormat="1" x14ac:dyDescent="0.2">
      <c r="A2051" s="127" t="s">
        <v>4751</v>
      </c>
      <c r="B2051" s="127" t="s">
        <v>22</v>
      </c>
      <c r="C2051" s="127">
        <f t="shared" si="187"/>
        <v>300450002</v>
      </c>
      <c r="D2051" s="128" t="s">
        <v>4752</v>
      </c>
      <c r="E2051" s="129" t="s">
        <v>4753</v>
      </c>
      <c r="F2051" s="129"/>
      <c r="G2051" s="129"/>
      <c r="H2051" s="129"/>
      <c r="I2051" s="237" t="s">
        <v>1437</v>
      </c>
      <c r="J2051" s="114" t="s">
        <v>548</v>
      </c>
      <c r="K2051" s="114"/>
      <c r="L2051" s="114"/>
      <c r="M2051" s="114"/>
      <c r="N2051" s="114" t="s">
        <v>819</v>
      </c>
      <c r="O2051" s="114" t="s">
        <v>4775</v>
      </c>
      <c r="P2051" s="114" t="s">
        <v>4776</v>
      </c>
      <c r="Q2051" s="114" t="s">
        <v>2041</v>
      </c>
      <c r="R2051" s="114"/>
      <c r="S2051" s="114"/>
      <c r="T2051" s="114" t="s">
        <v>3433</v>
      </c>
      <c r="U2051" s="128" t="s">
        <v>4756</v>
      </c>
      <c r="V2051" s="114" t="s">
        <v>819</v>
      </c>
      <c r="W2051" s="114" t="s">
        <v>122</v>
      </c>
      <c r="X2051" s="114"/>
      <c r="Y2051" s="114"/>
      <c r="Z2051" s="114"/>
      <c r="AA2051" s="114"/>
      <c r="AB2051" s="114"/>
      <c r="AC2051" s="114" t="s">
        <v>4774</v>
      </c>
      <c r="AD2051" s="114" t="s">
        <v>4774</v>
      </c>
      <c r="AE2051" s="130"/>
      <c r="AF2051" s="130" t="s">
        <v>4755</v>
      </c>
      <c r="AG2051" s="114"/>
      <c r="AH2051" s="238" t="s">
        <v>4769</v>
      </c>
      <c r="AI2051" s="131"/>
      <c r="AJ2051" s="131"/>
      <c r="AK2051" s="132"/>
      <c r="AL2051" s="133"/>
      <c r="AM2051" s="134"/>
      <c r="AN2051" s="134"/>
      <c r="AO2051" s="134"/>
      <c r="AP2051" s="134"/>
      <c r="AQ2051" s="134"/>
      <c r="AR2051" s="134"/>
      <c r="AS2051" s="134"/>
      <c r="AT2051" s="134"/>
      <c r="AV2051" s="131"/>
      <c r="AW2051" s="131"/>
      <c r="AX2051" s="132"/>
      <c r="AY2051" s="133"/>
      <c r="AZ2051" s="134"/>
      <c r="BA2051" s="134"/>
      <c r="BB2051" s="134"/>
      <c r="BC2051" s="134"/>
      <c r="BD2051" s="134"/>
      <c r="BE2051" s="134"/>
      <c r="BF2051" s="134"/>
      <c r="BG2051" s="134"/>
      <c r="BI2051" s="131"/>
      <c r="BJ2051" s="131"/>
      <c r="BK2051" s="132"/>
      <c r="BL2051" s="133"/>
      <c r="BM2051" s="134"/>
      <c r="BN2051" s="134"/>
      <c r="BO2051" s="134"/>
      <c r="BP2051" s="134"/>
      <c r="BQ2051" s="134"/>
      <c r="BR2051" s="134"/>
      <c r="BS2051" s="134"/>
      <c r="BT2051" s="134"/>
      <c r="BV2051" s="131"/>
      <c r="BW2051" s="131"/>
      <c r="BX2051" s="132"/>
      <c r="BY2051" s="133"/>
      <c r="BZ2051" s="134"/>
      <c r="CA2051" s="134"/>
      <c r="CB2051" s="134"/>
      <c r="CC2051" s="134"/>
      <c r="CD2051" s="134"/>
      <c r="CE2051" s="134"/>
      <c r="CF2051" s="134"/>
      <c r="CG2051" s="134"/>
      <c r="CH2051" s="127"/>
      <c r="CI2051" s="131" t="s">
        <v>821</v>
      </c>
      <c r="CJ2051" s="131" t="s">
        <v>0</v>
      </c>
      <c r="CK2051" s="132"/>
      <c r="CL2051" s="134"/>
      <c r="CM2051" s="134"/>
      <c r="CN2051" s="134"/>
      <c r="CO2051" s="131"/>
      <c r="CP2051" s="128" t="s">
        <v>932</v>
      </c>
      <c r="CQ2051" s="131"/>
      <c r="CR2051" s="132"/>
      <c r="CT2051" s="135"/>
      <c r="CU2051" s="135"/>
      <c r="CV2051" s="135"/>
      <c r="CW2051" s="135"/>
      <c r="CX2051" s="135"/>
      <c r="CY2051" s="135"/>
      <c r="CZ2051" s="135"/>
      <c r="DA2051" s="135"/>
      <c r="DB2051" s="135"/>
      <c r="DC2051" s="134"/>
    </row>
    <row r="2052" spans="1:110" s="128" customFormat="1" x14ac:dyDescent="0.2">
      <c r="A2052" s="127" t="s">
        <v>4751</v>
      </c>
      <c r="B2052" s="127" t="s">
        <v>27</v>
      </c>
      <c r="C2052" s="127">
        <f t="shared" si="187"/>
        <v>300450003</v>
      </c>
      <c r="D2052" s="128" t="s">
        <v>4752</v>
      </c>
      <c r="E2052" s="129" t="s">
        <v>4753</v>
      </c>
      <c r="F2052" s="129"/>
      <c r="G2052" s="129"/>
      <c r="H2052" s="129"/>
      <c r="I2052" s="237" t="s">
        <v>1437</v>
      </c>
      <c r="J2052" s="114" t="s">
        <v>548</v>
      </c>
      <c r="K2052" s="114"/>
      <c r="L2052" s="114"/>
      <c r="M2052" s="114"/>
      <c r="N2052" s="114" t="s">
        <v>819</v>
      </c>
      <c r="O2052" s="114" t="s">
        <v>4775</v>
      </c>
      <c r="P2052" s="114"/>
      <c r="Q2052" s="114" t="s">
        <v>2041</v>
      </c>
      <c r="R2052" s="114"/>
      <c r="S2052" s="114"/>
      <c r="T2052" s="114" t="s">
        <v>3433</v>
      </c>
      <c r="U2052" s="128" t="s">
        <v>4761</v>
      </c>
      <c r="V2052" s="114" t="s">
        <v>819</v>
      </c>
      <c r="W2052" s="114" t="s">
        <v>1</v>
      </c>
      <c r="X2052" s="114"/>
      <c r="Y2052" s="114"/>
      <c r="Z2052" s="114"/>
      <c r="AA2052" s="114"/>
      <c r="AB2052" s="114"/>
      <c r="AC2052" s="114"/>
      <c r="AD2052" s="114"/>
      <c r="AE2052" s="130"/>
      <c r="AF2052" s="130" t="s">
        <v>4755</v>
      </c>
      <c r="AG2052" s="114"/>
      <c r="AH2052" s="238" t="s">
        <v>4769</v>
      </c>
      <c r="AI2052" s="131"/>
      <c r="AJ2052" s="131"/>
      <c r="AK2052" s="132"/>
      <c r="AL2052" s="133"/>
      <c r="AM2052" s="134"/>
      <c r="AN2052" s="134"/>
      <c r="AO2052" s="134"/>
      <c r="AP2052" s="134"/>
      <c r="AQ2052" s="134"/>
      <c r="AR2052" s="134"/>
      <c r="AS2052" s="134"/>
      <c r="AT2052" s="134"/>
      <c r="AV2052" s="131"/>
      <c r="AW2052" s="131"/>
      <c r="AX2052" s="132"/>
      <c r="AY2052" s="133"/>
      <c r="AZ2052" s="134"/>
      <c r="BA2052" s="134"/>
      <c r="BB2052" s="134"/>
      <c r="BC2052" s="134"/>
      <c r="BD2052" s="134"/>
      <c r="BE2052" s="134"/>
      <c r="BF2052" s="134"/>
      <c r="BG2052" s="134"/>
      <c r="BI2052" s="131"/>
      <c r="BJ2052" s="131"/>
      <c r="BK2052" s="132"/>
      <c r="BL2052" s="133"/>
      <c r="BM2052" s="134"/>
      <c r="BN2052" s="134"/>
      <c r="BO2052" s="134"/>
      <c r="BP2052" s="134"/>
      <c r="BQ2052" s="134"/>
      <c r="BR2052" s="134"/>
      <c r="BS2052" s="134"/>
      <c r="BT2052" s="134"/>
      <c r="BV2052" s="131"/>
      <c r="BW2052" s="131"/>
      <c r="BX2052" s="132"/>
      <c r="BY2052" s="133"/>
      <c r="BZ2052" s="134"/>
      <c r="CA2052" s="134"/>
      <c r="CB2052" s="134"/>
      <c r="CC2052" s="134"/>
      <c r="CD2052" s="134"/>
      <c r="CE2052" s="134"/>
      <c r="CF2052" s="134"/>
      <c r="CG2052" s="134"/>
      <c r="CH2052" s="127"/>
      <c r="CI2052" s="131" t="s">
        <v>821</v>
      </c>
      <c r="CJ2052" s="131" t="s">
        <v>0</v>
      </c>
      <c r="CK2052" s="132"/>
      <c r="CL2052" s="134"/>
      <c r="CM2052" s="134"/>
      <c r="CN2052" s="134"/>
      <c r="CO2052" s="131"/>
      <c r="CP2052" s="128" t="s">
        <v>932</v>
      </c>
      <c r="CQ2052" s="131"/>
      <c r="CR2052" s="132"/>
      <c r="CT2052" s="135"/>
      <c r="CU2052" s="135"/>
      <c r="CV2052" s="135"/>
      <c r="CW2052" s="135"/>
      <c r="CX2052" s="135"/>
      <c r="CY2052" s="135"/>
      <c r="CZ2052" s="135"/>
      <c r="DA2052" s="135"/>
      <c r="DB2052" s="135"/>
      <c r="DC2052" s="134"/>
    </row>
    <row r="2053" spans="1:110" s="128" customFormat="1" x14ac:dyDescent="0.2">
      <c r="A2053" s="127" t="s">
        <v>4751</v>
      </c>
      <c r="B2053" s="127" t="s">
        <v>1</v>
      </c>
      <c r="C2053" s="127">
        <f t="shared" si="187"/>
        <v>300450004</v>
      </c>
      <c r="D2053" s="128" t="s">
        <v>4752</v>
      </c>
      <c r="E2053" s="129" t="s">
        <v>4753</v>
      </c>
      <c r="F2053" s="129"/>
      <c r="G2053" s="129"/>
      <c r="H2053" s="129"/>
      <c r="I2053" s="237" t="s">
        <v>1437</v>
      </c>
      <c r="J2053" s="114" t="s">
        <v>548</v>
      </c>
      <c r="K2053" s="114"/>
      <c r="L2053" s="114"/>
      <c r="M2053" s="114"/>
      <c r="N2053" s="114" t="s">
        <v>819</v>
      </c>
      <c r="O2053" s="114" t="s">
        <v>4775</v>
      </c>
      <c r="P2053" s="114"/>
      <c r="Q2053" s="114" t="s">
        <v>2041</v>
      </c>
      <c r="R2053" s="114"/>
      <c r="S2053" s="114"/>
      <c r="T2053" s="114" t="s">
        <v>3433</v>
      </c>
      <c r="U2053" s="128" t="s">
        <v>4762</v>
      </c>
      <c r="V2053" s="114" t="s">
        <v>819</v>
      </c>
      <c r="W2053" s="114" t="s">
        <v>1</v>
      </c>
      <c r="X2053" s="114"/>
      <c r="Y2053" s="114"/>
      <c r="Z2053" s="114"/>
      <c r="AA2053" s="114"/>
      <c r="AB2053" s="114"/>
      <c r="AC2053" s="114"/>
      <c r="AD2053" s="114"/>
      <c r="AE2053" s="130"/>
      <c r="AF2053" s="130" t="s">
        <v>4755</v>
      </c>
      <c r="AG2053" s="114"/>
      <c r="AH2053" s="238" t="s">
        <v>4769</v>
      </c>
      <c r="AI2053" s="131"/>
      <c r="AJ2053" s="131"/>
      <c r="AK2053" s="132"/>
      <c r="AL2053" s="133"/>
      <c r="AM2053" s="134"/>
      <c r="AN2053" s="134"/>
      <c r="AO2053" s="134"/>
      <c r="AP2053" s="134"/>
      <c r="AQ2053" s="134"/>
      <c r="AR2053" s="134"/>
      <c r="AS2053" s="134"/>
      <c r="AT2053" s="134"/>
      <c r="AV2053" s="131"/>
      <c r="AW2053" s="131"/>
      <c r="AX2053" s="132"/>
      <c r="AY2053" s="133"/>
      <c r="AZ2053" s="134"/>
      <c r="BA2053" s="134"/>
      <c r="BB2053" s="134"/>
      <c r="BC2053" s="134"/>
      <c r="BD2053" s="134"/>
      <c r="BE2053" s="134"/>
      <c r="BF2053" s="134"/>
      <c r="BG2053" s="134"/>
      <c r="BI2053" s="131"/>
      <c r="BJ2053" s="131"/>
      <c r="BK2053" s="132"/>
      <c r="BL2053" s="133"/>
      <c r="BM2053" s="134"/>
      <c r="BN2053" s="134"/>
      <c r="BO2053" s="134"/>
      <c r="BP2053" s="134"/>
      <c r="BQ2053" s="134"/>
      <c r="BR2053" s="134"/>
      <c r="BS2053" s="134"/>
      <c r="BT2053" s="134"/>
      <c r="BV2053" s="131"/>
      <c r="BW2053" s="131"/>
      <c r="BX2053" s="132"/>
      <c r="BY2053" s="133"/>
      <c r="BZ2053" s="134"/>
      <c r="CA2053" s="134"/>
      <c r="CB2053" s="134"/>
      <c r="CC2053" s="134"/>
      <c r="CD2053" s="134"/>
      <c r="CE2053" s="134"/>
      <c r="CF2053" s="134"/>
      <c r="CG2053" s="134"/>
      <c r="CH2053" s="127"/>
      <c r="CI2053" s="131" t="s">
        <v>821</v>
      </c>
      <c r="CJ2053" s="131" t="s">
        <v>0</v>
      </c>
      <c r="CK2053" s="132"/>
      <c r="CL2053" s="134"/>
      <c r="CM2053" s="134"/>
      <c r="CN2053" s="134"/>
      <c r="CO2053" s="131"/>
      <c r="CP2053" s="128" t="s">
        <v>932</v>
      </c>
      <c r="CQ2053" s="131"/>
      <c r="CR2053" s="132"/>
      <c r="CT2053" s="135"/>
      <c r="CU2053" s="135"/>
      <c r="CV2053" s="135"/>
      <c r="CW2053" s="135"/>
      <c r="CX2053" s="135"/>
      <c r="CY2053" s="135"/>
      <c r="CZ2053" s="135"/>
      <c r="DA2053" s="135"/>
      <c r="DB2053" s="135"/>
      <c r="DC2053" s="134"/>
    </row>
    <row r="2054" spans="1:110" s="128" customFormat="1" x14ac:dyDescent="0.2">
      <c r="A2054" s="127" t="s">
        <v>4751</v>
      </c>
      <c r="B2054" s="127" t="s">
        <v>2</v>
      </c>
      <c r="C2054" s="127">
        <f t="shared" si="187"/>
        <v>300450005</v>
      </c>
      <c r="D2054" s="128" t="s">
        <v>4752</v>
      </c>
      <c r="E2054" s="129" t="s">
        <v>4753</v>
      </c>
      <c r="F2054" s="129"/>
      <c r="G2054" s="129"/>
      <c r="H2054" s="129"/>
      <c r="I2054" s="237" t="s">
        <v>1437</v>
      </c>
      <c r="J2054" s="114" t="s">
        <v>548</v>
      </c>
      <c r="K2054" s="114"/>
      <c r="L2054" s="114"/>
      <c r="M2054" s="114"/>
      <c r="N2054" s="114" t="s">
        <v>819</v>
      </c>
      <c r="O2054" s="114" t="s">
        <v>4775</v>
      </c>
      <c r="P2054" s="114"/>
      <c r="Q2054" s="114" t="s">
        <v>2041</v>
      </c>
      <c r="R2054" s="114"/>
      <c r="S2054" s="114"/>
      <c r="T2054" s="114" t="s">
        <v>3433</v>
      </c>
      <c r="U2054" s="128" t="s">
        <v>4763</v>
      </c>
      <c r="V2054" s="114" t="s">
        <v>819</v>
      </c>
      <c r="W2054" s="114" t="s">
        <v>181</v>
      </c>
      <c r="X2054" s="114"/>
      <c r="Y2054" s="114"/>
      <c r="Z2054" s="114"/>
      <c r="AA2054" s="114"/>
      <c r="AB2054" s="114"/>
      <c r="AC2054" s="114" t="s">
        <v>265</v>
      </c>
      <c r="AD2054" s="114" t="s">
        <v>265</v>
      </c>
      <c r="AE2054" s="130"/>
      <c r="AF2054" s="130" t="s">
        <v>4755</v>
      </c>
      <c r="AG2054" s="114"/>
      <c r="AH2054" s="238" t="s">
        <v>4769</v>
      </c>
      <c r="AI2054" s="131"/>
      <c r="AJ2054" s="131"/>
      <c r="AK2054" s="132"/>
      <c r="AL2054" s="133"/>
      <c r="AM2054" s="134"/>
      <c r="AN2054" s="134"/>
      <c r="AO2054" s="134"/>
      <c r="AP2054" s="134"/>
      <c r="AQ2054" s="134"/>
      <c r="AR2054" s="134"/>
      <c r="AS2054" s="134"/>
      <c r="AT2054" s="134"/>
      <c r="AV2054" s="131"/>
      <c r="AW2054" s="131"/>
      <c r="AX2054" s="132"/>
      <c r="AY2054" s="133"/>
      <c r="AZ2054" s="134"/>
      <c r="BA2054" s="134"/>
      <c r="BB2054" s="134"/>
      <c r="BC2054" s="134"/>
      <c r="BD2054" s="134"/>
      <c r="BE2054" s="134"/>
      <c r="BF2054" s="134"/>
      <c r="BG2054" s="134"/>
      <c r="BI2054" s="131"/>
      <c r="BJ2054" s="131"/>
      <c r="BK2054" s="132"/>
      <c r="BL2054" s="133"/>
      <c r="BM2054" s="134"/>
      <c r="BN2054" s="134"/>
      <c r="BO2054" s="134"/>
      <c r="BP2054" s="134"/>
      <c r="BQ2054" s="134"/>
      <c r="BR2054" s="134"/>
      <c r="BS2054" s="134"/>
      <c r="BT2054" s="134"/>
      <c r="BV2054" s="131"/>
      <c r="BW2054" s="131"/>
      <c r="BX2054" s="132"/>
      <c r="BY2054" s="133"/>
      <c r="BZ2054" s="134"/>
      <c r="CA2054" s="134"/>
      <c r="CB2054" s="134"/>
      <c r="CC2054" s="134"/>
      <c r="CD2054" s="134"/>
      <c r="CE2054" s="134"/>
      <c r="CF2054" s="134"/>
      <c r="CG2054" s="134"/>
      <c r="CH2054" s="127"/>
      <c r="CI2054" s="131" t="s">
        <v>821</v>
      </c>
      <c r="CJ2054" s="131" t="s">
        <v>0</v>
      </c>
      <c r="CK2054" s="132"/>
      <c r="CL2054" s="134"/>
      <c r="CM2054" s="134"/>
      <c r="CN2054" s="134"/>
      <c r="CO2054" s="131"/>
      <c r="CP2054" s="128" t="s">
        <v>932</v>
      </c>
      <c r="CQ2054" s="131"/>
      <c r="CR2054" s="132"/>
      <c r="CT2054" s="135"/>
      <c r="CU2054" s="135"/>
      <c r="CV2054" s="135"/>
      <c r="CW2054" s="135"/>
      <c r="CX2054" s="135"/>
      <c r="CY2054" s="135"/>
      <c r="CZ2054" s="135"/>
      <c r="DA2054" s="135"/>
      <c r="DB2054" s="135"/>
      <c r="DC2054" s="134"/>
    </row>
    <row r="2055" spans="1:110" s="128" customFormat="1" x14ac:dyDescent="0.2">
      <c r="A2055" s="127" t="s">
        <v>4751</v>
      </c>
      <c r="B2055" s="127" t="s">
        <v>3</v>
      </c>
      <c r="C2055" s="127">
        <f t="shared" si="187"/>
        <v>300450006</v>
      </c>
      <c r="D2055" s="128" t="s">
        <v>4752</v>
      </c>
      <c r="E2055" s="129" t="s">
        <v>4757</v>
      </c>
      <c r="F2055" s="129"/>
      <c r="G2055" s="129"/>
      <c r="H2055" s="129"/>
      <c r="I2055" s="237" t="s">
        <v>1437</v>
      </c>
      <c r="J2055" s="114" t="s">
        <v>548</v>
      </c>
      <c r="K2055" s="114"/>
      <c r="L2055" s="114"/>
      <c r="M2055" s="114"/>
      <c r="N2055" s="114" t="s">
        <v>819</v>
      </c>
      <c r="O2055" s="114" t="s">
        <v>4775</v>
      </c>
      <c r="P2055" s="114"/>
      <c r="Q2055" s="114" t="s">
        <v>2041</v>
      </c>
      <c r="R2055" s="114"/>
      <c r="S2055" s="114"/>
      <c r="T2055" s="114" t="s">
        <v>3433</v>
      </c>
      <c r="U2055" s="128" t="s">
        <v>4764</v>
      </c>
      <c r="V2055" s="114" t="s">
        <v>819</v>
      </c>
      <c r="W2055" s="114" t="s">
        <v>1</v>
      </c>
      <c r="X2055" s="114"/>
      <c r="Y2055" s="114"/>
      <c r="Z2055" s="114"/>
      <c r="AA2055" s="114"/>
      <c r="AB2055" s="114"/>
      <c r="AC2055" s="114"/>
      <c r="AD2055" s="114"/>
      <c r="AE2055" s="130"/>
      <c r="AF2055" s="130" t="s">
        <v>4755</v>
      </c>
      <c r="AG2055" s="114"/>
      <c r="AH2055" s="238" t="s">
        <v>4769</v>
      </c>
      <c r="AI2055" s="131"/>
      <c r="AJ2055" s="131"/>
      <c r="AK2055" s="132"/>
      <c r="AL2055" s="133"/>
      <c r="AM2055" s="134"/>
      <c r="AN2055" s="134"/>
      <c r="AO2055" s="134"/>
      <c r="AP2055" s="134"/>
      <c r="AQ2055" s="134"/>
      <c r="AR2055" s="134"/>
      <c r="AS2055" s="134"/>
      <c r="AT2055" s="134"/>
      <c r="AV2055" s="131"/>
      <c r="AW2055" s="131"/>
      <c r="AX2055" s="132"/>
      <c r="AY2055" s="133"/>
      <c r="AZ2055" s="134"/>
      <c r="BA2055" s="134"/>
      <c r="BB2055" s="134"/>
      <c r="BC2055" s="134"/>
      <c r="BD2055" s="134"/>
      <c r="BE2055" s="134"/>
      <c r="BF2055" s="134"/>
      <c r="BG2055" s="134"/>
      <c r="BI2055" s="131"/>
      <c r="BJ2055" s="131"/>
      <c r="BK2055" s="132"/>
      <c r="BL2055" s="133"/>
      <c r="BM2055" s="134"/>
      <c r="BN2055" s="134"/>
      <c r="BO2055" s="134"/>
      <c r="BP2055" s="134"/>
      <c r="BQ2055" s="134"/>
      <c r="BR2055" s="134"/>
      <c r="BS2055" s="134"/>
      <c r="BT2055" s="134"/>
      <c r="BV2055" s="131"/>
      <c r="BW2055" s="131"/>
      <c r="BX2055" s="132"/>
      <c r="BY2055" s="133"/>
      <c r="BZ2055" s="134"/>
      <c r="CA2055" s="134"/>
      <c r="CB2055" s="134"/>
      <c r="CC2055" s="134"/>
      <c r="CD2055" s="134"/>
      <c r="CE2055" s="134"/>
      <c r="CF2055" s="134"/>
      <c r="CG2055" s="134"/>
      <c r="CH2055" s="127"/>
      <c r="CI2055" s="131" t="s">
        <v>821</v>
      </c>
      <c r="CJ2055" s="131" t="s">
        <v>0</v>
      </c>
      <c r="CK2055" s="132"/>
      <c r="CL2055" s="134"/>
      <c r="CM2055" s="134"/>
      <c r="CN2055" s="134"/>
      <c r="CO2055" s="131"/>
      <c r="CP2055" s="128" t="s">
        <v>932</v>
      </c>
      <c r="CQ2055" s="131"/>
      <c r="CR2055" s="132"/>
      <c r="CT2055" s="135"/>
      <c r="CU2055" s="135"/>
      <c r="CV2055" s="135"/>
      <c r="CW2055" s="135"/>
      <c r="CX2055" s="135"/>
      <c r="CY2055" s="135"/>
      <c r="CZ2055" s="135"/>
      <c r="DA2055" s="135"/>
      <c r="DB2055" s="135"/>
      <c r="DC2055" s="134"/>
    </row>
    <row r="2056" spans="1:110" s="128" customFormat="1" x14ac:dyDescent="0.2">
      <c r="A2056" s="127" t="s">
        <v>4751</v>
      </c>
      <c r="B2056" s="127" t="s">
        <v>171</v>
      </c>
      <c r="C2056" s="127">
        <f t="shared" si="187"/>
        <v>300450007</v>
      </c>
      <c r="D2056" s="128" t="s">
        <v>4752</v>
      </c>
      <c r="E2056" s="129" t="s">
        <v>1434</v>
      </c>
      <c r="F2056" s="129"/>
      <c r="G2056" s="129"/>
      <c r="H2056" s="129"/>
      <c r="I2056" s="237" t="s">
        <v>1438</v>
      </c>
      <c r="J2056" s="114"/>
      <c r="K2056" s="114"/>
      <c r="L2056" s="114"/>
      <c r="M2056" s="114"/>
      <c r="N2056" s="114" t="s">
        <v>819</v>
      </c>
      <c r="O2056" s="114" t="s">
        <v>4777</v>
      </c>
      <c r="P2056" s="114"/>
      <c r="Q2056" s="114" t="s">
        <v>2041</v>
      </c>
      <c r="R2056" s="114"/>
      <c r="S2056" s="114"/>
      <c r="T2056" s="114" t="s">
        <v>3433</v>
      </c>
      <c r="U2056" s="128" t="s">
        <v>4765</v>
      </c>
      <c r="V2056" s="114" t="s">
        <v>819</v>
      </c>
      <c r="W2056" s="114" t="s">
        <v>1</v>
      </c>
      <c r="X2056" s="114"/>
      <c r="Y2056" s="114"/>
      <c r="Z2056" s="114"/>
      <c r="AA2056" s="114"/>
      <c r="AB2056" s="114"/>
      <c r="AC2056" s="114"/>
      <c r="AD2056" s="114"/>
      <c r="AE2056" s="130"/>
      <c r="AF2056" s="130" t="s">
        <v>4755</v>
      </c>
      <c r="AG2056" s="114"/>
      <c r="AH2056" s="238" t="s">
        <v>4769</v>
      </c>
      <c r="AI2056" s="131"/>
      <c r="AJ2056" s="131"/>
      <c r="AK2056" s="132"/>
      <c r="AL2056" s="238" t="s">
        <v>4770</v>
      </c>
      <c r="AM2056" s="134"/>
      <c r="AN2056" s="134"/>
      <c r="AO2056" s="134"/>
      <c r="AP2056" s="134"/>
      <c r="AQ2056" s="134"/>
      <c r="AR2056" s="134"/>
      <c r="AS2056" s="134"/>
      <c r="AT2056" s="134"/>
      <c r="AV2056" s="131"/>
      <c r="AW2056" s="131"/>
      <c r="AX2056" s="132"/>
      <c r="AY2056" s="133"/>
      <c r="AZ2056" s="134"/>
      <c r="BA2056" s="134"/>
      <c r="BB2056" s="134"/>
      <c r="BC2056" s="134"/>
      <c r="BD2056" s="134"/>
      <c r="BE2056" s="134"/>
      <c r="BF2056" s="134"/>
      <c r="BG2056" s="134"/>
      <c r="BI2056" s="131"/>
      <c r="BJ2056" s="131"/>
      <c r="BK2056" s="132"/>
      <c r="BL2056" s="133"/>
      <c r="BM2056" s="134"/>
      <c r="BN2056" s="134"/>
      <c r="BO2056" s="134"/>
      <c r="BP2056" s="134"/>
      <c r="BQ2056" s="134"/>
      <c r="BR2056" s="134"/>
      <c r="BS2056" s="134"/>
      <c r="BT2056" s="134"/>
      <c r="BV2056" s="131"/>
      <c r="BW2056" s="131"/>
      <c r="BX2056" s="132"/>
      <c r="BY2056" s="133"/>
      <c r="BZ2056" s="134"/>
      <c r="CA2056" s="134"/>
      <c r="CB2056" s="134"/>
      <c r="CC2056" s="134"/>
      <c r="CD2056" s="134"/>
      <c r="CE2056" s="134"/>
      <c r="CF2056" s="134"/>
      <c r="CG2056" s="134"/>
      <c r="CH2056" s="127"/>
      <c r="CI2056" s="131" t="s">
        <v>821</v>
      </c>
      <c r="CJ2056" s="131" t="s">
        <v>0</v>
      </c>
      <c r="CK2056" s="132"/>
      <c r="CL2056" s="134"/>
      <c r="CM2056" s="134"/>
      <c r="CN2056" s="134"/>
      <c r="CO2056" s="131"/>
      <c r="CQ2056" s="131"/>
      <c r="CR2056" s="132"/>
      <c r="CT2056" s="135"/>
      <c r="CU2056" s="135"/>
      <c r="CV2056" s="135"/>
      <c r="CW2056" s="135"/>
      <c r="CX2056" s="135"/>
      <c r="CY2056" s="135"/>
      <c r="CZ2056" s="135"/>
      <c r="DA2056" s="135"/>
      <c r="DB2056" s="135"/>
      <c r="DC2056" s="134"/>
      <c r="DF2056" s="128" t="s">
        <v>4773</v>
      </c>
    </row>
    <row r="2057" spans="1:110" s="128" customFormat="1" x14ac:dyDescent="0.2">
      <c r="A2057" s="127" t="s">
        <v>4751</v>
      </c>
      <c r="B2057" s="127" t="s">
        <v>137</v>
      </c>
      <c r="C2057" s="127" t="s">
        <v>4758</v>
      </c>
      <c r="D2057" s="128" t="s">
        <v>4752</v>
      </c>
      <c r="E2057" s="129" t="s">
        <v>1434</v>
      </c>
      <c r="F2057" s="129"/>
      <c r="G2057" s="129"/>
      <c r="H2057" s="129"/>
      <c r="I2057" s="237" t="s">
        <v>1438</v>
      </c>
      <c r="J2057" s="114"/>
      <c r="K2057" s="114"/>
      <c r="L2057" s="114"/>
      <c r="M2057" s="114"/>
      <c r="N2057" s="114" t="s">
        <v>819</v>
      </c>
      <c r="O2057" s="114" t="s">
        <v>4776</v>
      </c>
      <c r="P2057" s="114"/>
      <c r="Q2057" s="114" t="s">
        <v>2041</v>
      </c>
      <c r="R2057" s="114"/>
      <c r="S2057" s="114"/>
      <c r="T2057" s="114" t="s">
        <v>3433</v>
      </c>
      <c r="U2057" s="128" t="s">
        <v>4766</v>
      </c>
      <c r="V2057" s="114" t="s">
        <v>819</v>
      </c>
      <c r="W2057" s="114" t="s">
        <v>1</v>
      </c>
      <c r="X2057" s="114"/>
      <c r="Y2057" s="114"/>
      <c r="Z2057" s="114"/>
      <c r="AA2057" s="114"/>
      <c r="AB2057" s="114"/>
      <c r="AC2057" s="114" t="s">
        <v>4772</v>
      </c>
      <c r="AD2057" s="114" t="s">
        <v>4772</v>
      </c>
      <c r="AE2057" s="130"/>
      <c r="AF2057" s="130" t="s">
        <v>4755</v>
      </c>
      <c r="AG2057" s="114"/>
      <c r="AH2057" s="238" t="s">
        <v>4769</v>
      </c>
      <c r="AI2057" s="131"/>
      <c r="AJ2057" s="131"/>
      <c r="AK2057" s="132"/>
      <c r="AL2057" s="238" t="s">
        <v>4770</v>
      </c>
      <c r="AM2057" s="134"/>
      <c r="AN2057" s="134"/>
      <c r="AO2057" s="134"/>
      <c r="AP2057" s="134"/>
      <c r="AQ2057" s="134"/>
      <c r="AR2057" s="134"/>
      <c r="AS2057" s="134"/>
      <c r="AT2057" s="134"/>
      <c r="AV2057" s="131"/>
      <c r="AW2057" s="131"/>
      <c r="AX2057" s="132"/>
      <c r="AY2057" s="133"/>
      <c r="AZ2057" s="134"/>
      <c r="BA2057" s="134"/>
      <c r="BB2057" s="134"/>
      <c r="BC2057" s="134"/>
      <c r="BD2057" s="134"/>
      <c r="BE2057" s="134"/>
      <c r="BF2057" s="134"/>
      <c r="BG2057" s="134"/>
      <c r="BI2057" s="131"/>
      <c r="BJ2057" s="131"/>
      <c r="BK2057" s="132"/>
      <c r="BL2057" s="133"/>
      <c r="BM2057" s="134"/>
      <c r="BN2057" s="134"/>
      <c r="BO2057" s="134"/>
      <c r="BP2057" s="134"/>
      <c r="BQ2057" s="134"/>
      <c r="BR2057" s="134"/>
      <c r="BS2057" s="134"/>
      <c r="BT2057" s="134"/>
      <c r="BV2057" s="131"/>
      <c r="BW2057" s="131"/>
      <c r="BX2057" s="132"/>
      <c r="BY2057" s="133"/>
      <c r="BZ2057" s="134"/>
      <c r="CA2057" s="134"/>
      <c r="CB2057" s="134"/>
      <c r="CC2057" s="134"/>
      <c r="CD2057" s="134"/>
      <c r="CE2057" s="134"/>
      <c r="CF2057" s="134"/>
      <c r="CG2057" s="134"/>
      <c r="CH2057" s="127"/>
      <c r="CI2057" s="131" t="s">
        <v>821</v>
      </c>
      <c r="CJ2057" s="131" t="s">
        <v>0</v>
      </c>
      <c r="CK2057" s="132"/>
      <c r="CL2057" s="134"/>
      <c r="CM2057" s="134"/>
      <c r="CN2057" s="134"/>
      <c r="CO2057" s="131"/>
      <c r="CQ2057" s="131"/>
      <c r="CR2057" s="132"/>
      <c r="CT2057" s="135"/>
      <c r="CU2057" s="135"/>
      <c r="CV2057" s="135"/>
      <c r="CW2057" s="135"/>
      <c r="CX2057" s="135"/>
      <c r="CY2057" s="135"/>
      <c r="CZ2057" s="135"/>
      <c r="DA2057" s="135"/>
      <c r="DB2057" s="135"/>
      <c r="DC2057" s="134"/>
    </row>
    <row r="2058" spans="1:110" s="128" customFormat="1" x14ac:dyDescent="0.2">
      <c r="A2058" s="127" t="s">
        <v>4751</v>
      </c>
      <c r="B2058" s="127" t="s">
        <v>145</v>
      </c>
      <c r="C2058" s="127" t="s">
        <v>4759</v>
      </c>
      <c r="D2058" s="128" t="s">
        <v>4752</v>
      </c>
      <c r="E2058" s="129" t="s">
        <v>1434</v>
      </c>
      <c r="F2058" s="129"/>
      <c r="G2058" s="129"/>
      <c r="H2058" s="129"/>
      <c r="I2058" s="237" t="s">
        <v>1438</v>
      </c>
      <c r="J2058" s="114"/>
      <c r="K2058" s="114"/>
      <c r="L2058" s="114"/>
      <c r="M2058" s="114"/>
      <c r="N2058" s="114" t="s">
        <v>819</v>
      </c>
      <c r="O2058" s="114" t="s">
        <v>4776</v>
      </c>
      <c r="P2058" s="114"/>
      <c r="Q2058" s="114" t="s">
        <v>2041</v>
      </c>
      <c r="R2058" s="114"/>
      <c r="S2058" s="114"/>
      <c r="T2058" s="114" t="s">
        <v>3433</v>
      </c>
      <c r="U2058" s="128" t="s">
        <v>4767</v>
      </c>
      <c r="V2058" s="114" t="s">
        <v>819</v>
      </c>
      <c r="W2058" s="114" t="s">
        <v>1</v>
      </c>
      <c r="X2058" s="114"/>
      <c r="Y2058" s="114"/>
      <c r="Z2058" s="114"/>
      <c r="AA2058" s="114"/>
      <c r="AB2058" s="114"/>
      <c r="AC2058" s="114"/>
      <c r="AD2058" s="114"/>
      <c r="AE2058" s="130"/>
      <c r="AF2058" s="130" t="s">
        <v>4755</v>
      </c>
      <c r="AG2058" s="114"/>
      <c r="AH2058" s="238" t="s">
        <v>4769</v>
      </c>
      <c r="AI2058" s="131"/>
      <c r="AJ2058" s="131"/>
      <c r="AK2058" s="132"/>
      <c r="AL2058" s="238" t="s">
        <v>4770</v>
      </c>
      <c r="AM2058" s="134"/>
      <c r="AN2058" s="134"/>
      <c r="AO2058" s="134"/>
      <c r="AP2058" s="134"/>
      <c r="AQ2058" s="134"/>
      <c r="AR2058" s="134"/>
      <c r="AS2058" s="134"/>
      <c r="AT2058" s="134"/>
      <c r="AV2058" s="131"/>
      <c r="AW2058" s="131"/>
      <c r="AX2058" s="132"/>
      <c r="AY2058" s="133"/>
      <c r="AZ2058" s="134"/>
      <c r="BA2058" s="134"/>
      <c r="BB2058" s="134"/>
      <c r="BC2058" s="134"/>
      <c r="BD2058" s="134"/>
      <c r="BE2058" s="134"/>
      <c r="BF2058" s="134"/>
      <c r="BG2058" s="134"/>
      <c r="BI2058" s="131"/>
      <c r="BJ2058" s="131"/>
      <c r="BK2058" s="132"/>
      <c r="BL2058" s="133"/>
      <c r="BM2058" s="134"/>
      <c r="BN2058" s="134"/>
      <c r="BO2058" s="134"/>
      <c r="BP2058" s="134"/>
      <c r="BQ2058" s="134"/>
      <c r="BR2058" s="134"/>
      <c r="BS2058" s="134"/>
      <c r="BT2058" s="134"/>
      <c r="BV2058" s="131"/>
      <c r="BW2058" s="131"/>
      <c r="BX2058" s="132"/>
      <c r="BY2058" s="133"/>
      <c r="BZ2058" s="134"/>
      <c r="CA2058" s="134"/>
      <c r="CB2058" s="134"/>
      <c r="CC2058" s="134"/>
      <c r="CD2058" s="134"/>
      <c r="CE2058" s="134"/>
      <c r="CF2058" s="134"/>
      <c r="CG2058" s="134"/>
      <c r="CH2058" s="127"/>
      <c r="CI2058" s="131" t="s">
        <v>1634</v>
      </c>
      <c r="CJ2058" s="131" t="s">
        <v>0</v>
      </c>
      <c r="CK2058" s="132"/>
      <c r="CL2058" s="134"/>
      <c r="CM2058" s="134"/>
      <c r="CN2058" s="134"/>
      <c r="CO2058" s="131"/>
      <c r="CQ2058" s="131"/>
      <c r="CR2058" s="132"/>
      <c r="CT2058" s="135"/>
      <c r="CU2058" s="135"/>
      <c r="CV2058" s="135"/>
      <c r="CW2058" s="135"/>
      <c r="CX2058" s="135"/>
      <c r="CY2058" s="135"/>
      <c r="CZ2058" s="135"/>
      <c r="DA2058" s="135"/>
      <c r="DB2058" s="135"/>
      <c r="DC2058" s="134"/>
    </row>
    <row r="2059" spans="1:110" s="128" customFormat="1" x14ac:dyDescent="0.2">
      <c r="A2059" s="127" t="s">
        <v>4751</v>
      </c>
      <c r="B2059" s="127" t="s">
        <v>146</v>
      </c>
      <c r="C2059" s="127" t="s">
        <v>4760</v>
      </c>
      <c r="D2059" s="128" t="s">
        <v>4752</v>
      </c>
      <c r="E2059" s="129" t="s">
        <v>1434</v>
      </c>
      <c r="F2059" s="129" t="s">
        <v>550</v>
      </c>
      <c r="G2059" s="129" t="s">
        <v>550</v>
      </c>
      <c r="H2059" s="129" t="s">
        <v>181</v>
      </c>
      <c r="I2059" s="237" t="s">
        <v>1438</v>
      </c>
      <c r="J2059" s="114"/>
      <c r="K2059" s="114"/>
      <c r="L2059" s="114"/>
      <c r="M2059" s="114"/>
      <c r="N2059" s="114" t="s">
        <v>819</v>
      </c>
      <c r="O2059" s="114" t="s">
        <v>4776</v>
      </c>
      <c r="P2059" s="114"/>
      <c r="Q2059" s="114" t="s">
        <v>2041</v>
      </c>
      <c r="R2059" s="114"/>
      <c r="S2059" s="114"/>
      <c r="T2059" s="114" t="s">
        <v>3433</v>
      </c>
      <c r="U2059" s="128" t="s">
        <v>4768</v>
      </c>
      <c r="V2059" s="114" t="s">
        <v>819</v>
      </c>
      <c r="W2059" s="114" t="s">
        <v>1</v>
      </c>
      <c r="X2059" s="114"/>
      <c r="Y2059" s="114"/>
      <c r="Z2059" s="114"/>
      <c r="AA2059" s="114"/>
      <c r="AB2059" s="114"/>
      <c r="AC2059" s="114"/>
      <c r="AD2059" s="114"/>
      <c r="AE2059" s="130"/>
      <c r="AF2059" s="130" t="s">
        <v>4755</v>
      </c>
      <c r="AG2059" s="114"/>
      <c r="AH2059" s="238" t="s">
        <v>4771</v>
      </c>
      <c r="AI2059" s="131"/>
      <c r="AJ2059" s="131"/>
      <c r="AK2059" s="132"/>
      <c r="AL2059" s="133"/>
      <c r="AM2059" s="134"/>
      <c r="AN2059" s="134"/>
      <c r="AO2059" s="134"/>
      <c r="AP2059" s="134"/>
      <c r="AQ2059" s="134"/>
      <c r="AR2059" s="134"/>
      <c r="AS2059" s="134"/>
      <c r="AT2059" s="134"/>
      <c r="AV2059" s="131"/>
      <c r="AW2059" s="131"/>
      <c r="AX2059" s="132"/>
      <c r="AY2059" s="133"/>
      <c r="AZ2059" s="134"/>
      <c r="BA2059" s="134"/>
      <c r="BB2059" s="134"/>
      <c r="BC2059" s="134"/>
      <c r="BD2059" s="134"/>
      <c r="BE2059" s="134"/>
      <c r="BF2059" s="134"/>
      <c r="BG2059" s="134"/>
      <c r="BI2059" s="131"/>
      <c r="BJ2059" s="131"/>
      <c r="BK2059" s="132"/>
      <c r="BL2059" s="133"/>
      <c r="BM2059" s="134"/>
      <c r="BN2059" s="134"/>
      <c r="BO2059" s="134"/>
      <c r="BP2059" s="134"/>
      <c r="BQ2059" s="134"/>
      <c r="BR2059" s="134"/>
      <c r="BS2059" s="134"/>
      <c r="BT2059" s="134"/>
      <c r="BV2059" s="131"/>
      <c r="BW2059" s="131"/>
      <c r="BX2059" s="132"/>
      <c r="BY2059" s="133"/>
      <c r="BZ2059" s="134"/>
      <c r="CA2059" s="134"/>
      <c r="CB2059" s="134"/>
      <c r="CC2059" s="134"/>
      <c r="CD2059" s="134"/>
      <c r="CE2059" s="134"/>
      <c r="CF2059" s="134"/>
      <c r="CG2059" s="134"/>
      <c r="CH2059" s="127"/>
      <c r="CI2059" s="128" t="s">
        <v>397</v>
      </c>
      <c r="CJ2059" s="134">
        <v>100</v>
      </c>
      <c r="CK2059" s="132"/>
      <c r="CL2059" s="134"/>
      <c r="CM2059" s="134"/>
      <c r="CN2059" s="134"/>
      <c r="CO2059" s="131"/>
      <c r="CQ2059" s="131"/>
      <c r="CR2059" s="132"/>
      <c r="CT2059" s="135"/>
      <c r="CU2059" s="135"/>
      <c r="CV2059" s="135"/>
      <c r="CW2059" s="135"/>
      <c r="CX2059" s="135"/>
      <c r="CY2059" s="135"/>
      <c r="CZ2059" s="135"/>
      <c r="DA2059" s="135"/>
      <c r="DB2059" s="135"/>
      <c r="DC2059" s="134"/>
    </row>
    <row r="2060" spans="1:110" s="226" customFormat="1" x14ac:dyDescent="0.2">
      <c r="A2060" s="225" t="s">
        <v>4796</v>
      </c>
      <c r="B2060" s="225" t="s">
        <v>181</v>
      </c>
      <c r="C2060" s="127" t="s">
        <v>4797</v>
      </c>
      <c r="D2060" s="226" t="s">
        <v>4807</v>
      </c>
      <c r="E2060" s="227" t="s">
        <v>4823</v>
      </c>
      <c r="F2060" s="227"/>
      <c r="G2060" s="227"/>
      <c r="H2060" s="227"/>
      <c r="I2060" s="228" t="s">
        <v>1506</v>
      </c>
      <c r="J2060" s="229" t="s">
        <v>548</v>
      </c>
      <c r="K2060" s="229"/>
      <c r="L2060" s="229"/>
      <c r="M2060" s="229"/>
      <c r="N2060" s="229" t="s">
        <v>819</v>
      </c>
      <c r="O2060" s="229" t="s">
        <v>158</v>
      </c>
      <c r="P2060" s="229"/>
      <c r="Q2060" s="229" t="s">
        <v>2041</v>
      </c>
      <c r="R2060" s="229"/>
      <c r="S2060" s="229"/>
      <c r="T2060" s="229" t="s">
        <v>3433</v>
      </c>
      <c r="U2060" s="226" t="s">
        <v>4807</v>
      </c>
      <c r="V2060" s="229" t="s">
        <v>819</v>
      </c>
      <c r="W2060" s="114" t="s">
        <v>4837</v>
      </c>
      <c r="X2060" s="229"/>
      <c r="Y2060" s="229"/>
      <c r="Z2060" s="229"/>
      <c r="AA2060" s="229"/>
      <c r="AB2060" s="229"/>
      <c r="AC2060" s="229" t="s">
        <v>4832</v>
      </c>
      <c r="AD2060" s="229" t="s">
        <v>4831</v>
      </c>
      <c r="AE2060" s="230"/>
      <c r="AF2060" s="230" t="s">
        <v>2042</v>
      </c>
      <c r="AG2060" s="229"/>
      <c r="AH2060" s="239" t="s">
        <v>4818</v>
      </c>
      <c r="AI2060" s="231"/>
      <c r="AJ2060" s="231"/>
      <c r="AK2060" s="232"/>
      <c r="AL2060" s="168" t="s">
        <v>4826</v>
      </c>
      <c r="AM2060" s="234"/>
      <c r="AN2060" s="234"/>
      <c r="AO2060" s="234"/>
      <c r="AP2060" s="234"/>
      <c r="AQ2060" s="234"/>
      <c r="AR2060" s="234"/>
      <c r="AS2060" s="234"/>
      <c r="AT2060" s="234"/>
      <c r="AV2060" s="231"/>
      <c r="AW2060" s="231"/>
      <c r="AX2060" s="232"/>
      <c r="AY2060" s="233"/>
      <c r="AZ2060" s="234"/>
      <c r="BA2060" s="234"/>
      <c r="BB2060" s="234"/>
      <c r="BC2060" s="234"/>
      <c r="BD2060" s="234"/>
      <c r="BE2060" s="234"/>
      <c r="BF2060" s="234"/>
      <c r="BG2060" s="234"/>
      <c r="BI2060" s="231"/>
      <c r="BJ2060" s="231"/>
      <c r="BK2060" s="232"/>
      <c r="BL2060" s="233"/>
      <c r="BM2060" s="234"/>
      <c r="BN2060" s="234"/>
      <c r="BO2060" s="234"/>
      <c r="BP2060" s="234"/>
      <c r="BQ2060" s="234"/>
      <c r="BR2060" s="234"/>
      <c r="BS2060" s="234"/>
      <c r="BT2060" s="234"/>
      <c r="BV2060" s="231"/>
      <c r="BW2060" s="231"/>
      <c r="BX2060" s="232"/>
      <c r="BY2060" s="233"/>
      <c r="BZ2060" s="234"/>
      <c r="CA2060" s="234"/>
      <c r="CB2060" s="234"/>
      <c r="CC2060" s="234"/>
      <c r="CD2060" s="234"/>
      <c r="CE2060" s="234"/>
      <c r="CF2060" s="234"/>
      <c r="CG2060" s="234"/>
      <c r="CH2060" s="225"/>
      <c r="CI2060" s="61" t="s">
        <v>4566</v>
      </c>
      <c r="CJ2060" s="231" t="s">
        <v>0</v>
      </c>
      <c r="CK2060" s="232"/>
      <c r="CL2060" s="234"/>
      <c r="CM2060" s="234"/>
      <c r="CN2060" s="234"/>
      <c r="CO2060" s="231"/>
      <c r="CP2060" s="57"/>
      <c r="CQ2060" s="231"/>
      <c r="CR2060" s="232"/>
      <c r="CT2060" s="235"/>
      <c r="CU2060" s="235"/>
      <c r="CV2060" s="235"/>
      <c r="CW2060" s="235"/>
      <c r="CX2060" s="235"/>
      <c r="CY2060" s="235"/>
      <c r="CZ2060" s="235"/>
      <c r="DA2060" s="235"/>
      <c r="DB2060" s="235"/>
      <c r="DC2060" s="234"/>
    </row>
    <row r="2061" spans="1:110" s="226" customFormat="1" x14ac:dyDescent="0.2">
      <c r="A2061" s="225" t="s">
        <v>4796</v>
      </c>
      <c r="B2061" s="225" t="s">
        <v>22</v>
      </c>
      <c r="C2061" s="127" t="s">
        <v>4798</v>
      </c>
      <c r="D2061" s="226" t="s">
        <v>4808</v>
      </c>
      <c r="E2061" s="227" t="s">
        <v>4823</v>
      </c>
      <c r="F2061" s="227"/>
      <c r="G2061" s="227"/>
      <c r="H2061" s="227"/>
      <c r="I2061" s="228" t="s">
        <v>1506</v>
      </c>
      <c r="J2061" s="229" t="s">
        <v>548</v>
      </c>
      <c r="K2061" s="229"/>
      <c r="L2061" s="229"/>
      <c r="M2061" s="229"/>
      <c r="N2061" s="229" t="s">
        <v>819</v>
      </c>
      <c r="O2061" s="229" t="s">
        <v>158</v>
      </c>
      <c r="P2061" s="229"/>
      <c r="Q2061" s="229" t="s">
        <v>2041</v>
      </c>
      <c r="R2061" s="229"/>
      <c r="S2061" s="229"/>
      <c r="T2061" s="229" t="s">
        <v>3433</v>
      </c>
      <c r="U2061" s="226" t="s">
        <v>4808</v>
      </c>
      <c r="V2061" s="229" t="s">
        <v>819</v>
      </c>
      <c r="W2061" s="114" t="s">
        <v>4837</v>
      </c>
      <c r="X2061" s="229"/>
      <c r="Y2061" s="229"/>
      <c r="Z2061" s="229"/>
      <c r="AA2061" s="229"/>
      <c r="AB2061" s="229"/>
      <c r="AC2061" s="229" t="s">
        <v>4832</v>
      </c>
      <c r="AD2061" s="229" t="s">
        <v>4831</v>
      </c>
      <c r="AE2061" s="230"/>
      <c r="AF2061" s="230" t="s">
        <v>2042</v>
      </c>
      <c r="AG2061" s="229"/>
      <c r="AH2061" s="168" t="s">
        <v>4819</v>
      </c>
      <c r="AI2061" s="231"/>
      <c r="AJ2061" s="231"/>
      <c r="AK2061" s="232"/>
      <c r="AL2061" s="233"/>
      <c r="AM2061" s="234"/>
      <c r="AN2061" s="234"/>
      <c r="AO2061" s="234"/>
      <c r="AP2061" s="234"/>
      <c r="AQ2061" s="234"/>
      <c r="AR2061" s="234"/>
      <c r="AS2061" s="234"/>
      <c r="AT2061" s="234"/>
      <c r="AV2061" s="231"/>
      <c r="AW2061" s="231"/>
      <c r="AX2061" s="232"/>
      <c r="AY2061" s="233"/>
      <c r="AZ2061" s="234"/>
      <c r="BA2061" s="234"/>
      <c r="BB2061" s="234"/>
      <c r="BC2061" s="234"/>
      <c r="BD2061" s="234"/>
      <c r="BE2061" s="234"/>
      <c r="BF2061" s="234"/>
      <c r="BG2061" s="234"/>
      <c r="BI2061" s="231"/>
      <c r="BJ2061" s="231"/>
      <c r="BK2061" s="232"/>
      <c r="BL2061" s="233"/>
      <c r="BM2061" s="234"/>
      <c r="BN2061" s="234"/>
      <c r="BO2061" s="234"/>
      <c r="BP2061" s="234"/>
      <c r="BQ2061" s="234"/>
      <c r="BR2061" s="234"/>
      <c r="BS2061" s="234"/>
      <c r="BT2061" s="234"/>
      <c r="BV2061" s="231"/>
      <c r="BW2061" s="231"/>
      <c r="BX2061" s="232"/>
      <c r="BY2061" s="233"/>
      <c r="BZ2061" s="234"/>
      <c r="CA2061" s="234"/>
      <c r="CB2061" s="234"/>
      <c r="CC2061" s="234"/>
      <c r="CD2061" s="234"/>
      <c r="CE2061" s="234"/>
      <c r="CF2061" s="234"/>
      <c r="CG2061" s="234"/>
      <c r="CH2061" s="225"/>
      <c r="CI2061" s="61" t="s">
        <v>4566</v>
      </c>
      <c r="CJ2061" s="231" t="s">
        <v>0</v>
      </c>
      <c r="CK2061" s="232"/>
      <c r="CL2061" s="234"/>
      <c r="CM2061" s="234"/>
      <c r="CN2061" s="234"/>
      <c r="CO2061" s="231"/>
      <c r="CP2061" s="57"/>
      <c r="CQ2061" s="231"/>
      <c r="CR2061" s="232"/>
      <c r="CT2061" s="235"/>
      <c r="CU2061" s="235"/>
      <c r="CV2061" s="235"/>
      <c r="CW2061" s="235"/>
      <c r="CX2061" s="235"/>
      <c r="CY2061" s="235"/>
      <c r="CZ2061" s="235"/>
      <c r="DA2061" s="235"/>
      <c r="DB2061" s="235"/>
      <c r="DC2061" s="234"/>
    </row>
    <row r="2062" spans="1:110" s="226" customFormat="1" x14ac:dyDescent="0.2">
      <c r="A2062" s="225" t="s">
        <v>4796</v>
      </c>
      <c r="B2062" s="225" t="s">
        <v>27</v>
      </c>
      <c r="C2062" s="127" t="s">
        <v>4799</v>
      </c>
      <c r="D2062" s="226" t="s">
        <v>4809</v>
      </c>
      <c r="E2062" s="227" t="s">
        <v>4825</v>
      </c>
      <c r="F2062" s="227"/>
      <c r="G2062" s="227"/>
      <c r="H2062" s="227"/>
      <c r="I2062" s="228" t="s">
        <v>1390</v>
      </c>
      <c r="J2062" s="229" t="s">
        <v>548</v>
      </c>
      <c r="K2062" s="229"/>
      <c r="L2062" s="229"/>
      <c r="M2062" s="229"/>
      <c r="N2062" s="229" t="s">
        <v>819</v>
      </c>
      <c r="O2062" s="229" t="s">
        <v>158</v>
      </c>
      <c r="P2062" s="229"/>
      <c r="Q2062" s="229" t="s">
        <v>2041</v>
      </c>
      <c r="R2062" s="229"/>
      <c r="S2062" s="229"/>
      <c r="T2062" s="229" t="s">
        <v>3433</v>
      </c>
      <c r="U2062" s="226" t="s">
        <v>4809</v>
      </c>
      <c r="V2062" s="229" t="s">
        <v>819</v>
      </c>
      <c r="W2062" s="114" t="s">
        <v>4838</v>
      </c>
      <c r="X2062" s="229"/>
      <c r="Y2062" s="229"/>
      <c r="Z2062" s="229"/>
      <c r="AA2062" s="229"/>
      <c r="AB2062" s="229"/>
      <c r="AC2062" s="229" t="s">
        <v>4833</v>
      </c>
      <c r="AD2062" s="229" t="s">
        <v>765</v>
      </c>
      <c r="AE2062" s="230"/>
      <c r="AF2062" s="230" t="s">
        <v>2042</v>
      </c>
      <c r="AG2062" s="229"/>
      <c r="AH2062" s="168" t="s">
        <v>4819</v>
      </c>
      <c r="AI2062" s="231"/>
      <c r="AJ2062" s="231"/>
      <c r="AK2062" s="232"/>
      <c r="AM2062" s="234"/>
      <c r="AN2062" s="234"/>
      <c r="AO2062" s="234"/>
      <c r="AP2062" s="234"/>
      <c r="AQ2062" s="234"/>
      <c r="AR2062" s="234"/>
      <c r="AS2062" s="234"/>
      <c r="AT2062" s="234"/>
      <c r="AV2062" s="231"/>
      <c r="AW2062" s="231"/>
      <c r="AX2062" s="232"/>
      <c r="AY2062" s="233"/>
      <c r="AZ2062" s="234"/>
      <c r="BA2062" s="234"/>
      <c r="BB2062" s="234"/>
      <c r="BC2062" s="234"/>
      <c r="BD2062" s="234"/>
      <c r="BE2062" s="234"/>
      <c r="BF2062" s="234"/>
      <c r="BG2062" s="234"/>
      <c r="BI2062" s="231"/>
      <c r="BJ2062" s="231"/>
      <c r="BK2062" s="232"/>
      <c r="BL2062" s="233"/>
      <c r="BM2062" s="234"/>
      <c r="BN2062" s="234"/>
      <c r="BO2062" s="234"/>
      <c r="BP2062" s="234"/>
      <c r="BQ2062" s="234"/>
      <c r="BR2062" s="234"/>
      <c r="BS2062" s="234"/>
      <c r="BT2062" s="234"/>
      <c r="BV2062" s="231"/>
      <c r="BW2062" s="231"/>
      <c r="BX2062" s="232"/>
      <c r="BY2062" s="233"/>
      <c r="BZ2062" s="234"/>
      <c r="CA2062" s="234"/>
      <c r="CB2062" s="234"/>
      <c r="CC2062" s="234"/>
      <c r="CD2062" s="234"/>
      <c r="CE2062" s="234"/>
      <c r="CF2062" s="234"/>
      <c r="CG2062" s="234"/>
      <c r="CH2062" s="225"/>
      <c r="CI2062" s="61" t="s">
        <v>4566</v>
      </c>
      <c r="CJ2062" s="231" t="s">
        <v>0</v>
      </c>
      <c r="CK2062" s="232"/>
      <c r="CL2062" s="234"/>
      <c r="CM2062" s="234"/>
      <c r="CN2062" s="234"/>
      <c r="CO2062" s="231"/>
      <c r="CP2062" s="57"/>
      <c r="CQ2062" s="231"/>
      <c r="CR2062" s="232"/>
      <c r="CT2062" s="235"/>
      <c r="CU2062" s="235"/>
      <c r="CV2062" s="235"/>
      <c r="CW2062" s="235"/>
      <c r="CX2062" s="235"/>
      <c r="CY2062" s="235"/>
      <c r="CZ2062" s="235"/>
      <c r="DA2062" s="235"/>
      <c r="DB2062" s="235"/>
      <c r="DC2062" s="234"/>
    </row>
    <row r="2063" spans="1:110" s="226" customFormat="1" x14ac:dyDescent="0.2">
      <c r="A2063" s="225" t="s">
        <v>4796</v>
      </c>
      <c r="B2063" s="225" t="s">
        <v>1</v>
      </c>
      <c r="C2063" s="127" t="s">
        <v>4800</v>
      </c>
      <c r="D2063" s="226" t="s">
        <v>4810</v>
      </c>
      <c r="E2063" s="227" t="s">
        <v>1124</v>
      </c>
      <c r="F2063" s="227"/>
      <c r="G2063" s="227"/>
      <c r="H2063" s="227"/>
      <c r="I2063" s="228" t="s">
        <v>1390</v>
      </c>
      <c r="J2063" s="229" t="s">
        <v>548</v>
      </c>
      <c r="K2063" s="229"/>
      <c r="L2063" s="229"/>
      <c r="M2063" s="229"/>
      <c r="N2063" s="229" t="s">
        <v>819</v>
      </c>
      <c r="O2063" s="229" t="s">
        <v>158</v>
      </c>
      <c r="P2063" s="229"/>
      <c r="Q2063" s="229" t="s">
        <v>2041</v>
      </c>
      <c r="R2063" s="229"/>
      <c r="S2063" s="229"/>
      <c r="T2063" s="229" t="s">
        <v>3433</v>
      </c>
      <c r="U2063" s="226" t="s">
        <v>4810</v>
      </c>
      <c r="V2063" s="229" t="s">
        <v>819</v>
      </c>
      <c r="W2063" s="114" t="s">
        <v>4838</v>
      </c>
      <c r="X2063" s="229"/>
      <c r="Y2063" s="229"/>
      <c r="Z2063" s="229"/>
      <c r="AA2063" s="229"/>
      <c r="AB2063" s="229"/>
      <c r="AC2063" s="229" t="s">
        <v>4833</v>
      </c>
      <c r="AD2063" s="229" t="s">
        <v>765</v>
      </c>
      <c r="AE2063" s="230"/>
      <c r="AF2063" s="230" t="s">
        <v>2042</v>
      </c>
      <c r="AG2063" s="229"/>
      <c r="AH2063" s="168" t="s">
        <v>4819</v>
      </c>
      <c r="AI2063" s="231"/>
      <c r="AJ2063" s="231"/>
      <c r="AK2063" s="232"/>
      <c r="AL2063" s="233"/>
      <c r="AM2063" s="234"/>
      <c r="AN2063" s="234"/>
      <c r="AO2063" s="234"/>
      <c r="AP2063" s="234"/>
      <c r="AQ2063" s="234"/>
      <c r="AR2063" s="234"/>
      <c r="AS2063" s="234"/>
      <c r="AT2063" s="234"/>
      <c r="AV2063" s="231"/>
      <c r="AW2063" s="231"/>
      <c r="AX2063" s="232"/>
      <c r="AY2063" s="233"/>
      <c r="AZ2063" s="234"/>
      <c r="BA2063" s="234"/>
      <c r="BB2063" s="234"/>
      <c r="BC2063" s="234"/>
      <c r="BD2063" s="234"/>
      <c r="BE2063" s="234"/>
      <c r="BF2063" s="234"/>
      <c r="BG2063" s="234"/>
      <c r="BI2063" s="231"/>
      <c r="BJ2063" s="231"/>
      <c r="BK2063" s="232"/>
      <c r="BL2063" s="233"/>
      <c r="BM2063" s="234"/>
      <c r="BN2063" s="234"/>
      <c r="BO2063" s="234"/>
      <c r="BP2063" s="234"/>
      <c r="BQ2063" s="234"/>
      <c r="BR2063" s="234"/>
      <c r="BS2063" s="234"/>
      <c r="BT2063" s="234"/>
      <c r="BV2063" s="231"/>
      <c r="BW2063" s="231"/>
      <c r="BX2063" s="232"/>
      <c r="BY2063" s="233"/>
      <c r="BZ2063" s="234"/>
      <c r="CA2063" s="234"/>
      <c r="CB2063" s="234"/>
      <c r="CC2063" s="234"/>
      <c r="CD2063" s="234"/>
      <c r="CE2063" s="234"/>
      <c r="CF2063" s="234"/>
      <c r="CG2063" s="234"/>
      <c r="CH2063" s="225"/>
      <c r="CI2063" s="61" t="s">
        <v>4566</v>
      </c>
      <c r="CJ2063" s="231" t="s">
        <v>0</v>
      </c>
      <c r="CK2063" s="232"/>
      <c r="CL2063" s="234"/>
      <c r="CM2063" s="234"/>
      <c r="CN2063" s="234"/>
      <c r="CO2063" s="231"/>
      <c r="CP2063" s="57"/>
      <c r="CQ2063" s="231"/>
      <c r="CR2063" s="232"/>
      <c r="CT2063" s="235"/>
      <c r="CU2063" s="235"/>
      <c r="CV2063" s="235"/>
      <c r="CW2063" s="235"/>
      <c r="CX2063" s="235"/>
      <c r="CY2063" s="235"/>
      <c r="CZ2063" s="235"/>
      <c r="DA2063" s="235"/>
      <c r="DB2063" s="235"/>
      <c r="DC2063" s="234"/>
    </row>
    <row r="2064" spans="1:110" s="226" customFormat="1" x14ac:dyDescent="0.2">
      <c r="A2064" s="225" t="s">
        <v>4796</v>
      </c>
      <c r="B2064" s="225" t="s">
        <v>2</v>
      </c>
      <c r="C2064" s="127" t="s">
        <v>4801</v>
      </c>
      <c r="D2064" s="226" t="s">
        <v>4811</v>
      </c>
      <c r="E2064" s="227" t="s">
        <v>4823</v>
      </c>
      <c r="F2064" s="227"/>
      <c r="G2064" s="227"/>
      <c r="H2064" s="227"/>
      <c r="I2064" s="228" t="s">
        <v>134</v>
      </c>
      <c r="J2064" s="229" t="s">
        <v>548</v>
      </c>
      <c r="K2064" s="229"/>
      <c r="L2064" s="229"/>
      <c r="M2064" s="229"/>
      <c r="N2064" s="229" t="s">
        <v>819</v>
      </c>
      <c r="O2064" s="229" t="s">
        <v>158</v>
      </c>
      <c r="P2064" s="229"/>
      <c r="Q2064" s="229" t="s">
        <v>2041</v>
      </c>
      <c r="R2064" s="229"/>
      <c r="S2064" s="229"/>
      <c r="T2064" s="229" t="s">
        <v>3433</v>
      </c>
      <c r="U2064" s="226" t="s">
        <v>4811</v>
      </c>
      <c r="V2064" s="229" t="s">
        <v>819</v>
      </c>
      <c r="W2064" s="114" t="s">
        <v>4838</v>
      </c>
      <c r="X2064" s="229"/>
      <c r="Y2064" s="229"/>
      <c r="Z2064" s="229"/>
      <c r="AA2064" s="229"/>
      <c r="AB2064" s="229"/>
      <c r="AC2064" s="229" t="s">
        <v>4833</v>
      </c>
      <c r="AD2064" s="229" t="s">
        <v>765</v>
      </c>
      <c r="AE2064" s="230"/>
      <c r="AF2064" s="230" t="s">
        <v>2042</v>
      </c>
      <c r="AG2064" s="229"/>
      <c r="AH2064" s="168" t="s">
        <v>4819</v>
      </c>
      <c r="AI2064" s="231"/>
      <c r="AJ2064" s="231"/>
      <c r="AK2064" s="232"/>
      <c r="AL2064" s="233"/>
      <c r="AM2064" s="234"/>
      <c r="AN2064" s="234"/>
      <c r="AO2064" s="234"/>
      <c r="AP2064" s="234"/>
      <c r="AQ2064" s="234"/>
      <c r="AR2064" s="234"/>
      <c r="AS2064" s="234"/>
      <c r="AT2064" s="234"/>
      <c r="AV2064" s="231"/>
      <c r="AW2064" s="231"/>
      <c r="AX2064" s="232"/>
      <c r="AY2064" s="233"/>
      <c r="AZ2064" s="234"/>
      <c r="BA2064" s="234"/>
      <c r="BB2064" s="234"/>
      <c r="BC2064" s="234"/>
      <c r="BD2064" s="234"/>
      <c r="BE2064" s="234"/>
      <c r="BF2064" s="234"/>
      <c r="BG2064" s="234"/>
      <c r="BI2064" s="231"/>
      <c r="BJ2064" s="231"/>
      <c r="BK2064" s="232"/>
      <c r="BL2064" s="233"/>
      <c r="BM2064" s="234"/>
      <c r="BN2064" s="234"/>
      <c r="BO2064" s="234"/>
      <c r="BP2064" s="234"/>
      <c r="BQ2064" s="234"/>
      <c r="BR2064" s="234"/>
      <c r="BS2064" s="234"/>
      <c r="BT2064" s="234"/>
      <c r="BV2064" s="231"/>
      <c r="BW2064" s="231"/>
      <c r="BX2064" s="232"/>
      <c r="BY2064" s="233"/>
      <c r="BZ2064" s="234"/>
      <c r="CA2064" s="234"/>
      <c r="CB2064" s="234"/>
      <c r="CC2064" s="234"/>
      <c r="CD2064" s="234"/>
      <c r="CE2064" s="234"/>
      <c r="CF2064" s="234"/>
      <c r="CG2064" s="234"/>
      <c r="CH2064" s="225"/>
      <c r="CI2064" s="61" t="s">
        <v>4566</v>
      </c>
      <c r="CJ2064" s="231" t="s">
        <v>0</v>
      </c>
      <c r="CK2064" s="232"/>
      <c r="CL2064" s="234"/>
      <c r="CM2064" s="234"/>
      <c r="CN2064" s="234"/>
      <c r="CO2064" s="231"/>
      <c r="CP2064" s="57"/>
      <c r="CQ2064" s="231"/>
      <c r="CR2064" s="232"/>
      <c r="CT2064" s="235"/>
      <c r="CU2064" s="235"/>
      <c r="CV2064" s="235"/>
      <c r="CW2064" s="235"/>
      <c r="CX2064" s="235"/>
      <c r="CY2064" s="235"/>
      <c r="CZ2064" s="235"/>
      <c r="DA2064" s="235"/>
      <c r="DB2064" s="235"/>
      <c r="DC2064" s="234"/>
    </row>
    <row r="2065" spans="1:111" s="226" customFormat="1" x14ac:dyDescent="0.2">
      <c r="A2065" s="225" t="s">
        <v>4796</v>
      </c>
      <c r="B2065" s="225" t="s">
        <v>3</v>
      </c>
      <c r="C2065" s="127" t="s">
        <v>4802</v>
      </c>
      <c r="D2065" s="226" t="s">
        <v>4812</v>
      </c>
      <c r="E2065" s="227" t="s">
        <v>4823</v>
      </c>
      <c r="F2065" s="227"/>
      <c r="G2065" s="227"/>
      <c r="H2065" s="227"/>
      <c r="I2065" s="228" t="s">
        <v>134</v>
      </c>
      <c r="J2065" s="229" t="s">
        <v>548</v>
      </c>
      <c r="K2065" s="229"/>
      <c r="L2065" s="229"/>
      <c r="M2065" s="229"/>
      <c r="N2065" s="229" t="s">
        <v>819</v>
      </c>
      <c r="O2065" s="229" t="s">
        <v>158</v>
      </c>
      <c r="P2065" s="229"/>
      <c r="Q2065" s="229" t="s">
        <v>2041</v>
      </c>
      <c r="R2065" s="229"/>
      <c r="S2065" s="229"/>
      <c r="T2065" s="229" t="s">
        <v>3433</v>
      </c>
      <c r="U2065" s="226" t="s">
        <v>4812</v>
      </c>
      <c r="V2065" s="229" t="s">
        <v>819</v>
      </c>
      <c r="W2065" s="114" t="s">
        <v>4838</v>
      </c>
      <c r="X2065" s="229"/>
      <c r="Y2065" s="229"/>
      <c r="Z2065" s="229"/>
      <c r="AA2065" s="229"/>
      <c r="AB2065" s="229"/>
      <c r="AC2065" s="229" t="s">
        <v>4833</v>
      </c>
      <c r="AD2065" s="229" t="s">
        <v>765</v>
      </c>
      <c r="AE2065" s="230"/>
      <c r="AF2065" s="230" t="s">
        <v>2042</v>
      </c>
      <c r="AG2065" s="229"/>
      <c r="AH2065" s="168" t="s">
        <v>4819</v>
      </c>
      <c r="AI2065" s="231"/>
      <c r="AJ2065" s="231"/>
      <c r="AK2065" s="232"/>
      <c r="AL2065" s="233"/>
      <c r="AM2065" s="234"/>
      <c r="AN2065" s="234"/>
      <c r="AO2065" s="234"/>
      <c r="AP2065" s="234"/>
      <c r="AQ2065" s="234"/>
      <c r="AR2065" s="234"/>
      <c r="AS2065" s="234"/>
      <c r="AT2065" s="234"/>
      <c r="AV2065" s="231"/>
      <c r="AW2065" s="231"/>
      <c r="AX2065" s="232"/>
      <c r="AY2065" s="233"/>
      <c r="AZ2065" s="234"/>
      <c r="BA2065" s="234"/>
      <c r="BB2065" s="234"/>
      <c r="BC2065" s="234"/>
      <c r="BD2065" s="234"/>
      <c r="BE2065" s="234"/>
      <c r="BF2065" s="234"/>
      <c r="BG2065" s="234"/>
      <c r="BI2065" s="231"/>
      <c r="BJ2065" s="231"/>
      <c r="BK2065" s="232"/>
      <c r="BL2065" s="233"/>
      <c r="BM2065" s="234"/>
      <c r="BN2065" s="234"/>
      <c r="BO2065" s="234"/>
      <c r="BP2065" s="234"/>
      <c r="BQ2065" s="234"/>
      <c r="BR2065" s="234"/>
      <c r="BS2065" s="234"/>
      <c r="BT2065" s="234"/>
      <c r="BV2065" s="231"/>
      <c r="BW2065" s="231"/>
      <c r="BX2065" s="232"/>
      <c r="BY2065" s="233"/>
      <c r="BZ2065" s="234"/>
      <c r="CA2065" s="234"/>
      <c r="CB2065" s="234"/>
      <c r="CC2065" s="234"/>
      <c r="CD2065" s="234"/>
      <c r="CE2065" s="234"/>
      <c r="CF2065" s="234"/>
      <c r="CG2065" s="234"/>
      <c r="CH2065" s="225"/>
      <c r="CI2065" s="61" t="s">
        <v>4566</v>
      </c>
      <c r="CJ2065" s="231" t="s">
        <v>0</v>
      </c>
      <c r="CK2065" s="232"/>
      <c r="CL2065" s="234"/>
      <c r="CM2065" s="234"/>
      <c r="CN2065" s="234"/>
      <c r="CO2065" s="231"/>
      <c r="CP2065" s="57"/>
      <c r="CQ2065" s="231"/>
      <c r="CR2065" s="232"/>
      <c r="CT2065" s="235"/>
      <c r="CU2065" s="235"/>
      <c r="CV2065" s="235"/>
      <c r="CW2065" s="235"/>
      <c r="CX2065" s="235"/>
      <c r="CY2065" s="235"/>
      <c r="CZ2065" s="235"/>
      <c r="DA2065" s="235"/>
      <c r="DB2065" s="235"/>
      <c r="DC2065" s="234"/>
    </row>
    <row r="2066" spans="1:111" s="226" customFormat="1" x14ac:dyDescent="0.2">
      <c r="A2066" s="225" t="s">
        <v>4796</v>
      </c>
      <c r="B2066" s="225" t="s">
        <v>171</v>
      </c>
      <c r="C2066" s="127" t="s">
        <v>4803</v>
      </c>
      <c r="D2066" s="226" t="s">
        <v>4813</v>
      </c>
      <c r="E2066" s="227" t="s">
        <v>4824</v>
      </c>
      <c r="F2066" s="227"/>
      <c r="G2066" s="227"/>
      <c r="H2066" s="227"/>
      <c r="I2066" s="228" t="s">
        <v>4830</v>
      </c>
      <c r="J2066" s="229" t="s">
        <v>548</v>
      </c>
      <c r="K2066" s="229"/>
      <c r="L2066" s="229"/>
      <c r="M2066" s="229"/>
      <c r="N2066" s="229" t="s">
        <v>819</v>
      </c>
      <c r="O2066" s="229" t="s">
        <v>158</v>
      </c>
      <c r="P2066" s="229"/>
      <c r="Q2066" s="229" t="s">
        <v>2041</v>
      </c>
      <c r="R2066" s="229"/>
      <c r="S2066" s="229"/>
      <c r="T2066" s="229" t="s">
        <v>3433</v>
      </c>
      <c r="U2066" s="226" t="s">
        <v>4813</v>
      </c>
      <c r="V2066" s="229" t="s">
        <v>819</v>
      </c>
      <c r="W2066" s="114" t="s">
        <v>4838</v>
      </c>
      <c r="X2066" s="229"/>
      <c r="Y2066" s="229"/>
      <c r="Z2066" s="229"/>
      <c r="AA2066" s="229"/>
      <c r="AB2066" s="229"/>
      <c r="AC2066" s="229" t="s">
        <v>4833</v>
      </c>
      <c r="AD2066" s="229" t="s">
        <v>4833</v>
      </c>
      <c r="AE2066" s="230"/>
      <c r="AF2066" s="230" t="s">
        <v>2042</v>
      </c>
      <c r="AG2066" s="229"/>
      <c r="AH2066" s="168" t="s">
        <v>4819</v>
      </c>
      <c r="AI2066" s="231"/>
      <c r="AJ2066" s="231"/>
      <c r="AK2066" s="232"/>
      <c r="AL2066" s="168"/>
      <c r="AM2066" s="234"/>
      <c r="AN2066" s="234"/>
      <c r="AO2066" s="234"/>
      <c r="AP2066" s="234"/>
      <c r="AQ2066" s="234"/>
      <c r="AR2066" s="234"/>
      <c r="AS2066" s="234"/>
      <c r="AT2066" s="234"/>
      <c r="AV2066" s="231"/>
      <c r="AW2066" s="231"/>
      <c r="AX2066" s="232"/>
      <c r="AY2066" s="233"/>
      <c r="AZ2066" s="234"/>
      <c r="BA2066" s="234"/>
      <c r="BB2066" s="234"/>
      <c r="BC2066" s="234"/>
      <c r="BD2066" s="234"/>
      <c r="BE2066" s="234"/>
      <c r="BF2066" s="234"/>
      <c r="BG2066" s="234"/>
      <c r="BI2066" s="231"/>
      <c r="BJ2066" s="231"/>
      <c r="BK2066" s="232"/>
      <c r="BL2066" s="233"/>
      <c r="BM2066" s="234"/>
      <c r="BN2066" s="234"/>
      <c r="BO2066" s="234"/>
      <c r="BP2066" s="234"/>
      <c r="BQ2066" s="234"/>
      <c r="BR2066" s="234"/>
      <c r="BS2066" s="234"/>
      <c r="BT2066" s="234"/>
      <c r="BV2066" s="231"/>
      <c r="BW2066" s="231"/>
      <c r="BX2066" s="232"/>
      <c r="BY2066" s="233"/>
      <c r="BZ2066" s="234"/>
      <c r="CA2066" s="234"/>
      <c r="CB2066" s="234"/>
      <c r="CC2066" s="234"/>
      <c r="CD2066" s="234"/>
      <c r="CE2066" s="234"/>
      <c r="CF2066" s="234"/>
      <c r="CG2066" s="234"/>
      <c r="CH2066" s="225"/>
      <c r="CI2066" s="61" t="s">
        <v>4566</v>
      </c>
      <c r="CJ2066" s="231" t="s">
        <v>0</v>
      </c>
      <c r="CK2066" s="232"/>
      <c r="CL2066" s="234"/>
      <c r="CM2066" s="234"/>
      <c r="CN2066" s="234"/>
      <c r="CO2066" s="231"/>
      <c r="CP2066" s="57"/>
      <c r="CQ2066" s="231"/>
      <c r="CR2066" s="232"/>
      <c r="CT2066" s="235"/>
      <c r="CU2066" s="235"/>
      <c r="CV2066" s="235"/>
      <c r="CW2066" s="235"/>
      <c r="CX2066" s="235"/>
      <c r="CY2066" s="235"/>
      <c r="CZ2066" s="235"/>
      <c r="DA2066" s="235"/>
      <c r="DB2066" s="235"/>
      <c r="DC2066" s="234"/>
      <c r="DF2066" s="23"/>
      <c r="DG2066" s="23"/>
    </row>
    <row r="2067" spans="1:111" s="226" customFormat="1" x14ac:dyDescent="0.2">
      <c r="A2067" s="225" t="s">
        <v>4796</v>
      </c>
      <c r="B2067" s="225" t="s">
        <v>137</v>
      </c>
      <c r="C2067" s="127" t="s">
        <v>4804</v>
      </c>
      <c r="D2067" s="226" t="s">
        <v>4814</v>
      </c>
      <c r="E2067" s="227" t="s">
        <v>4824</v>
      </c>
      <c r="F2067" s="227"/>
      <c r="G2067" s="227"/>
      <c r="H2067" s="227"/>
      <c r="I2067" s="228" t="s">
        <v>4830</v>
      </c>
      <c r="J2067" s="229" t="s">
        <v>550</v>
      </c>
      <c r="K2067" s="229"/>
      <c r="L2067" s="229"/>
      <c r="M2067" s="229"/>
      <c r="N2067" s="229" t="s">
        <v>819</v>
      </c>
      <c r="O2067" s="229" t="s">
        <v>158</v>
      </c>
      <c r="P2067" s="229"/>
      <c r="Q2067" s="229" t="s">
        <v>2041</v>
      </c>
      <c r="R2067" s="229"/>
      <c r="S2067" s="229"/>
      <c r="T2067" s="229" t="s">
        <v>3433</v>
      </c>
      <c r="U2067" s="226" t="s">
        <v>4814</v>
      </c>
      <c r="V2067" s="229" t="s">
        <v>819</v>
      </c>
      <c r="W2067" s="114" t="s">
        <v>4839</v>
      </c>
      <c r="X2067" s="229"/>
      <c r="Y2067" s="229"/>
      <c r="Z2067" s="229"/>
      <c r="AA2067" s="229"/>
      <c r="AB2067" s="229"/>
      <c r="AC2067" s="229" t="s">
        <v>4835</v>
      </c>
      <c r="AD2067" s="229" t="s">
        <v>4834</v>
      </c>
      <c r="AE2067" s="230"/>
      <c r="AF2067" s="230" t="s">
        <v>2042</v>
      </c>
      <c r="AG2067" s="229"/>
      <c r="AH2067" s="168" t="s">
        <v>4819</v>
      </c>
      <c r="AI2067" s="231"/>
      <c r="AJ2067" s="231"/>
      <c r="AK2067" s="232"/>
      <c r="AL2067" s="168"/>
      <c r="AM2067" s="234"/>
      <c r="AN2067" s="234"/>
      <c r="AO2067" s="234"/>
      <c r="AP2067" s="234"/>
      <c r="AQ2067" s="234"/>
      <c r="AR2067" s="234"/>
      <c r="AS2067" s="234"/>
      <c r="AT2067" s="234"/>
      <c r="AV2067" s="231"/>
      <c r="AW2067" s="231"/>
      <c r="AX2067" s="232"/>
      <c r="AY2067" s="233"/>
      <c r="AZ2067" s="234"/>
      <c r="BA2067" s="234"/>
      <c r="BB2067" s="234"/>
      <c r="BC2067" s="234"/>
      <c r="BD2067" s="234"/>
      <c r="BE2067" s="234"/>
      <c r="BF2067" s="234"/>
      <c r="BG2067" s="234"/>
      <c r="BI2067" s="231"/>
      <c r="BJ2067" s="231"/>
      <c r="BK2067" s="232"/>
      <c r="BL2067" s="233"/>
      <c r="BM2067" s="234"/>
      <c r="BN2067" s="234"/>
      <c r="BO2067" s="234"/>
      <c r="BP2067" s="234"/>
      <c r="BQ2067" s="234"/>
      <c r="BR2067" s="234"/>
      <c r="BS2067" s="234"/>
      <c r="BT2067" s="234"/>
      <c r="BV2067" s="231"/>
      <c r="BW2067" s="231"/>
      <c r="BX2067" s="232"/>
      <c r="BY2067" s="233"/>
      <c r="BZ2067" s="234"/>
      <c r="CA2067" s="234"/>
      <c r="CB2067" s="234"/>
      <c r="CC2067" s="234"/>
      <c r="CD2067" s="234"/>
      <c r="CE2067" s="234"/>
      <c r="CF2067" s="234"/>
      <c r="CG2067" s="234"/>
      <c r="CH2067" s="225"/>
      <c r="CI2067" s="61" t="s">
        <v>4566</v>
      </c>
      <c r="CJ2067" s="231" t="s">
        <v>0</v>
      </c>
      <c r="CK2067" s="232"/>
      <c r="CL2067" s="234"/>
      <c r="CM2067" s="234"/>
      <c r="CN2067" s="234"/>
      <c r="CO2067" s="231"/>
      <c r="CP2067" s="57"/>
      <c r="CQ2067" s="231"/>
      <c r="CR2067" s="232"/>
      <c r="CT2067" s="235"/>
      <c r="CU2067" s="235"/>
      <c r="CV2067" s="235"/>
      <c r="CW2067" s="235"/>
      <c r="CX2067" s="235"/>
      <c r="CY2067" s="235"/>
      <c r="CZ2067" s="235"/>
      <c r="DA2067" s="235"/>
      <c r="DB2067" s="235"/>
      <c r="DC2067" s="234"/>
    </row>
    <row r="2068" spans="1:111" s="226" customFormat="1" x14ac:dyDescent="0.2">
      <c r="A2068" s="225" t="s">
        <v>4796</v>
      </c>
      <c r="B2068" s="225" t="s">
        <v>145</v>
      </c>
      <c r="C2068" s="29" t="s">
        <v>4805</v>
      </c>
      <c r="D2068" s="226" t="s">
        <v>4815</v>
      </c>
      <c r="E2068" s="227" t="s">
        <v>3642</v>
      </c>
      <c r="F2068" s="227"/>
      <c r="G2068" s="227"/>
      <c r="H2068" s="227"/>
      <c r="I2068" s="228" t="s">
        <v>4305</v>
      </c>
      <c r="J2068" s="229"/>
      <c r="K2068" s="229"/>
      <c r="L2068" s="229"/>
      <c r="M2068" s="229"/>
      <c r="N2068" s="229" t="s">
        <v>819</v>
      </c>
      <c r="O2068" s="229" t="s">
        <v>4841</v>
      </c>
      <c r="P2068" s="229"/>
      <c r="Q2068" s="229" t="s">
        <v>2041</v>
      </c>
      <c r="R2068" s="229"/>
      <c r="S2068" s="229"/>
      <c r="T2068" s="229" t="s">
        <v>3433</v>
      </c>
      <c r="U2068" s="226" t="s">
        <v>4815</v>
      </c>
      <c r="V2068" s="229" t="s">
        <v>819</v>
      </c>
      <c r="W2068" s="21" t="s">
        <v>22</v>
      </c>
      <c r="X2068" s="229"/>
      <c r="Y2068" s="229"/>
      <c r="Z2068" s="229"/>
      <c r="AA2068" s="229"/>
      <c r="AB2068" s="229"/>
      <c r="AC2068" s="229" t="s">
        <v>4820</v>
      </c>
      <c r="AD2068" s="229" t="s">
        <v>4820</v>
      </c>
      <c r="AE2068" s="230"/>
      <c r="AF2068" s="230" t="s">
        <v>4755</v>
      </c>
      <c r="AG2068" s="229"/>
      <c r="AH2068" s="168" t="s">
        <v>4819</v>
      </c>
      <c r="AI2068" s="231"/>
      <c r="AJ2068" s="231"/>
      <c r="AK2068" s="232"/>
      <c r="AL2068" s="168" t="s">
        <v>4827</v>
      </c>
      <c r="AM2068" s="234"/>
      <c r="AN2068" s="234"/>
      <c r="AO2068" s="234"/>
      <c r="AP2068" s="234"/>
      <c r="AQ2068" s="234"/>
      <c r="AR2068" s="234"/>
      <c r="AS2068" s="234"/>
      <c r="AT2068" s="234"/>
      <c r="AV2068" s="231"/>
      <c r="AW2068" s="231"/>
      <c r="AX2068" s="232"/>
      <c r="AY2068" s="233"/>
      <c r="AZ2068" s="234"/>
      <c r="BA2068" s="234"/>
      <c r="BB2068" s="234"/>
      <c r="BC2068" s="234"/>
      <c r="BD2068" s="234"/>
      <c r="BE2068" s="234"/>
      <c r="BF2068" s="234"/>
      <c r="BG2068" s="234"/>
      <c r="BI2068" s="231"/>
      <c r="BJ2068" s="231"/>
      <c r="BK2068" s="232"/>
      <c r="BL2068" s="233"/>
      <c r="BM2068" s="234"/>
      <c r="BN2068" s="234"/>
      <c r="BO2068" s="234"/>
      <c r="BP2068" s="234"/>
      <c r="BQ2068" s="234"/>
      <c r="BR2068" s="234"/>
      <c r="BS2068" s="234"/>
      <c r="BT2068" s="234"/>
      <c r="BV2068" s="231"/>
      <c r="BW2068" s="231"/>
      <c r="BX2068" s="232"/>
      <c r="BY2068" s="233"/>
      <c r="BZ2068" s="234"/>
      <c r="CA2068" s="234"/>
      <c r="CB2068" s="234"/>
      <c r="CC2068" s="234"/>
      <c r="CD2068" s="234"/>
      <c r="CE2068" s="234"/>
      <c r="CF2068" s="234"/>
      <c r="CG2068" s="234"/>
      <c r="CH2068" s="225"/>
      <c r="CI2068" s="61" t="s">
        <v>4566</v>
      </c>
      <c r="CJ2068" s="231" t="s">
        <v>0</v>
      </c>
      <c r="CK2068" s="232"/>
      <c r="CL2068" s="234"/>
      <c r="CM2068" s="234"/>
      <c r="CN2068" s="234"/>
      <c r="CO2068" s="231"/>
      <c r="CP2068" s="57"/>
      <c r="CQ2068" s="231"/>
      <c r="CR2068" s="232"/>
      <c r="CT2068" s="235"/>
      <c r="CU2068" s="235"/>
      <c r="CV2068" s="235"/>
      <c r="CW2068" s="235"/>
      <c r="CX2068" s="235"/>
      <c r="CY2068" s="235"/>
      <c r="CZ2068" s="235"/>
      <c r="DA2068" s="235"/>
      <c r="DB2068" s="235"/>
      <c r="DC2068" s="234"/>
      <c r="DE2068" s="226" t="s">
        <v>548</v>
      </c>
    </row>
    <row r="2069" spans="1:111" s="226" customFormat="1" x14ac:dyDescent="0.2">
      <c r="A2069" s="225" t="s">
        <v>4796</v>
      </c>
      <c r="B2069" s="225" t="s">
        <v>146</v>
      </c>
      <c r="C2069" s="29" t="s">
        <v>4806</v>
      </c>
      <c r="D2069" s="226" t="s">
        <v>4816</v>
      </c>
      <c r="E2069" s="227" t="s">
        <v>3642</v>
      </c>
      <c r="F2069" s="227"/>
      <c r="G2069" s="227"/>
      <c r="H2069" s="227"/>
      <c r="I2069" s="228" t="s">
        <v>4305</v>
      </c>
      <c r="J2069" s="229"/>
      <c r="K2069" s="229"/>
      <c r="L2069" s="229"/>
      <c r="M2069" s="229"/>
      <c r="N2069" s="229" t="s">
        <v>819</v>
      </c>
      <c r="O2069" s="229" t="s">
        <v>4841</v>
      </c>
      <c r="P2069" s="229"/>
      <c r="Q2069" s="229" t="s">
        <v>2041</v>
      </c>
      <c r="R2069" s="229"/>
      <c r="S2069" s="229"/>
      <c r="T2069" s="229" t="s">
        <v>3433</v>
      </c>
      <c r="U2069" s="226" t="s">
        <v>4816</v>
      </c>
      <c r="V2069" s="229" t="s">
        <v>819</v>
      </c>
      <c r="W2069" s="21" t="s">
        <v>122</v>
      </c>
      <c r="X2069" s="229"/>
      <c r="Y2069" s="229"/>
      <c r="Z2069" s="229"/>
      <c r="AA2069" s="229"/>
      <c r="AB2069" s="229"/>
      <c r="AC2069" s="229" t="s">
        <v>4821</v>
      </c>
      <c r="AD2069" s="229" t="s">
        <v>4821</v>
      </c>
      <c r="AE2069" s="230"/>
      <c r="AF2069" s="230" t="s">
        <v>4755</v>
      </c>
      <c r="AG2069" s="229"/>
      <c r="AH2069" s="168" t="s">
        <v>4819</v>
      </c>
      <c r="AI2069" s="231"/>
      <c r="AJ2069" s="231"/>
      <c r="AK2069" s="232"/>
      <c r="AL2069" s="168" t="s">
        <v>4828</v>
      </c>
      <c r="AM2069" s="234"/>
      <c r="AN2069" s="234"/>
      <c r="AO2069" s="234"/>
      <c r="AP2069" s="234"/>
      <c r="AQ2069" s="234"/>
      <c r="AR2069" s="234"/>
      <c r="AS2069" s="234"/>
      <c r="AT2069" s="234"/>
      <c r="AV2069" s="231"/>
      <c r="AW2069" s="231"/>
      <c r="AX2069" s="232"/>
      <c r="AY2069" s="233"/>
      <c r="AZ2069" s="234"/>
      <c r="BA2069" s="234"/>
      <c r="BB2069" s="234"/>
      <c r="BC2069" s="234"/>
      <c r="BD2069" s="234"/>
      <c r="BE2069" s="234"/>
      <c r="BF2069" s="234"/>
      <c r="BG2069" s="234"/>
      <c r="BI2069" s="231"/>
      <c r="BJ2069" s="231"/>
      <c r="BK2069" s="232"/>
      <c r="BL2069" s="233"/>
      <c r="BM2069" s="234"/>
      <c r="BN2069" s="234"/>
      <c r="BO2069" s="234"/>
      <c r="BP2069" s="234"/>
      <c r="BQ2069" s="234"/>
      <c r="BR2069" s="234"/>
      <c r="BS2069" s="234"/>
      <c r="BT2069" s="234"/>
      <c r="BV2069" s="231"/>
      <c r="BW2069" s="231"/>
      <c r="BX2069" s="232"/>
      <c r="BY2069" s="233"/>
      <c r="BZ2069" s="234"/>
      <c r="CA2069" s="234"/>
      <c r="CB2069" s="234"/>
      <c r="CC2069" s="234"/>
      <c r="CD2069" s="234"/>
      <c r="CE2069" s="234"/>
      <c r="CF2069" s="234"/>
      <c r="CG2069" s="234"/>
      <c r="CH2069" s="225"/>
      <c r="CI2069" s="61" t="s">
        <v>4566</v>
      </c>
      <c r="CJ2069" s="231" t="s">
        <v>0</v>
      </c>
      <c r="CK2069" s="232"/>
      <c r="CL2069" s="234"/>
      <c r="CM2069" s="234"/>
      <c r="CN2069" s="234"/>
      <c r="CO2069" s="231"/>
      <c r="CP2069" s="57"/>
      <c r="CQ2069" s="231"/>
      <c r="CR2069" s="232"/>
      <c r="CT2069" s="235"/>
      <c r="CU2069" s="235"/>
      <c r="CV2069" s="235"/>
      <c r="CW2069" s="235"/>
      <c r="CX2069" s="235"/>
      <c r="CY2069" s="235"/>
      <c r="CZ2069" s="235"/>
      <c r="DA2069" s="235"/>
      <c r="DB2069" s="235"/>
      <c r="DC2069" s="234"/>
      <c r="DE2069" s="226" t="s">
        <v>548</v>
      </c>
    </row>
    <row r="2070" spans="1:111" s="226" customFormat="1" x14ac:dyDescent="0.2">
      <c r="A2070" s="225" t="s">
        <v>4796</v>
      </c>
      <c r="B2070" s="225" t="s">
        <v>175</v>
      </c>
      <c r="C2070" s="29" t="s">
        <v>4855</v>
      </c>
      <c r="D2070" s="226" t="s">
        <v>4817</v>
      </c>
      <c r="E2070" s="227" t="s">
        <v>3642</v>
      </c>
      <c r="F2070" s="227"/>
      <c r="G2070" s="227"/>
      <c r="H2070" s="227"/>
      <c r="I2070" s="228" t="s">
        <v>4305</v>
      </c>
      <c r="J2070" s="229"/>
      <c r="K2070" s="229"/>
      <c r="L2070" s="229"/>
      <c r="M2070" s="229"/>
      <c r="N2070" s="229" t="s">
        <v>820</v>
      </c>
      <c r="O2070" s="229" t="s">
        <v>4841</v>
      </c>
      <c r="P2070" s="229"/>
      <c r="Q2070" s="229" t="s">
        <v>2041</v>
      </c>
      <c r="R2070" s="229"/>
      <c r="S2070" s="229"/>
      <c r="T2070" s="229" t="s">
        <v>3433</v>
      </c>
      <c r="U2070" s="226" t="s">
        <v>4817</v>
      </c>
      <c r="V2070" s="229" t="s">
        <v>820</v>
      </c>
      <c r="W2070" s="21" t="s">
        <v>22</v>
      </c>
      <c r="X2070" s="229"/>
      <c r="Y2070" s="229"/>
      <c r="Z2070" s="229"/>
      <c r="AA2070" s="229"/>
      <c r="AB2070" s="229"/>
      <c r="AC2070" s="229" t="s">
        <v>4822</v>
      </c>
      <c r="AD2070" s="229" t="s">
        <v>4822</v>
      </c>
      <c r="AE2070" s="230"/>
      <c r="AF2070" s="230" t="s">
        <v>2041</v>
      </c>
      <c r="AG2070" s="229"/>
      <c r="AH2070" s="168" t="s">
        <v>4819</v>
      </c>
      <c r="AI2070" s="231"/>
      <c r="AJ2070" s="231"/>
      <c r="AK2070" s="232"/>
      <c r="AL2070" s="168" t="s">
        <v>4829</v>
      </c>
      <c r="AM2070" s="234"/>
      <c r="AN2070" s="234"/>
      <c r="AO2070" s="234"/>
      <c r="AP2070" s="234"/>
      <c r="AQ2070" s="234"/>
      <c r="AR2070" s="234"/>
      <c r="AS2070" s="234"/>
      <c r="AT2070" s="234"/>
      <c r="AV2070" s="231"/>
      <c r="AW2070" s="231"/>
      <c r="AX2070" s="232"/>
      <c r="AY2070" s="233"/>
      <c r="AZ2070" s="234"/>
      <c r="BA2070" s="234"/>
      <c r="BB2070" s="234"/>
      <c r="BC2070" s="234"/>
      <c r="BD2070" s="234"/>
      <c r="BE2070" s="234"/>
      <c r="BF2070" s="234"/>
      <c r="BG2070" s="234"/>
      <c r="BI2070" s="231"/>
      <c r="BJ2070" s="231"/>
      <c r="BK2070" s="232"/>
      <c r="BL2070" s="233"/>
      <c r="BM2070" s="234"/>
      <c r="BN2070" s="234"/>
      <c r="BO2070" s="234"/>
      <c r="BP2070" s="234"/>
      <c r="BQ2070" s="234"/>
      <c r="BR2070" s="234"/>
      <c r="BS2070" s="234"/>
      <c r="BT2070" s="234"/>
      <c r="BV2070" s="231"/>
      <c r="BW2070" s="231"/>
      <c r="BX2070" s="232"/>
      <c r="BY2070" s="233"/>
      <c r="BZ2070" s="234"/>
      <c r="CA2070" s="234"/>
      <c r="CB2070" s="234"/>
      <c r="CC2070" s="234"/>
      <c r="CD2070" s="234"/>
      <c r="CE2070" s="234"/>
      <c r="CF2070" s="234"/>
      <c r="CG2070" s="234"/>
      <c r="CH2070" s="225"/>
      <c r="CI2070" s="61" t="s">
        <v>4566</v>
      </c>
      <c r="CJ2070" s="231" t="s">
        <v>0</v>
      </c>
      <c r="CK2070" s="232"/>
      <c r="CL2070" s="234"/>
      <c r="CM2070" s="234"/>
      <c r="CN2070" s="234"/>
      <c r="CO2070" s="231"/>
      <c r="CP2070" s="57"/>
      <c r="CQ2070" s="231"/>
      <c r="CR2070" s="232"/>
      <c r="CT2070" s="235"/>
      <c r="CU2070" s="235"/>
      <c r="CV2070" s="235"/>
      <c r="CW2070" s="235"/>
      <c r="CX2070" s="235"/>
      <c r="CY2070" s="235"/>
      <c r="CZ2070" s="235"/>
      <c r="DA2070" s="235"/>
      <c r="DB2070" s="235"/>
      <c r="DC2070" s="234"/>
      <c r="DE2070" s="226" t="s">
        <v>550</v>
      </c>
    </row>
    <row r="2071" spans="1:111" s="241" customFormat="1" x14ac:dyDescent="0.2">
      <c r="A2071" s="240" t="s">
        <v>4854</v>
      </c>
      <c r="B2071" s="240" t="s">
        <v>181</v>
      </c>
      <c r="C2071" s="240" t="s">
        <v>4856</v>
      </c>
      <c r="D2071" s="241" t="s">
        <v>4857</v>
      </c>
      <c r="E2071" s="242" t="s">
        <v>4860</v>
      </c>
      <c r="F2071" s="242"/>
      <c r="G2071" s="242"/>
      <c r="H2071" s="242"/>
      <c r="I2071" s="243" t="s">
        <v>4305</v>
      </c>
      <c r="J2071" s="244" t="s">
        <v>550</v>
      </c>
      <c r="K2071" s="244"/>
      <c r="L2071" s="244"/>
      <c r="M2071" s="244"/>
      <c r="N2071" s="244" t="s">
        <v>820</v>
      </c>
      <c r="O2071" s="244" t="s">
        <v>4859</v>
      </c>
      <c r="P2071" s="244" t="s">
        <v>4859</v>
      </c>
      <c r="Q2071" s="244" t="s">
        <v>2041</v>
      </c>
      <c r="R2071" s="244"/>
      <c r="S2071" s="244"/>
      <c r="T2071" s="244" t="s">
        <v>3433</v>
      </c>
      <c r="U2071" s="241" t="s">
        <v>4858</v>
      </c>
      <c r="V2071" s="244" t="s">
        <v>4862</v>
      </c>
      <c r="W2071" s="244" t="s">
        <v>23</v>
      </c>
      <c r="X2071" s="244"/>
      <c r="Y2071" s="244"/>
      <c r="Z2071" s="244"/>
      <c r="AA2071" s="244"/>
      <c r="AB2071" s="244"/>
      <c r="AC2071" s="244"/>
      <c r="AD2071" s="244"/>
      <c r="AE2071" s="245"/>
      <c r="AF2071" s="245" t="s">
        <v>2041</v>
      </c>
      <c r="AG2071" s="244"/>
      <c r="AH2071" s="246"/>
      <c r="AI2071" s="247"/>
      <c r="AJ2071" s="247"/>
      <c r="AK2071" s="248"/>
      <c r="AL2071" s="246"/>
      <c r="AM2071" s="249"/>
      <c r="AN2071" s="249"/>
      <c r="AO2071" s="249"/>
      <c r="AP2071" s="249"/>
      <c r="AQ2071" s="249"/>
      <c r="AR2071" s="249"/>
      <c r="AS2071" s="249"/>
      <c r="AT2071" s="249"/>
      <c r="AV2071" s="247"/>
      <c r="AW2071" s="247"/>
      <c r="AX2071" s="248"/>
      <c r="AY2071" s="250"/>
      <c r="AZ2071" s="249"/>
      <c r="BA2071" s="249"/>
      <c r="BB2071" s="249"/>
      <c r="BC2071" s="249"/>
      <c r="BD2071" s="249"/>
      <c r="BE2071" s="249"/>
      <c r="BF2071" s="249"/>
      <c r="BG2071" s="249"/>
      <c r="BI2071" s="247"/>
      <c r="BJ2071" s="247"/>
      <c r="BK2071" s="248"/>
      <c r="BL2071" s="250"/>
      <c r="BM2071" s="249"/>
      <c r="BN2071" s="249"/>
      <c r="BO2071" s="249"/>
      <c r="BP2071" s="249"/>
      <c r="BQ2071" s="249"/>
      <c r="BR2071" s="249"/>
      <c r="BS2071" s="249"/>
      <c r="BT2071" s="249"/>
      <c r="BV2071" s="247"/>
      <c r="BW2071" s="247"/>
      <c r="BX2071" s="248"/>
      <c r="BY2071" s="250"/>
      <c r="BZ2071" s="249"/>
      <c r="CA2071" s="249"/>
      <c r="CB2071" s="249"/>
      <c r="CC2071" s="249"/>
      <c r="CD2071" s="249"/>
      <c r="CE2071" s="249"/>
      <c r="CF2071" s="249"/>
      <c r="CG2071" s="249"/>
      <c r="CH2071" s="240"/>
      <c r="CI2071" s="247" t="s">
        <v>1634</v>
      </c>
      <c r="CJ2071" s="247" t="s">
        <v>181</v>
      </c>
      <c r="CK2071" s="248"/>
      <c r="CL2071" s="249"/>
      <c r="CM2071" s="249"/>
      <c r="CN2071" s="249"/>
      <c r="CO2071" s="247"/>
      <c r="CQ2071" s="247"/>
      <c r="CR2071" s="248"/>
      <c r="CT2071" s="251"/>
      <c r="CU2071" s="251"/>
      <c r="CV2071" s="251"/>
      <c r="CW2071" s="251"/>
      <c r="CX2071" s="251"/>
      <c r="CY2071" s="251"/>
      <c r="CZ2071" s="251"/>
      <c r="DA2071" s="251"/>
      <c r="DB2071" s="251"/>
      <c r="DC2071" s="249"/>
      <c r="DE2071" s="241" t="s">
        <v>550</v>
      </c>
    </row>
    <row r="2072" spans="1:111" s="138" customFormat="1" x14ac:dyDescent="0.2">
      <c r="A2072" s="137" t="s">
        <v>4863</v>
      </c>
      <c r="B2072" s="137" t="s">
        <v>181</v>
      </c>
      <c r="C2072" s="137">
        <f t="shared" ref="C2072:C2082" si="188">A2072*10000+B2072</f>
        <v>300480001</v>
      </c>
      <c r="D2072" s="138" t="s">
        <v>4864</v>
      </c>
      <c r="E2072" s="58" t="s">
        <v>923</v>
      </c>
      <c r="F2072" s="58"/>
      <c r="G2072" s="58"/>
      <c r="H2072" s="58"/>
      <c r="I2072" s="139" t="s">
        <v>3581</v>
      </c>
      <c r="J2072" s="139" t="s">
        <v>548</v>
      </c>
      <c r="K2072" s="139"/>
      <c r="L2072" s="139"/>
      <c r="M2072" s="139"/>
      <c r="N2072" s="139" t="s">
        <v>819</v>
      </c>
      <c r="O2072" s="139" t="s">
        <v>3576</v>
      </c>
      <c r="P2072" s="139"/>
      <c r="Q2072" s="139" t="s">
        <v>2041</v>
      </c>
      <c r="R2072" s="139"/>
      <c r="S2072" s="139"/>
      <c r="T2072" s="139" t="s">
        <v>811</v>
      </c>
      <c r="U2072" s="140" t="s">
        <v>4864</v>
      </c>
      <c r="V2072" s="139" t="s">
        <v>819</v>
      </c>
      <c r="W2072" s="139" t="s">
        <v>1</v>
      </c>
      <c r="X2072" s="139"/>
      <c r="Y2072" s="139"/>
      <c r="Z2072" s="139"/>
      <c r="AA2072" s="139"/>
      <c r="AB2072" s="139"/>
      <c r="AC2072" s="139"/>
      <c r="AD2072" s="139"/>
      <c r="AE2072" s="141"/>
      <c r="AF2072" s="141" t="s">
        <v>2042</v>
      </c>
      <c r="AG2072" s="139"/>
      <c r="AH2072" s="138" t="s">
        <v>3563</v>
      </c>
      <c r="AI2072" s="142"/>
      <c r="AJ2072" s="142"/>
      <c r="AK2072" s="143">
        <v>1000</v>
      </c>
      <c r="AL2072" s="144" t="s">
        <v>4870</v>
      </c>
      <c r="AM2072" s="145"/>
      <c r="AN2072" s="145"/>
      <c r="AO2072" s="145"/>
      <c r="AP2072" s="145"/>
      <c r="AQ2072" s="145"/>
      <c r="AR2072" s="145"/>
      <c r="AS2072" s="145"/>
      <c r="AT2072" s="145"/>
      <c r="AV2072" s="142"/>
      <c r="AW2072" s="142"/>
      <c r="AX2072" s="143"/>
      <c r="AY2072" s="144"/>
      <c r="AZ2072" s="145"/>
      <c r="BA2072" s="145"/>
      <c r="BB2072" s="145"/>
      <c r="BC2072" s="145"/>
      <c r="BD2072" s="145"/>
      <c r="BE2072" s="145"/>
      <c r="BF2072" s="145"/>
      <c r="BG2072" s="145"/>
      <c r="BI2072" s="142"/>
      <c r="BJ2072" s="142"/>
      <c r="BK2072" s="143"/>
      <c r="BM2072" s="145"/>
      <c r="BN2072" s="145"/>
      <c r="BO2072" s="145"/>
      <c r="BP2072" s="145"/>
      <c r="BQ2072" s="145"/>
      <c r="BR2072" s="145"/>
      <c r="BS2072" s="145"/>
      <c r="BT2072" s="145"/>
      <c r="BU2072" s="142"/>
      <c r="BV2072" s="142"/>
      <c r="BW2072" s="142"/>
      <c r="BX2072" s="143"/>
      <c r="BY2072" s="144"/>
      <c r="BZ2072" s="145"/>
      <c r="CA2072" s="145"/>
      <c r="CB2072" s="145"/>
      <c r="CC2072" s="145"/>
      <c r="CD2072" s="145"/>
      <c r="CE2072" s="145"/>
      <c r="CF2072" s="145"/>
      <c r="CG2072" s="145"/>
      <c r="CH2072" s="137"/>
      <c r="CI2072" s="142" t="s">
        <v>821</v>
      </c>
      <c r="CJ2072" s="142" t="s">
        <v>0</v>
      </c>
      <c r="CK2072" s="143"/>
      <c r="CL2072" s="145"/>
      <c r="CM2072" s="145"/>
      <c r="CN2072" s="145"/>
      <c r="CO2072" s="142"/>
      <c r="CP2072" s="23"/>
      <c r="CQ2072" s="142"/>
      <c r="CR2072" s="143"/>
      <c r="CT2072" s="146"/>
      <c r="CU2072" s="146"/>
      <c r="CV2072" s="146"/>
      <c r="CW2072" s="146"/>
      <c r="CX2072" s="146"/>
      <c r="CY2072" s="146"/>
      <c r="CZ2072" s="146"/>
      <c r="DA2072" s="146"/>
      <c r="DB2072" s="146"/>
      <c r="DC2072" s="145"/>
    </row>
    <row r="2073" spans="1:111" s="138" customFormat="1" x14ac:dyDescent="0.2">
      <c r="A2073" s="137" t="s">
        <v>4863</v>
      </c>
      <c r="B2073" s="137" t="s">
        <v>26</v>
      </c>
      <c r="C2073" s="137">
        <f t="shared" si="188"/>
        <v>300480002</v>
      </c>
      <c r="D2073" s="138" t="s">
        <v>4864</v>
      </c>
      <c r="E2073" s="58" t="s">
        <v>1383</v>
      </c>
      <c r="F2073" s="58"/>
      <c r="G2073" s="58"/>
      <c r="H2073" s="58"/>
      <c r="I2073" s="139" t="s">
        <v>3582</v>
      </c>
      <c r="J2073" s="139" t="s">
        <v>548</v>
      </c>
      <c r="K2073" s="139"/>
      <c r="L2073" s="139"/>
      <c r="M2073" s="139"/>
      <c r="N2073" s="139" t="s">
        <v>819</v>
      </c>
      <c r="O2073" s="139" t="s">
        <v>3576</v>
      </c>
      <c r="P2073" s="139"/>
      <c r="Q2073" s="139" t="s">
        <v>2041</v>
      </c>
      <c r="R2073" s="139"/>
      <c r="S2073" s="139"/>
      <c r="T2073" s="139" t="s">
        <v>811</v>
      </c>
      <c r="U2073" s="140" t="s">
        <v>4864</v>
      </c>
      <c r="V2073" s="139" t="s">
        <v>819</v>
      </c>
      <c r="W2073" s="139" t="s">
        <v>1</v>
      </c>
      <c r="X2073" s="139"/>
      <c r="Y2073" s="139"/>
      <c r="Z2073" s="139"/>
      <c r="AA2073" s="139"/>
      <c r="AB2073" s="139"/>
      <c r="AC2073" s="139"/>
      <c r="AD2073" s="139"/>
      <c r="AE2073" s="141"/>
      <c r="AF2073" s="141" t="s">
        <v>2042</v>
      </c>
      <c r="AG2073" s="139"/>
      <c r="AH2073" s="138" t="s">
        <v>3563</v>
      </c>
      <c r="AI2073" s="142"/>
      <c r="AJ2073" s="142"/>
      <c r="AK2073" s="143">
        <v>1000</v>
      </c>
      <c r="AL2073" s="144" t="s">
        <v>4870</v>
      </c>
      <c r="AM2073" s="145"/>
      <c r="AN2073" s="145"/>
      <c r="AO2073" s="145"/>
      <c r="AP2073" s="145"/>
      <c r="AQ2073" s="145"/>
      <c r="AR2073" s="145"/>
      <c r="AS2073" s="145"/>
      <c r="AT2073" s="145"/>
      <c r="AV2073" s="142"/>
      <c r="AW2073" s="142"/>
      <c r="AX2073" s="143"/>
      <c r="AY2073" s="144"/>
      <c r="AZ2073" s="145"/>
      <c r="BA2073" s="145"/>
      <c r="BB2073" s="145"/>
      <c r="BC2073" s="145"/>
      <c r="BD2073" s="145"/>
      <c r="BE2073" s="145"/>
      <c r="BF2073" s="145"/>
      <c r="BG2073" s="145"/>
      <c r="BI2073" s="142"/>
      <c r="BJ2073" s="142"/>
      <c r="BK2073" s="143"/>
      <c r="BM2073" s="145"/>
      <c r="BN2073" s="145"/>
      <c r="BO2073" s="145"/>
      <c r="BP2073" s="145"/>
      <c r="BQ2073" s="145"/>
      <c r="BR2073" s="145"/>
      <c r="BS2073" s="145"/>
      <c r="BT2073" s="145"/>
      <c r="BU2073" s="142"/>
      <c r="BV2073" s="142"/>
      <c r="BW2073" s="142"/>
      <c r="BX2073" s="143"/>
      <c r="BY2073" s="144"/>
      <c r="BZ2073" s="145"/>
      <c r="CA2073" s="145"/>
      <c r="CB2073" s="145"/>
      <c r="CC2073" s="145"/>
      <c r="CD2073" s="145"/>
      <c r="CE2073" s="145"/>
      <c r="CF2073" s="145"/>
      <c r="CG2073" s="145"/>
      <c r="CH2073" s="137"/>
      <c r="CI2073" s="142" t="s">
        <v>821</v>
      </c>
      <c r="CJ2073" s="142" t="s">
        <v>0</v>
      </c>
      <c r="CK2073" s="143"/>
      <c r="CL2073" s="145"/>
      <c r="CM2073" s="145"/>
      <c r="CN2073" s="145"/>
      <c r="CO2073" s="142"/>
      <c r="CP2073" s="23"/>
      <c r="CQ2073" s="142"/>
      <c r="CR2073" s="143"/>
      <c r="CT2073" s="146"/>
      <c r="CU2073" s="146"/>
      <c r="CV2073" s="146"/>
      <c r="CW2073" s="146"/>
      <c r="CX2073" s="146"/>
      <c r="CY2073" s="146"/>
      <c r="CZ2073" s="146"/>
      <c r="DA2073" s="146"/>
      <c r="DB2073" s="146"/>
      <c r="DC2073" s="145"/>
    </row>
    <row r="2074" spans="1:111" s="138" customFormat="1" x14ac:dyDescent="0.2">
      <c r="A2074" s="137" t="s">
        <v>4863</v>
      </c>
      <c r="B2074" s="137" t="s">
        <v>27</v>
      </c>
      <c r="C2074" s="137">
        <f t="shared" si="188"/>
        <v>300480003</v>
      </c>
      <c r="D2074" s="138" t="s">
        <v>4864</v>
      </c>
      <c r="E2074" s="58" t="s">
        <v>3583</v>
      </c>
      <c r="F2074" s="58"/>
      <c r="G2074" s="58"/>
      <c r="H2074" s="58"/>
      <c r="I2074" s="139" t="s">
        <v>3582</v>
      </c>
      <c r="J2074" s="139" t="s">
        <v>548</v>
      </c>
      <c r="K2074" s="139"/>
      <c r="L2074" s="139"/>
      <c r="M2074" s="139"/>
      <c r="N2074" s="139" t="s">
        <v>819</v>
      </c>
      <c r="O2074" s="139" t="s">
        <v>3576</v>
      </c>
      <c r="P2074" s="139"/>
      <c r="Q2074" s="139" t="s">
        <v>2041</v>
      </c>
      <c r="R2074" s="139"/>
      <c r="S2074" s="139"/>
      <c r="T2074" s="139" t="s">
        <v>811</v>
      </c>
      <c r="U2074" s="140" t="s">
        <v>4864</v>
      </c>
      <c r="V2074" s="139" t="s">
        <v>819</v>
      </c>
      <c r="W2074" s="139" t="s">
        <v>1</v>
      </c>
      <c r="X2074" s="139"/>
      <c r="Y2074" s="139"/>
      <c r="Z2074" s="139"/>
      <c r="AA2074" s="139"/>
      <c r="AB2074" s="139"/>
      <c r="AC2074" s="139"/>
      <c r="AD2074" s="139"/>
      <c r="AE2074" s="141"/>
      <c r="AF2074" s="141" t="s">
        <v>2042</v>
      </c>
      <c r="AG2074" s="139"/>
      <c r="AH2074" s="138" t="s">
        <v>3563</v>
      </c>
      <c r="AI2074" s="142"/>
      <c r="AJ2074" s="142"/>
      <c r="AK2074" s="143">
        <v>1000</v>
      </c>
      <c r="AL2074" s="144" t="s">
        <v>4870</v>
      </c>
      <c r="AM2074" s="145"/>
      <c r="AN2074" s="145"/>
      <c r="AO2074" s="145"/>
      <c r="AP2074" s="145"/>
      <c r="AQ2074" s="145"/>
      <c r="AR2074" s="145"/>
      <c r="AS2074" s="145"/>
      <c r="AT2074" s="145"/>
      <c r="AV2074" s="142"/>
      <c r="AW2074" s="142"/>
      <c r="AX2074" s="143"/>
      <c r="AY2074" s="144"/>
      <c r="AZ2074" s="145"/>
      <c r="BA2074" s="145"/>
      <c r="BB2074" s="145"/>
      <c r="BC2074" s="145"/>
      <c r="BD2074" s="145"/>
      <c r="BE2074" s="145"/>
      <c r="BF2074" s="145"/>
      <c r="BG2074" s="145"/>
      <c r="BI2074" s="142"/>
      <c r="BJ2074" s="142"/>
      <c r="BK2074" s="143"/>
      <c r="BM2074" s="145"/>
      <c r="BN2074" s="145"/>
      <c r="BO2074" s="145"/>
      <c r="BP2074" s="145"/>
      <c r="BQ2074" s="145"/>
      <c r="BR2074" s="145"/>
      <c r="BS2074" s="145"/>
      <c r="BT2074" s="145"/>
      <c r="BU2074" s="142"/>
      <c r="BV2074" s="142"/>
      <c r="BW2074" s="142"/>
      <c r="BX2074" s="143"/>
      <c r="BY2074" s="144"/>
      <c r="BZ2074" s="145"/>
      <c r="CA2074" s="145"/>
      <c r="CB2074" s="145"/>
      <c r="CC2074" s="145"/>
      <c r="CD2074" s="145"/>
      <c r="CE2074" s="145"/>
      <c r="CF2074" s="145"/>
      <c r="CG2074" s="145"/>
      <c r="CH2074" s="137"/>
      <c r="CI2074" s="142" t="s">
        <v>821</v>
      </c>
      <c r="CJ2074" s="142" t="s">
        <v>0</v>
      </c>
      <c r="CK2074" s="143"/>
      <c r="CL2074" s="145"/>
      <c r="CM2074" s="145"/>
      <c r="CN2074" s="145"/>
      <c r="CO2074" s="142"/>
      <c r="CP2074" s="23"/>
      <c r="CQ2074" s="142"/>
      <c r="CR2074" s="143"/>
      <c r="CT2074" s="146"/>
      <c r="CU2074" s="146"/>
      <c r="CV2074" s="146"/>
      <c r="CW2074" s="146"/>
      <c r="CX2074" s="146"/>
      <c r="CY2074" s="146"/>
      <c r="CZ2074" s="146"/>
      <c r="DA2074" s="146"/>
      <c r="DB2074" s="146"/>
      <c r="DC2074" s="145"/>
    </row>
    <row r="2075" spans="1:111" s="138" customFormat="1" x14ac:dyDescent="0.2">
      <c r="A2075" s="137" t="s">
        <v>4863</v>
      </c>
      <c r="B2075" s="137" t="s">
        <v>1</v>
      </c>
      <c r="C2075" s="137">
        <f t="shared" si="188"/>
        <v>300480004</v>
      </c>
      <c r="D2075" s="138" t="s">
        <v>4864</v>
      </c>
      <c r="E2075" s="58" t="s">
        <v>1423</v>
      </c>
      <c r="F2075" s="58"/>
      <c r="G2075" s="58"/>
      <c r="H2075" s="58"/>
      <c r="I2075" s="139" t="s">
        <v>3582</v>
      </c>
      <c r="J2075" s="139" t="s">
        <v>548</v>
      </c>
      <c r="K2075" s="139"/>
      <c r="L2075" s="139"/>
      <c r="M2075" s="139"/>
      <c r="N2075" s="139" t="s">
        <v>819</v>
      </c>
      <c r="O2075" s="139" t="s">
        <v>3576</v>
      </c>
      <c r="P2075" s="139"/>
      <c r="Q2075" s="139" t="s">
        <v>2041</v>
      </c>
      <c r="R2075" s="139"/>
      <c r="S2075" s="139"/>
      <c r="T2075" s="139" t="s">
        <v>811</v>
      </c>
      <c r="U2075" s="140" t="s">
        <v>4864</v>
      </c>
      <c r="V2075" s="139" t="s">
        <v>819</v>
      </c>
      <c r="W2075" s="139" t="s">
        <v>1</v>
      </c>
      <c r="X2075" s="139"/>
      <c r="Y2075" s="139"/>
      <c r="Z2075" s="139"/>
      <c r="AA2075" s="139"/>
      <c r="AB2075" s="139"/>
      <c r="AC2075" s="139"/>
      <c r="AD2075" s="139"/>
      <c r="AE2075" s="141"/>
      <c r="AF2075" s="141" t="s">
        <v>2042</v>
      </c>
      <c r="AG2075" s="139"/>
      <c r="AH2075" s="138" t="s">
        <v>3563</v>
      </c>
      <c r="AI2075" s="142"/>
      <c r="AJ2075" s="142"/>
      <c r="AK2075" s="143">
        <v>1000</v>
      </c>
      <c r="AL2075" s="144" t="s">
        <v>4870</v>
      </c>
      <c r="AM2075" s="145"/>
      <c r="AN2075" s="145"/>
      <c r="AO2075" s="145"/>
      <c r="AP2075" s="145"/>
      <c r="AQ2075" s="145"/>
      <c r="AR2075" s="145"/>
      <c r="AS2075" s="145"/>
      <c r="AT2075" s="145"/>
      <c r="AV2075" s="142"/>
      <c r="AW2075" s="142"/>
      <c r="AX2075" s="143"/>
      <c r="AY2075" s="144"/>
      <c r="AZ2075" s="145"/>
      <c r="BA2075" s="145"/>
      <c r="BB2075" s="145"/>
      <c r="BC2075" s="145"/>
      <c r="BD2075" s="145"/>
      <c r="BE2075" s="145"/>
      <c r="BF2075" s="145"/>
      <c r="BG2075" s="145"/>
      <c r="BI2075" s="142"/>
      <c r="BJ2075" s="142"/>
      <c r="BK2075" s="143"/>
      <c r="BM2075" s="145"/>
      <c r="BN2075" s="145"/>
      <c r="BO2075" s="145"/>
      <c r="BP2075" s="145"/>
      <c r="BQ2075" s="145"/>
      <c r="BR2075" s="145"/>
      <c r="BS2075" s="145"/>
      <c r="BT2075" s="145"/>
      <c r="BU2075" s="142"/>
      <c r="BV2075" s="142"/>
      <c r="BW2075" s="142"/>
      <c r="BX2075" s="143"/>
      <c r="BY2075" s="144"/>
      <c r="BZ2075" s="145"/>
      <c r="CA2075" s="145"/>
      <c r="CB2075" s="145"/>
      <c r="CC2075" s="145"/>
      <c r="CD2075" s="145"/>
      <c r="CE2075" s="145"/>
      <c r="CF2075" s="145"/>
      <c r="CG2075" s="145"/>
      <c r="CH2075" s="137"/>
      <c r="CI2075" s="142" t="s">
        <v>821</v>
      </c>
      <c r="CJ2075" s="142" t="s">
        <v>0</v>
      </c>
      <c r="CK2075" s="143"/>
      <c r="CL2075" s="145"/>
      <c r="CM2075" s="145"/>
      <c r="CN2075" s="145"/>
      <c r="CO2075" s="142"/>
      <c r="CP2075" s="23"/>
      <c r="CQ2075" s="142"/>
      <c r="CR2075" s="143"/>
      <c r="CT2075" s="146"/>
      <c r="CU2075" s="146"/>
      <c r="CV2075" s="146"/>
      <c r="CW2075" s="146"/>
      <c r="CX2075" s="146"/>
      <c r="CY2075" s="146"/>
      <c r="CZ2075" s="146"/>
      <c r="DA2075" s="146"/>
      <c r="DB2075" s="146"/>
      <c r="DC2075" s="145"/>
    </row>
    <row r="2076" spans="1:111" s="138" customFormat="1" x14ac:dyDescent="0.2">
      <c r="A2076" s="137" t="s">
        <v>4863</v>
      </c>
      <c r="B2076" s="137" t="s">
        <v>2</v>
      </c>
      <c r="C2076" s="137">
        <f t="shared" si="188"/>
        <v>300480005</v>
      </c>
      <c r="D2076" s="138" t="s">
        <v>4864</v>
      </c>
      <c r="E2076" s="58" t="s">
        <v>981</v>
      </c>
      <c r="F2076" s="58"/>
      <c r="G2076" s="58"/>
      <c r="H2076" s="58"/>
      <c r="I2076" s="139" t="s">
        <v>3582</v>
      </c>
      <c r="J2076" s="139" t="s">
        <v>548</v>
      </c>
      <c r="K2076" s="139"/>
      <c r="L2076" s="139"/>
      <c r="M2076" s="139"/>
      <c r="N2076" s="139" t="s">
        <v>819</v>
      </c>
      <c r="O2076" s="139" t="s">
        <v>3576</v>
      </c>
      <c r="P2076" s="139"/>
      <c r="Q2076" s="139" t="s">
        <v>2041</v>
      </c>
      <c r="R2076" s="139"/>
      <c r="S2076" s="139"/>
      <c r="T2076" s="139" t="s">
        <v>811</v>
      </c>
      <c r="U2076" s="140" t="s">
        <v>4864</v>
      </c>
      <c r="V2076" s="139" t="s">
        <v>819</v>
      </c>
      <c r="W2076" s="139" t="s">
        <v>1</v>
      </c>
      <c r="X2076" s="139"/>
      <c r="Y2076" s="139"/>
      <c r="Z2076" s="139"/>
      <c r="AA2076" s="139"/>
      <c r="AB2076" s="139"/>
      <c r="AC2076" s="139"/>
      <c r="AD2076" s="139"/>
      <c r="AE2076" s="141"/>
      <c r="AF2076" s="141" t="s">
        <v>2042</v>
      </c>
      <c r="AG2076" s="139"/>
      <c r="AH2076" s="138" t="s">
        <v>3563</v>
      </c>
      <c r="AI2076" s="142"/>
      <c r="AJ2076" s="142"/>
      <c r="AK2076" s="143">
        <v>1000</v>
      </c>
      <c r="AL2076" s="144" t="s">
        <v>4870</v>
      </c>
      <c r="AM2076" s="145"/>
      <c r="AN2076" s="145"/>
      <c r="AO2076" s="145"/>
      <c r="AP2076" s="145"/>
      <c r="AQ2076" s="145"/>
      <c r="AR2076" s="145"/>
      <c r="AS2076" s="145"/>
      <c r="AT2076" s="145"/>
      <c r="AV2076" s="142"/>
      <c r="AW2076" s="142"/>
      <c r="AX2076" s="143"/>
      <c r="AY2076" s="144"/>
      <c r="AZ2076" s="145"/>
      <c r="BA2076" s="145"/>
      <c r="BB2076" s="145"/>
      <c r="BC2076" s="145"/>
      <c r="BD2076" s="145"/>
      <c r="BE2076" s="145"/>
      <c r="BF2076" s="145"/>
      <c r="BG2076" s="145"/>
      <c r="BI2076" s="142"/>
      <c r="BJ2076" s="142"/>
      <c r="BK2076" s="143"/>
      <c r="BM2076" s="145"/>
      <c r="BN2076" s="145"/>
      <c r="BO2076" s="145"/>
      <c r="BP2076" s="145"/>
      <c r="BQ2076" s="145"/>
      <c r="BR2076" s="145"/>
      <c r="BS2076" s="145"/>
      <c r="BT2076" s="145"/>
      <c r="BU2076" s="142"/>
      <c r="BV2076" s="142"/>
      <c r="BW2076" s="142"/>
      <c r="BX2076" s="143"/>
      <c r="BY2076" s="144"/>
      <c r="BZ2076" s="145"/>
      <c r="CA2076" s="145"/>
      <c r="CB2076" s="145"/>
      <c r="CC2076" s="145"/>
      <c r="CD2076" s="145"/>
      <c r="CE2076" s="145"/>
      <c r="CF2076" s="145"/>
      <c r="CG2076" s="145"/>
      <c r="CH2076" s="137"/>
      <c r="CI2076" s="142" t="s">
        <v>821</v>
      </c>
      <c r="CJ2076" s="142" t="s">
        <v>0</v>
      </c>
      <c r="CK2076" s="143"/>
      <c r="CL2076" s="145"/>
      <c r="CM2076" s="145"/>
      <c r="CN2076" s="145"/>
      <c r="CO2076" s="142"/>
      <c r="CP2076" s="23"/>
      <c r="CQ2076" s="142"/>
      <c r="CR2076" s="143"/>
      <c r="CT2076" s="146"/>
      <c r="CU2076" s="146"/>
      <c r="CV2076" s="146"/>
      <c r="CW2076" s="146"/>
      <c r="CX2076" s="146"/>
      <c r="CY2076" s="146"/>
      <c r="CZ2076" s="146"/>
      <c r="DA2076" s="146"/>
      <c r="DB2076" s="146"/>
      <c r="DC2076" s="145"/>
    </row>
    <row r="2077" spans="1:111" s="138" customFormat="1" x14ac:dyDescent="0.2">
      <c r="A2077" s="137" t="s">
        <v>4863</v>
      </c>
      <c r="B2077" s="137" t="s">
        <v>3</v>
      </c>
      <c r="C2077" s="137">
        <f t="shared" si="188"/>
        <v>300480006</v>
      </c>
      <c r="D2077" s="138" t="s">
        <v>4864</v>
      </c>
      <c r="E2077" s="58" t="s">
        <v>923</v>
      </c>
      <c r="F2077" s="58"/>
      <c r="G2077" s="58"/>
      <c r="H2077" s="58"/>
      <c r="I2077" s="139" t="s">
        <v>3582</v>
      </c>
      <c r="J2077" s="139" t="s">
        <v>548</v>
      </c>
      <c r="K2077" s="139"/>
      <c r="L2077" s="139"/>
      <c r="M2077" s="139"/>
      <c r="N2077" s="139" t="s">
        <v>819</v>
      </c>
      <c r="O2077" s="139" t="s">
        <v>3576</v>
      </c>
      <c r="P2077" s="139"/>
      <c r="Q2077" s="139" t="s">
        <v>2041</v>
      </c>
      <c r="R2077" s="139"/>
      <c r="S2077" s="139"/>
      <c r="T2077" s="139" t="s">
        <v>811</v>
      </c>
      <c r="U2077" s="140" t="s">
        <v>4864</v>
      </c>
      <c r="V2077" s="139" t="s">
        <v>819</v>
      </c>
      <c r="W2077" s="139" t="s">
        <v>1</v>
      </c>
      <c r="X2077" s="139"/>
      <c r="Y2077" s="139"/>
      <c r="Z2077" s="139"/>
      <c r="AA2077" s="139"/>
      <c r="AB2077" s="139"/>
      <c r="AC2077" s="139"/>
      <c r="AD2077" s="139"/>
      <c r="AE2077" s="141"/>
      <c r="AF2077" s="141" t="s">
        <v>2042</v>
      </c>
      <c r="AG2077" s="139"/>
      <c r="AH2077" s="138" t="s">
        <v>3563</v>
      </c>
      <c r="AI2077" s="142"/>
      <c r="AJ2077" s="142"/>
      <c r="AK2077" s="143">
        <v>1000</v>
      </c>
      <c r="AL2077" s="144" t="s">
        <v>4870</v>
      </c>
      <c r="AM2077" s="145"/>
      <c r="AN2077" s="145"/>
      <c r="AO2077" s="145"/>
      <c r="AP2077" s="145"/>
      <c r="AQ2077" s="145"/>
      <c r="AR2077" s="145"/>
      <c r="AS2077" s="145"/>
      <c r="AT2077" s="145"/>
      <c r="AV2077" s="142"/>
      <c r="AW2077" s="142"/>
      <c r="AX2077" s="143"/>
      <c r="AY2077" s="144"/>
      <c r="AZ2077" s="145"/>
      <c r="BA2077" s="145"/>
      <c r="BB2077" s="145"/>
      <c r="BC2077" s="145"/>
      <c r="BD2077" s="145"/>
      <c r="BE2077" s="145"/>
      <c r="BF2077" s="145"/>
      <c r="BG2077" s="145"/>
      <c r="BI2077" s="142"/>
      <c r="BJ2077" s="142"/>
      <c r="BK2077" s="143"/>
      <c r="BM2077" s="145"/>
      <c r="BN2077" s="145"/>
      <c r="BO2077" s="145"/>
      <c r="BP2077" s="145"/>
      <c r="BQ2077" s="145"/>
      <c r="BR2077" s="145"/>
      <c r="BS2077" s="145"/>
      <c r="BT2077" s="145"/>
      <c r="BU2077" s="142"/>
      <c r="BV2077" s="142"/>
      <c r="BW2077" s="142"/>
      <c r="BX2077" s="143"/>
      <c r="BY2077" s="144"/>
      <c r="BZ2077" s="145"/>
      <c r="CA2077" s="145"/>
      <c r="CB2077" s="145"/>
      <c r="CC2077" s="145"/>
      <c r="CD2077" s="145"/>
      <c r="CE2077" s="145"/>
      <c r="CF2077" s="145"/>
      <c r="CG2077" s="145"/>
      <c r="CH2077" s="137"/>
      <c r="CI2077" s="142" t="s">
        <v>821</v>
      </c>
      <c r="CJ2077" s="142" t="s">
        <v>0</v>
      </c>
      <c r="CK2077" s="143"/>
      <c r="CL2077" s="145"/>
      <c r="CM2077" s="145"/>
      <c r="CN2077" s="145"/>
      <c r="CO2077" s="142"/>
      <c r="CP2077" s="23"/>
      <c r="CQ2077" s="142"/>
      <c r="CR2077" s="143"/>
      <c r="CT2077" s="146"/>
      <c r="CU2077" s="146"/>
      <c r="CV2077" s="146"/>
      <c r="CW2077" s="146"/>
      <c r="CX2077" s="146"/>
      <c r="CY2077" s="146"/>
      <c r="CZ2077" s="146"/>
      <c r="DA2077" s="146"/>
      <c r="DB2077" s="146"/>
      <c r="DC2077" s="145"/>
    </row>
    <row r="2078" spans="1:111" s="138" customFormat="1" x14ac:dyDescent="0.2">
      <c r="A2078" s="137" t="s">
        <v>4863</v>
      </c>
      <c r="B2078" s="137" t="s">
        <v>4</v>
      </c>
      <c r="C2078" s="137">
        <f t="shared" si="188"/>
        <v>300480007</v>
      </c>
      <c r="D2078" s="138" t="s">
        <v>4864</v>
      </c>
      <c r="E2078" s="58" t="s">
        <v>923</v>
      </c>
      <c r="F2078" s="58"/>
      <c r="G2078" s="58"/>
      <c r="H2078" s="58"/>
      <c r="I2078" s="139" t="s">
        <v>3582</v>
      </c>
      <c r="J2078" s="139" t="s">
        <v>548</v>
      </c>
      <c r="K2078" s="139"/>
      <c r="L2078" s="139"/>
      <c r="M2078" s="139"/>
      <c r="N2078" s="139" t="s">
        <v>819</v>
      </c>
      <c r="O2078" s="139" t="s">
        <v>3576</v>
      </c>
      <c r="P2078" s="139"/>
      <c r="Q2078" s="139" t="s">
        <v>2041</v>
      </c>
      <c r="R2078" s="139"/>
      <c r="S2078" s="139"/>
      <c r="T2078" s="139" t="s">
        <v>811</v>
      </c>
      <c r="U2078" s="140" t="s">
        <v>4864</v>
      </c>
      <c r="V2078" s="139" t="s">
        <v>819</v>
      </c>
      <c r="W2078" s="139" t="s">
        <v>1</v>
      </c>
      <c r="X2078" s="139"/>
      <c r="Y2078" s="139"/>
      <c r="Z2078" s="139"/>
      <c r="AA2078" s="139"/>
      <c r="AB2078" s="139"/>
      <c r="AC2078" s="139"/>
      <c r="AD2078" s="139"/>
      <c r="AE2078" s="141"/>
      <c r="AF2078" s="141" t="s">
        <v>2042</v>
      </c>
      <c r="AG2078" s="139"/>
      <c r="AH2078" s="138" t="s">
        <v>3563</v>
      </c>
      <c r="AI2078" s="142"/>
      <c r="AJ2078" s="142"/>
      <c r="AK2078" s="143">
        <v>1000</v>
      </c>
      <c r="AL2078" s="144" t="s">
        <v>4870</v>
      </c>
      <c r="AM2078" s="145"/>
      <c r="AN2078" s="145"/>
      <c r="AO2078" s="145"/>
      <c r="AP2078" s="145"/>
      <c r="AQ2078" s="145"/>
      <c r="AR2078" s="145"/>
      <c r="AS2078" s="145"/>
      <c r="AT2078" s="145"/>
      <c r="AV2078" s="142"/>
      <c r="AW2078" s="142"/>
      <c r="AX2078" s="143"/>
      <c r="AY2078" s="144"/>
      <c r="AZ2078" s="145"/>
      <c r="BA2078" s="145"/>
      <c r="BB2078" s="145"/>
      <c r="BC2078" s="145"/>
      <c r="BD2078" s="145"/>
      <c r="BE2078" s="145"/>
      <c r="BF2078" s="145"/>
      <c r="BG2078" s="145"/>
      <c r="BI2078" s="142"/>
      <c r="BJ2078" s="142"/>
      <c r="BK2078" s="143"/>
      <c r="BM2078" s="145"/>
      <c r="BN2078" s="145"/>
      <c r="BO2078" s="145"/>
      <c r="BP2078" s="145"/>
      <c r="BQ2078" s="145"/>
      <c r="BR2078" s="145"/>
      <c r="BS2078" s="145"/>
      <c r="BT2078" s="145"/>
      <c r="BU2078" s="142"/>
      <c r="BV2078" s="142"/>
      <c r="BW2078" s="142"/>
      <c r="BX2078" s="143"/>
      <c r="BY2078" s="144"/>
      <c r="BZ2078" s="145"/>
      <c r="CA2078" s="145"/>
      <c r="CB2078" s="145"/>
      <c r="CC2078" s="145"/>
      <c r="CD2078" s="145"/>
      <c r="CE2078" s="145"/>
      <c r="CF2078" s="145"/>
      <c r="CG2078" s="145"/>
      <c r="CH2078" s="137"/>
      <c r="CI2078" s="142" t="s">
        <v>821</v>
      </c>
      <c r="CJ2078" s="142" t="s">
        <v>0</v>
      </c>
      <c r="CK2078" s="143"/>
      <c r="CL2078" s="145"/>
      <c r="CM2078" s="145"/>
      <c r="CN2078" s="145"/>
      <c r="CO2078" s="142"/>
      <c r="CP2078" s="23"/>
      <c r="CQ2078" s="142"/>
      <c r="CR2078" s="143"/>
      <c r="CT2078" s="146"/>
      <c r="CU2078" s="146"/>
      <c r="CV2078" s="146"/>
      <c r="CW2078" s="146"/>
      <c r="CX2078" s="146"/>
      <c r="CY2078" s="146"/>
      <c r="CZ2078" s="146"/>
      <c r="DA2078" s="146"/>
      <c r="DB2078" s="146"/>
      <c r="DC2078" s="145"/>
    </row>
    <row r="2079" spans="1:111" s="138" customFormat="1" x14ac:dyDescent="0.2">
      <c r="A2079" s="137" t="s">
        <v>4863</v>
      </c>
      <c r="B2079" s="137" t="s">
        <v>137</v>
      </c>
      <c r="C2079" s="137">
        <f t="shared" si="188"/>
        <v>300480008</v>
      </c>
      <c r="D2079" s="138" t="s">
        <v>4865</v>
      </c>
      <c r="E2079" s="58" t="s">
        <v>3580</v>
      </c>
      <c r="F2079" s="58"/>
      <c r="G2079" s="58" t="s">
        <v>550</v>
      </c>
      <c r="H2079" s="58"/>
      <c r="I2079" s="139" t="s">
        <v>3582</v>
      </c>
      <c r="J2079" s="139"/>
      <c r="K2079" s="139"/>
      <c r="L2079" s="139"/>
      <c r="M2079" s="139"/>
      <c r="N2079" s="139" t="s">
        <v>819</v>
      </c>
      <c r="O2079" s="139" t="s">
        <v>3576</v>
      </c>
      <c r="P2079" s="139"/>
      <c r="Q2079" s="139" t="s">
        <v>2041</v>
      </c>
      <c r="R2079" s="139"/>
      <c r="S2079" s="139"/>
      <c r="T2079" s="139" t="s">
        <v>811</v>
      </c>
      <c r="U2079" s="140" t="s">
        <v>4864</v>
      </c>
      <c r="V2079" s="139" t="s">
        <v>819</v>
      </c>
      <c r="W2079" s="139" t="s">
        <v>1</v>
      </c>
      <c r="X2079" s="139"/>
      <c r="Y2079" s="139"/>
      <c r="Z2079" s="139"/>
      <c r="AA2079" s="139"/>
      <c r="AB2079" s="139"/>
      <c r="AC2079" s="139"/>
      <c r="AD2079" s="139"/>
      <c r="AE2079" s="141"/>
      <c r="AF2079" s="141" t="s">
        <v>2042</v>
      </c>
      <c r="AG2079" s="139"/>
      <c r="AH2079" s="138" t="s">
        <v>4869</v>
      </c>
      <c r="AI2079" s="142"/>
      <c r="AJ2079" s="142"/>
      <c r="AK2079" s="143">
        <v>1000</v>
      </c>
      <c r="AL2079" s="144" t="s">
        <v>4870</v>
      </c>
      <c r="AM2079" s="145"/>
      <c r="AN2079" s="145">
        <v>100</v>
      </c>
      <c r="AO2079" s="145"/>
      <c r="AP2079" s="145"/>
      <c r="AQ2079" s="145"/>
      <c r="AR2079" s="145"/>
      <c r="AS2079" s="145"/>
      <c r="AT2079" s="145"/>
      <c r="AU2079" s="142"/>
      <c r="AV2079" s="142"/>
      <c r="AW2079" s="142"/>
      <c r="AX2079" s="143"/>
      <c r="AY2079" s="144"/>
      <c r="AZ2079" s="145"/>
      <c r="BA2079" s="145"/>
      <c r="BB2079" s="145"/>
      <c r="BC2079" s="145"/>
      <c r="BD2079" s="145"/>
      <c r="BE2079" s="145"/>
      <c r="BF2079" s="145"/>
      <c r="BG2079" s="145"/>
      <c r="BH2079" s="142"/>
      <c r="BI2079" s="142"/>
      <c r="BJ2079" s="142"/>
      <c r="BK2079" s="143"/>
      <c r="BL2079" s="144"/>
      <c r="BM2079" s="145"/>
      <c r="BN2079" s="145"/>
      <c r="BO2079" s="145"/>
      <c r="BP2079" s="145"/>
      <c r="BQ2079" s="145"/>
      <c r="BR2079" s="145"/>
      <c r="BS2079" s="145"/>
      <c r="BT2079" s="145"/>
      <c r="BU2079" s="142"/>
      <c r="BV2079" s="142"/>
      <c r="BW2079" s="142"/>
      <c r="BX2079" s="143"/>
      <c r="BY2079" s="144"/>
      <c r="BZ2079" s="145"/>
      <c r="CA2079" s="145"/>
      <c r="CB2079" s="145"/>
      <c r="CC2079" s="145"/>
      <c r="CD2079" s="145"/>
      <c r="CE2079" s="145"/>
      <c r="CF2079" s="145"/>
      <c r="CG2079" s="145"/>
      <c r="CH2079" s="137"/>
      <c r="CI2079" s="142" t="s">
        <v>397</v>
      </c>
      <c r="CJ2079" s="142" t="s">
        <v>1492</v>
      </c>
      <c r="CK2079" s="143"/>
      <c r="CL2079" s="145"/>
      <c r="CM2079" s="145"/>
      <c r="CN2079" s="145"/>
      <c r="CO2079" s="142"/>
      <c r="CP2079" s="142"/>
      <c r="CQ2079" s="142"/>
      <c r="CR2079" s="143"/>
      <c r="CT2079" s="146"/>
      <c r="CU2079" s="146"/>
      <c r="CV2079" s="146"/>
      <c r="CW2079" s="146"/>
      <c r="CX2079" s="146"/>
      <c r="CY2079" s="146"/>
      <c r="CZ2079" s="146"/>
      <c r="DA2079" s="146"/>
      <c r="DB2079" s="146"/>
      <c r="DC2079" s="145"/>
      <c r="DE2079" s="138" t="s">
        <v>550</v>
      </c>
    </row>
    <row r="2080" spans="1:111" s="138" customFormat="1" x14ac:dyDescent="0.2">
      <c r="A2080" s="137" t="s">
        <v>4863</v>
      </c>
      <c r="B2080" s="137" t="s">
        <v>6</v>
      </c>
      <c r="C2080" s="137">
        <f t="shared" si="188"/>
        <v>300480009</v>
      </c>
      <c r="D2080" s="138" t="s">
        <v>4865</v>
      </c>
      <c r="E2080" s="58" t="s">
        <v>3580</v>
      </c>
      <c r="F2080" s="58"/>
      <c r="G2080" s="58" t="s">
        <v>550</v>
      </c>
      <c r="H2080" s="58"/>
      <c r="I2080" s="139" t="s">
        <v>3582</v>
      </c>
      <c r="J2080" s="139"/>
      <c r="K2080" s="139"/>
      <c r="L2080" s="139"/>
      <c r="M2080" s="139"/>
      <c r="N2080" s="139" t="s">
        <v>819</v>
      </c>
      <c r="O2080" s="139" t="s">
        <v>3576</v>
      </c>
      <c r="P2080" s="139"/>
      <c r="Q2080" s="139" t="s">
        <v>2041</v>
      </c>
      <c r="R2080" s="139"/>
      <c r="S2080" s="139"/>
      <c r="T2080" s="139" t="s">
        <v>811</v>
      </c>
      <c r="U2080" s="140" t="s">
        <v>4864</v>
      </c>
      <c r="V2080" s="139" t="s">
        <v>819</v>
      </c>
      <c r="W2080" s="139" t="s">
        <v>1</v>
      </c>
      <c r="X2080" s="139"/>
      <c r="Y2080" s="139"/>
      <c r="Z2080" s="139"/>
      <c r="AA2080" s="139"/>
      <c r="AB2080" s="139"/>
      <c r="AC2080" s="139"/>
      <c r="AD2080" s="139"/>
      <c r="AE2080" s="141"/>
      <c r="AF2080" s="141" t="s">
        <v>2042</v>
      </c>
      <c r="AG2080" s="139"/>
      <c r="AH2080" s="138" t="s">
        <v>4867</v>
      </c>
      <c r="AI2080" s="142"/>
      <c r="AJ2080" s="142"/>
      <c r="AK2080" s="143">
        <v>1000</v>
      </c>
      <c r="AL2080" s="144" t="s">
        <v>4870</v>
      </c>
      <c r="AM2080" s="145"/>
      <c r="AN2080" s="145">
        <v>100</v>
      </c>
      <c r="AO2080" s="145"/>
      <c r="AP2080" s="145"/>
      <c r="AQ2080" s="145"/>
      <c r="AR2080" s="145"/>
      <c r="AS2080" s="145"/>
      <c r="AT2080" s="145"/>
      <c r="AU2080" s="142"/>
      <c r="AV2080" s="142"/>
      <c r="AW2080" s="142"/>
      <c r="AX2080" s="143"/>
      <c r="AY2080" s="144"/>
      <c r="AZ2080" s="145"/>
      <c r="BA2080" s="145"/>
      <c r="BB2080" s="145"/>
      <c r="BC2080" s="145"/>
      <c r="BD2080" s="145"/>
      <c r="BE2080" s="145"/>
      <c r="BF2080" s="145"/>
      <c r="BG2080" s="145"/>
      <c r="BH2080" s="142"/>
      <c r="BI2080" s="142"/>
      <c r="BJ2080" s="142"/>
      <c r="BK2080" s="143"/>
      <c r="BL2080" s="144"/>
      <c r="BM2080" s="145"/>
      <c r="BN2080" s="145"/>
      <c r="BO2080" s="145"/>
      <c r="BP2080" s="145"/>
      <c r="BQ2080" s="145"/>
      <c r="BR2080" s="145"/>
      <c r="BS2080" s="145"/>
      <c r="BT2080" s="145"/>
      <c r="BU2080" s="142"/>
      <c r="BV2080" s="142"/>
      <c r="BW2080" s="142"/>
      <c r="BX2080" s="143"/>
      <c r="BY2080" s="144"/>
      <c r="BZ2080" s="145"/>
      <c r="CA2080" s="145"/>
      <c r="CB2080" s="145"/>
      <c r="CC2080" s="145"/>
      <c r="CD2080" s="145"/>
      <c r="CE2080" s="145"/>
      <c r="CF2080" s="145"/>
      <c r="CG2080" s="145"/>
      <c r="CH2080" s="137"/>
      <c r="CI2080" s="142" t="s">
        <v>397</v>
      </c>
      <c r="CJ2080" s="142" t="s">
        <v>1492</v>
      </c>
      <c r="CK2080" s="143"/>
      <c r="CL2080" s="145"/>
      <c r="CM2080" s="145"/>
      <c r="CN2080" s="145"/>
      <c r="CO2080" s="142"/>
      <c r="CP2080" s="142"/>
      <c r="CQ2080" s="142"/>
      <c r="CR2080" s="143"/>
      <c r="CT2080" s="146"/>
      <c r="CU2080" s="146"/>
      <c r="CV2080" s="146"/>
      <c r="CW2080" s="146"/>
      <c r="CX2080" s="146"/>
      <c r="CY2080" s="146"/>
      <c r="CZ2080" s="146"/>
      <c r="DA2080" s="146"/>
      <c r="DB2080" s="146"/>
      <c r="DC2080" s="145"/>
      <c r="DE2080" s="138" t="s">
        <v>550</v>
      </c>
    </row>
    <row r="2081" spans="1:109" s="138" customFormat="1" x14ac:dyDescent="0.2">
      <c r="A2081" s="137" t="s">
        <v>4863</v>
      </c>
      <c r="B2081" s="137" t="s">
        <v>7</v>
      </c>
      <c r="C2081" s="137">
        <f t="shared" si="188"/>
        <v>300480010</v>
      </c>
      <c r="D2081" s="138" t="s">
        <v>4865</v>
      </c>
      <c r="E2081" s="58" t="s">
        <v>3580</v>
      </c>
      <c r="F2081" s="58"/>
      <c r="G2081" s="58" t="s">
        <v>550</v>
      </c>
      <c r="H2081" s="58"/>
      <c r="I2081" s="139" t="s">
        <v>3582</v>
      </c>
      <c r="J2081" s="139"/>
      <c r="K2081" s="139"/>
      <c r="L2081" s="139"/>
      <c r="M2081" s="139"/>
      <c r="N2081" s="139" t="s">
        <v>819</v>
      </c>
      <c r="O2081" s="139" t="s">
        <v>3576</v>
      </c>
      <c r="P2081" s="139"/>
      <c r="Q2081" s="139" t="s">
        <v>2041</v>
      </c>
      <c r="R2081" s="139"/>
      <c r="S2081" s="139"/>
      <c r="T2081" s="139" t="s">
        <v>811</v>
      </c>
      <c r="U2081" s="140" t="s">
        <v>4864</v>
      </c>
      <c r="V2081" s="139" t="s">
        <v>819</v>
      </c>
      <c r="W2081" s="139" t="s">
        <v>1</v>
      </c>
      <c r="X2081" s="139"/>
      <c r="Y2081" s="139"/>
      <c r="Z2081" s="139"/>
      <c r="AA2081" s="139"/>
      <c r="AB2081" s="139"/>
      <c r="AC2081" s="139"/>
      <c r="AD2081" s="139"/>
      <c r="AE2081" s="141"/>
      <c r="AF2081" s="141" t="s">
        <v>2042</v>
      </c>
      <c r="AG2081" s="139"/>
      <c r="AH2081" s="138" t="s">
        <v>4868</v>
      </c>
      <c r="AI2081" s="142"/>
      <c r="AJ2081" s="142"/>
      <c r="AK2081" s="143">
        <v>1000</v>
      </c>
      <c r="AL2081" s="144" t="s">
        <v>4870</v>
      </c>
      <c r="AM2081" s="145"/>
      <c r="AN2081" s="145">
        <v>100</v>
      </c>
      <c r="AO2081" s="145"/>
      <c r="AP2081" s="145"/>
      <c r="AQ2081" s="145"/>
      <c r="AR2081" s="145"/>
      <c r="AS2081" s="145"/>
      <c r="AT2081" s="145"/>
      <c r="AU2081" s="142"/>
      <c r="AV2081" s="142"/>
      <c r="AW2081" s="142"/>
      <c r="AX2081" s="143"/>
      <c r="AY2081" s="144"/>
      <c r="AZ2081" s="145"/>
      <c r="BA2081" s="145"/>
      <c r="BB2081" s="145"/>
      <c r="BC2081" s="145"/>
      <c r="BD2081" s="145"/>
      <c r="BE2081" s="145"/>
      <c r="BF2081" s="145"/>
      <c r="BG2081" s="145"/>
      <c r="BH2081" s="142"/>
      <c r="BI2081" s="142"/>
      <c r="BJ2081" s="142"/>
      <c r="BK2081" s="143"/>
      <c r="BL2081" s="144"/>
      <c r="BM2081" s="145"/>
      <c r="BN2081" s="145"/>
      <c r="BO2081" s="145"/>
      <c r="BP2081" s="145"/>
      <c r="BQ2081" s="145"/>
      <c r="BR2081" s="145"/>
      <c r="BS2081" s="145"/>
      <c r="BT2081" s="145"/>
      <c r="BU2081" s="142"/>
      <c r="BV2081" s="142"/>
      <c r="BW2081" s="142"/>
      <c r="BX2081" s="143"/>
      <c r="BY2081" s="144"/>
      <c r="BZ2081" s="145"/>
      <c r="CA2081" s="145"/>
      <c r="CB2081" s="145"/>
      <c r="CC2081" s="145"/>
      <c r="CD2081" s="145"/>
      <c r="CE2081" s="145"/>
      <c r="CF2081" s="145"/>
      <c r="CG2081" s="145"/>
      <c r="CH2081" s="137"/>
      <c r="CI2081" s="142" t="s">
        <v>397</v>
      </c>
      <c r="CJ2081" s="142" t="s">
        <v>1492</v>
      </c>
      <c r="CK2081" s="143"/>
      <c r="CL2081" s="145"/>
      <c r="CM2081" s="145"/>
      <c r="CN2081" s="145"/>
      <c r="CO2081" s="142"/>
      <c r="CP2081" s="142"/>
      <c r="CQ2081" s="142"/>
      <c r="CR2081" s="143"/>
      <c r="CT2081" s="146"/>
      <c r="CU2081" s="146"/>
      <c r="CV2081" s="146"/>
      <c r="CW2081" s="146"/>
      <c r="CX2081" s="146"/>
      <c r="CY2081" s="146"/>
      <c r="CZ2081" s="146"/>
      <c r="DA2081" s="146"/>
      <c r="DB2081" s="146"/>
      <c r="DC2081" s="145"/>
      <c r="DE2081" s="138" t="s">
        <v>550</v>
      </c>
    </row>
    <row r="2082" spans="1:109" s="138" customFormat="1" x14ac:dyDescent="0.2">
      <c r="A2082" s="137" t="s">
        <v>4866</v>
      </c>
      <c r="B2082" s="137" t="s">
        <v>181</v>
      </c>
      <c r="C2082" s="137">
        <f t="shared" si="188"/>
        <v>300490001</v>
      </c>
      <c r="D2082" s="138" t="s">
        <v>3567</v>
      </c>
      <c r="E2082" s="58" t="s">
        <v>3580</v>
      </c>
      <c r="F2082" s="58"/>
      <c r="G2082" s="58"/>
      <c r="H2082" s="58"/>
      <c r="I2082" s="139" t="s">
        <v>3582</v>
      </c>
      <c r="J2082" s="139"/>
      <c r="K2082" s="139"/>
      <c r="L2082" s="139"/>
      <c r="M2082" s="139" t="s">
        <v>550</v>
      </c>
      <c r="N2082" s="139" t="s">
        <v>819</v>
      </c>
      <c r="O2082" s="139" t="s">
        <v>3585</v>
      </c>
      <c r="P2082" s="139"/>
      <c r="Q2082" s="139" t="s">
        <v>2041</v>
      </c>
      <c r="R2082" s="139"/>
      <c r="S2082" s="139"/>
      <c r="T2082" s="139" t="s">
        <v>811</v>
      </c>
      <c r="U2082" s="140" t="s">
        <v>3562</v>
      </c>
      <c r="V2082" s="139" t="s">
        <v>819</v>
      </c>
      <c r="W2082" s="139" t="s">
        <v>1</v>
      </c>
      <c r="X2082" s="139"/>
      <c r="Y2082" s="139"/>
      <c r="Z2082" s="139"/>
      <c r="AA2082" s="139"/>
      <c r="AB2082" s="139"/>
      <c r="AC2082" s="139"/>
      <c r="AD2082" s="139"/>
      <c r="AE2082" s="141"/>
      <c r="AF2082" s="141" t="s">
        <v>2042</v>
      </c>
      <c r="AG2082" s="139"/>
      <c r="AH2082" s="138" t="s">
        <v>3586</v>
      </c>
      <c r="AI2082" s="142"/>
      <c r="AJ2082" s="142"/>
      <c r="AK2082" s="143">
        <v>1000</v>
      </c>
      <c r="AL2082" s="144"/>
      <c r="AM2082" s="145"/>
      <c r="AN2082" s="145">
        <v>1</v>
      </c>
      <c r="AO2082" s="145"/>
      <c r="AP2082" s="145"/>
      <c r="AQ2082" s="145"/>
      <c r="AR2082" s="145"/>
      <c r="AS2082" s="145"/>
      <c r="AT2082" s="145"/>
      <c r="AU2082" s="142"/>
      <c r="AV2082" s="142"/>
      <c r="AW2082" s="142"/>
      <c r="AX2082" s="143"/>
      <c r="AY2082" s="144"/>
      <c r="AZ2082" s="145"/>
      <c r="BA2082" s="145"/>
      <c r="BB2082" s="145"/>
      <c r="BC2082" s="145"/>
      <c r="BD2082" s="145"/>
      <c r="BE2082" s="145"/>
      <c r="BF2082" s="145"/>
      <c r="BG2082" s="145"/>
      <c r="BH2082" s="142"/>
      <c r="BI2082" s="142"/>
      <c r="BJ2082" s="142"/>
      <c r="BK2082" s="143"/>
      <c r="BL2082" s="144"/>
      <c r="BM2082" s="145"/>
      <c r="BN2082" s="145"/>
      <c r="BO2082" s="145"/>
      <c r="BP2082" s="145"/>
      <c r="BQ2082" s="145"/>
      <c r="BR2082" s="145"/>
      <c r="BS2082" s="145"/>
      <c r="BT2082" s="145"/>
      <c r="BU2082" s="142"/>
      <c r="BV2082" s="142"/>
      <c r="BW2082" s="142"/>
      <c r="BX2082" s="143"/>
      <c r="BY2082" s="144"/>
      <c r="BZ2082" s="145"/>
      <c r="CA2082" s="145"/>
      <c r="CB2082" s="145"/>
      <c r="CC2082" s="145"/>
      <c r="CD2082" s="145"/>
      <c r="CE2082" s="145"/>
      <c r="CF2082" s="145"/>
      <c r="CG2082" s="145"/>
      <c r="CH2082" s="137"/>
      <c r="CI2082" s="142" t="s">
        <v>3575</v>
      </c>
      <c r="CJ2082" s="142" t="s">
        <v>181</v>
      </c>
      <c r="CK2082" s="143"/>
      <c r="CL2082" s="145"/>
      <c r="CM2082" s="145"/>
      <c r="CN2082" s="145"/>
      <c r="CO2082" s="142"/>
      <c r="CP2082" s="142"/>
      <c r="CQ2082" s="142"/>
      <c r="CR2082" s="143"/>
      <c r="CT2082" s="146"/>
      <c r="CU2082" s="146"/>
      <c r="CV2082" s="146"/>
      <c r="CW2082" s="146"/>
      <c r="CX2082" s="146"/>
      <c r="CY2082" s="146"/>
      <c r="CZ2082" s="146"/>
      <c r="DA2082" s="146"/>
      <c r="DB2082" s="146"/>
      <c r="DC2082" s="145"/>
      <c r="DE2082" s="138" t="s">
        <v>550</v>
      </c>
    </row>
    <row r="2083" spans="1:109" ht="17.25" x14ac:dyDescent="0.3">
      <c r="A2083" s="8"/>
      <c r="B2083" s="8"/>
      <c r="C2083" s="8">
        <f t="shared" si="168"/>
        <v>0</v>
      </c>
      <c r="D2083" s="8"/>
      <c r="E2083" s="9" t="s">
        <v>1513</v>
      </c>
      <c r="F2083" s="9"/>
      <c r="G2083" s="9"/>
      <c r="H2083" s="9"/>
      <c r="I2083" s="10"/>
      <c r="J2083" s="10"/>
      <c r="K2083" s="10"/>
      <c r="L2083" s="10"/>
      <c r="M2083" s="10"/>
      <c r="N2083" s="10"/>
      <c r="O2083" s="10"/>
      <c r="P2083" s="10"/>
      <c r="Q2083" s="10"/>
      <c r="R2083" s="10"/>
      <c r="S2083" s="10"/>
      <c r="T2083" s="10"/>
      <c r="U2083" s="10"/>
      <c r="V2083" s="10"/>
      <c r="W2083" s="10"/>
      <c r="X2083" s="10"/>
      <c r="Y2083" s="11"/>
      <c r="Z2083" s="10"/>
      <c r="AA2083" s="10"/>
      <c r="AB2083" s="10"/>
      <c r="AC2083" s="10"/>
      <c r="AD2083" s="10"/>
      <c r="AE2083" s="12"/>
      <c r="AF2083" s="12" t="s">
        <v>2042</v>
      </c>
      <c r="AG2083" s="10"/>
      <c r="AH2083" s="13"/>
      <c r="AI2083" s="13"/>
      <c r="AJ2083" s="13"/>
      <c r="AK2083" s="15"/>
      <c r="AL2083" s="15"/>
      <c r="AM2083" s="15"/>
      <c r="AN2083" s="15"/>
      <c r="AO2083" s="15"/>
      <c r="AP2083" s="15"/>
      <c r="AQ2083" s="15"/>
      <c r="AR2083" s="15"/>
      <c r="AS2083" s="15"/>
      <c r="AT2083" s="15"/>
      <c r="AU2083" s="13"/>
      <c r="AV2083" s="13"/>
      <c r="AW2083" s="13"/>
      <c r="AX2083" s="31"/>
      <c r="AY2083" s="31"/>
      <c r="AZ2083" s="15"/>
      <c r="BA2083" s="15"/>
      <c r="BB2083" s="15"/>
      <c r="BC2083" s="15"/>
      <c r="BD2083" s="15"/>
      <c r="BE2083" s="15"/>
      <c r="BF2083" s="15"/>
      <c r="BG2083" s="15"/>
      <c r="BH2083" s="13"/>
      <c r="BI2083" s="13"/>
      <c r="BJ2083" s="13"/>
      <c r="BK2083" s="31"/>
      <c r="BL2083" s="31"/>
      <c r="BM2083" s="15"/>
      <c r="BN2083" s="15"/>
      <c r="BO2083" s="15"/>
      <c r="BP2083" s="15"/>
      <c r="BQ2083" s="15"/>
      <c r="BR2083" s="15"/>
      <c r="BS2083" s="15"/>
      <c r="BT2083" s="15"/>
      <c r="BU2083" s="13"/>
      <c r="BV2083" s="13"/>
      <c r="BW2083" s="13"/>
      <c r="BX2083" s="31"/>
      <c r="BY2083" s="31"/>
      <c r="BZ2083" s="15"/>
      <c r="CA2083" s="15"/>
      <c r="CB2083" s="15"/>
      <c r="CC2083" s="15"/>
      <c r="CD2083" s="15"/>
      <c r="CE2083" s="15"/>
      <c r="CF2083" s="15"/>
      <c r="CG2083" s="15"/>
      <c r="CH2083" s="10"/>
      <c r="CI2083" s="8"/>
      <c r="CJ2083" s="16"/>
      <c r="CK2083" s="8"/>
      <c r="CL2083" s="14"/>
      <c r="CM2083" s="14"/>
      <c r="CN2083" s="14"/>
      <c r="CO2083" s="14"/>
      <c r="CP2083" s="14"/>
      <c r="CQ2083" s="14"/>
      <c r="CR2083" s="14"/>
      <c r="CS2083" s="14"/>
      <c r="CT2083" s="17"/>
      <c r="CU2083" s="17"/>
      <c r="CV2083" s="17"/>
      <c r="CW2083" s="17"/>
      <c r="CX2083" s="17"/>
      <c r="CY2083" s="17"/>
      <c r="CZ2083" s="17"/>
      <c r="DA2083" s="17"/>
      <c r="DB2083" s="17"/>
      <c r="DC2083" s="15"/>
    </row>
    <row r="2084" spans="1:109" x14ac:dyDescent="0.2">
      <c r="A2084" s="29" t="s">
        <v>1514</v>
      </c>
      <c r="B2084" s="29" t="s">
        <v>0</v>
      </c>
      <c r="C2084" s="29">
        <f t="shared" si="168"/>
        <v>400010001</v>
      </c>
      <c r="D2084" s="74" t="s">
        <v>1515</v>
      </c>
      <c r="E2084" s="21" t="s">
        <v>1119</v>
      </c>
      <c r="F2084" s="21"/>
      <c r="G2084" s="21"/>
      <c r="H2084" s="21"/>
      <c r="I2084" s="21" t="s">
        <v>918</v>
      </c>
      <c r="J2084" s="21"/>
      <c r="K2084" s="21"/>
      <c r="L2084" s="21"/>
      <c r="M2084" s="21"/>
      <c r="N2084" s="21" t="s">
        <v>4052</v>
      </c>
      <c r="O2084" s="21" t="s">
        <v>158</v>
      </c>
      <c r="P2084" s="21"/>
      <c r="Q2084" s="21" t="s">
        <v>2041</v>
      </c>
      <c r="R2084" s="21"/>
      <c r="S2084" s="21"/>
      <c r="T2084" s="21" t="s">
        <v>3220</v>
      </c>
      <c r="U2084" s="117" t="s">
        <v>2220</v>
      </c>
      <c r="V2084" s="21" t="s">
        <v>1847</v>
      </c>
      <c r="W2084" s="21" t="s">
        <v>1</v>
      </c>
      <c r="X2084" s="21"/>
      <c r="Z2084" s="21"/>
      <c r="AA2084" s="21"/>
      <c r="AB2084" s="21"/>
      <c r="AC2084" s="21"/>
      <c r="AD2084" s="21"/>
      <c r="AE2084" s="39"/>
      <c r="AF2084" s="39" t="s">
        <v>2042</v>
      </c>
      <c r="AG2084" s="21"/>
      <c r="AH2084" s="25" t="s">
        <v>1516</v>
      </c>
      <c r="AK2084" s="27">
        <v>1815</v>
      </c>
      <c r="AL2084" s="78"/>
      <c r="AN2084" s="28">
        <v>30</v>
      </c>
      <c r="AU2084" s="25" t="s">
        <v>1517</v>
      </c>
      <c r="AX2084" s="27">
        <v>16050</v>
      </c>
      <c r="AY2084" s="78"/>
      <c r="BA2084" s="28">
        <v>50</v>
      </c>
      <c r="BH2084" s="25" t="s">
        <v>1518</v>
      </c>
      <c r="BK2084" s="27">
        <v>26460</v>
      </c>
      <c r="BL2084" s="78"/>
      <c r="BN2084" s="28">
        <v>70</v>
      </c>
      <c r="BU2084" s="25" t="s">
        <v>1519</v>
      </c>
      <c r="BX2084" s="27">
        <v>53190</v>
      </c>
      <c r="BY2084" s="78"/>
      <c r="BZ2084" s="23"/>
      <c r="CA2084" s="28">
        <v>90</v>
      </c>
      <c r="CH2084" s="29"/>
      <c r="CI2084" s="23" t="s">
        <v>397</v>
      </c>
      <c r="CJ2084" s="28">
        <v>30</v>
      </c>
      <c r="CP2084" s="23" t="s">
        <v>1544</v>
      </c>
    </row>
    <row r="2085" spans="1:109" s="14" customFormat="1" x14ac:dyDescent="0.2">
      <c r="A2085" s="29" t="s">
        <v>1520</v>
      </c>
      <c r="B2085" s="29" t="s">
        <v>0</v>
      </c>
      <c r="C2085" s="29">
        <f t="shared" si="168"/>
        <v>400020001</v>
      </c>
      <c r="D2085" s="74" t="s">
        <v>1521</v>
      </c>
      <c r="E2085" s="21" t="s">
        <v>696</v>
      </c>
      <c r="F2085" s="21"/>
      <c r="G2085" s="21"/>
      <c r="H2085" s="21"/>
      <c r="I2085" s="21" t="s">
        <v>918</v>
      </c>
      <c r="J2085" s="21"/>
      <c r="K2085" s="21"/>
      <c r="L2085" s="21"/>
      <c r="M2085" s="21"/>
      <c r="N2085" s="21" t="s">
        <v>4052</v>
      </c>
      <c r="O2085" s="21" t="s">
        <v>158</v>
      </c>
      <c r="P2085" s="21"/>
      <c r="Q2085" s="21" t="s">
        <v>2041</v>
      </c>
      <c r="R2085" s="21"/>
      <c r="S2085" s="21"/>
      <c r="T2085" s="21" t="s">
        <v>3220</v>
      </c>
      <c r="U2085" s="117" t="s">
        <v>2221</v>
      </c>
      <c r="V2085" s="21" t="s">
        <v>1848</v>
      </c>
      <c r="W2085" s="21" t="s">
        <v>1</v>
      </c>
      <c r="X2085" s="21"/>
      <c r="Y2085" s="23"/>
      <c r="Z2085" s="21"/>
      <c r="AA2085" s="21"/>
      <c r="AB2085" s="21"/>
      <c r="AC2085" s="21"/>
      <c r="AD2085" s="21"/>
      <c r="AE2085" s="39"/>
      <c r="AF2085" s="39" t="s">
        <v>2042</v>
      </c>
      <c r="AG2085" s="21"/>
      <c r="AH2085" s="25" t="s">
        <v>1522</v>
      </c>
      <c r="AI2085" s="25"/>
      <c r="AJ2085" s="25"/>
      <c r="AK2085" s="27">
        <v>605</v>
      </c>
      <c r="AL2085" s="78"/>
      <c r="AM2085" s="28"/>
      <c r="AN2085" s="28">
        <v>30</v>
      </c>
      <c r="AO2085" s="28"/>
      <c r="AP2085" s="28"/>
      <c r="AQ2085" s="28"/>
      <c r="AR2085" s="28"/>
      <c r="AS2085" s="28"/>
      <c r="AT2085" s="28"/>
      <c r="AU2085" s="25" t="s">
        <v>1523</v>
      </c>
      <c r="AV2085" s="25"/>
      <c r="AW2085" s="25"/>
      <c r="AX2085" s="27">
        <v>5350</v>
      </c>
      <c r="AY2085" s="78"/>
      <c r="AZ2085" s="28"/>
      <c r="BA2085" s="28">
        <v>50</v>
      </c>
      <c r="BB2085" s="28"/>
      <c r="BC2085" s="28"/>
      <c r="BD2085" s="28"/>
      <c r="BE2085" s="28"/>
      <c r="BF2085" s="28"/>
      <c r="BG2085" s="28"/>
      <c r="BH2085" s="25" t="s">
        <v>1524</v>
      </c>
      <c r="BI2085" s="25"/>
      <c r="BJ2085" s="25"/>
      <c r="BK2085" s="27">
        <v>8820</v>
      </c>
      <c r="BL2085" s="78"/>
      <c r="BM2085" s="28"/>
      <c r="BN2085" s="28">
        <v>70</v>
      </c>
      <c r="BO2085" s="28"/>
      <c r="BP2085" s="28"/>
      <c r="BQ2085" s="28"/>
      <c r="BR2085" s="28"/>
      <c r="BS2085" s="28"/>
      <c r="BT2085" s="28"/>
      <c r="BU2085" s="25" t="s">
        <v>1525</v>
      </c>
      <c r="BV2085" s="25"/>
      <c r="BW2085" s="25"/>
      <c r="BX2085" s="27">
        <v>17730</v>
      </c>
      <c r="BY2085" s="78"/>
      <c r="BZ2085" s="23"/>
      <c r="CA2085" s="28">
        <v>90</v>
      </c>
      <c r="CB2085" s="28"/>
      <c r="CC2085" s="28"/>
      <c r="CD2085" s="28"/>
      <c r="CE2085" s="28"/>
      <c r="CF2085" s="28"/>
      <c r="CG2085" s="28"/>
      <c r="CH2085" s="29"/>
      <c r="CI2085" s="23" t="s">
        <v>397</v>
      </c>
      <c r="CJ2085" s="28">
        <v>30</v>
      </c>
      <c r="CK2085" s="23"/>
      <c r="CL2085" s="23"/>
      <c r="CM2085" s="23"/>
      <c r="CN2085" s="23"/>
      <c r="CO2085" s="23"/>
      <c r="CP2085" s="23" t="s">
        <v>1544</v>
      </c>
      <c r="CQ2085" s="23"/>
      <c r="CR2085" s="23"/>
      <c r="CS2085" s="23"/>
      <c r="CT2085" s="30"/>
      <c r="CU2085" s="30"/>
      <c r="CV2085" s="30"/>
      <c r="CW2085" s="30"/>
      <c r="CX2085" s="30"/>
      <c r="CY2085" s="30"/>
      <c r="CZ2085" s="30"/>
      <c r="DA2085" s="30"/>
      <c r="DB2085" s="30"/>
      <c r="DC2085" s="28"/>
      <c r="DD2085" s="23"/>
      <c r="DE2085" s="23"/>
    </row>
    <row r="2086" spans="1:109" x14ac:dyDescent="0.2">
      <c r="A2086" s="29" t="s">
        <v>1526</v>
      </c>
      <c r="B2086" s="29" t="s">
        <v>0</v>
      </c>
      <c r="C2086" s="29">
        <f t="shared" si="168"/>
        <v>400030001</v>
      </c>
      <c r="D2086" s="74" t="s">
        <v>1527</v>
      </c>
      <c r="E2086" s="21" t="s">
        <v>1898</v>
      </c>
      <c r="F2086" s="21"/>
      <c r="G2086" s="21"/>
      <c r="H2086" s="21"/>
      <c r="I2086" s="21" t="s">
        <v>918</v>
      </c>
      <c r="J2086" s="21"/>
      <c r="K2086" s="21"/>
      <c r="L2086" s="21"/>
      <c r="M2086" s="21"/>
      <c r="N2086" s="21" t="s">
        <v>4052</v>
      </c>
      <c r="O2086" s="21" t="s">
        <v>158</v>
      </c>
      <c r="P2086" s="21"/>
      <c r="Q2086" s="21" t="s">
        <v>2041</v>
      </c>
      <c r="R2086" s="21"/>
      <c r="S2086" s="21"/>
      <c r="T2086" s="21" t="s">
        <v>3220</v>
      </c>
      <c r="U2086" s="117" t="s">
        <v>2222</v>
      </c>
      <c r="V2086" s="21" t="s">
        <v>1849</v>
      </c>
      <c r="W2086" s="21" t="s">
        <v>1</v>
      </c>
      <c r="X2086" s="21"/>
      <c r="Z2086" s="21"/>
      <c r="AA2086" s="21"/>
      <c r="AB2086" s="21"/>
      <c r="AC2086" s="21"/>
      <c r="AD2086" s="21"/>
      <c r="AE2086" s="39"/>
      <c r="AF2086" s="39" t="s">
        <v>2042</v>
      </c>
      <c r="AG2086" s="21"/>
      <c r="AH2086" s="25" t="s">
        <v>1528</v>
      </c>
      <c r="AK2086" s="27">
        <v>1815</v>
      </c>
      <c r="AL2086" s="78"/>
      <c r="AN2086" s="28">
        <v>30</v>
      </c>
      <c r="AU2086" s="25" t="s">
        <v>1529</v>
      </c>
      <c r="AX2086" s="27">
        <v>16050</v>
      </c>
      <c r="AY2086" s="78"/>
      <c r="BA2086" s="28">
        <v>50</v>
      </c>
      <c r="BH2086" s="25" t="s">
        <v>1530</v>
      </c>
      <c r="BK2086" s="27">
        <v>26460</v>
      </c>
      <c r="BL2086" s="78"/>
      <c r="BN2086" s="28">
        <v>70</v>
      </c>
      <c r="BU2086" s="25" t="s">
        <v>1531</v>
      </c>
      <c r="BX2086" s="27">
        <v>53190</v>
      </c>
      <c r="BY2086" s="78"/>
      <c r="BZ2086" s="23"/>
      <c r="CA2086" s="28">
        <v>90</v>
      </c>
      <c r="CH2086" s="29"/>
      <c r="CI2086" s="23" t="s">
        <v>397</v>
      </c>
      <c r="CJ2086" s="28">
        <v>30</v>
      </c>
      <c r="CP2086" s="23" t="s">
        <v>1544</v>
      </c>
    </row>
    <row r="2087" spans="1:109" x14ac:dyDescent="0.2">
      <c r="A2087" s="29" t="s">
        <v>1532</v>
      </c>
      <c r="B2087" s="29" t="s">
        <v>0</v>
      </c>
      <c r="C2087" s="29">
        <f t="shared" si="168"/>
        <v>400040001</v>
      </c>
      <c r="D2087" s="74" t="s">
        <v>1533</v>
      </c>
      <c r="E2087" s="21" t="s">
        <v>652</v>
      </c>
      <c r="F2087" s="21"/>
      <c r="G2087" s="21"/>
      <c r="H2087" s="21"/>
      <c r="I2087" s="21" t="s">
        <v>918</v>
      </c>
      <c r="J2087" s="21"/>
      <c r="K2087" s="21"/>
      <c r="L2087" s="21"/>
      <c r="M2087" s="21"/>
      <c r="N2087" s="21" t="s">
        <v>4052</v>
      </c>
      <c r="O2087" s="21" t="s">
        <v>158</v>
      </c>
      <c r="P2087" s="21"/>
      <c r="Q2087" s="21" t="s">
        <v>2041</v>
      </c>
      <c r="R2087" s="21"/>
      <c r="S2087" s="21"/>
      <c r="T2087" s="21" t="s">
        <v>3220</v>
      </c>
      <c r="U2087" s="117" t="s">
        <v>2223</v>
      </c>
      <c r="V2087" s="21" t="s">
        <v>1850</v>
      </c>
      <c r="W2087" s="21" t="s">
        <v>1</v>
      </c>
      <c r="X2087" s="21"/>
      <c r="Z2087" s="21"/>
      <c r="AA2087" s="21"/>
      <c r="AB2087" s="21"/>
      <c r="AC2087" s="21"/>
      <c r="AD2087" s="21"/>
      <c r="AE2087" s="39"/>
      <c r="AF2087" s="39" t="s">
        <v>2042</v>
      </c>
      <c r="AG2087" s="21"/>
      <c r="AH2087" s="25" t="s">
        <v>1534</v>
      </c>
      <c r="AK2087" s="27">
        <v>1815</v>
      </c>
      <c r="AL2087" s="78"/>
      <c r="AN2087" s="28">
        <v>30</v>
      </c>
      <c r="AU2087" s="25" t="s">
        <v>1535</v>
      </c>
      <c r="AX2087" s="27">
        <v>16050</v>
      </c>
      <c r="AY2087" s="78"/>
      <c r="BA2087" s="28">
        <v>50</v>
      </c>
      <c r="BH2087" s="25" t="s">
        <v>1536</v>
      </c>
      <c r="BK2087" s="27">
        <v>26460</v>
      </c>
      <c r="BL2087" s="78"/>
      <c r="BN2087" s="28">
        <v>70</v>
      </c>
      <c r="BU2087" s="25" t="s">
        <v>1537</v>
      </c>
      <c r="BX2087" s="27">
        <v>53190</v>
      </c>
      <c r="BY2087" s="78"/>
      <c r="BZ2087" s="23"/>
      <c r="CA2087" s="28">
        <v>90</v>
      </c>
      <c r="CH2087" s="29"/>
      <c r="CI2087" s="23" t="s">
        <v>397</v>
      </c>
      <c r="CJ2087" s="28">
        <v>30</v>
      </c>
      <c r="CP2087" s="23" t="s">
        <v>1544</v>
      </c>
    </row>
    <row r="2088" spans="1:109" x14ac:dyDescent="0.2">
      <c r="A2088" s="29" t="s">
        <v>1538</v>
      </c>
      <c r="B2088" s="29" t="s">
        <v>0</v>
      </c>
      <c r="C2088" s="29">
        <f t="shared" si="168"/>
        <v>400050001</v>
      </c>
      <c r="D2088" s="74" t="s">
        <v>1539</v>
      </c>
      <c r="E2088" s="21" t="s">
        <v>1118</v>
      </c>
      <c r="F2088" s="21"/>
      <c r="G2088" s="21"/>
      <c r="H2088" s="21"/>
      <c r="I2088" s="21" t="s">
        <v>918</v>
      </c>
      <c r="J2088" s="21"/>
      <c r="K2088" s="21"/>
      <c r="L2088" s="21"/>
      <c r="M2088" s="21"/>
      <c r="N2088" s="21" t="s">
        <v>4052</v>
      </c>
      <c r="O2088" s="21" t="s">
        <v>158</v>
      </c>
      <c r="P2088" s="21"/>
      <c r="Q2088" s="21" t="s">
        <v>2041</v>
      </c>
      <c r="R2088" s="21"/>
      <c r="S2088" s="21"/>
      <c r="T2088" s="21" t="s">
        <v>3220</v>
      </c>
      <c r="U2088" s="117" t="s">
        <v>2224</v>
      </c>
      <c r="V2088" s="21" t="s">
        <v>1851</v>
      </c>
      <c r="W2088" s="21" t="s">
        <v>1</v>
      </c>
      <c r="X2088" s="21"/>
      <c r="Z2088" s="21"/>
      <c r="AA2088" s="21"/>
      <c r="AB2088" s="21"/>
      <c r="AC2088" s="21"/>
      <c r="AD2088" s="21"/>
      <c r="AE2088" s="39"/>
      <c r="AF2088" s="39" t="s">
        <v>2042</v>
      </c>
      <c r="AG2088" s="21"/>
      <c r="AH2088" s="25" t="s">
        <v>1540</v>
      </c>
      <c r="AK2088" s="27">
        <v>605</v>
      </c>
      <c r="AL2088" s="78"/>
      <c r="AN2088" s="28">
        <v>30</v>
      </c>
      <c r="AU2088" s="25" t="s">
        <v>1541</v>
      </c>
      <c r="AX2088" s="27">
        <v>5350</v>
      </c>
      <c r="AY2088" s="78"/>
      <c r="BA2088" s="28">
        <v>50</v>
      </c>
      <c r="BH2088" s="25" t="s">
        <v>1542</v>
      </c>
      <c r="BK2088" s="27">
        <v>8820</v>
      </c>
      <c r="BL2088" s="78"/>
      <c r="BN2088" s="28">
        <v>70</v>
      </c>
      <c r="BU2088" s="25" t="s">
        <v>1543</v>
      </c>
      <c r="BX2088" s="27">
        <v>17730</v>
      </c>
      <c r="BY2088" s="78"/>
      <c r="BZ2088" s="23"/>
      <c r="CA2088" s="28">
        <v>90</v>
      </c>
      <c r="CH2088" s="29"/>
      <c r="CI2088" s="23" t="s">
        <v>397</v>
      </c>
      <c r="CJ2088" s="28">
        <v>30</v>
      </c>
      <c r="CP2088" s="23" t="s">
        <v>1544</v>
      </c>
    </row>
    <row r="2089" spans="1:109" x14ac:dyDescent="0.2">
      <c r="A2089" s="29" t="s">
        <v>4139</v>
      </c>
      <c r="B2089" s="29" t="s">
        <v>0</v>
      </c>
      <c r="C2089" s="29">
        <f t="shared" ref="C2089" si="189">A2089*10000+B2089</f>
        <v>400060001</v>
      </c>
      <c r="D2089" s="74" t="s">
        <v>4141</v>
      </c>
      <c r="E2089" s="21" t="s">
        <v>4231</v>
      </c>
      <c r="F2089" s="21"/>
      <c r="G2089" s="21"/>
      <c r="H2089" s="21"/>
      <c r="I2089" s="21" t="s">
        <v>918</v>
      </c>
      <c r="J2089" s="21"/>
      <c r="K2089" s="21"/>
      <c r="L2089" s="21"/>
      <c r="M2089" s="21"/>
      <c r="N2089" s="21" t="s">
        <v>4052</v>
      </c>
      <c r="O2089" s="21" t="s">
        <v>158</v>
      </c>
      <c r="P2089" s="21"/>
      <c r="Q2089" s="21" t="s">
        <v>2041</v>
      </c>
      <c r="R2089" s="21"/>
      <c r="S2089" s="21"/>
      <c r="T2089" s="21" t="s">
        <v>3220</v>
      </c>
      <c r="U2089" s="117" t="s">
        <v>4142</v>
      </c>
      <c r="V2089" s="21" t="s">
        <v>4140</v>
      </c>
      <c r="W2089" s="21" t="s">
        <v>1</v>
      </c>
      <c r="X2089" s="21"/>
      <c r="Z2089" s="21"/>
      <c r="AA2089" s="21"/>
      <c r="AB2089" s="21"/>
      <c r="AC2089" s="21"/>
      <c r="AD2089" s="21"/>
      <c r="AE2089" s="39"/>
      <c r="AF2089" s="39" t="s">
        <v>2042</v>
      </c>
      <c r="AG2089" s="21"/>
      <c r="AH2089" s="25" t="s">
        <v>4239</v>
      </c>
      <c r="AK2089" s="27">
        <v>605</v>
      </c>
      <c r="AL2089" s="78"/>
      <c r="AN2089" s="28">
        <v>30</v>
      </c>
      <c r="AU2089" s="25" t="s">
        <v>4240</v>
      </c>
      <c r="AX2089" s="27">
        <v>5350</v>
      </c>
      <c r="AY2089" s="78"/>
      <c r="BA2089" s="28">
        <v>50</v>
      </c>
      <c r="BH2089" s="25" t="s">
        <v>4241</v>
      </c>
      <c r="BK2089" s="27">
        <v>8820</v>
      </c>
      <c r="BL2089" s="78"/>
      <c r="BN2089" s="28">
        <v>70</v>
      </c>
      <c r="BU2089" s="25" t="s">
        <v>4242</v>
      </c>
      <c r="BX2089" s="27">
        <v>17730</v>
      </c>
      <c r="BY2089" s="78"/>
      <c r="BZ2089" s="23"/>
      <c r="CA2089" s="28">
        <v>90</v>
      </c>
      <c r="CH2089" s="29"/>
      <c r="CI2089" s="23" t="s">
        <v>397</v>
      </c>
      <c r="CJ2089" s="28">
        <v>30</v>
      </c>
      <c r="CP2089" s="23" t="s">
        <v>932</v>
      </c>
    </row>
    <row r="2090" spans="1:109" ht="17.25" x14ac:dyDescent="0.3">
      <c r="A2090" s="8"/>
      <c r="B2090" s="8"/>
      <c r="C2090" s="8">
        <f t="shared" si="168"/>
        <v>0</v>
      </c>
      <c r="D2090" s="8"/>
      <c r="E2090" s="9" t="s">
        <v>1259</v>
      </c>
      <c r="F2090" s="9"/>
      <c r="G2090" s="9"/>
      <c r="H2090" s="9"/>
      <c r="I2090" s="10"/>
      <c r="J2090" s="10"/>
      <c r="K2090" s="10"/>
      <c r="L2090" s="10"/>
      <c r="M2090" s="10"/>
      <c r="N2090" s="10"/>
      <c r="O2090" s="10"/>
      <c r="P2090" s="10"/>
      <c r="Q2090" s="10"/>
      <c r="R2090" s="10"/>
      <c r="S2090" s="10"/>
      <c r="T2090" s="10"/>
      <c r="U2090" s="10"/>
      <c r="V2090" s="10"/>
      <c r="W2090" s="10"/>
      <c r="X2090" s="10"/>
      <c r="Y2090" s="11"/>
      <c r="Z2090" s="10"/>
      <c r="AA2090" s="10"/>
      <c r="AB2090" s="10"/>
      <c r="AC2090" s="10"/>
      <c r="AD2090" s="10"/>
      <c r="AE2090" s="12"/>
      <c r="AF2090" s="12"/>
      <c r="AG2090" s="10"/>
      <c r="AH2090" s="13"/>
      <c r="AI2090" s="13"/>
      <c r="AJ2090" s="13"/>
      <c r="AK2090" s="15"/>
      <c r="AL2090" s="15"/>
      <c r="AM2090" s="15"/>
      <c r="AN2090" s="15"/>
      <c r="AO2090" s="15"/>
      <c r="AP2090" s="15"/>
      <c r="AQ2090" s="15"/>
      <c r="AR2090" s="15"/>
      <c r="AS2090" s="15"/>
      <c r="AT2090" s="15"/>
      <c r="AU2090" s="13"/>
      <c r="AV2090" s="13"/>
      <c r="AW2090" s="13"/>
      <c r="AX2090" s="31"/>
      <c r="AY2090" s="31"/>
      <c r="AZ2090" s="15"/>
      <c r="BA2090" s="15"/>
      <c r="BB2090" s="15"/>
      <c r="BC2090" s="15"/>
      <c r="BD2090" s="15"/>
      <c r="BE2090" s="15"/>
      <c r="BF2090" s="15"/>
      <c r="BG2090" s="15"/>
      <c r="BH2090" s="13"/>
      <c r="BI2090" s="13"/>
      <c r="BJ2090" s="13"/>
      <c r="BK2090" s="31"/>
      <c r="BL2090" s="31"/>
      <c r="BM2090" s="15"/>
      <c r="BN2090" s="15"/>
      <c r="BO2090" s="15"/>
      <c r="BP2090" s="15"/>
      <c r="BQ2090" s="15"/>
      <c r="BR2090" s="15"/>
      <c r="BS2090" s="15"/>
      <c r="BT2090" s="15"/>
      <c r="BU2090" s="13"/>
      <c r="BV2090" s="13"/>
      <c r="BW2090" s="13"/>
      <c r="BX2090" s="31"/>
      <c r="BY2090" s="31"/>
      <c r="BZ2090" s="15"/>
      <c r="CA2090" s="15"/>
      <c r="CB2090" s="15"/>
      <c r="CC2090" s="15"/>
      <c r="CD2090" s="15"/>
      <c r="CE2090" s="15"/>
      <c r="CF2090" s="15"/>
      <c r="CG2090" s="15"/>
      <c r="CH2090" s="10"/>
      <c r="CI2090" s="8"/>
      <c r="CJ2090" s="16"/>
      <c r="CK2090" s="8"/>
      <c r="CL2090" s="14"/>
      <c r="CM2090" s="14"/>
      <c r="CN2090" s="14"/>
      <c r="CO2090" s="14"/>
      <c r="CP2090" s="14"/>
      <c r="CQ2090" s="14"/>
      <c r="CR2090" s="14"/>
      <c r="CS2090" s="14"/>
      <c r="CT2090" s="17"/>
      <c r="CU2090" s="17"/>
      <c r="CV2090" s="17"/>
      <c r="CW2090" s="17"/>
      <c r="CX2090" s="17"/>
      <c r="CY2090" s="17"/>
      <c r="CZ2090" s="17"/>
      <c r="DA2090" s="17"/>
      <c r="DB2090" s="17"/>
      <c r="DC2090" s="15"/>
      <c r="DD2090" s="14"/>
      <c r="DE2090" s="14"/>
    </row>
    <row r="2091" spans="1:109" x14ac:dyDescent="0.2">
      <c r="A2091" s="18">
        <v>9001</v>
      </c>
      <c r="B2091" s="19">
        <v>1</v>
      </c>
      <c r="C2091" s="19">
        <f t="shared" si="168"/>
        <v>90010001</v>
      </c>
      <c r="D2091" s="19" t="s">
        <v>1267</v>
      </c>
      <c r="E2091" s="20" t="s">
        <v>1304</v>
      </c>
      <c r="I2091" s="22" t="s">
        <v>98</v>
      </c>
      <c r="J2091" s="22"/>
      <c r="K2091" s="22"/>
      <c r="L2091" s="22"/>
      <c r="M2091" s="22"/>
      <c r="N2091" s="22" t="s">
        <v>1302</v>
      </c>
      <c r="O2091" s="22" t="s">
        <v>1302</v>
      </c>
      <c r="P2091" s="22"/>
      <c r="Q2091" s="22" t="s">
        <v>4846</v>
      </c>
      <c r="R2091" s="22" t="s">
        <v>181</v>
      </c>
      <c r="S2091" s="22" t="s">
        <v>865</v>
      </c>
      <c r="T2091" s="22" t="s">
        <v>3221</v>
      </c>
      <c r="U2091" s="116" t="s">
        <v>3222</v>
      </c>
      <c r="V2091" s="22" t="s">
        <v>1843</v>
      </c>
      <c r="W2091" s="22" t="s">
        <v>1</v>
      </c>
      <c r="X2091" s="22"/>
      <c r="Z2091" s="23" t="s">
        <v>1305</v>
      </c>
      <c r="AA2091" s="22"/>
      <c r="AB2091" s="22"/>
      <c r="AC2091" s="22"/>
      <c r="AD2091" s="22"/>
      <c r="AE2091" s="24"/>
      <c r="AF2091" s="24" t="s">
        <v>2043</v>
      </c>
      <c r="AG2091" s="22"/>
      <c r="AH2091" s="23"/>
      <c r="AI2091" s="23" t="s">
        <v>130</v>
      </c>
      <c r="AJ2091" s="23"/>
      <c r="AK2091" s="40"/>
      <c r="AL2091" s="40"/>
      <c r="AX2091" s="27"/>
      <c r="AY2091" s="27"/>
      <c r="BK2091" s="27"/>
      <c r="BL2091" s="27"/>
      <c r="BX2091" s="27"/>
      <c r="BY2091" s="27"/>
      <c r="CH2091" s="29"/>
      <c r="CI2091" s="23" t="s">
        <v>1266</v>
      </c>
      <c r="CJ2091" s="28" t="s">
        <v>181</v>
      </c>
      <c r="CM2091" s="23" t="s">
        <v>22</v>
      </c>
    </row>
    <row r="2092" spans="1:109" s="14" customFormat="1" ht="16.5" x14ac:dyDescent="0.3">
      <c r="A2092" s="18">
        <v>9001</v>
      </c>
      <c r="B2092" s="19">
        <v>2</v>
      </c>
      <c r="C2092" s="19">
        <f t="shared" si="168"/>
        <v>90010002</v>
      </c>
      <c r="D2092" s="19" t="s">
        <v>1268</v>
      </c>
      <c r="E2092" s="20" t="s">
        <v>1304</v>
      </c>
      <c r="F2092" s="20"/>
      <c r="G2092" s="20"/>
      <c r="H2092" s="20"/>
      <c r="I2092" s="22" t="s">
        <v>98</v>
      </c>
      <c r="J2092" s="22"/>
      <c r="K2092" s="22"/>
      <c r="L2092" s="22"/>
      <c r="M2092" s="22"/>
      <c r="N2092" s="22" t="s">
        <v>1302</v>
      </c>
      <c r="O2092" s="22" t="s">
        <v>1302</v>
      </c>
      <c r="P2092" s="22"/>
      <c r="Q2092" s="22" t="s">
        <v>4846</v>
      </c>
      <c r="R2092" s="22" t="s">
        <v>181</v>
      </c>
      <c r="S2092" s="22" t="s">
        <v>865</v>
      </c>
      <c r="T2092" s="22" t="s">
        <v>3221</v>
      </c>
      <c r="U2092" s="116" t="s">
        <v>3223</v>
      </c>
      <c r="V2092" s="22" t="s">
        <v>1842</v>
      </c>
      <c r="W2092" s="22" t="s">
        <v>1</v>
      </c>
      <c r="X2092" s="22"/>
      <c r="Y2092" s="23"/>
      <c r="Z2092" s="94" t="s">
        <v>1306</v>
      </c>
      <c r="AA2092" s="22"/>
      <c r="AB2092" s="22"/>
      <c r="AC2092" s="22"/>
      <c r="AD2092" s="22"/>
      <c r="AE2092" s="24"/>
      <c r="AF2092" s="24" t="s">
        <v>2043</v>
      </c>
      <c r="AG2092" s="22"/>
      <c r="AH2092" s="23"/>
      <c r="AI2092" s="23" t="s">
        <v>131</v>
      </c>
      <c r="AJ2092" s="23"/>
      <c r="AK2092" s="40"/>
      <c r="AL2092" s="40"/>
      <c r="AM2092" s="28"/>
      <c r="AN2092" s="28"/>
      <c r="AO2092" s="28"/>
      <c r="AP2092" s="28"/>
      <c r="AQ2092" s="28"/>
      <c r="AR2092" s="28"/>
      <c r="AS2092" s="28"/>
      <c r="AT2092" s="28"/>
      <c r="AU2092" s="25"/>
      <c r="AV2092" s="25"/>
      <c r="AW2092" s="25"/>
      <c r="AX2092" s="27"/>
      <c r="AY2092" s="27"/>
      <c r="AZ2092" s="28"/>
      <c r="BA2092" s="28"/>
      <c r="BB2092" s="28"/>
      <c r="BC2092" s="28"/>
      <c r="BD2092" s="28"/>
      <c r="BE2092" s="28"/>
      <c r="BF2092" s="28"/>
      <c r="BG2092" s="28"/>
      <c r="BH2092" s="25"/>
      <c r="BI2092" s="25"/>
      <c r="BJ2092" s="25"/>
      <c r="BK2092" s="27"/>
      <c r="BL2092" s="27"/>
      <c r="BM2092" s="28"/>
      <c r="BN2092" s="28"/>
      <c r="BO2092" s="28"/>
      <c r="BP2092" s="28"/>
      <c r="BQ2092" s="28"/>
      <c r="BR2092" s="28"/>
      <c r="BS2092" s="28"/>
      <c r="BT2092" s="28"/>
      <c r="BU2092" s="25"/>
      <c r="BV2092" s="25"/>
      <c r="BW2092" s="25"/>
      <c r="BX2092" s="27"/>
      <c r="BY2092" s="27"/>
      <c r="BZ2092" s="28"/>
      <c r="CA2092" s="28"/>
      <c r="CB2092" s="28"/>
      <c r="CC2092" s="28"/>
      <c r="CD2092" s="28"/>
      <c r="CE2092" s="28"/>
      <c r="CF2092" s="28"/>
      <c r="CG2092" s="28"/>
      <c r="CH2092" s="29"/>
      <c r="CI2092" s="23" t="s">
        <v>1266</v>
      </c>
      <c r="CJ2092" s="28" t="s">
        <v>181</v>
      </c>
      <c r="CK2092" s="23"/>
      <c r="CL2092" s="23"/>
      <c r="CM2092" s="23" t="s">
        <v>27</v>
      </c>
      <c r="CN2092" s="23"/>
      <c r="CO2092" s="23"/>
      <c r="CP2092" s="23"/>
      <c r="CQ2092" s="23"/>
      <c r="CR2092" s="23"/>
      <c r="CS2092" s="23"/>
      <c r="CT2092" s="30"/>
      <c r="CU2092" s="30"/>
      <c r="CV2092" s="30"/>
      <c r="CW2092" s="30"/>
      <c r="CX2092" s="30"/>
      <c r="CY2092" s="30"/>
      <c r="CZ2092" s="30"/>
      <c r="DA2092" s="30"/>
      <c r="DB2092" s="30"/>
      <c r="DC2092" s="28"/>
      <c r="DD2092" s="23"/>
      <c r="DE2092" s="23"/>
    </row>
    <row r="2093" spans="1:109" x14ac:dyDescent="0.2">
      <c r="A2093" s="18">
        <v>9001</v>
      </c>
      <c r="B2093" s="19">
        <v>3</v>
      </c>
      <c r="C2093" s="19">
        <f t="shared" si="168"/>
        <v>90010003</v>
      </c>
      <c r="D2093" s="19" t="s">
        <v>1269</v>
      </c>
      <c r="E2093" s="20" t="s">
        <v>1304</v>
      </c>
      <c r="I2093" s="22" t="s">
        <v>98</v>
      </c>
      <c r="J2093" s="22"/>
      <c r="K2093" s="22"/>
      <c r="L2093" s="22"/>
      <c r="M2093" s="22"/>
      <c r="N2093" s="22" t="s">
        <v>1302</v>
      </c>
      <c r="O2093" s="22" t="s">
        <v>1302</v>
      </c>
      <c r="P2093" s="22"/>
      <c r="Q2093" s="22" t="s">
        <v>4846</v>
      </c>
      <c r="R2093" s="22" t="s">
        <v>181</v>
      </c>
      <c r="S2093" s="22" t="s">
        <v>865</v>
      </c>
      <c r="T2093" s="22" t="s">
        <v>3221</v>
      </c>
      <c r="U2093" s="116" t="s">
        <v>3224</v>
      </c>
      <c r="V2093" s="22" t="s">
        <v>1842</v>
      </c>
      <c r="W2093" s="22" t="s">
        <v>1</v>
      </c>
      <c r="X2093" s="22"/>
      <c r="Z2093" s="23" t="s">
        <v>1307</v>
      </c>
      <c r="AA2093" s="22"/>
      <c r="AB2093" s="22"/>
      <c r="AC2093" s="22"/>
      <c r="AD2093" s="22"/>
      <c r="AE2093" s="24"/>
      <c r="AF2093" s="24" t="s">
        <v>2043</v>
      </c>
      <c r="AG2093" s="22"/>
      <c r="AH2093" s="23"/>
      <c r="AI2093" s="23" t="s">
        <v>20</v>
      </c>
      <c r="AJ2093" s="23"/>
      <c r="AK2093" s="40"/>
      <c r="AL2093" s="40"/>
      <c r="AX2093" s="27"/>
      <c r="AY2093" s="27"/>
      <c r="BK2093" s="27"/>
      <c r="BL2093" s="27"/>
      <c r="BX2093" s="27"/>
      <c r="BY2093" s="27"/>
      <c r="CH2093" s="29"/>
      <c r="CI2093" s="23" t="s">
        <v>1266</v>
      </c>
      <c r="CJ2093" s="28" t="s">
        <v>0</v>
      </c>
      <c r="CM2093" s="23" t="s">
        <v>1</v>
      </c>
    </row>
    <row r="2094" spans="1:109" ht="16.5" x14ac:dyDescent="0.3">
      <c r="A2094" s="18">
        <v>9001</v>
      </c>
      <c r="B2094" s="19">
        <v>4</v>
      </c>
      <c r="C2094" s="19">
        <f t="shared" si="168"/>
        <v>90010004</v>
      </c>
      <c r="D2094" s="19" t="s">
        <v>1270</v>
      </c>
      <c r="E2094" s="20" t="s">
        <v>1304</v>
      </c>
      <c r="I2094" s="22" t="s">
        <v>98</v>
      </c>
      <c r="J2094" s="22"/>
      <c r="K2094" s="22"/>
      <c r="L2094" s="22"/>
      <c r="M2094" s="22"/>
      <c r="N2094" s="22" t="s">
        <v>1302</v>
      </c>
      <c r="O2094" s="22" t="s">
        <v>1302</v>
      </c>
      <c r="P2094" s="22"/>
      <c r="Q2094" s="22" t="s">
        <v>4846</v>
      </c>
      <c r="R2094" s="22" t="s">
        <v>181</v>
      </c>
      <c r="S2094" s="22" t="s">
        <v>865</v>
      </c>
      <c r="T2094" s="22" t="s">
        <v>3221</v>
      </c>
      <c r="U2094" s="116" t="s">
        <v>3225</v>
      </c>
      <c r="V2094" s="22" t="s">
        <v>1842</v>
      </c>
      <c r="W2094" s="22" t="s">
        <v>1</v>
      </c>
      <c r="X2094" s="22"/>
      <c r="Z2094" s="94" t="s">
        <v>1308</v>
      </c>
      <c r="AA2094" s="22"/>
      <c r="AB2094" s="22"/>
      <c r="AC2094" s="22"/>
      <c r="AD2094" s="22"/>
      <c r="AE2094" s="24"/>
      <c r="AF2094" s="24" t="s">
        <v>2043</v>
      </c>
      <c r="AG2094" s="22"/>
      <c r="AH2094" s="23"/>
      <c r="AI2094" s="23" t="s">
        <v>21</v>
      </c>
      <c r="AJ2094" s="23"/>
      <c r="AK2094" s="40"/>
      <c r="AL2094" s="40"/>
      <c r="AX2094" s="27"/>
      <c r="AY2094" s="27"/>
      <c r="BK2094" s="27"/>
      <c r="BL2094" s="27"/>
      <c r="BX2094" s="27"/>
      <c r="BY2094" s="27"/>
      <c r="CH2094" s="29"/>
      <c r="CI2094" s="23" t="s">
        <v>1266</v>
      </c>
      <c r="CJ2094" s="28" t="s">
        <v>0</v>
      </c>
      <c r="CM2094" s="23" t="s">
        <v>123</v>
      </c>
    </row>
    <row r="2095" spans="1:109" ht="16.5" x14ac:dyDescent="0.3">
      <c r="A2095" s="18">
        <v>9001</v>
      </c>
      <c r="B2095" s="19">
        <v>5</v>
      </c>
      <c r="C2095" s="19">
        <f t="shared" si="168"/>
        <v>90010005</v>
      </c>
      <c r="D2095" s="19" t="s">
        <v>1271</v>
      </c>
      <c r="E2095" s="20" t="s">
        <v>1304</v>
      </c>
      <c r="I2095" s="22" t="s">
        <v>98</v>
      </c>
      <c r="J2095" s="22"/>
      <c r="K2095" s="22"/>
      <c r="L2095" s="22"/>
      <c r="M2095" s="22"/>
      <c r="N2095" s="22" t="s">
        <v>1302</v>
      </c>
      <c r="O2095" s="22" t="s">
        <v>1302</v>
      </c>
      <c r="P2095" s="22"/>
      <c r="Q2095" s="22" t="s">
        <v>4846</v>
      </c>
      <c r="R2095" s="22" t="s">
        <v>181</v>
      </c>
      <c r="S2095" s="22" t="s">
        <v>865</v>
      </c>
      <c r="T2095" s="22" t="s">
        <v>3221</v>
      </c>
      <c r="U2095" s="116" t="s">
        <v>3226</v>
      </c>
      <c r="V2095" s="22" t="s">
        <v>1842</v>
      </c>
      <c r="W2095" s="22" t="s">
        <v>1</v>
      </c>
      <c r="X2095" s="22"/>
      <c r="Z2095" s="94" t="s">
        <v>1308</v>
      </c>
      <c r="AA2095" s="22"/>
      <c r="AB2095" s="22"/>
      <c r="AC2095" s="22"/>
      <c r="AD2095" s="22"/>
      <c r="AE2095" s="24"/>
      <c r="AF2095" s="24" t="s">
        <v>2043</v>
      </c>
      <c r="AG2095" s="22"/>
      <c r="AH2095" s="23"/>
      <c r="AI2095" s="23" t="s">
        <v>487</v>
      </c>
      <c r="AJ2095" s="23"/>
      <c r="AK2095" s="40"/>
      <c r="AL2095" s="40"/>
      <c r="AX2095" s="27"/>
      <c r="AY2095" s="27"/>
      <c r="BK2095" s="27"/>
      <c r="BL2095" s="27"/>
      <c r="BX2095" s="27"/>
      <c r="BY2095" s="27"/>
      <c r="CH2095" s="29"/>
      <c r="CI2095" s="23" t="s">
        <v>1266</v>
      </c>
      <c r="CJ2095" s="28" t="s">
        <v>0</v>
      </c>
    </row>
    <row r="2096" spans="1:109" ht="17.25" x14ac:dyDescent="0.3">
      <c r="A2096" s="8"/>
      <c r="B2096" s="8"/>
      <c r="C2096" s="8">
        <f t="shared" si="168"/>
        <v>0</v>
      </c>
      <c r="D2096" s="8"/>
      <c r="E2096" s="9" t="s">
        <v>1260</v>
      </c>
      <c r="F2096" s="9"/>
      <c r="G2096" s="9"/>
      <c r="H2096" s="9"/>
      <c r="I2096" s="10"/>
      <c r="J2096" s="10"/>
      <c r="K2096" s="10"/>
      <c r="L2096" s="10"/>
      <c r="M2096" s="10"/>
      <c r="N2096" s="10"/>
      <c r="O2096" s="10"/>
      <c r="P2096" s="10"/>
      <c r="Q2096" s="10"/>
      <c r="R2096" s="10"/>
      <c r="S2096" s="10"/>
      <c r="T2096" s="10"/>
      <c r="U2096" s="10"/>
      <c r="V2096" s="10"/>
      <c r="W2096" s="10"/>
      <c r="X2096" s="10"/>
      <c r="Y2096" s="11"/>
      <c r="Z2096" s="10"/>
      <c r="AA2096" s="10"/>
      <c r="AB2096" s="10"/>
      <c r="AC2096" s="10"/>
      <c r="AD2096" s="10"/>
      <c r="AE2096" s="12"/>
      <c r="AF2096" s="24" t="s">
        <v>2043</v>
      </c>
      <c r="AG2096" s="10"/>
      <c r="AH2096" s="13"/>
      <c r="AI2096" s="13"/>
      <c r="AJ2096" s="13"/>
      <c r="AK2096" s="15"/>
      <c r="AL2096" s="15"/>
      <c r="AM2096" s="15"/>
      <c r="AN2096" s="15"/>
      <c r="AO2096" s="15"/>
      <c r="AP2096" s="15"/>
      <c r="AQ2096" s="15"/>
      <c r="AR2096" s="15"/>
      <c r="AS2096" s="15"/>
      <c r="AT2096" s="15"/>
      <c r="AU2096" s="13"/>
      <c r="AV2096" s="13"/>
      <c r="AW2096" s="13"/>
      <c r="AX2096" s="31"/>
      <c r="AY2096" s="31"/>
      <c r="AZ2096" s="15"/>
      <c r="BA2096" s="15"/>
      <c r="BB2096" s="15"/>
      <c r="BC2096" s="15"/>
      <c r="BD2096" s="15"/>
      <c r="BE2096" s="15"/>
      <c r="BF2096" s="15"/>
      <c r="BG2096" s="15"/>
      <c r="BH2096" s="13"/>
      <c r="BI2096" s="13"/>
      <c r="BJ2096" s="13"/>
      <c r="BK2096" s="31"/>
      <c r="BL2096" s="31"/>
      <c r="BM2096" s="15"/>
      <c r="BN2096" s="15"/>
      <c r="BO2096" s="15"/>
      <c r="BP2096" s="15"/>
      <c r="BQ2096" s="15"/>
      <c r="BR2096" s="15"/>
      <c r="BS2096" s="15"/>
      <c r="BT2096" s="15"/>
      <c r="BU2096" s="13"/>
      <c r="BV2096" s="13"/>
      <c r="BW2096" s="13"/>
      <c r="BX2096" s="31"/>
      <c r="BY2096" s="31"/>
      <c r="BZ2096" s="15"/>
      <c r="CA2096" s="15"/>
      <c r="CB2096" s="15"/>
      <c r="CC2096" s="15"/>
      <c r="CD2096" s="15"/>
      <c r="CE2096" s="15"/>
      <c r="CF2096" s="15"/>
      <c r="CG2096" s="15"/>
      <c r="CH2096" s="10"/>
      <c r="CI2096" s="8"/>
      <c r="CJ2096" s="16"/>
      <c r="CK2096" s="8"/>
      <c r="CL2096" s="14"/>
      <c r="CM2096" s="14"/>
      <c r="CN2096" s="14"/>
      <c r="CO2096" s="14"/>
      <c r="CP2096" s="14"/>
      <c r="CQ2096" s="14"/>
      <c r="CR2096" s="14"/>
      <c r="CS2096" s="14"/>
      <c r="CT2096" s="17"/>
      <c r="CU2096" s="17"/>
      <c r="CV2096" s="17"/>
      <c r="CW2096" s="17"/>
      <c r="CX2096" s="17"/>
      <c r="CY2096" s="17"/>
      <c r="CZ2096" s="17"/>
      <c r="DA2096" s="17"/>
      <c r="DB2096" s="17"/>
      <c r="DC2096" s="15"/>
      <c r="DD2096" s="14"/>
      <c r="DE2096" s="14"/>
    </row>
    <row r="2097" spans="1:109" ht="16.5" x14ac:dyDescent="0.2">
      <c r="A2097" s="18">
        <v>9002</v>
      </c>
      <c r="B2097" s="19">
        <v>1</v>
      </c>
      <c r="C2097" s="19">
        <f t="shared" si="168"/>
        <v>90020001</v>
      </c>
      <c r="D2097" s="19" t="s">
        <v>1272</v>
      </c>
      <c r="E2097" s="20" t="s">
        <v>1304</v>
      </c>
      <c r="I2097" s="22" t="s">
        <v>98</v>
      </c>
      <c r="J2097" s="22"/>
      <c r="K2097" s="22"/>
      <c r="L2097" s="22"/>
      <c r="M2097" s="22"/>
      <c r="N2097" s="22" t="s">
        <v>1302</v>
      </c>
      <c r="O2097" s="22" t="s">
        <v>1302</v>
      </c>
      <c r="P2097" s="22"/>
      <c r="Q2097" s="22" t="s">
        <v>4847</v>
      </c>
      <c r="R2097" s="22" t="s">
        <v>181</v>
      </c>
      <c r="S2097" s="22" t="s">
        <v>865</v>
      </c>
      <c r="T2097" s="22" t="s">
        <v>3221</v>
      </c>
      <c r="U2097" s="116" t="s">
        <v>3227</v>
      </c>
      <c r="V2097" s="22" t="s">
        <v>1852</v>
      </c>
      <c r="W2097" s="22" t="s">
        <v>1</v>
      </c>
      <c r="X2097" s="22"/>
      <c r="Z2097" s="113" t="s">
        <v>2080</v>
      </c>
      <c r="AA2097" s="22"/>
      <c r="AB2097" s="22"/>
      <c r="AC2097" s="22"/>
      <c r="AD2097" s="22"/>
      <c r="AE2097" s="24"/>
      <c r="AF2097" s="24" t="s">
        <v>2043</v>
      </c>
      <c r="AG2097" s="22"/>
      <c r="AH2097" s="23"/>
      <c r="AI2097" s="23" t="s">
        <v>130</v>
      </c>
      <c r="AJ2097" s="23"/>
      <c r="AK2097" s="40"/>
      <c r="AL2097" s="40"/>
      <c r="AX2097" s="27"/>
      <c r="AY2097" s="27"/>
      <c r="BK2097" s="27"/>
      <c r="BL2097" s="27"/>
      <c r="BX2097" s="27"/>
      <c r="BY2097" s="27"/>
      <c r="CH2097" s="29"/>
      <c r="CI2097" s="23" t="s">
        <v>1266</v>
      </c>
      <c r="CJ2097" s="28" t="s">
        <v>181</v>
      </c>
      <c r="CM2097" s="23" t="s">
        <v>22</v>
      </c>
    </row>
    <row r="2098" spans="1:109" s="14" customFormat="1" ht="16.5" x14ac:dyDescent="0.2">
      <c r="A2098" s="18">
        <v>9002</v>
      </c>
      <c r="B2098" s="19">
        <v>2</v>
      </c>
      <c r="C2098" s="19">
        <f t="shared" ref="C2098:C2161" si="190">A2098*10000+B2098</f>
        <v>90020002</v>
      </c>
      <c r="D2098" s="19" t="s">
        <v>1273</v>
      </c>
      <c r="E2098" s="20" t="s">
        <v>1304</v>
      </c>
      <c r="F2098" s="20"/>
      <c r="G2098" s="20"/>
      <c r="H2098" s="20"/>
      <c r="I2098" s="22" t="s">
        <v>98</v>
      </c>
      <c r="J2098" s="22"/>
      <c r="K2098" s="22"/>
      <c r="L2098" s="22"/>
      <c r="M2098" s="22"/>
      <c r="N2098" s="22" t="s">
        <v>1302</v>
      </c>
      <c r="O2098" s="22" t="s">
        <v>1302</v>
      </c>
      <c r="P2098" s="22"/>
      <c r="Q2098" s="22" t="s">
        <v>4847</v>
      </c>
      <c r="R2098" s="22" t="s">
        <v>181</v>
      </c>
      <c r="S2098" s="22" t="s">
        <v>865</v>
      </c>
      <c r="T2098" s="22" t="s">
        <v>3221</v>
      </c>
      <c r="U2098" s="116" t="s">
        <v>3228</v>
      </c>
      <c r="V2098" s="22" t="s">
        <v>1844</v>
      </c>
      <c r="W2098" s="22" t="s">
        <v>1</v>
      </c>
      <c r="X2098" s="22"/>
      <c r="Y2098" s="23"/>
      <c r="Z2098" s="113" t="s">
        <v>2080</v>
      </c>
      <c r="AA2098" s="22"/>
      <c r="AB2098" s="22"/>
      <c r="AC2098" s="22"/>
      <c r="AD2098" s="22"/>
      <c r="AE2098" s="24"/>
      <c r="AF2098" s="24" t="s">
        <v>2043</v>
      </c>
      <c r="AG2098" s="22"/>
      <c r="AH2098" s="23"/>
      <c r="AI2098" s="23" t="s">
        <v>131</v>
      </c>
      <c r="AJ2098" s="23"/>
      <c r="AK2098" s="40"/>
      <c r="AL2098" s="40"/>
      <c r="AM2098" s="28"/>
      <c r="AN2098" s="28"/>
      <c r="AO2098" s="28"/>
      <c r="AP2098" s="28"/>
      <c r="AQ2098" s="28"/>
      <c r="AR2098" s="28"/>
      <c r="AS2098" s="28"/>
      <c r="AT2098" s="28"/>
      <c r="AU2098" s="25"/>
      <c r="AV2098" s="25"/>
      <c r="AW2098" s="25"/>
      <c r="AX2098" s="27"/>
      <c r="AY2098" s="27"/>
      <c r="AZ2098" s="28"/>
      <c r="BA2098" s="28"/>
      <c r="BB2098" s="28"/>
      <c r="BC2098" s="28"/>
      <c r="BD2098" s="28"/>
      <c r="BE2098" s="28"/>
      <c r="BF2098" s="28"/>
      <c r="BG2098" s="28"/>
      <c r="BH2098" s="25"/>
      <c r="BI2098" s="25"/>
      <c r="BJ2098" s="25"/>
      <c r="BK2098" s="27"/>
      <c r="BL2098" s="27"/>
      <c r="BM2098" s="28"/>
      <c r="BN2098" s="28"/>
      <c r="BO2098" s="28"/>
      <c r="BP2098" s="28"/>
      <c r="BQ2098" s="28"/>
      <c r="BR2098" s="28"/>
      <c r="BS2098" s="28"/>
      <c r="BT2098" s="28"/>
      <c r="BU2098" s="25"/>
      <c r="BV2098" s="25"/>
      <c r="BW2098" s="25"/>
      <c r="BX2098" s="27"/>
      <c r="BY2098" s="27"/>
      <c r="BZ2098" s="28"/>
      <c r="CA2098" s="28"/>
      <c r="CB2098" s="28"/>
      <c r="CC2098" s="28"/>
      <c r="CD2098" s="28"/>
      <c r="CE2098" s="28"/>
      <c r="CF2098" s="28"/>
      <c r="CG2098" s="28"/>
      <c r="CH2098" s="29"/>
      <c r="CI2098" s="23" t="s">
        <v>1266</v>
      </c>
      <c r="CJ2098" s="28" t="s">
        <v>181</v>
      </c>
      <c r="CK2098" s="23"/>
      <c r="CL2098" s="23"/>
      <c r="CM2098" s="23" t="s">
        <v>27</v>
      </c>
      <c r="CN2098" s="23"/>
      <c r="CO2098" s="23"/>
      <c r="CP2098" s="23"/>
      <c r="CQ2098" s="23"/>
      <c r="CR2098" s="23"/>
      <c r="CS2098" s="23"/>
      <c r="CT2098" s="30"/>
      <c r="CU2098" s="30"/>
      <c r="CV2098" s="30"/>
      <c r="CW2098" s="30"/>
      <c r="CX2098" s="30"/>
      <c r="CY2098" s="30"/>
      <c r="CZ2098" s="30"/>
      <c r="DA2098" s="30"/>
      <c r="DB2098" s="30"/>
      <c r="DC2098" s="28"/>
      <c r="DD2098" s="23"/>
      <c r="DE2098" s="23"/>
    </row>
    <row r="2099" spans="1:109" ht="16.5" x14ac:dyDescent="0.2">
      <c r="A2099" s="18">
        <v>9002</v>
      </c>
      <c r="B2099" s="19">
        <v>3</v>
      </c>
      <c r="C2099" s="19">
        <f t="shared" si="190"/>
        <v>90020003</v>
      </c>
      <c r="D2099" s="19" t="s">
        <v>1274</v>
      </c>
      <c r="E2099" s="20" t="s">
        <v>1304</v>
      </c>
      <c r="I2099" s="22" t="s">
        <v>98</v>
      </c>
      <c r="J2099" s="22"/>
      <c r="K2099" s="22"/>
      <c r="L2099" s="22"/>
      <c r="M2099" s="22"/>
      <c r="N2099" s="22" t="s">
        <v>1302</v>
      </c>
      <c r="O2099" s="22" t="s">
        <v>1302</v>
      </c>
      <c r="P2099" s="22"/>
      <c r="Q2099" s="22" t="s">
        <v>4847</v>
      </c>
      <c r="R2099" s="22" t="s">
        <v>181</v>
      </c>
      <c r="S2099" s="22" t="s">
        <v>865</v>
      </c>
      <c r="T2099" s="22" t="s">
        <v>3221</v>
      </c>
      <c r="U2099" s="116" t="s">
        <v>3229</v>
      </c>
      <c r="V2099" s="22" t="s">
        <v>1844</v>
      </c>
      <c r="W2099" s="22" t="s">
        <v>1</v>
      </c>
      <c r="X2099" s="22"/>
      <c r="Z2099" s="113" t="s">
        <v>2081</v>
      </c>
      <c r="AA2099" s="22"/>
      <c r="AB2099" s="22"/>
      <c r="AC2099" s="22"/>
      <c r="AD2099" s="22"/>
      <c r="AE2099" s="24"/>
      <c r="AF2099" s="24" t="s">
        <v>2043</v>
      </c>
      <c r="AG2099" s="22"/>
      <c r="AH2099" s="23"/>
      <c r="AI2099" s="23" t="s">
        <v>20</v>
      </c>
      <c r="AJ2099" s="23"/>
      <c r="AK2099" s="40"/>
      <c r="AL2099" s="40"/>
      <c r="AX2099" s="27"/>
      <c r="AY2099" s="27"/>
      <c r="BK2099" s="27"/>
      <c r="BL2099" s="27"/>
      <c r="BX2099" s="27"/>
      <c r="BY2099" s="27"/>
      <c r="CH2099" s="29"/>
      <c r="CI2099" s="23" t="s">
        <v>1266</v>
      </c>
      <c r="CJ2099" s="28" t="s">
        <v>0</v>
      </c>
      <c r="CM2099" s="23" t="s">
        <v>1</v>
      </c>
    </row>
    <row r="2100" spans="1:109" x14ac:dyDescent="0.2">
      <c r="A2100" s="18">
        <v>9002</v>
      </c>
      <c r="B2100" s="19">
        <v>4</v>
      </c>
      <c r="C2100" s="19">
        <f t="shared" si="190"/>
        <v>90020004</v>
      </c>
      <c r="D2100" s="19" t="s">
        <v>1275</v>
      </c>
      <c r="E2100" s="20" t="s">
        <v>1304</v>
      </c>
      <c r="I2100" s="22" t="s">
        <v>98</v>
      </c>
      <c r="J2100" s="22"/>
      <c r="K2100" s="22"/>
      <c r="L2100" s="22"/>
      <c r="M2100" s="22"/>
      <c r="N2100" s="22" t="s">
        <v>1302</v>
      </c>
      <c r="O2100" s="22" t="s">
        <v>1302</v>
      </c>
      <c r="P2100" s="22"/>
      <c r="Q2100" s="22" t="s">
        <v>4847</v>
      </c>
      <c r="R2100" s="22" t="s">
        <v>181</v>
      </c>
      <c r="S2100" s="22" t="s">
        <v>865</v>
      </c>
      <c r="T2100" s="22" t="s">
        <v>3221</v>
      </c>
      <c r="U2100" s="116" t="s">
        <v>3230</v>
      </c>
      <c r="V2100" s="22" t="s">
        <v>1844</v>
      </c>
      <c r="W2100" s="22" t="s">
        <v>1</v>
      </c>
      <c r="X2100" s="22"/>
      <c r="Z2100" s="23" t="s">
        <v>2082</v>
      </c>
      <c r="AA2100" s="22"/>
      <c r="AB2100" s="22"/>
      <c r="AC2100" s="22"/>
      <c r="AD2100" s="22"/>
      <c r="AE2100" s="24"/>
      <c r="AF2100" s="24" t="s">
        <v>2043</v>
      </c>
      <c r="AG2100" s="22"/>
      <c r="AH2100" s="23"/>
      <c r="AI2100" s="23" t="s">
        <v>21</v>
      </c>
      <c r="AJ2100" s="23"/>
      <c r="AK2100" s="40"/>
      <c r="AL2100" s="40"/>
      <c r="AX2100" s="27"/>
      <c r="AY2100" s="27"/>
      <c r="BK2100" s="27"/>
      <c r="BL2100" s="27"/>
      <c r="BX2100" s="27"/>
      <c r="BY2100" s="27"/>
      <c r="CH2100" s="29"/>
      <c r="CI2100" s="23" t="s">
        <v>1266</v>
      </c>
      <c r="CJ2100" s="28" t="s">
        <v>0</v>
      </c>
      <c r="CM2100" s="23" t="s">
        <v>123</v>
      </c>
    </row>
    <row r="2101" spans="1:109" x14ac:dyDescent="0.2">
      <c r="A2101" s="18">
        <v>9002</v>
      </c>
      <c r="B2101" s="19">
        <v>5</v>
      </c>
      <c r="C2101" s="19">
        <f t="shared" si="190"/>
        <v>90020005</v>
      </c>
      <c r="D2101" s="19" t="s">
        <v>1276</v>
      </c>
      <c r="E2101" s="20" t="s">
        <v>1304</v>
      </c>
      <c r="I2101" s="22" t="s">
        <v>98</v>
      </c>
      <c r="J2101" s="22"/>
      <c r="K2101" s="22"/>
      <c r="L2101" s="22"/>
      <c r="M2101" s="22"/>
      <c r="N2101" s="22" t="s">
        <v>1302</v>
      </c>
      <c r="O2101" s="22" t="s">
        <v>1302</v>
      </c>
      <c r="P2101" s="22"/>
      <c r="Q2101" s="22" t="s">
        <v>4847</v>
      </c>
      <c r="R2101" s="22" t="s">
        <v>181</v>
      </c>
      <c r="S2101" s="22" t="s">
        <v>865</v>
      </c>
      <c r="T2101" s="22" t="s">
        <v>3221</v>
      </c>
      <c r="U2101" s="116" t="s">
        <v>3231</v>
      </c>
      <c r="V2101" s="22" t="s">
        <v>1844</v>
      </c>
      <c r="W2101" s="22" t="s">
        <v>1</v>
      </c>
      <c r="X2101" s="22"/>
      <c r="Z2101" s="23" t="s">
        <v>2082</v>
      </c>
      <c r="AA2101" s="22"/>
      <c r="AB2101" s="22"/>
      <c r="AC2101" s="22"/>
      <c r="AD2101" s="22"/>
      <c r="AE2101" s="24"/>
      <c r="AF2101" s="24" t="s">
        <v>2043</v>
      </c>
      <c r="AG2101" s="22"/>
      <c r="AH2101" s="23"/>
      <c r="AI2101" s="23" t="s">
        <v>487</v>
      </c>
      <c r="AJ2101" s="23"/>
      <c r="AK2101" s="40"/>
      <c r="AL2101" s="40"/>
      <c r="AX2101" s="27"/>
      <c r="AY2101" s="27"/>
      <c r="BK2101" s="27"/>
      <c r="BL2101" s="27"/>
      <c r="BX2101" s="27"/>
      <c r="BY2101" s="27"/>
      <c r="CH2101" s="29"/>
      <c r="CI2101" s="23" t="s">
        <v>1266</v>
      </c>
      <c r="CJ2101" s="28" t="s">
        <v>0</v>
      </c>
    </row>
    <row r="2102" spans="1:109" ht="17.25" x14ac:dyDescent="0.3">
      <c r="A2102" s="8"/>
      <c r="B2102" s="8"/>
      <c r="C2102" s="8">
        <f t="shared" si="190"/>
        <v>0</v>
      </c>
      <c r="D2102" s="8"/>
      <c r="E2102" s="9" t="s">
        <v>1261</v>
      </c>
      <c r="F2102" s="9"/>
      <c r="G2102" s="9"/>
      <c r="H2102" s="9"/>
      <c r="I2102" s="10"/>
      <c r="J2102" s="10"/>
      <c r="K2102" s="10"/>
      <c r="L2102" s="10"/>
      <c r="M2102" s="10"/>
      <c r="N2102" s="10"/>
      <c r="O2102" s="10"/>
      <c r="P2102" s="10"/>
      <c r="Q2102" s="10"/>
      <c r="R2102" s="10"/>
      <c r="S2102" s="10"/>
      <c r="T2102" s="10"/>
      <c r="U2102" s="10"/>
      <c r="V2102" s="10"/>
      <c r="W2102" s="10"/>
      <c r="X2102" s="10"/>
      <c r="Y2102" s="11"/>
      <c r="Z2102" s="10"/>
      <c r="AA2102" s="10"/>
      <c r="AB2102" s="10"/>
      <c r="AC2102" s="10"/>
      <c r="AD2102" s="10"/>
      <c r="AE2102" s="12"/>
      <c r="AF2102" s="24" t="s">
        <v>2043</v>
      </c>
      <c r="AG2102" s="10"/>
      <c r="AH2102" s="13"/>
      <c r="AI2102" s="13"/>
      <c r="AJ2102" s="13"/>
      <c r="AK2102" s="15"/>
      <c r="AL2102" s="15"/>
      <c r="AM2102" s="15"/>
      <c r="AN2102" s="15"/>
      <c r="AO2102" s="15"/>
      <c r="AP2102" s="15"/>
      <c r="AQ2102" s="15"/>
      <c r="AR2102" s="15"/>
      <c r="AS2102" s="15"/>
      <c r="AT2102" s="15"/>
      <c r="AU2102" s="13"/>
      <c r="AV2102" s="13"/>
      <c r="AW2102" s="13"/>
      <c r="AX2102" s="31"/>
      <c r="AY2102" s="31"/>
      <c r="AZ2102" s="15"/>
      <c r="BA2102" s="15"/>
      <c r="BB2102" s="15"/>
      <c r="BC2102" s="15"/>
      <c r="BD2102" s="15"/>
      <c r="BE2102" s="15"/>
      <c r="BF2102" s="15"/>
      <c r="BG2102" s="15"/>
      <c r="BH2102" s="13"/>
      <c r="BI2102" s="13"/>
      <c r="BJ2102" s="13"/>
      <c r="BK2102" s="31"/>
      <c r="BL2102" s="31"/>
      <c r="BM2102" s="15"/>
      <c r="BN2102" s="15"/>
      <c r="BO2102" s="15"/>
      <c r="BP2102" s="15"/>
      <c r="BQ2102" s="15"/>
      <c r="BR2102" s="15"/>
      <c r="BS2102" s="15"/>
      <c r="BT2102" s="15"/>
      <c r="BU2102" s="13"/>
      <c r="BV2102" s="13"/>
      <c r="BW2102" s="13"/>
      <c r="BX2102" s="31"/>
      <c r="BY2102" s="31"/>
      <c r="BZ2102" s="15"/>
      <c r="CA2102" s="15"/>
      <c r="CB2102" s="15"/>
      <c r="CC2102" s="15"/>
      <c r="CD2102" s="15"/>
      <c r="CE2102" s="15"/>
      <c r="CF2102" s="15"/>
      <c r="CG2102" s="15"/>
      <c r="CH2102" s="10"/>
      <c r="CI2102" s="8"/>
      <c r="CJ2102" s="16"/>
      <c r="CK2102" s="8"/>
      <c r="CL2102" s="14"/>
      <c r="CM2102" s="14"/>
      <c r="CN2102" s="14"/>
      <c r="CO2102" s="14"/>
      <c r="CP2102" s="14"/>
      <c r="CQ2102" s="14"/>
      <c r="CR2102" s="14"/>
      <c r="CS2102" s="14"/>
      <c r="CT2102" s="17"/>
      <c r="CU2102" s="17"/>
      <c r="CV2102" s="17"/>
      <c r="CW2102" s="17"/>
      <c r="CX2102" s="17"/>
      <c r="CY2102" s="17"/>
      <c r="CZ2102" s="17"/>
      <c r="DA2102" s="17"/>
      <c r="DB2102" s="17"/>
      <c r="DC2102" s="15"/>
      <c r="DD2102" s="14"/>
      <c r="DE2102" s="14"/>
    </row>
    <row r="2103" spans="1:109" x14ac:dyDescent="0.2">
      <c r="A2103" s="18">
        <v>9003</v>
      </c>
      <c r="B2103" s="19">
        <v>1</v>
      </c>
      <c r="C2103" s="19">
        <f t="shared" si="190"/>
        <v>90030001</v>
      </c>
      <c r="D2103" s="19" t="s">
        <v>1277</v>
      </c>
      <c r="E2103" s="20" t="s">
        <v>1304</v>
      </c>
      <c r="I2103" s="22" t="s">
        <v>98</v>
      </c>
      <c r="J2103" s="22"/>
      <c r="K2103" s="22"/>
      <c r="L2103" s="22"/>
      <c r="M2103" s="22"/>
      <c r="N2103" s="22" t="s">
        <v>1302</v>
      </c>
      <c r="O2103" s="22" t="s">
        <v>1302</v>
      </c>
      <c r="P2103" s="22"/>
      <c r="Q2103" s="22" t="s">
        <v>4848</v>
      </c>
      <c r="R2103" s="22" t="s">
        <v>181</v>
      </c>
      <c r="S2103" s="22" t="s">
        <v>865</v>
      </c>
      <c r="T2103" s="22" t="s">
        <v>3221</v>
      </c>
      <c r="U2103" s="116" t="s">
        <v>3232</v>
      </c>
      <c r="V2103" s="22" t="s">
        <v>1853</v>
      </c>
      <c r="W2103" s="22" t="s">
        <v>1</v>
      </c>
      <c r="X2103" s="22"/>
      <c r="Z2103" s="23" t="s">
        <v>2083</v>
      </c>
      <c r="AA2103" s="22"/>
      <c r="AB2103" s="22"/>
      <c r="AC2103" s="22"/>
      <c r="AD2103" s="22"/>
      <c r="AE2103" s="24"/>
      <c r="AF2103" s="24" t="s">
        <v>2043</v>
      </c>
      <c r="AG2103" s="22"/>
      <c r="AH2103" s="23"/>
      <c r="AI2103" s="23" t="s">
        <v>130</v>
      </c>
      <c r="AJ2103" s="23"/>
      <c r="AK2103" s="40"/>
      <c r="AL2103" s="40"/>
      <c r="AX2103" s="27"/>
      <c r="AY2103" s="27"/>
      <c r="BK2103" s="27"/>
      <c r="BL2103" s="27"/>
      <c r="BX2103" s="27"/>
      <c r="BY2103" s="27"/>
      <c r="CH2103" s="29"/>
      <c r="CI2103" s="23" t="s">
        <v>1266</v>
      </c>
      <c r="CJ2103" s="28" t="s">
        <v>181</v>
      </c>
      <c r="CM2103" s="23" t="s">
        <v>22</v>
      </c>
    </row>
    <row r="2104" spans="1:109" s="14" customFormat="1" x14ac:dyDescent="0.2">
      <c r="A2104" s="18">
        <v>9003</v>
      </c>
      <c r="B2104" s="19">
        <v>2</v>
      </c>
      <c r="C2104" s="19">
        <f t="shared" si="190"/>
        <v>90030002</v>
      </c>
      <c r="D2104" s="19" t="s">
        <v>1278</v>
      </c>
      <c r="E2104" s="20" t="s">
        <v>1304</v>
      </c>
      <c r="F2104" s="20"/>
      <c r="G2104" s="20"/>
      <c r="H2104" s="20"/>
      <c r="I2104" s="22" t="s">
        <v>98</v>
      </c>
      <c r="J2104" s="22"/>
      <c r="K2104" s="22"/>
      <c r="L2104" s="22"/>
      <c r="M2104" s="22"/>
      <c r="N2104" s="22" t="s">
        <v>1302</v>
      </c>
      <c r="O2104" s="22" t="s">
        <v>1302</v>
      </c>
      <c r="P2104" s="22"/>
      <c r="Q2104" s="22" t="s">
        <v>4848</v>
      </c>
      <c r="R2104" s="22" t="s">
        <v>181</v>
      </c>
      <c r="S2104" s="22" t="s">
        <v>865</v>
      </c>
      <c r="T2104" s="22" t="s">
        <v>3221</v>
      </c>
      <c r="U2104" s="116" t="s">
        <v>3233</v>
      </c>
      <c r="V2104" s="22" t="s">
        <v>1845</v>
      </c>
      <c r="W2104" s="22" t="s">
        <v>1</v>
      </c>
      <c r="X2104" s="22"/>
      <c r="Y2104" s="23"/>
      <c r="Z2104" s="23" t="s">
        <v>2084</v>
      </c>
      <c r="AA2104" s="22"/>
      <c r="AB2104" s="22"/>
      <c r="AC2104" s="22"/>
      <c r="AD2104" s="22"/>
      <c r="AE2104" s="24"/>
      <c r="AF2104" s="24" t="s">
        <v>2043</v>
      </c>
      <c r="AG2104" s="22"/>
      <c r="AH2104" s="23"/>
      <c r="AI2104" s="23" t="s">
        <v>131</v>
      </c>
      <c r="AJ2104" s="23"/>
      <c r="AK2104" s="40"/>
      <c r="AL2104" s="40"/>
      <c r="AM2104" s="28"/>
      <c r="AN2104" s="28"/>
      <c r="AO2104" s="28"/>
      <c r="AP2104" s="28"/>
      <c r="AQ2104" s="28"/>
      <c r="AR2104" s="28"/>
      <c r="AS2104" s="28"/>
      <c r="AT2104" s="28"/>
      <c r="AU2104" s="25"/>
      <c r="AV2104" s="25"/>
      <c r="AW2104" s="25"/>
      <c r="AX2104" s="27"/>
      <c r="AY2104" s="27"/>
      <c r="AZ2104" s="28"/>
      <c r="BA2104" s="28"/>
      <c r="BB2104" s="28"/>
      <c r="BC2104" s="28"/>
      <c r="BD2104" s="28"/>
      <c r="BE2104" s="28"/>
      <c r="BF2104" s="28"/>
      <c r="BG2104" s="28"/>
      <c r="BH2104" s="25"/>
      <c r="BI2104" s="25"/>
      <c r="BJ2104" s="25"/>
      <c r="BK2104" s="27"/>
      <c r="BL2104" s="27"/>
      <c r="BM2104" s="28"/>
      <c r="BN2104" s="28"/>
      <c r="BO2104" s="28"/>
      <c r="BP2104" s="28"/>
      <c r="BQ2104" s="28"/>
      <c r="BR2104" s="28"/>
      <c r="BS2104" s="28"/>
      <c r="BT2104" s="28"/>
      <c r="BU2104" s="25"/>
      <c r="BV2104" s="25"/>
      <c r="BW2104" s="25"/>
      <c r="BX2104" s="27"/>
      <c r="BY2104" s="27"/>
      <c r="BZ2104" s="28"/>
      <c r="CA2104" s="28"/>
      <c r="CB2104" s="28"/>
      <c r="CC2104" s="28"/>
      <c r="CD2104" s="28"/>
      <c r="CE2104" s="28"/>
      <c r="CF2104" s="28"/>
      <c r="CG2104" s="28"/>
      <c r="CH2104" s="29"/>
      <c r="CI2104" s="23" t="s">
        <v>1266</v>
      </c>
      <c r="CJ2104" s="28" t="s">
        <v>181</v>
      </c>
      <c r="CK2104" s="23"/>
      <c r="CL2104" s="23"/>
      <c r="CM2104" s="23" t="s">
        <v>27</v>
      </c>
      <c r="CN2104" s="23"/>
      <c r="CO2104" s="23"/>
      <c r="CP2104" s="23"/>
      <c r="CQ2104" s="23"/>
      <c r="CR2104" s="23"/>
      <c r="CS2104" s="23"/>
      <c r="CT2104" s="30"/>
      <c r="CU2104" s="30"/>
      <c r="CV2104" s="30"/>
      <c r="CW2104" s="30"/>
      <c r="CX2104" s="30"/>
      <c r="CY2104" s="30"/>
      <c r="CZ2104" s="30"/>
      <c r="DA2104" s="30"/>
      <c r="DB2104" s="30"/>
      <c r="DC2104" s="28"/>
      <c r="DD2104" s="23"/>
      <c r="DE2104" s="23"/>
    </row>
    <row r="2105" spans="1:109" x14ac:dyDescent="0.2">
      <c r="A2105" s="18">
        <v>9003</v>
      </c>
      <c r="B2105" s="19">
        <v>3</v>
      </c>
      <c r="C2105" s="19">
        <f t="shared" si="190"/>
        <v>90030003</v>
      </c>
      <c r="D2105" s="19" t="s">
        <v>1279</v>
      </c>
      <c r="E2105" s="20" t="s">
        <v>1304</v>
      </c>
      <c r="I2105" s="22" t="s">
        <v>98</v>
      </c>
      <c r="J2105" s="22"/>
      <c r="K2105" s="22"/>
      <c r="L2105" s="22"/>
      <c r="M2105" s="22"/>
      <c r="N2105" s="22" t="s">
        <v>1302</v>
      </c>
      <c r="O2105" s="22" t="s">
        <v>1302</v>
      </c>
      <c r="P2105" s="22"/>
      <c r="Q2105" s="22" t="s">
        <v>4848</v>
      </c>
      <c r="R2105" s="22" t="s">
        <v>181</v>
      </c>
      <c r="S2105" s="22" t="s">
        <v>865</v>
      </c>
      <c r="T2105" s="22" t="s">
        <v>3221</v>
      </c>
      <c r="U2105" s="116" t="s">
        <v>3234</v>
      </c>
      <c r="V2105" s="22" t="s">
        <v>1845</v>
      </c>
      <c r="W2105" s="22" t="s">
        <v>1</v>
      </c>
      <c r="X2105" s="22"/>
      <c r="Z2105" s="23" t="s">
        <v>2085</v>
      </c>
      <c r="AA2105" s="22"/>
      <c r="AB2105" s="22"/>
      <c r="AC2105" s="22"/>
      <c r="AD2105" s="22"/>
      <c r="AE2105" s="24"/>
      <c r="AF2105" s="24" t="s">
        <v>2043</v>
      </c>
      <c r="AG2105" s="22"/>
      <c r="AH2105" s="23"/>
      <c r="AI2105" s="23" t="s">
        <v>20</v>
      </c>
      <c r="AJ2105" s="23"/>
      <c r="AK2105" s="40"/>
      <c r="AL2105" s="40"/>
      <c r="AX2105" s="27"/>
      <c r="AY2105" s="27"/>
      <c r="BK2105" s="27"/>
      <c r="BL2105" s="27"/>
      <c r="BX2105" s="27"/>
      <c r="BY2105" s="27"/>
      <c r="CH2105" s="29"/>
      <c r="CI2105" s="23" t="s">
        <v>1266</v>
      </c>
      <c r="CJ2105" s="28" t="s">
        <v>0</v>
      </c>
      <c r="CM2105" s="23" t="s">
        <v>1</v>
      </c>
    </row>
    <row r="2106" spans="1:109" x14ac:dyDescent="0.2">
      <c r="A2106" s="18">
        <v>9003</v>
      </c>
      <c r="B2106" s="19">
        <v>4</v>
      </c>
      <c r="C2106" s="19">
        <f t="shared" si="190"/>
        <v>90030004</v>
      </c>
      <c r="D2106" s="19" t="s">
        <v>1280</v>
      </c>
      <c r="E2106" s="20" t="s">
        <v>1304</v>
      </c>
      <c r="I2106" s="22" t="s">
        <v>98</v>
      </c>
      <c r="J2106" s="22"/>
      <c r="K2106" s="22"/>
      <c r="L2106" s="22"/>
      <c r="M2106" s="22"/>
      <c r="N2106" s="22" t="s">
        <v>1302</v>
      </c>
      <c r="O2106" s="22" t="s">
        <v>1302</v>
      </c>
      <c r="P2106" s="22"/>
      <c r="Q2106" s="22" t="s">
        <v>4848</v>
      </c>
      <c r="R2106" s="22" t="s">
        <v>181</v>
      </c>
      <c r="S2106" s="22" t="s">
        <v>865</v>
      </c>
      <c r="T2106" s="22" t="s">
        <v>3221</v>
      </c>
      <c r="U2106" s="116" t="s">
        <v>3235</v>
      </c>
      <c r="V2106" s="22" t="s">
        <v>1845</v>
      </c>
      <c r="W2106" s="22" t="s">
        <v>1</v>
      </c>
      <c r="X2106" s="22"/>
      <c r="Z2106" s="23" t="s">
        <v>2086</v>
      </c>
      <c r="AA2106" s="22"/>
      <c r="AB2106" s="22"/>
      <c r="AC2106" s="22"/>
      <c r="AD2106" s="22"/>
      <c r="AE2106" s="24"/>
      <c r="AF2106" s="24" t="s">
        <v>2043</v>
      </c>
      <c r="AG2106" s="22"/>
      <c r="AH2106" s="23"/>
      <c r="AI2106" s="23" t="s">
        <v>21</v>
      </c>
      <c r="AJ2106" s="23"/>
      <c r="AK2106" s="40"/>
      <c r="AL2106" s="40"/>
      <c r="AX2106" s="27"/>
      <c r="AY2106" s="27"/>
      <c r="BK2106" s="27"/>
      <c r="BL2106" s="27"/>
      <c r="BX2106" s="27"/>
      <c r="BY2106" s="27"/>
      <c r="CH2106" s="29"/>
      <c r="CI2106" s="23" t="s">
        <v>1266</v>
      </c>
      <c r="CJ2106" s="28" t="s">
        <v>0</v>
      </c>
      <c r="CM2106" s="23" t="s">
        <v>123</v>
      </c>
    </row>
    <row r="2107" spans="1:109" x14ac:dyDescent="0.2">
      <c r="A2107" s="18">
        <v>9003</v>
      </c>
      <c r="B2107" s="19">
        <v>5</v>
      </c>
      <c r="C2107" s="19">
        <f t="shared" si="190"/>
        <v>90030005</v>
      </c>
      <c r="D2107" s="19" t="s">
        <v>1281</v>
      </c>
      <c r="E2107" s="20" t="s">
        <v>1304</v>
      </c>
      <c r="I2107" s="22" t="s">
        <v>98</v>
      </c>
      <c r="J2107" s="22"/>
      <c r="K2107" s="22"/>
      <c r="L2107" s="22"/>
      <c r="M2107" s="22"/>
      <c r="N2107" s="22" t="s">
        <v>1302</v>
      </c>
      <c r="O2107" s="22" t="s">
        <v>1302</v>
      </c>
      <c r="P2107" s="22"/>
      <c r="Q2107" s="22" t="s">
        <v>4848</v>
      </c>
      <c r="R2107" s="22" t="s">
        <v>181</v>
      </c>
      <c r="S2107" s="22" t="s">
        <v>865</v>
      </c>
      <c r="T2107" s="22" t="s">
        <v>3221</v>
      </c>
      <c r="U2107" s="116" t="s">
        <v>3236</v>
      </c>
      <c r="V2107" s="22" t="s">
        <v>1845</v>
      </c>
      <c r="W2107" s="22" t="s">
        <v>1</v>
      </c>
      <c r="X2107" s="22"/>
      <c r="Z2107" s="23" t="s">
        <v>2086</v>
      </c>
      <c r="AA2107" s="22"/>
      <c r="AB2107" s="22"/>
      <c r="AC2107" s="22"/>
      <c r="AD2107" s="22"/>
      <c r="AE2107" s="24"/>
      <c r="AF2107" s="24" t="s">
        <v>2043</v>
      </c>
      <c r="AG2107" s="22"/>
      <c r="AH2107" s="23"/>
      <c r="AI2107" s="23" t="s">
        <v>487</v>
      </c>
      <c r="AJ2107" s="23"/>
      <c r="AK2107" s="40"/>
      <c r="AL2107" s="40"/>
      <c r="AX2107" s="27"/>
      <c r="AY2107" s="27"/>
      <c r="BK2107" s="27"/>
      <c r="BL2107" s="27"/>
      <c r="BX2107" s="27"/>
      <c r="BY2107" s="27"/>
      <c r="CH2107" s="29"/>
      <c r="CI2107" s="23" t="s">
        <v>1266</v>
      </c>
      <c r="CJ2107" s="28" t="s">
        <v>0</v>
      </c>
    </row>
    <row r="2108" spans="1:109" ht="17.25" x14ac:dyDescent="0.3">
      <c r="A2108" s="8"/>
      <c r="B2108" s="8"/>
      <c r="C2108" s="8">
        <f t="shared" si="190"/>
        <v>0</v>
      </c>
      <c r="D2108" s="8"/>
      <c r="E2108" s="9" t="s">
        <v>1262</v>
      </c>
      <c r="F2108" s="9"/>
      <c r="G2108" s="9"/>
      <c r="H2108" s="9"/>
      <c r="I2108" s="10"/>
      <c r="J2108" s="10"/>
      <c r="K2108" s="10"/>
      <c r="L2108" s="10"/>
      <c r="M2108" s="10"/>
      <c r="N2108" s="10"/>
      <c r="O2108" s="10"/>
      <c r="P2108" s="10"/>
      <c r="Q2108" s="10"/>
      <c r="R2108" s="10"/>
      <c r="S2108" s="10"/>
      <c r="T2108" s="10"/>
      <c r="U2108" s="10"/>
      <c r="V2108" s="10"/>
      <c r="W2108" s="10"/>
      <c r="X2108" s="10"/>
      <c r="Y2108" s="11"/>
      <c r="Z2108" s="10"/>
      <c r="AA2108" s="10"/>
      <c r="AB2108" s="10"/>
      <c r="AC2108" s="10"/>
      <c r="AD2108" s="10"/>
      <c r="AE2108" s="12"/>
      <c r="AF2108" s="24" t="s">
        <v>2043</v>
      </c>
      <c r="AG2108" s="10"/>
      <c r="AH2108" s="13"/>
      <c r="AI2108" s="13"/>
      <c r="AJ2108" s="13"/>
      <c r="AK2108" s="15"/>
      <c r="AL2108" s="15"/>
      <c r="AM2108" s="15"/>
      <c r="AN2108" s="15"/>
      <c r="AO2108" s="15"/>
      <c r="AP2108" s="15"/>
      <c r="AQ2108" s="15"/>
      <c r="AR2108" s="15"/>
      <c r="AS2108" s="15"/>
      <c r="AT2108" s="15"/>
      <c r="AU2108" s="13"/>
      <c r="AV2108" s="13"/>
      <c r="AW2108" s="13"/>
      <c r="AX2108" s="31"/>
      <c r="AY2108" s="31"/>
      <c r="AZ2108" s="15"/>
      <c r="BA2108" s="15"/>
      <c r="BB2108" s="15"/>
      <c r="BC2108" s="15"/>
      <c r="BD2108" s="15"/>
      <c r="BE2108" s="15"/>
      <c r="BF2108" s="15"/>
      <c r="BG2108" s="15"/>
      <c r="BH2108" s="13"/>
      <c r="BI2108" s="13"/>
      <c r="BJ2108" s="13"/>
      <c r="BK2108" s="31"/>
      <c r="BL2108" s="31"/>
      <c r="BM2108" s="15"/>
      <c r="BN2108" s="15"/>
      <c r="BO2108" s="15"/>
      <c r="BP2108" s="15"/>
      <c r="BQ2108" s="15"/>
      <c r="BR2108" s="15"/>
      <c r="BS2108" s="15"/>
      <c r="BT2108" s="15"/>
      <c r="BU2108" s="13"/>
      <c r="BV2108" s="13"/>
      <c r="BW2108" s="13"/>
      <c r="BX2108" s="31"/>
      <c r="BY2108" s="31"/>
      <c r="BZ2108" s="15"/>
      <c r="CA2108" s="15"/>
      <c r="CB2108" s="15"/>
      <c r="CC2108" s="15"/>
      <c r="CD2108" s="15"/>
      <c r="CE2108" s="15"/>
      <c r="CF2108" s="15"/>
      <c r="CG2108" s="15"/>
      <c r="CH2108" s="10"/>
      <c r="CI2108" s="8"/>
      <c r="CJ2108" s="16"/>
      <c r="CK2108" s="8"/>
      <c r="CL2108" s="14"/>
      <c r="CM2108" s="14"/>
      <c r="CN2108" s="14"/>
      <c r="CO2108" s="14"/>
      <c r="CP2108" s="14"/>
      <c r="CQ2108" s="14"/>
      <c r="CR2108" s="14"/>
      <c r="CS2108" s="14"/>
      <c r="CT2108" s="17"/>
      <c r="CU2108" s="17"/>
      <c r="CV2108" s="17"/>
      <c r="CW2108" s="17"/>
      <c r="CX2108" s="17"/>
      <c r="CY2108" s="17"/>
      <c r="CZ2108" s="17"/>
      <c r="DA2108" s="17"/>
      <c r="DB2108" s="17"/>
      <c r="DC2108" s="15"/>
      <c r="DD2108" s="14"/>
      <c r="DE2108" s="14"/>
    </row>
    <row r="2109" spans="1:109" x14ac:dyDescent="0.2">
      <c r="A2109" s="18">
        <v>9004</v>
      </c>
      <c r="B2109" s="19">
        <v>1</v>
      </c>
      <c r="C2109" s="19">
        <f t="shared" si="190"/>
        <v>90040001</v>
      </c>
      <c r="D2109" s="19" t="s">
        <v>1282</v>
      </c>
      <c r="E2109" s="20" t="s">
        <v>1304</v>
      </c>
      <c r="I2109" s="22" t="s">
        <v>98</v>
      </c>
      <c r="J2109" s="22"/>
      <c r="K2109" s="22"/>
      <c r="L2109" s="22"/>
      <c r="M2109" s="22"/>
      <c r="N2109" s="22" t="s">
        <v>1302</v>
      </c>
      <c r="O2109" s="22" t="s">
        <v>1302</v>
      </c>
      <c r="P2109" s="22"/>
      <c r="Q2109" s="22" t="s">
        <v>4849</v>
      </c>
      <c r="R2109" s="22" t="s">
        <v>181</v>
      </c>
      <c r="S2109" s="22" t="s">
        <v>865</v>
      </c>
      <c r="T2109" s="22" t="s">
        <v>3221</v>
      </c>
      <c r="U2109" s="116" t="s">
        <v>3237</v>
      </c>
      <c r="V2109" s="22" t="s">
        <v>1854</v>
      </c>
      <c r="W2109" s="22" t="s">
        <v>1</v>
      </c>
      <c r="X2109" s="22"/>
      <c r="Z2109" s="23" t="s">
        <v>2087</v>
      </c>
      <c r="AA2109" s="22"/>
      <c r="AB2109" s="22"/>
      <c r="AC2109" s="22"/>
      <c r="AD2109" s="22"/>
      <c r="AE2109" s="24"/>
      <c r="AF2109" s="24" t="s">
        <v>2043</v>
      </c>
      <c r="AG2109" s="22"/>
      <c r="AH2109" s="23"/>
      <c r="AI2109" s="23" t="s">
        <v>130</v>
      </c>
      <c r="AJ2109" s="23"/>
      <c r="AK2109" s="40"/>
      <c r="AL2109" s="40"/>
      <c r="AX2109" s="27"/>
      <c r="AY2109" s="27"/>
      <c r="BK2109" s="27"/>
      <c r="BL2109" s="27"/>
      <c r="BX2109" s="27"/>
      <c r="BY2109" s="27"/>
      <c r="CH2109" s="29"/>
      <c r="CI2109" s="23" t="s">
        <v>1266</v>
      </c>
      <c r="CJ2109" s="28" t="s">
        <v>181</v>
      </c>
      <c r="CM2109" s="23" t="s">
        <v>22</v>
      </c>
    </row>
    <row r="2110" spans="1:109" s="14" customFormat="1" x14ac:dyDescent="0.2">
      <c r="A2110" s="18">
        <v>9004</v>
      </c>
      <c r="B2110" s="19">
        <v>2</v>
      </c>
      <c r="C2110" s="19">
        <f t="shared" si="190"/>
        <v>90040002</v>
      </c>
      <c r="D2110" s="19" t="s">
        <v>1283</v>
      </c>
      <c r="E2110" s="20" t="s">
        <v>1304</v>
      </c>
      <c r="F2110" s="20"/>
      <c r="G2110" s="20"/>
      <c r="H2110" s="20"/>
      <c r="I2110" s="22" t="s">
        <v>98</v>
      </c>
      <c r="J2110" s="22"/>
      <c r="K2110" s="22"/>
      <c r="L2110" s="22"/>
      <c r="M2110" s="22"/>
      <c r="N2110" s="22" t="s">
        <v>1302</v>
      </c>
      <c r="O2110" s="22" t="s">
        <v>1302</v>
      </c>
      <c r="P2110" s="22"/>
      <c r="Q2110" s="22" t="s">
        <v>4849</v>
      </c>
      <c r="R2110" s="22" t="s">
        <v>181</v>
      </c>
      <c r="S2110" s="22" t="s">
        <v>865</v>
      </c>
      <c r="T2110" s="22" t="s">
        <v>3221</v>
      </c>
      <c r="U2110" s="116" t="s">
        <v>3238</v>
      </c>
      <c r="V2110" s="22" t="s">
        <v>1846</v>
      </c>
      <c r="W2110" s="22" t="s">
        <v>1</v>
      </c>
      <c r="X2110" s="22"/>
      <c r="Y2110" s="23"/>
      <c r="Z2110" s="23" t="s">
        <v>2088</v>
      </c>
      <c r="AA2110" s="22"/>
      <c r="AB2110" s="22"/>
      <c r="AC2110" s="22"/>
      <c r="AD2110" s="22"/>
      <c r="AE2110" s="24"/>
      <c r="AF2110" s="24" t="s">
        <v>2043</v>
      </c>
      <c r="AG2110" s="22"/>
      <c r="AH2110" s="23"/>
      <c r="AI2110" s="23" t="s">
        <v>131</v>
      </c>
      <c r="AJ2110" s="23"/>
      <c r="AK2110" s="40"/>
      <c r="AL2110" s="40"/>
      <c r="AM2110" s="28"/>
      <c r="AN2110" s="28"/>
      <c r="AO2110" s="28"/>
      <c r="AP2110" s="28"/>
      <c r="AQ2110" s="28"/>
      <c r="AR2110" s="28"/>
      <c r="AS2110" s="28"/>
      <c r="AT2110" s="28"/>
      <c r="AU2110" s="25"/>
      <c r="AV2110" s="25"/>
      <c r="AW2110" s="25"/>
      <c r="AX2110" s="27"/>
      <c r="AY2110" s="27"/>
      <c r="AZ2110" s="28"/>
      <c r="BA2110" s="28"/>
      <c r="BB2110" s="28"/>
      <c r="BC2110" s="28"/>
      <c r="BD2110" s="28"/>
      <c r="BE2110" s="28"/>
      <c r="BF2110" s="28"/>
      <c r="BG2110" s="28"/>
      <c r="BH2110" s="25"/>
      <c r="BI2110" s="25"/>
      <c r="BJ2110" s="25"/>
      <c r="BK2110" s="27"/>
      <c r="BL2110" s="27"/>
      <c r="BM2110" s="28"/>
      <c r="BN2110" s="28"/>
      <c r="BO2110" s="28"/>
      <c r="BP2110" s="28"/>
      <c r="BQ2110" s="28"/>
      <c r="BR2110" s="28"/>
      <c r="BS2110" s="28"/>
      <c r="BT2110" s="28"/>
      <c r="BU2110" s="25"/>
      <c r="BV2110" s="25"/>
      <c r="BW2110" s="25"/>
      <c r="BX2110" s="27"/>
      <c r="BY2110" s="27"/>
      <c r="BZ2110" s="28"/>
      <c r="CA2110" s="28"/>
      <c r="CB2110" s="28"/>
      <c r="CC2110" s="28"/>
      <c r="CD2110" s="28"/>
      <c r="CE2110" s="28"/>
      <c r="CF2110" s="28"/>
      <c r="CG2110" s="28"/>
      <c r="CH2110" s="29"/>
      <c r="CI2110" s="23" t="s">
        <v>1266</v>
      </c>
      <c r="CJ2110" s="28" t="s">
        <v>181</v>
      </c>
      <c r="CK2110" s="23"/>
      <c r="CL2110" s="23"/>
      <c r="CM2110" s="23" t="s">
        <v>27</v>
      </c>
      <c r="CN2110" s="23"/>
      <c r="CO2110" s="23"/>
      <c r="CP2110" s="23"/>
      <c r="CQ2110" s="23"/>
      <c r="CR2110" s="23"/>
      <c r="CS2110" s="23"/>
      <c r="CT2110" s="30"/>
      <c r="CU2110" s="30"/>
      <c r="CV2110" s="30"/>
      <c r="CW2110" s="30"/>
      <c r="CX2110" s="30"/>
      <c r="CY2110" s="30"/>
      <c r="CZ2110" s="30"/>
      <c r="DA2110" s="30"/>
      <c r="DB2110" s="30"/>
      <c r="DC2110" s="28"/>
      <c r="DD2110" s="23"/>
      <c r="DE2110" s="23"/>
    </row>
    <row r="2111" spans="1:109" x14ac:dyDescent="0.2">
      <c r="A2111" s="18">
        <v>9004</v>
      </c>
      <c r="B2111" s="19">
        <v>3</v>
      </c>
      <c r="C2111" s="19">
        <f t="shared" si="190"/>
        <v>90040003</v>
      </c>
      <c r="D2111" s="19" t="s">
        <v>1284</v>
      </c>
      <c r="E2111" s="20" t="s">
        <v>1304</v>
      </c>
      <c r="I2111" s="22" t="s">
        <v>98</v>
      </c>
      <c r="J2111" s="22"/>
      <c r="K2111" s="22"/>
      <c r="L2111" s="22"/>
      <c r="M2111" s="22"/>
      <c r="N2111" s="22" t="s">
        <v>1302</v>
      </c>
      <c r="O2111" s="22" t="s">
        <v>1302</v>
      </c>
      <c r="P2111" s="22"/>
      <c r="Q2111" s="22" t="s">
        <v>4849</v>
      </c>
      <c r="R2111" s="22" t="s">
        <v>181</v>
      </c>
      <c r="S2111" s="22" t="s">
        <v>865</v>
      </c>
      <c r="T2111" s="22" t="s">
        <v>3221</v>
      </c>
      <c r="U2111" s="116" t="s">
        <v>3239</v>
      </c>
      <c r="V2111" s="22" t="s">
        <v>1846</v>
      </c>
      <c r="W2111" s="22" t="s">
        <v>1</v>
      </c>
      <c r="X2111" s="22"/>
      <c r="Z2111" s="23" t="s">
        <v>2089</v>
      </c>
      <c r="AA2111" s="22"/>
      <c r="AB2111" s="22"/>
      <c r="AC2111" s="22"/>
      <c r="AD2111" s="22"/>
      <c r="AE2111" s="24"/>
      <c r="AF2111" s="24" t="s">
        <v>2043</v>
      </c>
      <c r="AG2111" s="22"/>
      <c r="AH2111" s="23"/>
      <c r="AI2111" s="23" t="s">
        <v>20</v>
      </c>
      <c r="AJ2111" s="23"/>
      <c r="AK2111" s="40"/>
      <c r="AL2111" s="40"/>
      <c r="AX2111" s="27"/>
      <c r="AY2111" s="27"/>
      <c r="BK2111" s="27"/>
      <c r="BL2111" s="27"/>
      <c r="BX2111" s="27"/>
      <c r="BY2111" s="27"/>
      <c r="CH2111" s="29"/>
      <c r="CI2111" s="23" t="s">
        <v>1266</v>
      </c>
      <c r="CJ2111" s="28" t="s">
        <v>0</v>
      </c>
      <c r="CM2111" s="23" t="s">
        <v>1</v>
      </c>
    </row>
    <row r="2112" spans="1:109" x14ac:dyDescent="0.2">
      <c r="A2112" s="18">
        <v>9004</v>
      </c>
      <c r="B2112" s="19">
        <v>4</v>
      </c>
      <c r="C2112" s="19">
        <f t="shared" si="190"/>
        <v>90040004</v>
      </c>
      <c r="D2112" s="19" t="s">
        <v>1285</v>
      </c>
      <c r="E2112" s="20" t="s">
        <v>1304</v>
      </c>
      <c r="I2112" s="22" t="s">
        <v>98</v>
      </c>
      <c r="J2112" s="22"/>
      <c r="K2112" s="22"/>
      <c r="L2112" s="22"/>
      <c r="M2112" s="22"/>
      <c r="N2112" s="22" t="s">
        <v>1302</v>
      </c>
      <c r="O2112" s="22" t="s">
        <v>1302</v>
      </c>
      <c r="P2112" s="22"/>
      <c r="Q2112" s="22" t="s">
        <v>4849</v>
      </c>
      <c r="R2112" s="22" t="s">
        <v>181</v>
      </c>
      <c r="S2112" s="22" t="s">
        <v>865</v>
      </c>
      <c r="T2112" s="22" t="s">
        <v>3221</v>
      </c>
      <c r="U2112" s="116" t="s">
        <v>3240</v>
      </c>
      <c r="V2112" s="22" t="s">
        <v>1846</v>
      </c>
      <c r="W2112" s="22" t="s">
        <v>1</v>
      </c>
      <c r="X2112" s="22"/>
      <c r="Z2112" s="23" t="s">
        <v>2090</v>
      </c>
      <c r="AA2112" s="22"/>
      <c r="AB2112" s="22"/>
      <c r="AC2112" s="22"/>
      <c r="AD2112" s="22"/>
      <c r="AE2112" s="24"/>
      <c r="AF2112" s="24" t="s">
        <v>2043</v>
      </c>
      <c r="AG2112" s="22"/>
      <c r="AH2112" s="23"/>
      <c r="AI2112" s="23" t="s">
        <v>21</v>
      </c>
      <c r="AJ2112" s="23"/>
      <c r="AK2112" s="40"/>
      <c r="AL2112" s="40"/>
      <c r="AX2112" s="27"/>
      <c r="AY2112" s="27"/>
      <c r="BK2112" s="27"/>
      <c r="BL2112" s="27"/>
      <c r="BX2112" s="27"/>
      <c r="BY2112" s="27"/>
      <c r="CH2112" s="29"/>
      <c r="CI2112" s="23" t="s">
        <v>1266</v>
      </c>
      <c r="CJ2112" s="28" t="s">
        <v>0</v>
      </c>
      <c r="CM2112" s="23" t="s">
        <v>123</v>
      </c>
    </row>
    <row r="2113" spans="1:109" x14ac:dyDescent="0.2">
      <c r="A2113" s="18">
        <v>9004</v>
      </c>
      <c r="B2113" s="19">
        <v>5</v>
      </c>
      <c r="C2113" s="19">
        <f t="shared" si="190"/>
        <v>90040005</v>
      </c>
      <c r="D2113" s="19" t="s">
        <v>1286</v>
      </c>
      <c r="E2113" s="20" t="s">
        <v>1304</v>
      </c>
      <c r="I2113" s="22" t="s">
        <v>98</v>
      </c>
      <c r="J2113" s="22"/>
      <c r="K2113" s="22"/>
      <c r="L2113" s="22"/>
      <c r="M2113" s="22"/>
      <c r="N2113" s="22" t="s">
        <v>1302</v>
      </c>
      <c r="O2113" s="22" t="s">
        <v>1302</v>
      </c>
      <c r="P2113" s="22"/>
      <c r="Q2113" s="22" t="s">
        <v>4849</v>
      </c>
      <c r="R2113" s="22" t="s">
        <v>181</v>
      </c>
      <c r="S2113" s="22" t="s">
        <v>865</v>
      </c>
      <c r="T2113" s="22" t="s">
        <v>3221</v>
      </c>
      <c r="U2113" s="116" t="s">
        <v>3241</v>
      </c>
      <c r="V2113" s="22" t="s">
        <v>1846</v>
      </c>
      <c r="W2113" s="22" t="s">
        <v>1</v>
      </c>
      <c r="X2113" s="22"/>
      <c r="Z2113" s="23" t="s">
        <v>2090</v>
      </c>
      <c r="AA2113" s="22"/>
      <c r="AB2113" s="22"/>
      <c r="AC2113" s="22"/>
      <c r="AD2113" s="22"/>
      <c r="AE2113" s="24"/>
      <c r="AF2113" s="24" t="s">
        <v>2043</v>
      </c>
      <c r="AG2113" s="22"/>
      <c r="AH2113" s="23"/>
      <c r="AI2113" s="23" t="s">
        <v>487</v>
      </c>
      <c r="AJ2113" s="23"/>
      <c r="AK2113" s="40"/>
      <c r="AL2113" s="40"/>
      <c r="AX2113" s="27"/>
      <c r="AY2113" s="27"/>
      <c r="BK2113" s="27"/>
      <c r="BL2113" s="27"/>
      <c r="BX2113" s="27"/>
      <c r="BY2113" s="27"/>
      <c r="CH2113" s="29"/>
      <c r="CI2113" s="23" t="s">
        <v>1266</v>
      </c>
      <c r="CJ2113" s="28" t="s">
        <v>0</v>
      </c>
    </row>
    <row r="2114" spans="1:109" ht="17.25" x14ac:dyDescent="0.3">
      <c r="A2114" s="8"/>
      <c r="B2114" s="8"/>
      <c r="C2114" s="8">
        <f t="shared" si="190"/>
        <v>0</v>
      </c>
      <c r="D2114" s="8"/>
      <c r="E2114" s="9" t="s">
        <v>1263</v>
      </c>
      <c r="F2114" s="9"/>
      <c r="G2114" s="9"/>
      <c r="H2114" s="9"/>
      <c r="I2114" s="10"/>
      <c r="J2114" s="10"/>
      <c r="K2114" s="10"/>
      <c r="L2114" s="10"/>
      <c r="M2114" s="10"/>
      <c r="N2114" s="10"/>
      <c r="O2114" s="10"/>
      <c r="P2114" s="10"/>
      <c r="Q2114" s="10"/>
      <c r="R2114" s="10"/>
      <c r="S2114" s="10"/>
      <c r="T2114" s="10"/>
      <c r="U2114" s="10"/>
      <c r="V2114" s="10"/>
      <c r="W2114" s="10"/>
      <c r="X2114" s="10"/>
      <c r="Y2114" s="11"/>
      <c r="Z2114" s="10"/>
      <c r="AA2114" s="10"/>
      <c r="AB2114" s="10"/>
      <c r="AC2114" s="10"/>
      <c r="AD2114" s="10"/>
      <c r="AE2114" s="12"/>
      <c r="AF2114" s="24" t="s">
        <v>2043</v>
      </c>
      <c r="AG2114" s="10"/>
      <c r="AH2114" s="13"/>
      <c r="AI2114" s="13"/>
      <c r="AJ2114" s="13"/>
      <c r="AK2114" s="15"/>
      <c r="AL2114" s="15"/>
      <c r="AM2114" s="15"/>
      <c r="AN2114" s="15"/>
      <c r="AO2114" s="15"/>
      <c r="AP2114" s="15"/>
      <c r="AQ2114" s="15"/>
      <c r="AR2114" s="15"/>
      <c r="AS2114" s="15"/>
      <c r="AT2114" s="15"/>
      <c r="AU2114" s="13"/>
      <c r="AV2114" s="13"/>
      <c r="AW2114" s="13"/>
      <c r="AX2114" s="31"/>
      <c r="AY2114" s="31"/>
      <c r="AZ2114" s="15"/>
      <c r="BA2114" s="15"/>
      <c r="BB2114" s="15"/>
      <c r="BC2114" s="15"/>
      <c r="BD2114" s="15"/>
      <c r="BE2114" s="15"/>
      <c r="BF2114" s="15"/>
      <c r="BG2114" s="15"/>
      <c r="BH2114" s="13"/>
      <c r="BI2114" s="13"/>
      <c r="BJ2114" s="13"/>
      <c r="BK2114" s="31"/>
      <c r="BL2114" s="31"/>
      <c r="BM2114" s="15"/>
      <c r="BN2114" s="15"/>
      <c r="BO2114" s="15"/>
      <c r="BP2114" s="15"/>
      <c r="BQ2114" s="15"/>
      <c r="BR2114" s="15"/>
      <c r="BS2114" s="15"/>
      <c r="BT2114" s="15"/>
      <c r="BU2114" s="13"/>
      <c r="BV2114" s="13"/>
      <c r="BW2114" s="13"/>
      <c r="BX2114" s="31"/>
      <c r="BY2114" s="31"/>
      <c r="BZ2114" s="15"/>
      <c r="CA2114" s="15"/>
      <c r="CB2114" s="15"/>
      <c r="CC2114" s="15"/>
      <c r="CD2114" s="15"/>
      <c r="CE2114" s="15"/>
      <c r="CF2114" s="15"/>
      <c r="CG2114" s="15"/>
      <c r="CH2114" s="10"/>
      <c r="CI2114" s="8"/>
      <c r="CJ2114" s="16"/>
      <c r="CK2114" s="8"/>
      <c r="CL2114" s="14"/>
      <c r="CM2114" s="14"/>
      <c r="CN2114" s="14"/>
      <c r="CO2114" s="14"/>
      <c r="CP2114" s="14"/>
      <c r="CQ2114" s="14"/>
      <c r="CR2114" s="14"/>
      <c r="CS2114" s="14"/>
      <c r="CT2114" s="17"/>
      <c r="CU2114" s="17"/>
      <c r="CV2114" s="17"/>
      <c r="CW2114" s="17"/>
      <c r="CX2114" s="17"/>
      <c r="CY2114" s="17"/>
      <c r="CZ2114" s="17"/>
      <c r="DA2114" s="17"/>
      <c r="DB2114" s="17"/>
      <c r="DC2114" s="15"/>
      <c r="DD2114" s="14"/>
      <c r="DE2114" s="14"/>
    </row>
    <row r="2115" spans="1:109" x14ac:dyDescent="0.2">
      <c r="A2115" s="18">
        <v>9005</v>
      </c>
      <c r="B2115" s="19">
        <v>1</v>
      </c>
      <c r="C2115" s="19">
        <f t="shared" si="190"/>
        <v>90050001</v>
      </c>
      <c r="D2115" s="19" t="s">
        <v>1287</v>
      </c>
      <c r="E2115" s="20" t="s">
        <v>1304</v>
      </c>
      <c r="I2115" s="22" t="s">
        <v>98</v>
      </c>
      <c r="J2115" s="22"/>
      <c r="K2115" s="22"/>
      <c r="L2115" s="22"/>
      <c r="M2115" s="22"/>
      <c r="N2115" s="22" t="s">
        <v>1302</v>
      </c>
      <c r="O2115" s="22" t="s">
        <v>1302</v>
      </c>
      <c r="P2115" s="22"/>
      <c r="Q2115" s="22" t="s">
        <v>4850</v>
      </c>
      <c r="R2115" s="22" t="s">
        <v>181</v>
      </c>
      <c r="S2115" s="22" t="s">
        <v>865</v>
      </c>
      <c r="T2115" s="22" t="s">
        <v>3221</v>
      </c>
      <c r="U2115" s="116" t="s">
        <v>3242</v>
      </c>
      <c r="V2115" s="22" t="s">
        <v>1856</v>
      </c>
      <c r="W2115" s="22" t="s">
        <v>1</v>
      </c>
      <c r="X2115" s="22"/>
      <c r="Z2115" s="23" t="s">
        <v>2091</v>
      </c>
      <c r="AA2115" s="22"/>
      <c r="AB2115" s="22"/>
      <c r="AC2115" s="22"/>
      <c r="AD2115" s="22"/>
      <c r="AE2115" s="24"/>
      <c r="AF2115" s="24" t="s">
        <v>2043</v>
      </c>
      <c r="AG2115" s="22"/>
      <c r="AH2115" s="23"/>
      <c r="AI2115" s="23" t="s">
        <v>130</v>
      </c>
      <c r="AJ2115" s="23"/>
      <c r="AK2115" s="40"/>
      <c r="AL2115" s="40"/>
      <c r="AX2115" s="27"/>
      <c r="AY2115" s="27"/>
      <c r="BK2115" s="27"/>
      <c r="BL2115" s="27"/>
      <c r="BX2115" s="27"/>
      <c r="BY2115" s="27"/>
      <c r="CH2115" s="29"/>
      <c r="CI2115" s="23" t="s">
        <v>1266</v>
      </c>
      <c r="CJ2115" s="28" t="s">
        <v>181</v>
      </c>
      <c r="CM2115" s="23" t="s">
        <v>22</v>
      </c>
    </row>
    <row r="2116" spans="1:109" s="14" customFormat="1" x14ac:dyDescent="0.2">
      <c r="A2116" s="18">
        <v>9005</v>
      </c>
      <c r="B2116" s="19">
        <v>2</v>
      </c>
      <c r="C2116" s="19">
        <f t="shared" si="190"/>
        <v>90050002</v>
      </c>
      <c r="D2116" s="19" t="s">
        <v>1288</v>
      </c>
      <c r="E2116" s="20" t="s">
        <v>1304</v>
      </c>
      <c r="F2116" s="20"/>
      <c r="G2116" s="20"/>
      <c r="H2116" s="20"/>
      <c r="I2116" s="22" t="s">
        <v>98</v>
      </c>
      <c r="J2116" s="22"/>
      <c r="K2116" s="22"/>
      <c r="L2116" s="22"/>
      <c r="M2116" s="22"/>
      <c r="N2116" s="22" t="s">
        <v>1302</v>
      </c>
      <c r="O2116" s="22" t="s">
        <v>1302</v>
      </c>
      <c r="P2116" s="22"/>
      <c r="Q2116" s="22" t="s">
        <v>4850</v>
      </c>
      <c r="R2116" s="22" t="s">
        <v>181</v>
      </c>
      <c r="S2116" s="22" t="s">
        <v>865</v>
      </c>
      <c r="T2116" s="22" t="s">
        <v>3221</v>
      </c>
      <c r="U2116" s="116" t="s">
        <v>3243</v>
      </c>
      <c r="V2116" s="22" t="s">
        <v>1855</v>
      </c>
      <c r="W2116" s="22" t="s">
        <v>1</v>
      </c>
      <c r="X2116" s="22"/>
      <c r="Y2116" s="23"/>
      <c r="Z2116" s="23" t="s">
        <v>2092</v>
      </c>
      <c r="AA2116" s="22"/>
      <c r="AB2116" s="22"/>
      <c r="AC2116" s="22"/>
      <c r="AD2116" s="22"/>
      <c r="AE2116" s="24"/>
      <c r="AF2116" s="24" t="s">
        <v>2043</v>
      </c>
      <c r="AG2116" s="22"/>
      <c r="AH2116" s="23"/>
      <c r="AI2116" s="23" t="s">
        <v>131</v>
      </c>
      <c r="AJ2116" s="23"/>
      <c r="AK2116" s="40"/>
      <c r="AL2116" s="40"/>
      <c r="AM2116" s="28"/>
      <c r="AN2116" s="28"/>
      <c r="AO2116" s="28"/>
      <c r="AP2116" s="28"/>
      <c r="AQ2116" s="28"/>
      <c r="AR2116" s="28"/>
      <c r="AS2116" s="28"/>
      <c r="AT2116" s="28"/>
      <c r="AU2116" s="25"/>
      <c r="AV2116" s="25"/>
      <c r="AW2116" s="25"/>
      <c r="AX2116" s="27"/>
      <c r="AY2116" s="27"/>
      <c r="AZ2116" s="28"/>
      <c r="BA2116" s="28"/>
      <c r="BB2116" s="28"/>
      <c r="BC2116" s="28"/>
      <c r="BD2116" s="28"/>
      <c r="BE2116" s="28"/>
      <c r="BF2116" s="28"/>
      <c r="BG2116" s="28"/>
      <c r="BH2116" s="25"/>
      <c r="BI2116" s="25"/>
      <c r="BJ2116" s="25"/>
      <c r="BK2116" s="27"/>
      <c r="BL2116" s="27"/>
      <c r="BM2116" s="28"/>
      <c r="BN2116" s="28"/>
      <c r="BO2116" s="28"/>
      <c r="BP2116" s="28"/>
      <c r="BQ2116" s="28"/>
      <c r="BR2116" s="28"/>
      <c r="BS2116" s="28"/>
      <c r="BT2116" s="28"/>
      <c r="BU2116" s="25"/>
      <c r="BV2116" s="25"/>
      <c r="BW2116" s="25"/>
      <c r="BX2116" s="27"/>
      <c r="BY2116" s="27"/>
      <c r="BZ2116" s="28"/>
      <c r="CA2116" s="28"/>
      <c r="CB2116" s="28"/>
      <c r="CC2116" s="28"/>
      <c r="CD2116" s="28"/>
      <c r="CE2116" s="28"/>
      <c r="CF2116" s="28"/>
      <c r="CG2116" s="28"/>
      <c r="CH2116" s="29"/>
      <c r="CI2116" s="23" t="s">
        <v>1266</v>
      </c>
      <c r="CJ2116" s="28" t="s">
        <v>181</v>
      </c>
      <c r="CK2116" s="23"/>
      <c r="CL2116" s="23"/>
      <c r="CM2116" s="23" t="s">
        <v>27</v>
      </c>
      <c r="CN2116" s="23"/>
      <c r="CO2116" s="23"/>
      <c r="CP2116" s="23"/>
      <c r="CQ2116" s="23"/>
      <c r="CR2116" s="23"/>
      <c r="CS2116" s="23"/>
      <c r="CT2116" s="30"/>
      <c r="CU2116" s="30"/>
      <c r="CV2116" s="30"/>
      <c r="CW2116" s="30"/>
      <c r="CX2116" s="30"/>
      <c r="CY2116" s="30"/>
      <c r="CZ2116" s="30"/>
      <c r="DA2116" s="30"/>
      <c r="DB2116" s="30"/>
      <c r="DC2116" s="28"/>
      <c r="DD2116" s="23"/>
      <c r="DE2116" s="23"/>
    </row>
    <row r="2117" spans="1:109" x14ac:dyDescent="0.2">
      <c r="A2117" s="18">
        <v>9005</v>
      </c>
      <c r="B2117" s="19">
        <v>3</v>
      </c>
      <c r="C2117" s="19">
        <f t="shared" si="190"/>
        <v>90050003</v>
      </c>
      <c r="D2117" s="19" t="s">
        <v>1289</v>
      </c>
      <c r="E2117" s="20" t="s">
        <v>1304</v>
      </c>
      <c r="I2117" s="22" t="s">
        <v>98</v>
      </c>
      <c r="J2117" s="22"/>
      <c r="K2117" s="22"/>
      <c r="L2117" s="22"/>
      <c r="M2117" s="22"/>
      <c r="N2117" s="22" t="s">
        <v>1302</v>
      </c>
      <c r="O2117" s="22" t="s">
        <v>1302</v>
      </c>
      <c r="P2117" s="22"/>
      <c r="Q2117" s="22" t="s">
        <v>4850</v>
      </c>
      <c r="R2117" s="22" t="s">
        <v>181</v>
      </c>
      <c r="S2117" s="22" t="s">
        <v>865</v>
      </c>
      <c r="T2117" s="22" t="s">
        <v>3221</v>
      </c>
      <c r="U2117" s="116" t="s">
        <v>3244</v>
      </c>
      <c r="V2117" s="22" t="s">
        <v>1855</v>
      </c>
      <c r="W2117" s="22" t="s">
        <v>1</v>
      </c>
      <c r="X2117" s="22"/>
      <c r="Z2117" s="23" t="s">
        <v>2093</v>
      </c>
      <c r="AA2117" s="22"/>
      <c r="AB2117" s="22"/>
      <c r="AC2117" s="22"/>
      <c r="AD2117" s="22"/>
      <c r="AE2117" s="24"/>
      <c r="AF2117" s="24" t="s">
        <v>2043</v>
      </c>
      <c r="AG2117" s="22"/>
      <c r="AH2117" s="23"/>
      <c r="AI2117" s="23" t="s">
        <v>20</v>
      </c>
      <c r="AJ2117" s="23"/>
      <c r="AK2117" s="40"/>
      <c r="AL2117" s="40"/>
      <c r="AX2117" s="27"/>
      <c r="AY2117" s="27"/>
      <c r="BK2117" s="27"/>
      <c r="BL2117" s="27"/>
      <c r="BX2117" s="27"/>
      <c r="BY2117" s="27"/>
      <c r="CH2117" s="29"/>
      <c r="CI2117" s="23" t="s">
        <v>1266</v>
      </c>
      <c r="CJ2117" s="28" t="s">
        <v>0</v>
      </c>
      <c r="CM2117" s="23" t="s">
        <v>1</v>
      </c>
    </row>
    <row r="2118" spans="1:109" x14ac:dyDescent="0.2">
      <c r="A2118" s="18">
        <v>9005</v>
      </c>
      <c r="B2118" s="19">
        <v>4</v>
      </c>
      <c r="C2118" s="19">
        <f t="shared" si="190"/>
        <v>90050004</v>
      </c>
      <c r="D2118" s="19" t="s">
        <v>1290</v>
      </c>
      <c r="E2118" s="20" t="s">
        <v>1304</v>
      </c>
      <c r="I2118" s="22" t="s">
        <v>98</v>
      </c>
      <c r="J2118" s="22"/>
      <c r="K2118" s="22"/>
      <c r="L2118" s="22"/>
      <c r="M2118" s="22"/>
      <c r="N2118" s="22" t="s">
        <v>1302</v>
      </c>
      <c r="O2118" s="22" t="s">
        <v>1302</v>
      </c>
      <c r="P2118" s="22"/>
      <c r="Q2118" s="22" t="s">
        <v>4850</v>
      </c>
      <c r="R2118" s="22" t="s">
        <v>181</v>
      </c>
      <c r="S2118" s="22" t="s">
        <v>865</v>
      </c>
      <c r="T2118" s="22" t="s">
        <v>3221</v>
      </c>
      <c r="U2118" s="116" t="s">
        <v>3245</v>
      </c>
      <c r="V2118" s="22" t="s">
        <v>1855</v>
      </c>
      <c r="W2118" s="22" t="s">
        <v>1</v>
      </c>
      <c r="X2118" s="22"/>
      <c r="Z2118" s="23" t="s">
        <v>2094</v>
      </c>
      <c r="AA2118" s="22"/>
      <c r="AB2118" s="22"/>
      <c r="AC2118" s="22"/>
      <c r="AD2118" s="22"/>
      <c r="AE2118" s="24"/>
      <c r="AF2118" s="24" t="s">
        <v>2043</v>
      </c>
      <c r="AG2118" s="22"/>
      <c r="AH2118" s="23"/>
      <c r="AI2118" s="23" t="s">
        <v>21</v>
      </c>
      <c r="AJ2118" s="23"/>
      <c r="AK2118" s="40"/>
      <c r="AL2118" s="40"/>
      <c r="AX2118" s="27"/>
      <c r="AY2118" s="27"/>
      <c r="BK2118" s="27"/>
      <c r="BL2118" s="27"/>
      <c r="BX2118" s="27"/>
      <c r="BY2118" s="27"/>
      <c r="CH2118" s="29"/>
      <c r="CI2118" s="23" t="s">
        <v>1266</v>
      </c>
      <c r="CJ2118" s="28" t="s">
        <v>0</v>
      </c>
      <c r="CM2118" s="23" t="s">
        <v>123</v>
      </c>
    </row>
    <row r="2119" spans="1:109" x14ac:dyDescent="0.2">
      <c r="A2119" s="18">
        <v>9005</v>
      </c>
      <c r="B2119" s="19">
        <v>5</v>
      </c>
      <c r="C2119" s="19">
        <f t="shared" si="190"/>
        <v>90050005</v>
      </c>
      <c r="D2119" s="19" t="s">
        <v>1291</v>
      </c>
      <c r="E2119" s="20" t="s">
        <v>1304</v>
      </c>
      <c r="I2119" s="22" t="s">
        <v>98</v>
      </c>
      <c r="J2119" s="22"/>
      <c r="K2119" s="22"/>
      <c r="L2119" s="22"/>
      <c r="M2119" s="22"/>
      <c r="N2119" s="22" t="s">
        <v>1302</v>
      </c>
      <c r="O2119" s="22" t="s">
        <v>1302</v>
      </c>
      <c r="P2119" s="22"/>
      <c r="Q2119" s="22" t="s">
        <v>4850</v>
      </c>
      <c r="R2119" s="22" t="s">
        <v>181</v>
      </c>
      <c r="S2119" s="22" t="s">
        <v>865</v>
      </c>
      <c r="T2119" s="22" t="s">
        <v>3221</v>
      </c>
      <c r="U2119" s="116" t="s">
        <v>3246</v>
      </c>
      <c r="V2119" s="22" t="s">
        <v>1855</v>
      </c>
      <c r="W2119" s="22" t="s">
        <v>1</v>
      </c>
      <c r="X2119" s="22"/>
      <c r="Z2119" s="23" t="s">
        <v>2094</v>
      </c>
      <c r="AA2119" s="22"/>
      <c r="AB2119" s="22"/>
      <c r="AC2119" s="22"/>
      <c r="AD2119" s="22"/>
      <c r="AE2119" s="24"/>
      <c r="AF2119" s="24" t="s">
        <v>2043</v>
      </c>
      <c r="AG2119" s="22"/>
      <c r="AH2119" s="23"/>
      <c r="AI2119" s="23" t="s">
        <v>487</v>
      </c>
      <c r="AJ2119" s="23"/>
      <c r="AK2119" s="40"/>
      <c r="AL2119" s="40"/>
      <c r="AX2119" s="27"/>
      <c r="AY2119" s="27"/>
      <c r="BK2119" s="27"/>
      <c r="BL2119" s="27"/>
      <c r="BX2119" s="27"/>
      <c r="BY2119" s="27"/>
      <c r="CH2119" s="29"/>
      <c r="CI2119" s="23" t="s">
        <v>1266</v>
      </c>
      <c r="CJ2119" s="28" t="s">
        <v>0</v>
      </c>
    </row>
    <row r="2120" spans="1:109" ht="17.25" x14ac:dyDescent="0.3">
      <c r="A2120" s="8"/>
      <c r="B2120" s="8"/>
      <c r="C2120" s="8">
        <f t="shared" si="190"/>
        <v>0</v>
      </c>
      <c r="D2120" s="8"/>
      <c r="E2120" s="9" t="s">
        <v>1264</v>
      </c>
      <c r="F2120" s="9"/>
      <c r="G2120" s="9"/>
      <c r="H2120" s="9"/>
      <c r="I2120" s="10"/>
      <c r="J2120" s="10"/>
      <c r="K2120" s="10"/>
      <c r="L2120" s="10"/>
      <c r="M2120" s="10"/>
      <c r="N2120" s="10"/>
      <c r="O2120" s="10"/>
      <c r="P2120" s="10"/>
      <c r="Q2120" s="10"/>
      <c r="R2120" s="10"/>
      <c r="S2120" s="10"/>
      <c r="T2120" s="10"/>
      <c r="U2120" s="10"/>
      <c r="V2120" s="10"/>
      <c r="W2120" s="10"/>
      <c r="X2120" s="10"/>
      <c r="Y2120" s="11"/>
      <c r="Z2120" s="10"/>
      <c r="AA2120" s="10"/>
      <c r="AB2120" s="10"/>
      <c r="AC2120" s="10"/>
      <c r="AD2120" s="10"/>
      <c r="AE2120" s="12"/>
      <c r="AF2120" s="24" t="s">
        <v>2043</v>
      </c>
      <c r="AG2120" s="10"/>
      <c r="AH2120" s="13"/>
      <c r="AI2120" s="13"/>
      <c r="AJ2120" s="13"/>
      <c r="AK2120" s="15"/>
      <c r="AL2120" s="15"/>
      <c r="AM2120" s="15"/>
      <c r="AN2120" s="15"/>
      <c r="AO2120" s="15"/>
      <c r="AP2120" s="15"/>
      <c r="AQ2120" s="15"/>
      <c r="AR2120" s="15"/>
      <c r="AS2120" s="15"/>
      <c r="AT2120" s="15"/>
      <c r="AU2120" s="13"/>
      <c r="AV2120" s="13"/>
      <c r="AW2120" s="13"/>
      <c r="AX2120" s="31"/>
      <c r="AY2120" s="31"/>
      <c r="AZ2120" s="15"/>
      <c r="BA2120" s="15"/>
      <c r="BB2120" s="15"/>
      <c r="BC2120" s="15"/>
      <c r="BD2120" s="15"/>
      <c r="BE2120" s="15"/>
      <c r="BF2120" s="15"/>
      <c r="BG2120" s="15"/>
      <c r="BH2120" s="13"/>
      <c r="BI2120" s="13"/>
      <c r="BJ2120" s="13"/>
      <c r="BK2120" s="31"/>
      <c r="BL2120" s="31"/>
      <c r="BM2120" s="15"/>
      <c r="BN2120" s="15"/>
      <c r="BO2120" s="15"/>
      <c r="BP2120" s="15"/>
      <c r="BQ2120" s="15"/>
      <c r="BR2120" s="15"/>
      <c r="BS2120" s="15"/>
      <c r="BT2120" s="15"/>
      <c r="BU2120" s="13"/>
      <c r="BV2120" s="13"/>
      <c r="BW2120" s="13"/>
      <c r="BX2120" s="31"/>
      <c r="BY2120" s="31"/>
      <c r="BZ2120" s="15"/>
      <c r="CA2120" s="15"/>
      <c r="CB2120" s="15"/>
      <c r="CC2120" s="15"/>
      <c r="CD2120" s="15"/>
      <c r="CE2120" s="15"/>
      <c r="CF2120" s="15"/>
      <c r="CG2120" s="15"/>
      <c r="CH2120" s="10"/>
      <c r="CI2120" s="8"/>
      <c r="CJ2120" s="16"/>
      <c r="CK2120" s="8"/>
      <c r="CL2120" s="14"/>
      <c r="CM2120" s="14"/>
      <c r="CN2120" s="14"/>
      <c r="CO2120" s="14"/>
      <c r="CP2120" s="14"/>
      <c r="CQ2120" s="14"/>
      <c r="CR2120" s="14"/>
      <c r="CS2120" s="14"/>
      <c r="CT2120" s="17"/>
      <c r="CU2120" s="17"/>
      <c r="CV2120" s="17"/>
      <c r="CW2120" s="17"/>
      <c r="CX2120" s="17"/>
      <c r="CY2120" s="17"/>
      <c r="CZ2120" s="17"/>
      <c r="DA2120" s="17"/>
      <c r="DB2120" s="17"/>
      <c r="DC2120" s="15"/>
      <c r="DD2120" s="14"/>
      <c r="DE2120" s="14"/>
    </row>
    <row r="2121" spans="1:109" x14ac:dyDescent="0.2">
      <c r="A2121" s="18">
        <v>9006</v>
      </c>
      <c r="B2121" s="19">
        <v>1</v>
      </c>
      <c r="C2121" s="19">
        <f t="shared" si="190"/>
        <v>90060001</v>
      </c>
      <c r="D2121" s="19" t="s">
        <v>1292</v>
      </c>
      <c r="E2121" s="20" t="s">
        <v>1621</v>
      </c>
      <c r="I2121" s="22" t="s">
        <v>98</v>
      </c>
      <c r="J2121" s="22"/>
      <c r="K2121" s="22"/>
      <c r="L2121" s="22"/>
      <c r="M2121" s="22"/>
      <c r="N2121" s="22" t="s">
        <v>1302</v>
      </c>
      <c r="O2121" s="22" t="s">
        <v>1302</v>
      </c>
      <c r="P2121" s="22"/>
      <c r="Q2121" s="22" t="s">
        <v>4851</v>
      </c>
      <c r="R2121" s="22" t="s">
        <v>181</v>
      </c>
      <c r="S2121" s="22" t="s">
        <v>865</v>
      </c>
      <c r="T2121" s="22" t="s">
        <v>3221</v>
      </c>
      <c r="U2121" s="116" t="s">
        <v>3247</v>
      </c>
      <c r="V2121" s="22" t="s">
        <v>1858</v>
      </c>
      <c r="W2121" s="22" t="s">
        <v>1</v>
      </c>
      <c r="X2121" s="22"/>
      <c r="Z2121" s="23" t="s">
        <v>2095</v>
      </c>
      <c r="AA2121" s="22"/>
      <c r="AB2121" s="22"/>
      <c r="AC2121" s="22"/>
      <c r="AD2121" s="22"/>
      <c r="AE2121" s="24"/>
      <c r="AF2121" s="24" t="s">
        <v>2043</v>
      </c>
      <c r="AG2121" s="22"/>
      <c r="AH2121" s="23"/>
      <c r="AI2121" s="23" t="s">
        <v>130</v>
      </c>
      <c r="AJ2121" s="23"/>
      <c r="AK2121" s="40"/>
      <c r="AL2121" s="40"/>
      <c r="AX2121" s="27"/>
      <c r="AY2121" s="27"/>
      <c r="BK2121" s="27"/>
      <c r="BL2121" s="27"/>
      <c r="BX2121" s="27"/>
      <c r="BY2121" s="27"/>
      <c r="CH2121" s="29"/>
      <c r="CI2121" s="23" t="s">
        <v>1266</v>
      </c>
      <c r="CJ2121" s="28" t="s">
        <v>181</v>
      </c>
      <c r="CM2121" s="23" t="s">
        <v>22</v>
      </c>
    </row>
    <row r="2122" spans="1:109" s="14" customFormat="1" x14ac:dyDescent="0.2">
      <c r="A2122" s="18">
        <v>9006</v>
      </c>
      <c r="B2122" s="19">
        <v>2</v>
      </c>
      <c r="C2122" s="19">
        <f t="shared" si="190"/>
        <v>90060002</v>
      </c>
      <c r="D2122" s="19" t="s">
        <v>1293</v>
      </c>
      <c r="E2122" s="20" t="s">
        <v>1304</v>
      </c>
      <c r="F2122" s="20"/>
      <c r="G2122" s="20"/>
      <c r="H2122" s="20"/>
      <c r="I2122" s="22" t="s">
        <v>98</v>
      </c>
      <c r="J2122" s="22"/>
      <c r="K2122" s="22"/>
      <c r="L2122" s="22"/>
      <c r="M2122" s="22"/>
      <c r="N2122" s="22" t="s">
        <v>1302</v>
      </c>
      <c r="O2122" s="22" t="s">
        <v>1302</v>
      </c>
      <c r="P2122" s="22"/>
      <c r="Q2122" s="22" t="s">
        <v>4851</v>
      </c>
      <c r="R2122" s="22" t="s">
        <v>181</v>
      </c>
      <c r="S2122" s="22" t="s">
        <v>865</v>
      </c>
      <c r="T2122" s="22" t="s">
        <v>3221</v>
      </c>
      <c r="U2122" s="116" t="s">
        <v>3248</v>
      </c>
      <c r="V2122" s="22" t="s">
        <v>1857</v>
      </c>
      <c r="W2122" s="22" t="s">
        <v>1</v>
      </c>
      <c r="X2122" s="22"/>
      <c r="Y2122" s="23"/>
      <c r="Z2122" s="23" t="s">
        <v>2096</v>
      </c>
      <c r="AA2122" s="22"/>
      <c r="AB2122" s="22"/>
      <c r="AC2122" s="22"/>
      <c r="AD2122" s="22"/>
      <c r="AE2122" s="24"/>
      <c r="AF2122" s="24" t="s">
        <v>2043</v>
      </c>
      <c r="AG2122" s="22"/>
      <c r="AH2122" s="23"/>
      <c r="AI2122" s="23" t="s">
        <v>131</v>
      </c>
      <c r="AJ2122" s="23"/>
      <c r="AK2122" s="40"/>
      <c r="AL2122" s="40"/>
      <c r="AM2122" s="28"/>
      <c r="AN2122" s="28"/>
      <c r="AO2122" s="28"/>
      <c r="AP2122" s="28"/>
      <c r="AQ2122" s="28"/>
      <c r="AR2122" s="28"/>
      <c r="AS2122" s="28"/>
      <c r="AT2122" s="28"/>
      <c r="AU2122" s="25"/>
      <c r="AV2122" s="25"/>
      <c r="AW2122" s="25"/>
      <c r="AX2122" s="27"/>
      <c r="AY2122" s="27"/>
      <c r="AZ2122" s="28"/>
      <c r="BA2122" s="28"/>
      <c r="BB2122" s="28"/>
      <c r="BC2122" s="28"/>
      <c r="BD2122" s="28"/>
      <c r="BE2122" s="28"/>
      <c r="BF2122" s="28"/>
      <c r="BG2122" s="28"/>
      <c r="BH2122" s="25"/>
      <c r="BI2122" s="25"/>
      <c r="BJ2122" s="25"/>
      <c r="BK2122" s="27"/>
      <c r="BL2122" s="27"/>
      <c r="BM2122" s="28"/>
      <c r="BN2122" s="28"/>
      <c r="BO2122" s="28"/>
      <c r="BP2122" s="28"/>
      <c r="BQ2122" s="28"/>
      <c r="BR2122" s="28"/>
      <c r="BS2122" s="28"/>
      <c r="BT2122" s="28"/>
      <c r="BU2122" s="25"/>
      <c r="BV2122" s="25"/>
      <c r="BW2122" s="25"/>
      <c r="BX2122" s="27"/>
      <c r="BY2122" s="27"/>
      <c r="BZ2122" s="28"/>
      <c r="CA2122" s="28"/>
      <c r="CB2122" s="28"/>
      <c r="CC2122" s="28"/>
      <c r="CD2122" s="28"/>
      <c r="CE2122" s="28"/>
      <c r="CF2122" s="28"/>
      <c r="CG2122" s="28"/>
      <c r="CH2122" s="29"/>
      <c r="CI2122" s="23" t="s">
        <v>1266</v>
      </c>
      <c r="CJ2122" s="28" t="s">
        <v>181</v>
      </c>
      <c r="CK2122" s="23"/>
      <c r="CL2122" s="23"/>
      <c r="CM2122" s="23" t="s">
        <v>27</v>
      </c>
      <c r="CN2122" s="23"/>
      <c r="CO2122" s="23"/>
      <c r="CP2122" s="23"/>
      <c r="CQ2122" s="23"/>
      <c r="CR2122" s="23"/>
      <c r="CS2122" s="23"/>
      <c r="CT2122" s="30"/>
      <c r="CU2122" s="30"/>
      <c r="CV2122" s="30"/>
      <c r="CW2122" s="30"/>
      <c r="CX2122" s="30"/>
      <c r="CY2122" s="30"/>
      <c r="CZ2122" s="30"/>
      <c r="DA2122" s="30"/>
      <c r="DB2122" s="30"/>
      <c r="DC2122" s="28"/>
      <c r="DD2122" s="23"/>
      <c r="DE2122" s="23"/>
    </row>
    <row r="2123" spans="1:109" x14ac:dyDescent="0.2">
      <c r="A2123" s="18">
        <v>9006</v>
      </c>
      <c r="B2123" s="19">
        <v>3</v>
      </c>
      <c r="C2123" s="19">
        <f t="shared" si="190"/>
        <v>90060003</v>
      </c>
      <c r="D2123" s="19" t="s">
        <v>1294</v>
      </c>
      <c r="E2123" s="20" t="s">
        <v>1304</v>
      </c>
      <c r="I2123" s="22" t="s">
        <v>98</v>
      </c>
      <c r="J2123" s="22"/>
      <c r="K2123" s="22"/>
      <c r="L2123" s="22"/>
      <c r="M2123" s="22"/>
      <c r="N2123" s="22" t="s">
        <v>1302</v>
      </c>
      <c r="O2123" s="22" t="s">
        <v>1302</v>
      </c>
      <c r="P2123" s="22"/>
      <c r="Q2123" s="22" t="s">
        <v>4851</v>
      </c>
      <c r="R2123" s="22" t="s">
        <v>181</v>
      </c>
      <c r="S2123" s="22" t="s">
        <v>865</v>
      </c>
      <c r="T2123" s="22" t="s">
        <v>3221</v>
      </c>
      <c r="U2123" s="116" t="s">
        <v>3249</v>
      </c>
      <c r="V2123" s="22" t="s">
        <v>1857</v>
      </c>
      <c r="W2123" s="22" t="s">
        <v>1</v>
      </c>
      <c r="X2123" s="22"/>
      <c r="Z2123" s="23" t="s">
        <v>2097</v>
      </c>
      <c r="AA2123" s="22"/>
      <c r="AB2123" s="22"/>
      <c r="AC2123" s="22"/>
      <c r="AD2123" s="22"/>
      <c r="AE2123" s="24"/>
      <c r="AF2123" s="24" t="s">
        <v>2043</v>
      </c>
      <c r="AG2123" s="22"/>
      <c r="AH2123" s="23"/>
      <c r="AI2123" s="23" t="s">
        <v>20</v>
      </c>
      <c r="AJ2123" s="23"/>
      <c r="AK2123" s="40"/>
      <c r="AL2123" s="40"/>
      <c r="AX2123" s="27"/>
      <c r="AY2123" s="27"/>
      <c r="BK2123" s="27"/>
      <c r="BL2123" s="27"/>
      <c r="BX2123" s="27"/>
      <c r="BY2123" s="27"/>
      <c r="CH2123" s="29"/>
      <c r="CI2123" s="23" t="s">
        <v>1266</v>
      </c>
      <c r="CJ2123" s="28" t="s">
        <v>0</v>
      </c>
      <c r="CM2123" s="23" t="s">
        <v>1</v>
      </c>
    </row>
    <row r="2124" spans="1:109" x14ac:dyDescent="0.2">
      <c r="A2124" s="18">
        <v>9006</v>
      </c>
      <c r="B2124" s="19">
        <v>4</v>
      </c>
      <c r="C2124" s="19">
        <f t="shared" si="190"/>
        <v>90060004</v>
      </c>
      <c r="D2124" s="19" t="s">
        <v>1295</v>
      </c>
      <c r="E2124" s="20" t="s">
        <v>1304</v>
      </c>
      <c r="I2124" s="22" t="s">
        <v>98</v>
      </c>
      <c r="J2124" s="22"/>
      <c r="K2124" s="22"/>
      <c r="L2124" s="22"/>
      <c r="M2124" s="22"/>
      <c r="N2124" s="22" t="s">
        <v>1302</v>
      </c>
      <c r="O2124" s="22" t="s">
        <v>1302</v>
      </c>
      <c r="P2124" s="22"/>
      <c r="Q2124" s="22" t="s">
        <v>4851</v>
      </c>
      <c r="R2124" s="22" t="s">
        <v>181</v>
      </c>
      <c r="S2124" s="22" t="s">
        <v>865</v>
      </c>
      <c r="T2124" s="22" t="s">
        <v>3221</v>
      </c>
      <c r="U2124" s="116" t="s">
        <v>3250</v>
      </c>
      <c r="V2124" s="22" t="s">
        <v>1857</v>
      </c>
      <c r="W2124" s="22" t="s">
        <v>1</v>
      </c>
      <c r="X2124" s="22"/>
      <c r="Z2124" s="23" t="s">
        <v>2098</v>
      </c>
      <c r="AA2124" s="22"/>
      <c r="AB2124" s="22"/>
      <c r="AC2124" s="22"/>
      <c r="AD2124" s="22"/>
      <c r="AE2124" s="24"/>
      <c r="AF2124" s="24" t="s">
        <v>2043</v>
      </c>
      <c r="AG2124" s="22"/>
      <c r="AH2124" s="23"/>
      <c r="AI2124" s="23" t="s">
        <v>21</v>
      </c>
      <c r="AJ2124" s="23"/>
      <c r="AK2124" s="40"/>
      <c r="AL2124" s="40"/>
      <c r="AX2124" s="27"/>
      <c r="AY2124" s="27"/>
      <c r="BK2124" s="27"/>
      <c r="BL2124" s="27"/>
      <c r="BX2124" s="27"/>
      <c r="BY2124" s="27"/>
      <c r="CH2124" s="29"/>
      <c r="CI2124" s="23" t="s">
        <v>1266</v>
      </c>
      <c r="CJ2124" s="28" t="s">
        <v>0</v>
      </c>
      <c r="CM2124" s="23" t="s">
        <v>123</v>
      </c>
    </row>
    <row r="2125" spans="1:109" x14ac:dyDescent="0.2">
      <c r="A2125" s="18">
        <v>9006</v>
      </c>
      <c r="B2125" s="19">
        <v>5</v>
      </c>
      <c r="C2125" s="19">
        <f t="shared" si="190"/>
        <v>90060005</v>
      </c>
      <c r="D2125" s="19" t="s">
        <v>1296</v>
      </c>
      <c r="E2125" s="20" t="s">
        <v>1304</v>
      </c>
      <c r="I2125" s="22" t="s">
        <v>98</v>
      </c>
      <c r="J2125" s="22"/>
      <c r="K2125" s="22"/>
      <c r="L2125" s="22"/>
      <c r="M2125" s="22"/>
      <c r="N2125" s="22" t="s">
        <v>1302</v>
      </c>
      <c r="O2125" s="22" t="s">
        <v>1302</v>
      </c>
      <c r="P2125" s="22"/>
      <c r="Q2125" s="22" t="s">
        <v>4851</v>
      </c>
      <c r="R2125" s="22" t="s">
        <v>181</v>
      </c>
      <c r="S2125" s="22" t="s">
        <v>865</v>
      </c>
      <c r="T2125" s="22" t="s">
        <v>3221</v>
      </c>
      <c r="U2125" s="116" t="s">
        <v>3251</v>
      </c>
      <c r="V2125" s="22" t="s">
        <v>1857</v>
      </c>
      <c r="W2125" s="22" t="s">
        <v>1</v>
      </c>
      <c r="X2125" s="22"/>
      <c r="Z2125" s="23" t="s">
        <v>2098</v>
      </c>
      <c r="AA2125" s="22"/>
      <c r="AB2125" s="22"/>
      <c r="AC2125" s="22"/>
      <c r="AD2125" s="22"/>
      <c r="AE2125" s="24"/>
      <c r="AF2125" s="24" t="s">
        <v>2043</v>
      </c>
      <c r="AG2125" s="22"/>
      <c r="AH2125" s="23"/>
      <c r="AI2125" s="23" t="s">
        <v>487</v>
      </c>
      <c r="AJ2125" s="23"/>
      <c r="AK2125" s="40"/>
      <c r="AL2125" s="40"/>
      <c r="AX2125" s="27"/>
      <c r="AY2125" s="27"/>
      <c r="BK2125" s="27"/>
      <c r="BL2125" s="27"/>
      <c r="BX2125" s="27"/>
      <c r="BY2125" s="27"/>
      <c r="CH2125" s="29"/>
      <c r="CI2125" s="23" t="s">
        <v>1266</v>
      </c>
      <c r="CJ2125" s="28" t="s">
        <v>0</v>
      </c>
    </row>
    <row r="2126" spans="1:109" ht="17.25" x14ac:dyDescent="0.3">
      <c r="A2126" s="8"/>
      <c r="B2126" s="8"/>
      <c r="C2126" s="8">
        <f t="shared" si="190"/>
        <v>0</v>
      </c>
      <c r="D2126" s="8"/>
      <c r="E2126" s="9" t="s">
        <v>1265</v>
      </c>
      <c r="F2126" s="9"/>
      <c r="G2126" s="9"/>
      <c r="H2126" s="9"/>
      <c r="I2126" s="10"/>
      <c r="J2126" s="10"/>
      <c r="K2126" s="10"/>
      <c r="L2126" s="10"/>
      <c r="M2126" s="10"/>
      <c r="N2126" s="10"/>
      <c r="O2126" s="10"/>
      <c r="P2126" s="10"/>
      <c r="Q2126" s="10"/>
      <c r="R2126" s="10"/>
      <c r="S2126" s="10"/>
      <c r="T2126" s="10"/>
      <c r="U2126" s="10"/>
      <c r="V2126" s="10"/>
      <c r="W2126" s="10"/>
      <c r="X2126" s="10"/>
      <c r="Y2126" s="11"/>
      <c r="Z2126" s="10"/>
      <c r="AA2126" s="10"/>
      <c r="AB2126" s="10"/>
      <c r="AC2126" s="10"/>
      <c r="AD2126" s="10"/>
      <c r="AE2126" s="12"/>
      <c r="AF2126" s="24" t="s">
        <v>2043</v>
      </c>
      <c r="AG2126" s="10"/>
      <c r="AH2126" s="13"/>
      <c r="AI2126" s="13"/>
      <c r="AJ2126" s="13"/>
      <c r="AK2126" s="15"/>
      <c r="AL2126" s="15"/>
      <c r="AM2126" s="15"/>
      <c r="AN2126" s="15"/>
      <c r="AO2126" s="15"/>
      <c r="AP2126" s="15"/>
      <c r="AQ2126" s="15"/>
      <c r="AR2126" s="15"/>
      <c r="AS2126" s="15"/>
      <c r="AT2126" s="15"/>
      <c r="AU2126" s="13"/>
      <c r="AV2126" s="13"/>
      <c r="AW2126" s="13"/>
      <c r="AX2126" s="31"/>
      <c r="AY2126" s="31"/>
      <c r="AZ2126" s="15"/>
      <c r="BA2126" s="15"/>
      <c r="BB2126" s="15"/>
      <c r="BC2126" s="15"/>
      <c r="BD2126" s="15"/>
      <c r="BE2126" s="15"/>
      <c r="BF2126" s="15"/>
      <c r="BG2126" s="15"/>
      <c r="BH2126" s="13"/>
      <c r="BI2126" s="13"/>
      <c r="BJ2126" s="13"/>
      <c r="BK2126" s="31"/>
      <c r="BL2126" s="31"/>
      <c r="BM2126" s="15"/>
      <c r="BN2126" s="15"/>
      <c r="BO2126" s="15"/>
      <c r="BP2126" s="15"/>
      <c r="BQ2126" s="15"/>
      <c r="BR2126" s="15"/>
      <c r="BS2126" s="15"/>
      <c r="BT2126" s="15"/>
      <c r="BU2126" s="13"/>
      <c r="BV2126" s="13"/>
      <c r="BW2126" s="13"/>
      <c r="BX2126" s="31"/>
      <c r="BY2126" s="31"/>
      <c r="BZ2126" s="15"/>
      <c r="CA2126" s="15"/>
      <c r="CB2126" s="15"/>
      <c r="CC2126" s="15"/>
      <c r="CD2126" s="15"/>
      <c r="CE2126" s="15"/>
      <c r="CF2126" s="15"/>
      <c r="CG2126" s="15"/>
      <c r="CH2126" s="10"/>
      <c r="CI2126" s="8"/>
      <c r="CJ2126" s="16"/>
      <c r="CK2126" s="8"/>
      <c r="CL2126" s="14"/>
      <c r="CM2126" s="14"/>
      <c r="CN2126" s="14"/>
      <c r="CO2126" s="14"/>
      <c r="CP2126" s="14"/>
      <c r="CQ2126" s="14"/>
      <c r="CR2126" s="14"/>
      <c r="CS2126" s="14"/>
      <c r="CT2126" s="17"/>
      <c r="CU2126" s="17"/>
      <c r="CV2126" s="17"/>
      <c r="CW2126" s="17"/>
      <c r="CX2126" s="17"/>
      <c r="CY2126" s="17"/>
      <c r="CZ2126" s="17"/>
      <c r="DA2126" s="17"/>
      <c r="DB2126" s="17"/>
      <c r="DC2126" s="15"/>
      <c r="DD2126" s="14"/>
      <c r="DE2126" s="14"/>
    </row>
    <row r="2127" spans="1:109" ht="13.5" x14ac:dyDescent="0.25">
      <c r="A2127" s="18">
        <v>9007</v>
      </c>
      <c r="B2127" s="19">
        <v>1</v>
      </c>
      <c r="C2127" s="19">
        <f t="shared" si="190"/>
        <v>90070001</v>
      </c>
      <c r="D2127" s="19" t="s">
        <v>1297</v>
      </c>
      <c r="E2127" s="20" t="s">
        <v>1304</v>
      </c>
      <c r="I2127" s="22" t="s">
        <v>98</v>
      </c>
      <c r="J2127" s="22"/>
      <c r="K2127" s="22"/>
      <c r="L2127" s="22"/>
      <c r="M2127" s="22"/>
      <c r="N2127" s="22" t="s">
        <v>1302</v>
      </c>
      <c r="O2127" s="22" t="s">
        <v>1302</v>
      </c>
      <c r="P2127" s="22"/>
      <c r="Q2127" s="22" t="s">
        <v>4852</v>
      </c>
      <c r="R2127" s="22" t="s">
        <v>181</v>
      </c>
      <c r="S2127" s="22" t="s">
        <v>865</v>
      </c>
      <c r="T2127" s="22" t="s">
        <v>3221</v>
      </c>
      <c r="U2127" s="116" t="s">
        <v>3252</v>
      </c>
      <c r="V2127" s="22" t="s">
        <v>1860</v>
      </c>
      <c r="W2127" s="22" t="s">
        <v>1</v>
      </c>
      <c r="X2127" s="22"/>
      <c r="Z2127" s="95" t="s">
        <v>2099</v>
      </c>
      <c r="AA2127" s="22"/>
      <c r="AB2127" s="22"/>
      <c r="AC2127" s="22"/>
      <c r="AD2127" s="22"/>
      <c r="AE2127" s="24"/>
      <c r="AF2127" s="24" t="s">
        <v>2043</v>
      </c>
      <c r="AG2127" s="22"/>
      <c r="AH2127" s="23"/>
      <c r="AI2127" s="23" t="s">
        <v>130</v>
      </c>
      <c r="AJ2127" s="23"/>
      <c r="AK2127" s="40"/>
      <c r="AL2127" s="40"/>
      <c r="AX2127" s="27"/>
      <c r="AY2127" s="27"/>
      <c r="BK2127" s="27"/>
      <c r="BL2127" s="27"/>
      <c r="BX2127" s="27"/>
      <c r="BY2127" s="27"/>
      <c r="CH2127" s="29"/>
      <c r="CI2127" s="23" t="s">
        <v>1266</v>
      </c>
      <c r="CJ2127" s="28" t="s">
        <v>181</v>
      </c>
      <c r="CM2127" s="23" t="s">
        <v>22</v>
      </c>
    </row>
    <row r="2128" spans="1:109" x14ac:dyDescent="0.2">
      <c r="A2128" s="18">
        <v>9007</v>
      </c>
      <c r="B2128" s="19">
        <v>2</v>
      </c>
      <c r="C2128" s="19">
        <f t="shared" si="190"/>
        <v>90070002</v>
      </c>
      <c r="D2128" s="19" t="s">
        <v>1298</v>
      </c>
      <c r="E2128" s="20" t="s">
        <v>1304</v>
      </c>
      <c r="I2128" s="22" t="s">
        <v>98</v>
      </c>
      <c r="J2128" s="22"/>
      <c r="K2128" s="22"/>
      <c r="L2128" s="22"/>
      <c r="M2128" s="22"/>
      <c r="N2128" s="22" t="s">
        <v>1302</v>
      </c>
      <c r="O2128" s="22" t="s">
        <v>1302</v>
      </c>
      <c r="P2128" s="22"/>
      <c r="Q2128" s="22" t="s">
        <v>4852</v>
      </c>
      <c r="R2128" s="22" t="s">
        <v>181</v>
      </c>
      <c r="S2128" s="22" t="s">
        <v>865</v>
      </c>
      <c r="T2128" s="22" t="s">
        <v>3221</v>
      </c>
      <c r="U2128" s="116" t="s">
        <v>3253</v>
      </c>
      <c r="V2128" s="22" t="s">
        <v>1859</v>
      </c>
      <c r="W2128" s="22" t="s">
        <v>1</v>
      </c>
      <c r="X2128" s="22"/>
      <c r="Z2128" s="23" t="s">
        <v>2100</v>
      </c>
      <c r="AA2128" s="22"/>
      <c r="AB2128" s="22"/>
      <c r="AC2128" s="22"/>
      <c r="AD2128" s="22"/>
      <c r="AE2128" s="24"/>
      <c r="AF2128" s="24" t="s">
        <v>2043</v>
      </c>
      <c r="AG2128" s="22"/>
      <c r="AH2128" s="23"/>
      <c r="AI2128" s="23" t="s">
        <v>131</v>
      </c>
      <c r="AJ2128" s="23"/>
      <c r="AK2128" s="40"/>
      <c r="AL2128" s="40"/>
      <c r="AX2128" s="27"/>
      <c r="AY2128" s="27"/>
      <c r="BK2128" s="27"/>
      <c r="BL2128" s="27"/>
      <c r="BX2128" s="27"/>
      <c r="BY2128" s="27"/>
      <c r="CH2128" s="29"/>
      <c r="CI2128" s="23" t="s">
        <v>1266</v>
      </c>
      <c r="CJ2128" s="28" t="s">
        <v>181</v>
      </c>
      <c r="CM2128" s="23" t="s">
        <v>27</v>
      </c>
    </row>
    <row r="2129" spans="1:109" x14ac:dyDescent="0.2">
      <c r="A2129" s="18">
        <v>9007</v>
      </c>
      <c r="B2129" s="19">
        <v>3</v>
      </c>
      <c r="C2129" s="19">
        <f t="shared" si="190"/>
        <v>90070003</v>
      </c>
      <c r="D2129" s="19" t="s">
        <v>1299</v>
      </c>
      <c r="E2129" s="20" t="s">
        <v>1304</v>
      </c>
      <c r="I2129" s="22" t="s">
        <v>98</v>
      </c>
      <c r="J2129" s="22"/>
      <c r="K2129" s="22"/>
      <c r="L2129" s="22"/>
      <c r="M2129" s="22"/>
      <c r="N2129" s="22" t="s">
        <v>1302</v>
      </c>
      <c r="O2129" s="22" t="s">
        <v>1302</v>
      </c>
      <c r="P2129" s="22"/>
      <c r="Q2129" s="22" t="s">
        <v>4852</v>
      </c>
      <c r="R2129" s="22" t="s">
        <v>181</v>
      </c>
      <c r="S2129" s="22" t="s">
        <v>865</v>
      </c>
      <c r="T2129" s="22" t="s">
        <v>3221</v>
      </c>
      <c r="U2129" s="116" t="s">
        <v>3254</v>
      </c>
      <c r="V2129" s="22" t="s">
        <v>1859</v>
      </c>
      <c r="W2129" s="22" t="s">
        <v>1</v>
      </c>
      <c r="X2129" s="22"/>
      <c r="Z2129" s="23" t="s">
        <v>2101</v>
      </c>
      <c r="AA2129" s="22"/>
      <c r="AB2129" s="22"/>
      <c r="AC2129" s="22"/>
      <c r="AD2129" s="22"/>
      <c r="AE2129" s="24"/>
      <c r="AF2129" s="24" t="s">
        <v>2043</v>
      </c>
      <c r="AG2129" s="22"/>
      <c r="AH2129" s="23"/>
      <c r="AI2129" s="23" t="s">
        <v>20</v>
      </c>
      <c r="AJ2129" s="23"/>
      <c r="AK2129" s="40"/>
      <c r="AL2129" s="40"/>
      <c r="AX2129" s="27"/>
      <c r="AY2129" s="27"/>
      <c r="BK2129" s="27"/>
      <c r="BL2129" s="27"/>
      <c r="BX2129" s="27"/>
      <c r="BY2129" s="27"/>
      <c r="CH2129" s="29"/>
      <c r="CI2129" s="23" t="s">
        <v>1266</v>
      </c>
      <c r="CJ2129" s="28" t="s">
        <v>0</v>
      </c>
      <c r="CM2129" s="23" t="s">
        <v>1</v>
      </c>
    </row>
    <row r="2130" spans="1:109" x14ac:dyDescent="0.2">
      <c r="A2130" s="18">
        <v>9007</v>
      </c>
      <c r="B2130" s="19">
        <v>4</v>
      </c>
      <c r="C2130" s="19">
        <f t="shared" si="190"/>
        <v>90070004</v>
      </c>
      <c r="D2130" s="19" t="s">
        <v>1300</v>
      </c>
      <c r="E2130" s="20" t="s">
        <v>1304</v>
      </c>
      <c r="I2130" s="22" t="s">
        <v>98</v>
      </c>
      <c r="J2130" s="22"/>
      <c r="K2130" s="22"/>
      <c r="L2130" s="22"/>
      <c r="M2130" s="22"/>
      <c r="N2130" s="22" t="s">
        <v>1302</v>
      </c>
      <c r="O2130" s="22" t="s">
        <v>1302</v>
      </c>
      <c r="P2130" s="22"/>
      <c r="Q2130" s="22" t="s">
        <v>4852</v>
      </c>
      <c r="R2130" s="22" t="s">
        <v>181</v>
      </c>
      <c r="S2130" s="22" t="s">
        <v>865</v>
      </c>
      <c r="T2130" s="22" t="s">
        <v>3221</v>
      </c>
      <c r="U2130" s="116" t="s">
        <v>3255</v>
      </c>
      <c r="V2130" s="22" t="s">
        <v>1859</v>
      </c>
      <c r="W2130" s="22" t="s">
        <v>1</v>
      </c>
      <c r="X2130" s="22"/>
      <c r="Z2130" s="23" t="s">
        <v>2102</v>
      </c>
      <c r="AA2130" s="22"/>
      <c r="AB2130" s="22"/>
      <c r="AC2130" s="22"/>
      <c r="AD2130" s="22"/>
      <c r="AE2130" s="24"/>
      <c r="AF2130" s="24" t="s">
        <v>2043</v>
      </c>
      <c r="AG2130" s="22"/>
      <c r="AH2130" s="23"/>
      <c r="AI2130" s="23" t="s">
        <v>21</v>
      </c>
      <c r="AJ2130" s="23"/>
      <c r="AK2130" s="40"/>
      <c r="AL2130" s="40"/>
      <c r="AX2130" s="27"/>
      <c r="AY2130" s="27"/>
      <c r="BK2130" s="27"/>
      <c r="BL2130" s="27"/>
      <c r="BX2130" s="27"/>
      <c r="BY2130" s="27"/>
      <c r="CH2130" s="29"/>
      <c r="CI2130" s="23" t="s">
        <v>1266</v>
      </c>
      <c r="CJ2130" s="28" t="s">
        <v>0</v>
      </c>
      <c r="CM2130" s="23" t="s">
        <v>123</v>
      </c>
    </row>
    <row r="2131" spans="1:109" x14ac:dyDescent="0.2">
      <c r="A2131" s="18">
        <v>9007</v>
      </c>
      <c r="B2131" s="19">
        <v>5</v>
      </c>
      <c r="C2131" s="19">
        <f t="shared" si="190"/>
        <v>90070005</v>
      </c>
      <c r="D2131" s="19" t="s">
        <v>1301</v>
      </c>
      <c r="E2131" s="20" t="s">
        <v>1304</v>
      </c>
      <c r="I2131" s="22" t="s">
        <v>98</v>
      </c>
      <c r="J2131" s="22"/>
      <c r="K2131" s="22"/>
      <c r="L2131" s="22"/>
      <c r="M2131" s="22"/>
      <c r="N2131" s="22" t="s">
        <v>1302</v>
      </c>
      <c r="O2131" s="22" t="s">
        <v>1302</v>
      </c>
      <c r="P2131" s="22"/>
      <c r="Q2131" s="22" t="s">
        <v>4852</v>
      </c>
      <c r="R2131" s="22" t="s">
        <v>181</v>
      </c>
      <c r="S2131" s="22" t="s">
        <v>865</v>
      </c>
      <c r="T2131" s="22" t="s">
        <v>3221</v>
      </c>
      <c r="U2131" s="116" t="s">
        <v>3256</v>
      </c>
      <c r="V2131" s="22" t="s">
        <v>1859</v>
      </c>
      <c r="W2131" s="22" t="s">
        <v>1</v>
      </c>
      <c r="X2131" s="22"/>
      <c r="Z2131" s="23" t="s">
        <v>2102</v>
      </c>
      <c r="AA2131" s="22"/>
      <c r="AB2131" s="22"/>
      <c r="AC2131" s="22"/>
      <c r="AD2131" s="22"/>
      <c r="AE2131" s="24"/>
      <c r="AF2131" s="24" t="s">
        <v>2043</v>
      </c>
      <c r="AG2131" s="22"/>
      <c r="AH2131" s="23"/>
      <c r="AI2131" s="23" t="s">
        <v>487</v>
      </c>
      <c r="AJ2131" s="23"/>
      <c r="AK2131" s="40"/>
      <c r="AL2131" s="40"/>
      <c r="AX2131" s="27"/>
      <c r="AY2131" s="27"/>
      <c r="BK2131" s="27"/>
      <c r="BL2131" s="27"/>
      <c r="BX2131" s="27"/>
      <c r="BY2131" s="27"/>
      <c r="CH2131" s="29"/>
      <c r="CI2131" s="23" t="s">
        <v>1266</v>
      </c>
      <c r="CJ2131" s="28" t="s">
        <v>0</v>
      </c>
    </row>
    <row r="2132" spans="1:109" s="14" customFormat="1" ht="17.25" x14ac:dyDescent="0.3">
      <c r="A2132" s="8"/>
      <c r="B2132" s="8"/>
      <c r="C2132" s="8">
        <f t="shared" si="190"/>
        <v>0</v>
      </c>
      <c r="D2132" s="8"/>
      <c r="E2132" s="9" t="s">
        <v>1367</v>
      </c>
      <c r="F2132" s="9"/>
      <c r="G2132" s="9"/>
      <c r="H2132" s="9"/>
      <c r="I2132" s="10"/>
      <c r="J2132" s="10"/>
      <c r="K2132" s="10"/>
      <c r="L2132" s="10"/>
      <c r="M2132" s="10"/>
      <c r="N2132" s="10"/>
      <c r="O2132" s="10"/>
      <c r="P2132" s="10"/>
      <c r="Q2132" s="10"/>
      <c r="R2132" s="10"/>
      <c r="S2132" s="10"/>
      <c r="T2132" s="10"/>
      <c r="U2132" s="10"/>
      <c r="V2132" s="10"/>
      <c r="W2132" s="10"/>
      <c r="X2132" s="10"/>
      <c r="Y2132" s="11"/>
      <c r="Z2132" s="10"/>
      <c r="AA2132" s="10"/>
      <c r="AB2132" s="10"/>
      <c r="AC2132" s="10"/>
      <c r="AD2132" s="10"/>
      <c r="AE2132" s="12"/>
      <c r="AF2132" s="12"/>
      <c r="AG2132" s="10"/>
      <c r="AH2132" s="13"/>
      <c r="AI2132" s="13"/>
      <c r="AJ2132" s="13"/>
      <c r="AK2132" s="15"/>
      <c r="AL2132" s="15"/>
      <c r="AM2132" s="15"/>
      <c r="AN2132" s="15"/>
      <c r="AO2132" s="15"/>
      <c r="AP2132" s="15"/>
      <c r="AQ2132" s="15"/>
      <c r="AR2132" s="15"/>
      <c r="AS2132" s="15"/>
      <c r="AT2132" s="15"/>
      <c r="AU2132" s="13"/>
      <c r="AV2132" s="13"/>
      <c r="AW2132" s="13"/>
      <c r="AX2132" s="31"/>
      <c r="AY2132" s="31"/>
      <c r="AZ2132" s="15"/>
      <c r="BA2132" s="15"/>
      <c r="BB2132" s="15"/>
      <c r="BC2132" s="15"/>
      <c r="BD2132" s="15"/>
      <c r="BE2132" s="15"/>
      <c r="BF2132" s="15"/>
      <c r="BG2132" s="15"/>
      <c r="BH2132" s="13"/>
      <c r="BI2132" s="13"/>
      <c r="BJ2132" s="13"/>
      <c r="BK2132" s="31"/>
      <c r="BL2132" s="31"/>
      <c r="BM2132" s="15"/>
      <c r="BN2132" s="15"/>
      <c r="BO2132" s="15"/>
      <c r="BP2132" s="15"/>
      <c r="BQ2132" s="15"/>
      <c r="BR2132" s="15"/>
      <c r="BS2132" s="15"/>
      <c r="BT2132" s="15"/>
      <c r="BU2132" s="13"/>
      <c r="BV2132" s="13"/>
      <c r="BW2132" s="13"/>
      <c r="BX2132" s="31"/>
      <c r="BY2132" s="31"/>
      <c r="BZ2132" s="15"/>
      <c r="CA2132" s="15"/>
      <c r="CB2132" s="15"/>
      <c r="CC2132" s="15"/>
      <c r="CD2132" s="15"/>
      <c r="CE2132" s="15"/>
      <c r="CF2132" s="15"/>
      <c r="CG2132" s="15"/>
      <c r="CH2132" s="10"/>
      <c r="CI2132" s="8"/>
      <c r="CJ2132" s="15"/>
      <c r="CK2132" s="8"/>
      <c r="CT2132" s="17"/>
      <c r="CU2132" s="17"/>
      <c r="CV2132" s="17"/>
      <c r="CW2132" s="17"/>
      <c r="CX2132" s="17"/>
      <c r="CY2132" s="17"/>
      <c r="CZ2132" s="17"/>
      <c r="DA2132" s="17"/>
      <c r="DB2132" s="17"/>
      <c r="DC2132" s="15"/>
    </row>
    <row r="2133" spans="1:109" s="109" customFormat="1" x14ac:dyDescent="0.2">
      <c r="A2133" s="18">
        <v>9900</v>
      </c>
      <c r="B2133" s="19">
        <v>1</v>
      </c>
      <c r="C2133" s="19">
        <f t="shared" si="190"/>
        <v>99000001</v>
      </c>
      <c r="D2133" s="19" t="s">
        <v>1554</v>
      </c>
      <c r="E2133" s="20" t="s">
        <v>1361</v>
      </c>
      <c r="F2133" s="20"/>
      <c r="G2133" s="20"/>
      <c r="H2133" s="20"/>
      <c r="I2133" s="21" t="s">
        <v>486</v>
      </c>
      <c r="J2133" s="21"/>
      <c r="K2133" s="21"/>
      <c r="L2133" s="21"/>
      <c r="M2133" s="21"/>
      <c r="N2133" s="22" t="s">
        <v>1359</v>
      </c>
      <c r="O2133" s="22" t="s">
        <v>1366</v>
      </c>
      <c r="P2133" s="22"/>
      <c r="Q2133" s="22" t="s">
        <v>2041</v>
      </c>
      <c r="R2133" s="22"/>
      <c r="S2133" s="22"/>
      <c r="T2133" s="22" t="s">
        <v>3330</v>
      </c>
      <c r="U2133" s="116" t="s">
        <v>3331</v>
      </c>
      <c r="V2133" s="22"/>
      <c r="W2133" s="22" t="s">
        <v>6</v>
      </c>
      <c r="X2133" s="22"/>
      <c r="Y2133" s="23" t="s">
        <v>1358</v>
      </c>
      <c r="Z2133" s="22"/>
      <c r="AA2133" s="22"/>
      <c r="AB2133" s="22"/>
      <c r="AC2133" s="22"/>
      <c r="AD2133" s="22"/>
      <c r="AE2133" s="24"/>
      <c r="AF2133" s="24" t="s">
        <v>2043</v>
      </c>
      <c r="AG2133" s="22"/>
      <c r="AH2133" s="23"/>
      <c r="AI2133" s="25"/>
      <c r="AJ2133" s="26"/>
      <c r="AK2133" s="27"/>
      <c r="AL2133" s="27"/>
      <c r="AM2133" s="28"/>
      <c r="AN2133" s="28"/>
      <c r="AO2133" s="28"/>
      <c r="AP2133" s="28"/>
      <c r="AQ2133" s="28"/>
      <c r="AR2133" s="28"/>
      <c r="AS2133" s="28"/>
      <c r="AT2133" s="28"/>
      <c r="AU2133" s="25"/>
      <c r="AV2133" s="25"/>
      <c r="AW2133" s="27"/>
      <c r="AX2133" s="27"/>
      <c r="AY2133" s="27"/>
      <c r="AZ2133" s="28"/>
      <c r="BA2133" s="28"/>
      <c r="BB2133" s="28"/>
      <c r="BC2133" s="28"/>
      <c r="BD2133" s="28"/>
      <c r="BE2133" s="28"/>
      <c r="BF2133" s="28"/>
      <c r="BG2133" s="28"/>
      <c r="BH2133" s="25"/>
      <c r="BI2133" s="25"/>
      <c r="BJ2133" s="25"/>
      <c r="BK2133" s="27"/>
      <c r="BL2133" s="27"/>
      <c r="BM2133" s="28"/>
      <c r="BN2133" s="28"/>
      <c r="BO2133" s="28"/>
      <c r="BP2133" s="28"/>
      <c r="BQ2133" s="28"/>
      <c r="BR2133" s="28"/>
      <c r="BS2133" s="28"/>
      <c r="BT2133" s="28"/>
      <c r="BU2133" s="25"/>
      <c r="BV2133" s="25"/>
      <c r="BW2133" s="27"/>
      <c r="BX2133" s="27"/>
      <c r="BY2133" s="27"/>
      <c r="BZ2133" s="28"/>
      <c r="CA2133" s="28"/>
      <c r="CB2133" s="28"/>
      <c r="CC2133" s="28"/>
      <c r="CD2133" s="28"/>
      <c r="CE2133" s="28"/>
      <c r="CF2133" s="28"/>
      <c r="CG2133" s="28"/>
      <c r="CH2133" s="29"/>
      <c r="CI2133" s="23" t="s">
        <v>1357</v>
      </c>
      <c r="CJ2133" s="28">
        <v>1</v>
      </c>
      <c r="CK2133" s="28"/>
      <c r="CL2133" s="23"/>
      <c r="CM2133" s="23"/>
      <c r="CN2133" s="23"/>
      <c r="CO2133" s="23"/>
      <c r="CP2133" s="23"/>
      <c r="CQ2133" s="23"/>
      <c r="CR2133" s="23"/>
      <c r="CS2133" s="23"/>
      <c r="CT2133" s="30"/>
      <c r="CU2133" s="30"/>
      <c r="CV2133" s="30"/>
      <c r="CW2133" s="30"/>
      <c r="CX2133" s="30"/>
      <c r="CY2133" s="30"/>
      <c r="CZ2133" s="30"/>
      <c r="DA2133" s="30"/>
      <c r="DB2133" s="30"/>
      <c r="DC2133" s="28"/>
      <c r="DD2133" s="23"/>
      <c r="DE2133" s="23"/>
    </row>
    <row r="2134" spans="1:109" x14ac:dyDescent="0.2">
      <c r="A2134" s="18">
        <v>9900</v>
      </c>
      <c r="B2134" s="19">
        <v>2</v>
      </c>
      <c r="C2134" s="19">
        <f t="shared" si="190"/>
        <v>99000002</v>
      </c>
      <c r="D2134" s="29" t="s">
        <v>1563</v>
      </c>
      <c r="E2134" s="20" t="s">
        <v>1356</v>
      </c>
      <c r="I2134" s="21" t="s">
        <v>486</v>
      </c>
      <c r="J2134" s="21"/>
      <c r="K2134" s="21"/>
      <c r="L2134" s="21"/>
      <c r="M2134" s="21"/>
      <c r="N2134" s="22" t="s">
        <v>1359</v>
      </c>
      <c r="O2134" s="22" t="s">
        <v>1366</v>
      </c>
      <c r="P2134" s="22"/>
      <c r="Q2134" s="22" t="s">
        <v>2041</v>
      </c>
      <c r="R2134" s="22"/>
      <c r="S2134" s="22"/>
      <c r="T2134" s="22" t="s">
        <v>3330</v>
      </c>
      <c r="U2134" s="116" t="s">
        <v>3332</v>
      </c>
      <c r="V2134" s="22"/>
      <c r="W2134" s="22" t="s">
        <v>6</v>
      </c>
      <c r="X2134" s="22"/>
      <c r="Y2134" s="23" t="s">
        <v>1358</v>
      </c>
      <c r="Z2134" s="22"/>
      <c r="AA2134" s="22"/>
      <c r="AB2134" s="22"/>
      <c r="AC2134" s="22"/>
      <c r="AD2134" s="22"/>
      <c r="AE2134" s="24"/>
      <c r="AF2134" s="24" t="s">
        <v>2043</v>
      </c>
      <c r="AG2134" s="22"/>
      <c r="AH2134" s="23"/>
      <c r="AJ2134" s="27"/>
      <c r="AK2134" s="27"/>
      <c r="AL2134" s="27"/>
      <c r="AW2134" s="27"/>
      <c r="AX2134" s="27"/>
      <c r="AY2134" s="27"/>
      <c r="BK2134" s="27"/>
      <c r="BL2134" s="27"/>
      <c r="BW2134" s="27"/>
      <c r="BX2134" s="27"/>
      <c r="BY2134" s="27"/>
      <c r="CH2134" s="29"/>
      <c r="CI2134" s="23" t="s">
        <v>1357</v>
      </c>
      <c r="CJ2134" s="28">
        <v>1</v>
      </c>
      <c r="CK2134" s="28"/>
    </row>
    <row r="2135" spans="1:109" x14ac:dyDescent="0.2">
      <c r="A2135" s="18">
        <v>9900</v>
      </c>
      <c r="B2135" s="19">
        <v>3</v>
      </c>
      <c r="C2135" s="19">
        <f t="shared" si="190"/>
        <v>99000003</v>
      </c>
      <c r="D2135" s="29" t="s">
        <v>1553</v>
      </c>
      <c r="E2135" s="20" t="s">
        <v>1360</v>
      </c>
      <c r="I2135" s="21" t="s">
        <v>486</v>
      </c>
      <c r="J2135" s="21"/>
      <c r="K2135" s="21"/>
      <c r="L2135" s="21"/>
      <c r="M2135" s="21"/>
      <c r="N2135" s="22" t="s">
        <v>1359</v>
      </c>
      <c r="O2135" s="22" t="s">
        <v>1359</v>
      </c>
      <c r="P2135" s="22"/>
      <c r="Q2135" s="22" t="s">
        <v>2041</v>
      </c>
      <c r="R2135" s="22"/>
      <c r="S2135" s="22"/>
      <c r="T2135" s="22" t="s">
        <v>3330</v>
      </c>
      <c r="U2135" s="116" t="s">
        <v>3333</v>
      </c>
      <c r="V2135" s="22"/>
      <c r="W2135" s="22" t="s">
        <v>6</v>
      </c>
      <c r="X2135" s="22"/>
      <c r="Y2135" s="23" t="s">
        <v>145</v>
      </c>
      <c r="Z2135" s="22"/>
      <c r="AA2135" s="22"/>
      <c r="AB2135" s="22"/>
      <c r="AC2135" s="22"/>
      <c r="AD2135" s="22"/>
      <c r="AE2135" s="24"/>
      <c r="AF2135" s="24" t="s">
        <v>2043</v>
      </c>
      <c r="AG2135" s="22"/>
      <c r="AH2135" s="23"/>
      <c r="AJ2135" s="27"/>
      <c r="AK2135" s="27"/>
      <c r="AL2135" s="27"/>
      <c r="AW2135" s="27"/>
      <c r="AX2135" s="27"/>
      <c r="AY2135" s="27"/>
      <c r="BK2135" s="27"/>
      <c r="BL2135" s="27"/>
      <c r="BW2135" s="27"/>
      <c r="BX2135" s="27"/>
      <c r="BY2135" s="27"/>
      <c r="CH2135" s="29"/>
      <c r="CI2135" s="23" t="s">
        <v>1357</v>
      </c>
      <c r="CJ2135" s="28">
        <v>1</v>
      </c>
      <c r="CK2135" s="28"/>
    </row>
    <row r="2136" spans="1:109" x14ac:dyDescent="0.2">
      <c r="A2136" s="18">
        <v>9900</v>
      </c>
      <c r="B2136" s="19">
        <v>101</v>
      </c>
      <c r="C2136" s="19">
        <f t="shared" si="190"/>
        <v>99000101</v>
      </c>
      <c r="D2136" s="96" t="s">
        <v>1555</v>
      </c>
      <c r="E2136" s="20" t="s">
        <v>1361</v>
      </c>
      <c r="I2136" s="21" t="s">
        <v>486</v>
      </c>
      <c r="J2136" s="21"/>
      <c r="K2136" s="21"/>
      <c r="L2136" s="21"/>
      <c r="M2136" s="21"/>
      <c r="N2136" s="22" t="s">
        <v>1359</v>
      </c>
      <c r="O2136" s="22" t="s">
        <v>1558</v>
      </c>
      <c r="P2136" s="22"/>
      <c r="Q2136" s="22" t="s">
        <v>2041</v>
      </c>
      <c r="R2136" s="22"/>
      <c r="S2136" s="22"/>
      <c r="T2136" s="22" t="s">
        <v>3330</v>
      </c>
      <c r="U2136" s="116" t="s">
        <v>3334</v>
      </c>
      <c r="V2136" s="22" t="s">
        <v>1891</v>
      </c>
      <c r="W2136" s="22" t="s">
        <v>1861</v>
      </c>
      <c r="X2136" s="22"/>
      <c r="Y2136" s="23" t="s">
        <v>1557</v>
      </c>
      <c r="Z2136" s="22"/>
      <c r="AA2136" s="22"/>
      <c r="AB2136" s="22"/>
      <c r="AC2136" s="22"/>
      <c r="AD2136" s="22"/>
      <c r="AE2136" s="24"/>
      <c r="AF2136" s="24" t="s">
        <v>2043</v>
      </c>
      <c r="AG2136" s="22"/>
      <c r="AH2136" s="23"/>
      <c r="AJ2136" s="27"/>
      <c r="AK2136" s="27"/>
      <c r="AL2136" s="27"/>
      <c r="AW2136" s="27"/>
      <c r="AX2136" s="27"/>
      <c r="AY2136" s="27"/>
      <c r="BK2136" s="27"/>
      <c r="BL2136" s="27"/>
      <c r="BW2136" s="27"/>
      <c r="BX2136" s="27"/>
      <c r="BY2136" s="27"/>
      <c r="CH2136" s="29"/>
      <c r="CI2136" s="23" t="s">
        <v>1357</v>
      </c>
      <c r="CJ2136" s="28">
        <v>2</v>
      </c>
      <c r="CK2136" s="28"/>
    </row>
    <row r="2137" spans="1:109" x14ac:dyDescent="0.2">
      <c r="A2137" s="18">
        <v>9900</v>
      </c>
      <c r="B2137" s="19">
        <v>102</v>
      </c>
      <c r="C2137" s="19">
        <f t="shared" si="190"/>
        <v>99000102</v>
      </c>
      <c r="D2137" s="29" t="s">
        <v>1564</v>
      </c>
      <c r="E2137" s="20" t="s">
        <v>1356</v>
      </c>
      <c r="I2137" s="21" t="s">
        <v>486</v>
      </c>
      <c r="J2137" s="21"/>
      <c r="K2137" s="21"/>
      <c r="L2137" s="21"/>
      <c r="M2137" s="21"/>
      <c r="N2137" s="22" t="s">
        <v>1359</v>
      </c>
      <c r="O2137" s="22" t="s">
        <v>1558</v>
      </c>
      <c r="P2137" s="22"/>
      <c r="Q2137" s="22" t="s">
        <v>2041</v>
      </c>
      <c r="R2137" s="22"/>
      <c r="S2137" s="22"/>
      <c r="T2137" s="22" t="s">
        <v>3330</v>
      </c>
      <c r="U2137" s="116" t="s">
        <v>3335</v>
      </c>
      <c r="V2137" s="22" t="s">
        <v>1892</v>
      </c>
      <c r="W2137" s="22" t="s">
        <v>1862</v>
      </c>
      <c r="X2137" s="22"/>
      <c r="Y2137" s="23" t="s">
        <v>120</v>
      </c>
      <c r="Z2137" s="22"/>
      <c r="AA2137" s="22"/>
      <c r="AB2137" s="22"/>
      <c r="AC2137" s="22"/>
      <c r="AD2137" s="22"/>
      <c r="AE2137" s="24"/>
      <c r="AF2137" s="24" t="s">
        <v>2043</v>
      </c>
      <c r="AG2137" s="22"/>
      <c r="AH2137" s="23"/>
      <c r="AJ2137" s="27"/>
      <c r="AK2137" s="27"/>
      <c r="AL2137" s="27"/>
      <c r="AW2137" s="27"/>
      <c r="AX2137" s="27"/>
      <c r="AY2137" s="27"/>
      <c r="BK2137" s="27"/>
      <c r="BL2137" s="27"/>
      <c r="BW2137" s="27"/>
      <c r="BX2137" s="27"/>
      <c r="BY2137" s="27"/>
      <c r="CH2137" s="29"/>
      <c r="CI2137" s="23" t="s">
        <v>1357</v>
      </c>
      <c r="CJ2137" s="28">
        <v>2</v>
      </c>
      <c r="CK2137" s="28"/>
    </row>
    <row r="2138" spans="1:109" x14ac:dyDescent="0.2">
      <c r="A2138" s="18">
        <v>9900</v>
      </c>
      <c r="B2138" s="19">
        <v>103</v>
      </c>
      <c r="C2138" s="19">
        <f t="shared" si="190"/>
        <v>99000103</v>
      </c>
      <c r="D2138" s="97" t="s">
        <v>1556</v>
      </c>
      <c r="E2138" s="20" t="s">
        <v>1360</v>
      </c>
      <c r="I2138" s="21" t="s">
        <v>486</v>
      </c>
      <c r="J2138" s="21"/>
      <c r="K2138" s="21"/>
      <c r="L2138" s="21"/>
      <c r="M2138" s="21"/>
      <c r="N2138" s="22" t="s">
        <v>1359</v>
      </c>
      <c r="O2138" s="22" t="s">
        <v>1560</v>
      </c>
      <c r="P2138" s="22"/>
      <c r="Q2138" s="22" t="s">
        <v>2041</v>
      </c>
      <c r="R2138" s="22"/>
      <c r="S2138" s="22"/>
      <c r="T2138" s="22" t="s">
        <v>3330</v>
      </c>
      <c r="U2138" s="116" t="s">
        <v>3336</v>
      </c>
      <c r="V2138" s="22" t="s">
        <v>1893</v>
      </c>
      <c r="W2138" s="22" t="s">
        <v>1863</v>
      </c>
      <c r="X2138" s="22"/>
      <c r="Y2138" s="23" t="s">
        <v>120</v>
      </c>
      <c r="Z2138" s="22"/>
      <c r="AA2138" s="22"/>
      <c r="AB2138" s="22"/>
      <c r="AC2138" s="22"/>
      <c r="AD2138" s="22"/>
      <c r="AE2138" s="24"/>
      <c r="AF2138" s="24" t="s">
        <v>2043</v>
      </c>
      <c r="AG2138" s="22"/>
      <c r="AH2138" s="23"/>
      <c r="AJ2138" s="27"/>
      <c r="AK2138" s="27"/>
      <c r="AL2138" s="27"/>
      <c r="AW2138" s="27"/>
      <c r="AX2138" s="27"/>
      <c r="AY2138" s="27"/>
      <c r="BK2138" s="27"/>
      <c r="BL2138" s="27"/>
      <c r="BW2138" s="27"/>
      <c r="BX2138" s="27"/>
      <c r="BY2138" s="27"/>
      <c r="CH2138" s="29"/>
      <c r="CI2138" s="23" t="s">
        <v>1357</v>
      </c>
      <c r="CJ2138" s="28">
        <v>2</v>
      </c>
      <c r="CK2138" s="28"/>
    </row>
    <row r="2139" spans="1:109" x14ac:dyDescent="0.2">
      <c r="A2139" s="18">
        <v>9901</v>
      </c>
      <c r="B2139" s="19">
        <v>333</v>
      </c>
      <c r="C2139" s="19">
        <f t="shared" si="190"/>
        <v>99010333</v>
      </c>
      <c r="D2139" s="98" t="s">
        <v>1576</v>
      </c>
      <c r="E2139" s="20" t="s">
        <v>1361</v>
      </c>
      <c r="I2139" s="21" t="s">
        <v>486</v>
      </c>
      <c r="J2139" s="21"/>
      <c r="K2139" s="21"/>
      <c r="L2139" s="21"/>
      <c r="M2139" s="21"/>
      <c r="N2139" s="22" t="s">
        <v>271</v>
      </c>
      <c r="O2139" s="22" t="s">
        <v>1359</v>
      </c>
      <c r="P2139" s="22"/>
      <c r="Q2139" s="22" t="s">
        <v>2041</v>
      </c>
      <c r="R2139" s="22"/>
      <c r="S2139" s="22"/>
      <c r="T2139" s="22"/>
      <c r="U2139" s="116"/>
      <c r="V2139" s="22" t="s">
        <v>1894</v>
      </c>
      <c r="W2139" s="22" t="s">
        <v>1864</v>
      </c>
      <c r="X2139" s="22"/>
      <c r="Y2139" s="23" t="s">
        <v>145</v>
      </c>
      <c r="Z2139" s="22"/>
      <c r="AA2139" s="22"/>
      <c r="AB2139" s="22"/>
      <c r="AC2139" s="22"/>
      <c r="AD2139" s="22"/>
      <c r="AE2139" s="24"/>
      <c r="AF2139" s="24" t="s">
        <v>2043</v>
      </c>
      <c r="AG2139" s="22"/>
      <c r="AH2139" s="23"/>
      <c r="AJ2139" s="26"/>
      <c r="AK2139" s="27"/>
      <c r="AL2139" s="27"/>
      <c r="AW2139" s="27"/>
      <c r="AX2139" s="27"/>
      <c r="AY2139" s="27"/>
      <c r="BK2139" s="27"/>
      <c r="BL2139" s="27"/>
      <c r="BW2139" s="27"/>
      <c r="BX2139" s="27"/>
      <c r="BY2139" s="27"/>
      <c r="CH2139" s="29"/>
      <c r="CI2139" s="23" t="s">
        <v>398</v>
      </c>
      <c r="CJ2139" s="28">
        <v>1</v>
      </c>
    </row>
    <row r="2140" spans="1:109" x14ac:dyDescent="0.2">
      <c r="A2140" s="18">
        <v>9901</v>
      </c>
      <c r="B2140" s="19">
        <v>3333</v>
      </c>
      <c r="C2140" s="19">
        <f t="shared" si="190"/>
        <v>99013333</v>
      </c>
      <c r="D2140" s="99" t="s">
        <v>1577</v>
      </c>
      <c r="E2140" s="20" t="s">
        <v>1356</v>
      </c>
      <c r="I2140" s="21" t="s">
        <v>486</v>
      </c>
      <c r="J2140" s="21"/>
      <c r="K2140" s="21"/>
      <c r="L2140" s="21"/>
      <c r="M2140" s="21"/>
      <c r="N2140" s="22" t="s">
        <v>271</v>
      </c>
      <c r="O2140" s="22" t="s">
        <v>1359</v>
      </c>
      <c r="P2140" s="22"/>
      <c r="Q2140" s="22" t="s">
        <v>2041</v>
      </c>
      <c r="R2140" s="22"/>
      <c r="S2140" s="22"/>
      <c r="T2140" s="22"/>
      <c r="U2140" s="116"/>
      <c r="V2140" s="22" t="s">
        <v>1895</v>
      </c>
      <c r="W2140" s="22" t="s">
        <v>1865</v>
      </c>
      <c r="X2140" s="22"/>
      <c r="Y2140" s="23" t="s">
        <v>145</v>
      </c>
      <c r="Z2140" s="22"/>
      <c r="AA2140" s="22"/>
      <c r="AB2140" s="22"/>
      <c r="AC2140" s="22"/>
      <c r="AD2140" s="22"/>
      <c r="AE2140" s="24"/>
      <c r="AF2140" s="24" t="s">
        <v>2043</v>
      </c>
      <c r="AG2140" s="22"/>
      <c r="AH2140" s="23"/>
      <c r="AJ2140" s="27"/>
      <c r="AK2140" s="27"/>
      <c r="AL2140" s="27"/>
      <c r="AW2140" s="27"/>
      <c r="AX2140" s="27"/>
      <c r="AY2140" s="27"/>
      <c r="BK2140" s="27"/>
      <c r="BL2140" s="27"/>
      <c r="BW2140" s="27"/>
      <c r="BX2140" s="27"/>
      <c r="BY2140" s="27"/>
      <c r="CH2140" s="29"/>
      <c r="CI2140" s="23" t="s">
        <v>398</v>
      </c>
      <c r="CJ2140" s="28">
        <v>1</v>
      </c>
    </row>
    <row r="2141" spans="1:109" x14ac:dyDescent="0.2">
      <c r="A2141" s="18">
        <v>9901</v>
      </c>
      <c r="B2141" s="19">
        <v>1</v>
      </c>
      <c r="C2141" s="19">
        <f t="shared" si="190"/>
        <v>99010001</v>
      </c>
      <c r="D2141" s="99" t="s">
        <v>1578</v>
      </c>
      <c r="E2141" s="20" t="s">
        <v>1360</v>
      </c>
      <c r="I2141" s="21" t="s">
        <v>486</v>
      </c>
      <c r="J2141" s="21"/>
      <c r="K2141" s="21"/>
      <c r="L2141" s="21"/>
      <c r="M2141" s="21"/>
      <c r="N2141" s="22" t="s">
        <v>271</v>
      </c>
      <c r="O2141" s="22" t="s">
        <v>4861</v>
      </c>
      <c r="P2141" s="22"/>
      <c r="Q2141" s="22" t="s">
        <v>2041</v>
      </c>
      <c r="R2141" s="22"/>
      <c r="S2141" s="22"/>
      <c r="T2141" s="22"/>
      <c r="U2141" s="116"/>
      <c r="V2141" s="22" t="s">
        <v>1896</v>
      </c>
      <c r="W2141" s="22" t="s">
        <v>6</v>
      </c>
      <c r="X2141" s="22"/>
      <c r="Y2141" s="23" t="s">
        <v>145</v>
      </c>
      <c r="Z2141" s="22"/>
      <c r="AA2141" s="22"/>
      <c r="AB2141" s="22"/>
      <c r="AC2141" s="22"/>
      <c r="AD2141" s="22"/>
      <c r="AE2141" s="24"/>
      <c r="AF2141" s="24" t="s">
        <v>2043</v>
      </c>
      <c r="AG2141" s="22"/>
      <c r="AH2141" s="23"/>
      <c r="AJ2141" s="27"/>
      <c r="AK2141" s="27"/>
      <c r="AL2141" s="27"/>
      <c r="AW2141" s="27"/>
      <c r="AX2141" s="27"/>
      <c r="AY2141" s="27"/>
      <c r="BK2141" s="27"/>
      <c r="BL2141" s="27"/>
      <c r="BW2141" s="27"/>
      <c r="BX2141" s="27"/>
      <c r="BY2141" s="27"/>
      <c r="CH2141" s="29"/>
      <c r="CI2141" s="23" t="s">
        <v>398</v>
      </c>
      <c r="CJ2141" s="28">
        <v>1</v>
      </c>
    </row>
    <row r="2142" spans="1:109" ht="17.25" x14ac:dyDescent="0.3">
      <c r="A2142" s="8"/>
      <c r="B2142" s="8"/>
      <c r="C2142" s="8">
        <f t="shared" si="190"/>
        <v>0</v>
      </c>
      <c r="D2142" s="8"/>
      <c r="E2142" s="9" t="s">
        <v>1322</v>
      </c>
      <c r="F2142" s="9"/>
      <c r="G2142" s="9"/>
      <c r="H2142" s="9"/>
      <c r="I2142" s="10"/>
      <c r="J2142" s="10"/>
      <c r="K2142" s="10"/>
      <c r="L2142" s="10"/>
      <c r="M2142" s="10"/>
      <c r="N2142" s="10"/>
      <c r="O2142" s="10"/>
      <c r="P2142" s="10"/>
      <c r="Q2142" s="10"/>
      <c r="R2142" s="10"/>
      <c r="S2142" s="10"/>
      <c r="T2142" s="10"/>
      <c r="U2142" s="10"/>
      <c r="V2142" s="10"/>
      <c r="W2142" s="10"/>
      <c r="X2142" s="10"/>
      <c r="Y2142" s="11"/>
      <c r="Z2142" s="10"/>
      <c r="AA2142" s="10"/>
      <c r="AB2142" s="10"/>
      <c r="AC2142" s="10"/>
      <c r="AD2142" s="10"/>
      <c r="AE2142" s="12"/>
      <c r="AF2142" s="12"/>
      <c r="AG2142" s="10"/>
      <c r="AH2142" s="13"/>
      <c r="AI2142" s="13"/>
      <c r="AJ2142" s="13"/>
      <c r="AK2142" s="15"/>
      <c r="AL2142" s="15"/>
      <c r="AM2142" s="15"/>
      <c r="AN2142" s="15"/>
      <c r="AO2142" s="15"/>
      <c r="AP2142" s="15"/>
      <c r="AQ2142" s="15"/>
      <c r="AR2142" s="15"/>
      <c r="AS2142" s="15"/>
      <c r="AT2142" s="15"/>
      <c r="AU2142" s="13"/>
      <c r="AV2142" s="13"/>
      <c r="AW2142" s="13"/>
      <c r="AX2142" s="31"/>
      <c r="AY2142" s="31"/>
      <c r="AZ2142" s="15"/>
      <c r="BA2142" s="15"/>
      <c r="BB2142" s="15"/>
      <c r="BC2142" s="15"/>
      <c r="BD2142" s="15"/>
      <c r="BE2142" s="15"/>
      <c r="BF2142" s="15"/>
      <c r="BG2142" s="15"/>
      <c r="BH2142" s="13"/>
      <c r="BI2142" s="13"/>
      <c r="BJ2142" s="13"/>
      <c r="BK2142" s="31"/>
      <c r="BL2142" s="31"/>
      <c r="BM2142" s="15"/>
      <c r="BN2142" s="15"/>
      <c r="BO2142" s="15"/>
      <c r="BP2142" s="15"/>
      <c r="BQ2142" s="15"/>
      <c r="BR2142" s="15"/>
      <c r="BS2142" s="15"/>
      <c r="BT2142" s="15"/>
      <c r="BU2142" s="13"/>
      <c r="BV2142" s="13"/>
      <c r="BW2142" s="13"/>
      <c r="BX2142" s="31"/>
      <c r="BY2142" s="31"/>
      <c r="BZ2142" s="15"/>
      <c r="CA2142" s="15"/>
      <c r="CB2142" s="15"/>
      <c r="CC2142" s="15"/>
      <c r="CD2142" s="15"/>
      <c r="CE2142" s="15"/>
      <c r="CF2142" s="15"/>
      <c r="CG2142" s="15"/>
      <c r="CH2142" s="10"/>
      <c r="CI2142" s="8"/>
      <c r="CJ2142" s="16"/>
      <c r="CK2142" s="8"/>
      <c r="CL2142" s="14"/>
      <c r="CM2142" s="14"/>
      <c r="CN2142" s="14"/>
      <c r="CO2142" s="14"/>
      <c r="CP2142" s="14"/>
      <c r="CQ2142" s="14"/>
      <c r="CR2142" s="14"/>
      <c r="CS2142" s="14"/>
      <c r="CT2142" s="17"/>
      <c r="CU2142" s="17"/>
      <c r="CV2142" s="17"/>
      <c r="CW2142" s="17"/>
      <c r="CX2142" s="17"/>
      <c r="CY2142" s="17"/>
      <c r="CZ2142" s="17"/>
      <c r="DA2142" s="17"/>
      <c r="DB2142" s="17"/>
      <c r="DC2142" s="15"/>
      <c r="DD2142" s="14"/>
      <c r="DE2142" s="14"/>
    </row>
    <row r="2143" spans="1:109" s="109" customFormat="1" ht="17.25" x14ac:dyDescent="0.3">
      <c r="A2143" s="100"/>
      <c r="B2143" s="100"/>
      <c r="C2143" s="100">
        <f t="shared" si="190"/>
        <v>0</v>
      </c>
      <c r="D2143" s="100"/>
      <c r="E2143" s="101" t="s">
        <v>1323</v>
      </c>
      <c r="F2143" s="101"/>
      <c r="G2143" s="101"/>
      <c r="H2143" s="101"/>
      <c r="I2143" s="102"/>
      <c r="J2143" s="102"/>
      <c r="K2143" s="102"/>
      <c r="L2143" s="102"/>
      <c r="M2143" s="102"/>
      <c r="N2143" s="102"/>
      <c r="O2143" s="102"/>
      <c r="P2143" s="102"/>
      <c r="Q2143" s="102"/>
      <c r="R2143" s="102"/>
      <c r="S2143" s="102"/>
      <c r="T2143" s="102"/>
      <c r="U2143" s="102"/>
      <c r="V2143" s="102"/>
      <c r="W2143" s="102"/>
      <c r="X2143" s="102"/>
      <c r="Y2143" s="103"/>
      <c r="Z2143" s="102"/>
      <c r="AA2143" s="102"/>
      <c r="AB2143" s="102"/>
      <c r="AC2143" s="102"/>
      <c r="AD2143" s="102"/>
      <c r="AE2143" s="104"/>
      <c r="AF2143" s="104"/>
      <c r="AG2143" s="102"/>
      <c r="AH2143" s="105"/>
      <c r="AI2143" s="105"/>
      <c r="AJ2143" s="105"/>
      <c r="AK2143" s="106"/>
      <c r="AL2143" s="106"/>
      <c r="AM2143" s="106"/>
      <c r="AN2143" s="106"/>
      <c r="AO2143" s="106"/>
      <c r="AP2143" s="106"/>
      <c r="AQ2143" s="106"/>
      <c r="AR2143" s="106"/>
      <c r="AS2143" s="106"/>
      <c r="AT2143" s="106"/>
      <c r="AU2143" s="105"/>
      <c r="AV2143" s="105"/>
      <c r="AW2143" s="105"/>
      <c r="AX2143" s="107"/>
      <c r="AY2143" s="107"/>
      <c r="AZ2143" s="106"/>
      <c r="BA2143" s="106"/>
      <c r="BB2143" s="106"/>
      <c r="BC2143" s="106"/>
      <c r="BD2143" s="106"/>
      <c r="BE2143" s="106"/>
      <c r="BF2143" s="106"/>
      <c r="BG2143" s="106"/>
      <c r="BH2143" s="105"/>
      <c r="BI2143" s="105"/>
      <c r="BJ2143" s="105"/>
      <c r="BK2143" s="107"/>
      <c r="BL2143" s="107"/>
      <c r="BM2143" s="106"/>
      <c r="BN2143" s="106"/>
      <c r="BO2143" s="106"/>
      <c r="BP2143" s="106"/>
      <c r="BQ2143" s="106"/>
      <c r="BR2143" s="106"/>
      <c r="BS2143" s="106"/>
      <c r="BT2143" s="106"/>
      <c r="BU2143" s="105"/>
      <c r="BV2143" s="105"/>
      <c r="BW2143" s="105"/>
      <c r="BX2143" s="107"/>
      <c r="BY2143" s="107"/>
      <c r="BZ2143" s="106"/>
      <c r="CA2143" s="106"/>
      <c r="CB2143" s="106"/>
      <c r="CC2143" s="106"/>
      <c r="CD2143" s="106"/>
      <c r="CE2143" s="106"/>
      <c r="CF2143" s="106"/>
      <c r="CG2143" s="106"/>
      <c r="CH2143" s="102"/>
      <c r="CI2143" s="100"/>
      <c r="CJ2143" s="108"/>
      <c r="CK2143" s="100"/>
      <c r="CT2143" s="110"/>
      <c r="CU2143" s="110"/>
      <c r="CV2143" s="110"/>
      <c r="CW2143" s="110"/>
      <c r="CX2143" s="110"/>
      <c r="CY2143" s="110"/>
      <c r="CZ2143" s="110"/>
      <c r="DA2143" s="110"/>
      <c r="DB2143" s="110"/>
      <c r="DC2143" s="106"/>
    </row>
    <row r="2144" spans="1:109" x14ac:dyDescent="0.2">
      <c r="A2144" s="29" t="s">
        <v>1309</v>
      </c>
      <c r="B2144" s="29" t="s">
        <v>0</v>
      </c>
      <c r="C2144" s="29">
        <f t="shared" si="190"/>
        <v>1000400001</v>
      </c>
      <c r="D2144" s="29" t="s">
        <v>1324</v>
      </c>
      <c r="E2144" s="20" t="s">
        <v>485</v>
      </c>
      <c r="N2144" s="20" t="s">
        <v>1310</v>
      </c>
      <c r="O2144" s="20" t="s">
        <v>1326</v>
      </c>
      <c r="Q2144" s="20" t="s">
        <v>2041</v>
      </c>
      <c r="T2144" s="20" t="s">
        <v>3267</v>
      </c>
      <c r="U2144" s="119" t="s">
        <v>3268</v>
      </c>
      <c r="V2144" s="20" t="s">
        <v>1877</v>
      </c>
      <c r="W2144" s="20" t="s">
        <v>1836</v>
      </c>
      <c r="AF2144" s="23" t="s">
        <v>2041</v>
      </c>
      <c r="AL2144" s="109" t="s">
        <v>3643</v>
      </c>
      <c r="CJ2144" s="23"/>
      <c r="CK2144" s="28"/>
      <c r="CM2144" s="23" t="s">
        <v>26</v>
      </c>
      <c r="CN2144" s="23" t="s">
        <v>0</v>
      </c>
      <c r="DE2144" s="23" t="s">
        <v>3716</v>
      </c>
    </row>
    <row r="2145" spans="1:109" x14ac:dyDescent="0.2">
      <c r="A2145" s="29" t="s">
        <v>1309</v>
      </c>
      <c r="B2145" s="29" t="s">
        <v>26</v>
      </c>
      <c r="C2145" s="29">
        <f t="shared" si="190"/>
        <v>1000400002</v>
      </c>
      <c r="D2145" s="29" t="s">
        <v>1312</v>
      </c>
      <c r="E2145" s="20" t="s">
        <v>1619</v>
      </c>
      <c r="I2145" s="20" t="s">
        <v>1311</v>
      </c>
      <c r="N2145" s="20" t="s">
        <v>1310</v>
      </c>
      <c r="O2145" s="20" t="s">
        <v>1326</v>
      </c>
      <c r="Q2145" s="20" t="s">
        <v>2041</v>
      </c>
      <c r="T2145" s="20" t="s">
        <v>3267</v>
      </c>
      <c r="U2145" s="119" t="s">
        <v>3273</v>
      </c>
      <c r="V2145" s="20" t="s">
        <v>1877</v>
      </c>
      <c r="W2145" s="20" t="s">
        <v>1</v>
      </c>
      <c r="AF2145" s="23" t="s">
        <v>2041</v>
      </c>
      <c r="AL2145" s="109" t="s">
        <v>3644</v>
      </c>
      <c r="CJ2145" s="23"/>
      <c r="CK2145" s="28"/>
      <c r="CM2145" s="23" t="s">
        <v>27</v>
      </c>
      <c r="CN2145" s="23" t="s">
        <v>0</v>
      </c>
      <c r="DE2145" s="23" t="s">
        <v>3716</v>
      </c>
    </row>
    <row r="2146" spans="1:109" x14ac:dyDescent="0.2">
      <c r="A2146" s="29" t="s">
        <v>1309</v>
      </c>
      <c r="B2146" s="29" t="s">
        <v>27</v>
      </c>
      <c r="C2146" s="29">
        <f t="shared" si="190"/>
        <v>1000400003</v>
      </c>
      <c r="D2146" s="29" t="s">
        <v>1313</v>
      </c>
      <c r="E2146" s="20" t="s">
        <v>696</v>
      </c>
      <c r="N2146" s="20" t="s">
        <v>1310</v>
      </c>
      <c r="O2146" s="20" t="s">
        <v>1326</v>
      </c>
      <c r="Q2146" s="20" t="s">
        <v>2041</v>
      </c>
      <c r="T2146" s="20" t="s">
        <v>3267</v>
      </c>
      <c r="U2146" s="119" t="s">
        <v>3274</v>
      </c>
      <c r="V2146" s="20" t="s">
        <v>1877</v>
      </c>
      <c r="W2146" s="20" t="s">
        <v>1</v>
      </c>
      <c r="AF2146" s="23" t="s">
        <v>2041</v>
      </c>
      <c r="AL2146" s="109" t="s">
        <v>3645</v>
      </c>
      <c r="CJ2146" s="23"/>
      <c r="CK2146" s="28"/>
      <c r="CM2146" s="23" t="s">
        <v>1</v>
      </c>
      <c r="CN2146" s="23" t="s">
        <v>0</v>
      </c>
      <c r="DE2146" s="23" t="s">
        <v>3716</v>
      </c>
    </row>
    <row r="2147" spans="1:109" x14ac:dyDescent="0.2">
      <c r="A2147" s="29" t="s">
        <v>1309</v>
      </c>
      <c r="B2147" s="29" t="s">
        <v>1</v>
      </c>
      <c r="C2147" s="29">
        <f t="shared" si="190"/>
        <v>1000400004</v>
      </c>
      <c r="D2147" s="29" t="s">
        <v>1315</v>
      </c>
      <c r="E2147" s="20" t="s">
        <v>695</v>
      </c>
      <c r="I2147" s="20" t="s">
        <v>1314</v>
      </c>
      <c r="N2147" s="20" t="s">
        <v>1310</v>
      </c>
      <c r="O2147" s="20" t="s">
        <v>1326</v>
      </c>
      <c r="Q2147" s="20" t="s">
        <v>2041</v>
      </c>
      <c r="T2147" s="20" t="s">
        <v>3267</v>
      </c>
      <c r="U2147" s="119" t="s">
        <v>3275</v>
      </c>
      <c r="V2147" s="20" t="s">
        <v>1877</v>
      </c>
      <c r="W2147" s="20" t="s">
        <v>1</v>
      </c>
      <c r="AF2147" s="23" t="s">
        <v>2041</v>
      </c>
      <c r="AL2147" s="109" t="s">
        <v>3646</v>
      </c>
      <c r="CJ2147" s="23"/>
      <c r="CK2147" s="28"/>
      <c r="CM2147" s="23" t="s">
        <v>2</v>
      </c>
      <c r="CN2147" s="23" t="s">
        <v>0</v>
      </c>
      <c r="DE2147" s="23" t="s">
        <v>3716</v>
      </c>
    </row>
    <row r="2148" spans="1:109" x14ac:dyDescent="0.2">
      <c r="A2148" s="29" t="s">
        <v>1309</v>
      </c>
      <c r="B2148" s="29" t="s">
        <v>2</v>
      </c>
      <c r="C2148" s="29">
        <f t="shared" si="190"/>
        <v>1000400005</v>
      </c>
      <c r="D2148" s="29" t="s">
        <v>1316</v>
      </c>
      <c r="E2148" s="20" t="s">
        <v>1114</v>
      </c>
      <c r="I2148" s="20" t="s">
        <v>157</v>
      </c>
      <c r="N2148" s="20" t="s">
        <v>1310</v>
      </c>
      <c r="O2148" s="20" t="s">
        <v>1326</v>
      </c>
      <c r="Q2148" s="20" t="s">
        <v>2041</v>
      </c>
      <c r="T2148" s="20" t="s">
        <v>3267</v>
      </c>
      <c r="U2148" s="119" t="s">
        <v>3276</v>
      </c>
      <c r="V2148" s="20" t="s">
        <v>1877</v>
      </c>
      <c r="W2148" s="20" t="s">
        <v>1</v>
      </c>
      <c r="AF2148" s="23" t="s">
        <v>2041</v>
      </c>
      <c r="AL2148" s="109" t="s">
        <v>3647</v>
      </c>
      <c r="CJ2148" s="23"/>
      <c r="CK2148" s="28"/>
      <c r="CM2148" s="23" t="s">
        <v>3</v>
      </c>
      <c r="CN2148" s="23" t="s">
        <v>0</v>
      </c>
      <c r="DE2148" s="23" t="s">
        <v>3716</v>
      </c>
    </row>
    <row r="2149" spans="1:109" s="109" customFormat="1" x14ac:dyDescent="0.2">
      <c r="A2149" s="29" t="s">
        <v>1309</v>
      </c>
      <c r="B2149" s="29" t="s">
        <v>3</v>
      </c>
      <c r="C2149" s="29">
        <f t="shared" si="190"/>
        <v>1000400006</v>
      </c>
      <c r="D2149" s="29" t="s">
        <v>1317</v>
      </c>
      <c r="E2149" s="20" t="s">
        <v>1114</v>
      </c>
      <c r="F2149" s="20"/>
      <c r="G2149" s="20"/>
      <c r="H2149" s="20"/>
      <c r="I2149" s="20" t="s">
        <v>157</v>
      </c>
      <c r="J2149" s="20"/>
      <c r="K2149" s="20"/>
      <c r="L2149" s="20"/>
      <c r="M2149" s="20"/>
      <c r="N2149" s="20" t="s">
        <v>1310</v>
      </c>
      <c r="O2149" s="20" t="s">
        <v>1326</v>
      </c>
      <c r="P2149" s="20"/>
      <c r="Q2149" s="20" t="s">
        <v>2041</v>
      </c>
      <c r="R2149" s="20"/>
      <c r="S2149" s="20"/>
      <c r="T2149" s="20" t="s">
        <v>3267</v>
      </c>
      <c r="U2149" s="119" t="s">
        <v>3269</v>
      </c>
      <c r="V2149" s="20" t="s">
        <v>1877</v>
      </c>
      <c r="W2149" s="20" t="s">
        <v>1</v>
      </c>
      <c r="X2149" s="20"/>
      <c r="Y2149" s="23"/>
      <c r="Z2149" s="20"/>
      <c r="AA2149" s="20"/>
      <c r="AB2149" s="20"/>
      <c r="AC2149" s="20"/>
      <c r="AD2149" s="20"/>
      <c r="AE2149" s="23"/>
      <c r="AF2149" s="23" t="s">
        <v>2041</v>
      </c>
      <c r="AG2149" s="20"/>
      <c r="AH2149" s="25"/>
      <c r="AI2149" s="25"/>
      <c r="AJ2149" s="25"/>
      <c r="AK2149" s="28"/>
      <c r="AL2149" s="109" t="s">
        <v>3648</v>
      </c>
      <c r="AM2149" s="28"/>
      <c r="AN2149" s="28"/>
      <c r="AO2149" s="28"/>
      <c r="AP2149" s="28"/>
      <c r="AQ2149" s="28"/>
      <c r="AR2149" s="28"/>
      <c r="AS2149" s="28"/>
      <c r="AT2149" s="28"/>
      <c r="AU2149" s="25"/>
      <c r="AV2149" s="25"/>
      <c r="AW2149" s="25"/>
      <c r="AX2149" s="23"/>
      <c r="AY2149" s="23"/>
      <c r="AZ2149" s="28"/>
      <c r="BA2149" s="28"/>
      <c r="BB2149" s="28"/>
      <c r="BC2149" s="28"/>
      <c r="BD2149" s="28"/>
      <c r="BE2149" s="28"/>
      <c r="BF2149" s="28"/>
      <c r="BG2149" s="28"/>
      <c r="BH2149" s="25"/>
      <c r="BI2149" s="25"/>
      <c r="BJ2149" s="25"/>
      <c r="BK2149" s="23"/>
      <c r="BL2149" s="23"/>
      <c r="BM2149" s="28"/>
      <c r="BN2149" s="28"/>
      <c r="BO2149" s="28"/>
      <c r="BP2149" s="28"/>
      <c r="BQ2149" s="28"/>
      <c r="BR2149" s="28"/>
      <c r="BS2149" s="28"/>
      <c r="BT2149" s="28"/>
      <c r="BU2149" s="25"/>
      <c r="BV2149" s="25"/>
      <c r="BW2149" s="25"/>
      <c r="BX2149" s="23"/>
      <c r="BY2149" s="23"/>
      <c r="BZ2149" s="28"/>
      <c r="CA2149" s="28"/>
      <c r="CB2149" s="28"/>
      <c r="CC2149" s="28"/>
      <c r="CD2149" s="28"/>
      <c r="CE2149" s="28"/>
      <c r="CF2149" s="28"/>
      <c r="CG2149" s="28"/>
      <c r="CH2149" s="23"/>
      <c r="CI2149" s="23"/>
      <c r="CJ2149" s="23"/>
      <c r="CK2149" s="28"/>
      <c r="CL2149" s="23"/>
      <c r="CM2149" s="23" t="s">
        <v>4</v>
      </c>
      <c r="CN2149" s="23" t="s">
        <v>0</v>
      </c>
      <c r="CO2149" s="23"/>
      <c r="CP2149" s="23"/>
      <c r="CQ2149" s="23"/>
      <c r="CR2149" s="23"/>
      <c r="CS2149" s="23"/>
      <c r="CT2149" s="30"/>
      <c r="CU2149" s="30"/>
      <c r="CV2149" s="30"/>
      <c r="CW2149" s="30"/>
      <c r="CX2149" s="30"/>
      <c r="CY2149" s="30"/>
      <c r="CZ2149" s="30"/>
      <c r="DA2149" s="30"/>
      <c r="DB2149" s="30"/>
      <c r="DC2149" s="28"/>
      <c r="DD2149" s="23"/>
      <c r="DE2149" s="23" t="s">
        <v>3716</v>
      </c>
    </row>
    <row r="2150" spans="1:109" x14ac:dyDescent="0.2">
      <c r="A2150" s="29" t="s">
        <v>1309</v>
      </c>
      <c r="B2150" s="29" t="s">
        <v>4</v>
      </c>
      <c r="C2150" s="29">
        <f t="shared" si="190"/>
        <v>1000400007</v>
      </c>
      <c r="D2150" s="29" t="s">
        <v>1318</v>
      </c>
      <c r="E2150" s="20" t="s">
        <v>485</v>
      </c>
      <c r="I2150" s="20" t="s">
        <v>1325</v>
      </c>
      <c r="N2150" s="20" t="s">
        <v>1310</v>
      </c>
      <c r="O2150" s="20" t="s">
        <v>1326</v>
      </c>
      <c r="Q2150" s="20" t="s">
        <v>2041</v>
      </c>
      <c r="T2150" s="20" t="s">
        <v>3267</v>
      </c>
      <c r="U2150" s="119" t="s">
        <v>3270</v>
      </c>
      <c r="V2150" s="20" t="s">
        <v>1877</v>
      </c>
      <c r="W2150" s="20" t="s">
        <v>1</v>
      </c>
      <c r="AF2150" s="23" t="s">
        <v>2041</v>
      </c>
      <c r="AL2150" s="109" t="s">
        <v>3649</v>
      </c>
      <c r="CJ2150" s="23"/>
      <c r="CK2150" s="28"/>
      <c r="CM2150" s="23" t="s">
        <v>5</v>
      </c>
      <c r="CN2150" s="23" t="s">
        <v>0</v>
      </c>
      <c r="DE2150" s="23" t="s">
        <v>3716</v>
      </c>
    </row>
    <row r="2151" spans="1:109" x14ac:dyDescent="0.2">
      <c r="A2151" s="29" t="s">
        <v>1309</v>
      </c>
      <c r="B2151" s="29" t="s">
        <v>5</v>
      </c>
      <c r="C2151" s="29">
        <f t="shared" si="190"/>
        <v>1000400008</v>
      </c>
      <c r="D2151" s="29" t="s">
        <v>1319</v>
      </c>
      <c r="E2151" s="20" t="s">
        <v>485</v>
      </c>
      <c r="I2151" s="20" t="s">
        <v>1325</v>
      </c>
      <c r="N2151" s="20" t="s">
        <v>1310</v>
      </c>
      <c r="O2151" s="20" t="s">
        <v>1329</v>
      </c>
      <c r="Q2151" s="20" t="s">
        <v>2041</v>
      </c>
      <c r="T2151" s="20" t="s">
        <v>3267</v>
      </c>
      <c r="U2151" s="119" t="s">
        <v>3271</v>
      </c>
      <c r="V2151" s="20" t="s">
        <v>1877</v>
      </c>
      <c r="W2151" s="20" t="s">
        <v>1</v>
      </c>
      <c r="AF2151" s="23" t="s">
        <v>2041</v>
      </c>
      <c r="AL2151" s="109" t="s">
        <v>3650</v>
      </c>
      <c r="CJ2151" s="23"/>
      <c r="CK2151" s="28"/>
      <c r="CM2151" s="23" t="s">
        <v>6</v>
      </c>
      <c r="CN2151" s="23" t="s">
        <v>0</v>
      </c>
      <c r="DE2151" s="23" t="s">
        <v>3716</v>
      </c>
    </row>
    <row r="2152" spans="1:109" x14ac:dyDescent="0.2">
      <c r="A2152" s="29" t="s">
        <v>1309</v>
      </c>
      <c r="B2152" s="29" t="s">
        <v>6</v>
      </c>
      <c r="C2152" s="29">
        <f t="shared" si="190"/>
        <v>1000400009</v>
      </c>
      <c r="D2152" s="29" t="s">
        <v>1320</v>
      </c>
      <c r="E2152" s="20" t="s">
        <v>1620</v>
      </c>
      <c r="I2152" s="20" t="s">
        <v>206</v>
      </c>
      <c r="N2152" s="20" t="s">
        <v>1321</v>
      </c>
      <c r="O2152" s="20" t="s">
        <v>1330</v>
      </c>
      <c r="Q2152" s="20" t="s">
        <v>2041</v>
      </c>
      <c r="T2152" s="20" t="s">
        <v>3267</v>
      </c>
      <c r="U2152" s="119" t="s">
        <v>3272</v>
      </c>
      <c r="V2152" s="20" t="s">
        <v>1877</v>
      </c>
      <c r="W2152" s="20" t="s">
        <v>1</v>
      </c>
      <c r="AC2152" s="20" t="s">
        <v>1328</v>
      </c>
      <c r="AF2152" s="23" t="s">
        <v>2041</v>
      </c>
      <c r="AL2152" s="109"/>
      <c r="AY2152" s="109" t="s">
        <v>3651</v>
      </c>
      <c r="BY2152" s="109" t="s">
        <v>3714</v>
      </c>
      <c r="CJ2152" s="23"/>
      <c r="CK2152" s="28"/>
      <c r="CN2152" s="23" t="s">
        <v>0</v>
      </c>
      <c r="CO2152" s="74"/>
    </row>
    <row r="2153" spans="1:109" ht="17.25" x14ac:dyDescent="0.3">
      <c r="A2153" s="100"/>
      <c r="B2153" s="100"/>
      <c r="C2153" s="100">
        <f t="shared" si="190"/>
        <v>0</v>
      </c>
      <c r="D2153" s="100"/>
      <c r="E2153" s="101" t="s">
        <v>1344</v>
      </c>
      <c r="F2153" s="101"/>
      <c r="G2153" s="101"/>
      <c r="H2153" s="101"/>
      <c r="I2153" s="102"/>
      <c r="J2153" s="102"/>
      <c r="K2153" s="102"/>
      <c r="L2153" s="102"/>
      <c r="M2153" s="102"/>
      <c r="N2153" s="102"/>
      <c r="O2153" s="102"/>
      <c r="P2153" s="102"/>
      <c r="Q2153" s="102"/>
      <c r="R2153" s="102"/>
      <c r="S2153" s="102"/>
      <c r="T2153" s="102"/>
      <c r="U2153" s="102"/>
      <c r="V2153" s="102"/>
      <c r="W2153" s="102"/>
      <c r="X2153" s="102"/>
      <c r="Y2153" s="103"/>
      <c r="Z2153" s="102"/>
      <c r="AA2153" s="102"/>
      <c r="AB2153" s="102"/>
      <c r="AC2153" s="102"/>
      <c r="AD2153" s="102"/>
      <c r="AE2153" s="104"/>
      <c r="AG2153" s="102"/>
      <c r="AH2153" s="105"/>
      <c r="AI2153" s="105"/>
      <c r="AJ2153" s="105"/>
      <c r="AK2153" s="106"/>
      <c r="AL2153" s="106"/>
      <c r="AM2153" s="106"/>
      <c r="AN2153" s="106"/>
      <c r="AO2153" s="106"/>
      <c r="AP2153" s="106"/>
      <c r="AQ2153" s="106"/>
      <c r="AR2153" s="106"/>
      <c r="AS2153" s="106"/>
      <c r="AT2153" s="106"/>
      <c r="AU2153" s="105"/>
      <c r="AV2153" s="105"/>
      <c r="AW2153" s="105"/>
      <c r="AX2153" s="107"/>
      <c r="AY2153" s="107"/>
      <c r="AZ2153" s="106"/>
      <c r="BA2153" s="106"/>
      <c r="BB2153" s="106"/>
      <c r="BC2153" s="106"/>
      <c r="BD2153" s="106"/>
      <c r="BE2153" s="106"/>
      <c r="BF2153" s="106"/>
      <c r="BG2153" s="106"/>
      <c r="BH2153" s="105"/>
      <c r="BI2153" s="105"/>
      <c r="BJ2153" s="105"/>
      <c r="BK2153" s="107"/>
      <c r="BL2153" s="107"/>
      <c r="BM2153" s="106"/>
      <c r="BN2153" s="106"/>
      <c r="BO2153" s="106"/>
      <c r="BP2153" s="106"/>
      <c r="BQ2153" s="106"/>
      <c r="BR2153" s="106"/>
      <c r="BS2153" s="106"/>
      <c r="BT2153" s="106"/>
      <c r="BU2153" s="105"/>
      <c r="BV2153" s="105"/>
      <c r="BW2153" s="105"/>
      <c r="BX2153" s="107"/>
      <c r="BY2153" s="107"/>
      <c r="BZ2153" s="106"/>
      <c r="CA2153" s="106"/>
      <c r="CB2153" s="106"/>
      <c r="CC2153" s="106"/>
      <c r="CD2153" s="106"/>
      <c r="CE2153" s="106"/>
      <c r="CF2153" s="106"/>
      <c r="CG2153" s="106"/>
      <c r="CH2153" s="102"/>
      <c r="CI2153" s="100"/>
      <c r="CJ2153" s="108"/>
      <c r="CK2153" s="100"/>
      <c r="CL2153" s="109"/>
      <c r="CM2153" s="109"/>
      <c r="CN2153" s="109"/>
      <c r="CO2153" s="109"/>
      <c r="CP2153" s="109"/>
      <c r="CQ2153" s="109"/>
      <c r="CR2153" s="109"/>
      <c r="CS2153" s="109"/>
      <c r="CT2153" s="110"/>
      <c r="CU2153" s="110"/>
      <c r="CV2153" s="110"/>
      <c r="CW2153" s="110"/>
      <c r="CX2153" s="110"/>
      <c r="CY2153" s="110"/>
      <c r="CZ2153" s="110"/>
      <c r="DA2153" s="110"/>
      <c r="DB2153" s="110"/>
      <c r="DC2153" s="106"/>
      <c r="DD2153" s="109"/>
      <c r="DE2153" s="109"/>
    </row>
    <row r="2154" spans="1:109" x14ac:dyDescent="0.2">
      <c r="A2154" s="29" t="s">
        <v>53</v>
      </c>
      <c r="B2154" s="29" t="s">
        <v>0</v>
      </c>
      <c r="C2154" s="29">
        <f t="shared" si="190"/>
        <v>1000430001</v>
      </c>
      <c r="D2154" s="29" t="s">
        <v>1336</v>
      </c>
      <c r="E2154" s="20" t="s">
        <v>483</v>
      </c>
      <c r="I2154" s="20" t="s">
        <v>1389</v>
      </c>
      <c r="N2154" s="20" t="s">
        <v>1310</v>
      </c>
      <c r="O2154" s="20" t="s">
        <v>1326</v>
      </c>
      <c r="Q2154" s="20" t="s">
        <v>2041</v>
      </c>
      <c r="T2154" s="20" t="s">
        <v>3267</v>
      </c>
      <c r="U2154" s="119" t="s">
        <v>3277</v>
      </c>
      <c r="V2154" s="20" t="s">
        <v>1878</v>
      </c>
      <c r="W2154" s="20" t="s">
        <v>1</v>
      </c>
      <c r="AF2154" s="23" t="s">
        <v>2041</v>
      </c>
      <c r="AL2154" s="109" t="s">
        <v>3652</v>
      </c>
      <c r="CM2154" s="23" t="s">
        <v>26</v>
      </c>
      <c r="CN2154" s="23" t="s">
        <v>0</v>
      </c>
      <c r="DE2154" s="23" t="s">
        <v>3716</v>
      </c>
    </row>
    <row r="2155" spans="1:109" x14ac:dyDescent="0.2">
      <c r="A2155" s="29" t="s">
        <v>53</v>
      </c>
      <c r="B2155" s="29" t="s">
        <v>26</v>
      </c>
      <c r="C2155" s="29">
        <f t="shared" si="190"/>
        <v>1000430002</v>
      </c>
      <c r="D2155" s="29" t="s">
        <v>1337</v>
      </c>
      <c r="E2155" s="20" t="s">
        <v>651</v>
      </c>
      <c r="I2155" s="20" t="s">
        <v>1338</v>
      </c>
      <c r="N2155" s="20" t="s">
        <v>1310</v>
      </c>
      <c r="O2155" s="20" t="s">
        <v>1326</v>
      </c>
      <c r="Q2155" s="20" t="s">
        <v>2041</v>
      </c>
      <c r="T2155" s="20" t="s">
        <v>3267</v>
      </c>
      <c r="U2155" s="119" t="s">
        <v>3278</v>
      </c>
      <c r="V2155" s="20" t="s">
        <v>1878</v>
      </c>
      <c r="W2155" s="20" t="s">
        <v>1</v>
      </c>
      <c r="AF2155" s="23" t="s">
        <v>2041</v>
      </c>
      <c r="AL2155" s="109" t="s">
        <v>3653</v>
      </c>
      <c r="CM2155" s="23" t="s">
        <v>27</v>
      </c>
      <c r="CN2155" s="23" t="s">
        <v>0</v>
      </c>
      <c r="DE2155" s="23" t="s">
        <v>3716</v>
      </c>
    </row>
    <row r="2156" spans="1:109" x14ac:dyDescent="0.2">
      <c r="A2156" s="29" t="s">
        <v>53</v>
      </c>
      <c r="B2156" s="29" t="s">
        <v>27</v>
      </c>
      <c r="C2156" s="29">
        <f t="shared" si="190"/>
        <v>1000430003</v>
      </c>
      <c r="D2156" s="29" t="s">
        <v>1339</v>
      </c>
      <c r="E2156" s="20" t="s">
        <v>1115</v>
      </c>
      <c r="I2156" s="20" t="s">
        <v>1340</v>
      </c>
      <c r="N2156" s="20" t="s">
        <v>1310</v>
      </c>
      <c r="O2156" s="20" t="s">
        <v>1326</v>
      </c>
      <c r="Q2156" s="20" t="s">
        <v>2041</v>
      </c>
      <c r="T2156" s="20" t="s">
        <v>3267</v>
      </c>
      <c r="U2156" s="119" t="s">
        <v>3279</v>
      </c>
      <c r="V2156" s="20" t="s">
        <v>1878</v>
      </c>
      <c r="W2156" s="20" t="s">
        <v>1</v>
      </c>
      <c r="AF2156" s="23" t="s">
        <v>2041</v>
      </c>
      <c r="AL2156" s="109" t="s">
        <v>3654</v>
      </c>
      <c r="CM2156" s="23" t="s">
        <v>1</v>
      </c>
      <c r="CN2156" s="23" t="s">
        <v>0</v>
      </c>
      <c r="DE2156" s="23" t="s">
        <v>3716</v>
      </c>
    </row>
    <row r="2157" spans="1:109" x14ac:dyDescent="0.2">
      <c r="A2157" s="29" t="s">
        <v>53</v>
      </c>
      <c r="B2157" s="29" t="s">
        <v>1</v>
      </c>
      <c r="C2157" s="29">
        <f t="shared" si="190"/>
        <v>1000430004</v>
      </c>
      <c r="D2157" s="29" t="s">
        <v>1341</v>
      </c>
      <c r="E2157" s="20" t="s">
        <v>1117</v>
      </c>
      <c r="I2157" s="20" t="s">
        <v>1342</v>
      </c>
      <c r="N2157" s="20" t="s">
        <v>1310</v>
      </c>
      <c r="O2157" s="20" t="s">
        <v>1326</v>
      </c>
      <c r="Q2157" s="20" t="s">
        <v>2041</v>
      </c>
      <c r="T2157" s="20" t="s">
        <v>3267</v>
      </c>
      <c r="U2157" s="119" t="s">
        <v>3280</v>
      </c>
      <c r="V2157" s="20" t="s">
        <v>1878</v>
      </c>
      <c r="W2157" s="20" t="s">
        <v>1</v>
      </c>
      <c r="AF2157" s="23" t="s">
        <v>2041</v>
      </c>
      <c r="AL2157" s="109" t="s">
        <v>3655</v>
      </c>
      <c r="CM2157" s="23" t="s">
        <v>2</v>
      </c>
      <c r="CN2157" s="23" t="s">
        <v>0</v>
      </c>
      <c r="DE2157" s="23" t="s">
        <v>3716</v>
      </c>
    </row>
    <row r="2158" spans="1:109" s="109" customFormat="1" x14ac:dyDescent="0.2">
      <c r="A2158" s="29" t="s">
        <v>53</v>
      </c>
      <c r="B2158" s="29" t="s">
        <v>2</v>
      </c>
      <c r="C2158" s="29">
        <f t="shared" si="190"/>
        <v>1000430005</v>
      </c>
      <c r="D2158" s="29" t="s">
        <v>1343</v>
      </c>
      <c r="E2158" s="20" t="s">
        <v>1117</v>
      </c>
      <c r="F2158" s="20"/>
      <c r="G2158" s="20"/>
      <c r="H2158" s="20"/>
      <c r="I2158" s="20" t="s">
        <v>206</v>
      </c>
      <c r="J2158" s="20"/>
      <c r="K2158" s="20"/>
      <c r="L2158" s="20"/>
      <c r="M2158" s="20"/>
      <c r="N2158" s="20" t="s">
        <v>1321</v>
      </c>
      <c r="O2158" s="20" t="s">
        <v>1330</v>
      </c>
      <c r="P2158" s="20"/>
      <c r="Q2158" s="20" t="s">
        <v>2041</v>
      </c>
      <c r="R2158" s="20"/>
      <c r="S2158" s="20"/>
      <c r="T2158" s="20" t="s">
        <v>3267</v>
      </c>
      <c r="U2158" s="119" t="s">
        <v>3281</v>
      </c>
      <c r="V2158" s="20" t="s">
        <v>1878</v>
      </c>
      <c r="W2158" s="20" t="s">
        <v>1</v>
      </c>
      <c r="X2158" s="20"/>
      <c r="Y2158" s="23"/>
      <c r="Z2158" s="20"/>
      <c r="AA2158" s="20"/>
      <c r="AB2158" s="20"/>
      <c r="AC2158" s="20" t="s">
        <v>1345</v>
      </c>
      <c r="AD2158" s="20"/>
      <c r="AE2158" s="23"/>
      <c r="AF2158" s="23" t="s">
        <v>2041</v>
      </c>
      <c r="AG2158" s="20"/>
      <c r="AH2158" s="25"/>
      <c r="AI2158" s="25"/>
      <c r="AJ2158" s="25"/>
      <c r="AK2158" s="28"/>
      <c r="AM2158" s="28"/>
      <c r="AN2158" s="28"/>
      <c r="AO2158" s="28"/>
      <c r="AP2158" s="28"/>
      <c r="AQ2158" s="28"/>
      <c r="AR2158" s="28"/>
      <c r="AS2158" s="28"/>
      <c r="AT2158" s="28"/>
      <c r="AU2158" s="25"/>
      <c r="AV2158" s="25"/>
      <c r="AW2158" s="25"/>
      <c r="AX2158" s="23"/>
      <c r="AY2158" s="109" t="s">
        <v>3656</v>
      </c>
      <c r="AZ2158" s="28"/>
      <c r="BA2158" s="28"/>
      <c r="BB2158" s="28"/>
      <c r="BC2158" s="28"/>
      <c r="BD2158" s="28"/>
      <c r="BE2158" s="28"/>
      <c r="BF2158" s="28"/>
      <c r="BG2158" s="28"/>
      <c r="BH2158" s="25"/>
      <c r="BI2158" s="25"/>
      <c r="BJ2158" s="25"/>
      <c r="BK2158" s="23"/>
      <c r="BL2158" s="23"/>
      <c r="BM2158" s="28"/>
      <c r="BN2158" s="28"/>
      <c r="BO2158" s="28"/>
      <c r="BP2158" s="28"/>
      <c r="BQ2158" s="28"/>
      <c r="BR2158" s="28"/>
      <c r="BS2158" s="28"/>
      <c r="BT2158" s="28"/>
      <c r="BU2158" s="25"/>
      <c r="BV2158" s="25"/>
      <c r="BW2158" s="25"/>
      <c r="BX2158" s="23"/>
      <c r="BY2158" s="151">
        <v>1430006</v>
      </c>
      <c r="BZ2158" s="28"/>
      <c r="CA2158" s="28"/>
      <c r="CB2158" s="28"/>
      <c r="CC2158" s="28"/>
      <c r="CD2158" s="28"/>
      <c r="CE2158" s="28"/>
      <c r="CF2158" s="28"/>
      <c r="CG2158" s="28"/>
      <c r="CH2158" s="23"/>
      <c r="CI2158" s="23"/>
      <c r="CJ2158" s="28"/>
      <c r="CK2158" s="23"/>
      <c r="CL2158" s="23"/>
      <c r="CM2158" s="23"/>
      <c r="CN2158" s="23" t="s">
        <v>0</v>
      </c>
      <c r="CO2158" s="74"/>
      <c r="CP2158" s="23"/>
      <c r="CQ2158" s="23"/>
      <c r="CR2158" s="23"/>
      <c r="CS2158" s="23"/>
      <c r="CT2158" s="30"/>
      <c r="CU2158" s="30"/>
      <c r="CV2158" s="30"/>
      <c r="CW2158" s="30"/>
      <c r="CX2158" s="30"/>
      <c r="CY2158" s="30"/>
      <c r="CZ2158" s="30"/>
      <c r="DA2158" s="30"/>
      <c r="DB2158" s="30"/>
      <c r="DC2158" s="28"/>
      <c r="DD2158" s="23"/>
      <c r="DE2158" s="23"/>
    </row>
    <row r="2159" spans="1:109" ht="17.25" x14ac:dyDescent="0.3">
      <c r="A2159" s="100"/>
      <c r="B2159" s="100"/>
      <c r="C2159" s="100">
        <f t="shared" si="190"/>
        <v>0</v>
      </c>
      <c r="D2159" s="100"/>
      <c r="E2159" s="101" t="s">
        <v>1374</v>
      </c>
      <c r="F2159" s="101"/>
      <c r="G2159" s="101"/>
      <c r="H2159" s="101"/>
      <c r="I2159" s="102"/>
      <c r="J2159" s="102"/>
      <c r="K2159" s="102"/>
      <c r="L2159" s="102"/>
      <c r="M2159" s="102"/>
      <c r="N2159" s="102"/>
      <c r="O2159" s="102"/>
      <c r="P2159" s="102"/>
      <c r="Q2159" s="102"/>
      <c r="R2159" s="102"/>
      <c r="S2159" s="102"/>
      <c r="T2159" s="102"/>
      <c r="U2159" s="102"/>
      <c r="V2159" s="102"/>
      <c r="W2159" s="102"/>
      <c r="X2159" s="102"/>
      <c r="Y2159" s="103"/>
      <c r="Z2159" s="102"/>
      <c r="AA2159" s="102"/>
      <c r="AB2159" s="102"/>
      <c r="AC2159" s="102"/>
      <c r="AD2159" s="102"/>
      <c r="AE2159" s="104"/>
      <c r="AG2159" s="102"/>
      <c r="AH2159" s="105"/>
      <c r="AI2159" s="105"/>
      <c r="AJ2159" s="105"/>
      <c r="AK2159" s="106"/>
      <c r="AL2159" s="106"/>
      <c r="AM2159" s="106"/>
      <c r="AN2159" s="106"/>
      <c r="AO2159" s="106"/>
      <c r="AP2159" s="106"/>
      <c r="AQ2159" s="106"/>
      <c r="AR2159" s="106"/>
      <c r="AS2159" s="106"/>
      <c r="AT2159" s="106"/>
      <c r="AU2159" s="105"/>
      <c r="AV2159" s="105"/>
      <c r="AW2159" s="105"/>
      <c r="AX2159" s="107"/>
      <c r="AY2159" s="107"/>
      <c r="AZ2159" s="106"/>
      <c r="BA2159" s="106"/>
      <c r="BB2159" s="106"/>
      <c r="BC2159" s="106"/>
      <c r="BD2159" s="106"/>
      <c r="BE2159" s="106"/>
      <c r="BF2159" s="106"/>
      <c r="BG2159" s="106"/>
      <c r="BH2159" s="105"/>
      <c r="BI2159" s="105"/>
      <c r="BJ2159" s="105"/>
      <c r="BK2159" s="107"/>
      <c r="BL2159" s="107"/>
      <c r="BM2159" s="106"/>
      <c r="BN2159" s="106"/>
      <c r="BO2159" s="106"/>
      <c r="BP2159" s="106"/>
      <c r="BQ2159" s="106"/>
      <c r="BR2159" s="106"/>
      <c r="BS2159" s="106"/>
      <c r="BT2159" s="106"/>
      <c r="BU2159" s="105"/>
      <c r="BV2159" s="105"/>
      <c r="BW2159" s="105"/>
      <c r="BX2159" s="107"/>
      <c r="BY2159" s="107"/>
      <c r="BZ2159" s="106"/>
      <c r="CA2159" s="106"/>
      <c r="CB2159" s="106"/>
      <c r="CC2159" s="106"/>
      <c r="CD2159" s="106"/>
      <c r="CE2159" s="106"/>
      <c r="CF2159" s="106"/>
      <c r="CG2159" s="106"/>
      <c r="CH2159" s="102"/>
      <c r="CI2159" s="100"/>
      <c r="CJ2159" s="108"/>
      <c r="CK2159" s="100"/>
      <c r="CL2159" s="109"/>
      <c r="CM2159" s="109"/>
      <c r="CN2159" s="109"/>
      <c r="CO2159" s="109"/>
      <c r="CP2159" s="109"/>
      <c r="CQ2159" s="109"/>
      <c r="CR2159" s="109"/>
      <c r="CS2159" s="109"/>
      <c r="CT2159" s="110"/>
      <c r="CU2159" s="110"/>
      <c r="CV2159" s="110"/>
      <c r="CW2159" s="110"/>
      <c r="CX2159" s="110"/>
      <c r="CY2159" s="110"/>
      <c r="CZ2159" s="110"/>
      <c r="DA2159" s="110"/>
      <c r="DB2159" s="110"/>
      <c r="DC2159" s="106"/>
      <c r="DD2159" s="109"/>
      <c r="DE2159" s="109"/>
    </row>
    <row r="2160" spans="1:109" x14ac:dyDescent="0.2">
      <c r="A2160" s="29" t="s">
        <v>1375</v>
      </c>
      <c r="B2160" s="29" t="s">
        <v>0</v>
      </c>
      <c r="C2160" s="29">
        <f t="shared" si="190"/>
        <v>1000440001</v>
      </c>
      <c r="D2160" s="29" t="s">
        <v>1376</v>
      </c>
      <c r="E2160" s="20" t="s">
        <v>1385</v>
      </c>
      <c r="N2160" s="20" t="s">
        <v>1310</v>
      </c>
      <c r="O2160" s="20" t="s">
        <v>1326</v>
      </c>
      <c r="Q2160" s="20" t="s">
        <v>2041</v>
      </c>
      <c r="T2160" s="20" t="s">
        <v>3267</v>
      </c>
      <c r="U2160" s="119" t="s">
        <v>3282</v>
      </c>
      <c r="V2160" s="20" t="s">
        <v>1879</v>
      </c>
      <c r="W2160" s="20" t="s">
        <v>1</v>
      </c>
      <c r="AF2160" s="23" t="s">
        <v>2041</v>
      </c>
      <c r="AL2160" s="109" t="s">
        <v>3657</v>
      </c>
      <c r="CJ2160" s="23"/>
      <c r="CK2160" s="28"/>
      <c r="CM2160" s="23" t="s">
        <v>26</v>
      </c>
      <c r="CN2160" s="23" t="s">
        <v>0</v>
      </c>
      <c r="DE2160" s="23" t="s">
        <v>3716</v>
      </c>
    </row>
    <row r="2161" spans="1:109" x14ac:dyDescent="0.2">
      <c r="A2161" s="29" t="s">
        <v>1375</v>
      </c>
      <c r="B2161" s="29" t="s">
        <v>26</v>
      </c>
      <c r="C2161" s="29">
        <f t="shared" si="190"/>
        <v>1000440002</v>
      </c>
      <c r="D2161" s="29" t="s">
        <v>1377</v>
      </c>
      <c r="E2161" s="20" t="s">
        <v>1385</v>
      </c>
      <c r="I2161" s="20" t="s">
        <v>1390</v>
      </c>
      <c r="N2161" s="20" t="s">
        <v>1310</v>
      </c>
      <c r="O2161" s="20" t="s">
        <v>1326</v>
      </c>
      <c r="Q2161" s="20" t="s">
        <v>2041</v>
      </c>
      <c r="T2161" s="20" t="s">
        <v>3267</v>
      </c>
      <c r="U2161" s="119" t="s">
        <v>3283</v>
      </c>
      <c r="V2161" s="20" t="s">
        <v>1879</v>
      </c>
      <c r="W2161" s="20" t="s">
        <v>1</v>
      </c>
      <c r="AF2161" s="23" t="s">
        <v>2041</v>
      </c>
      <c r="AL2161" s="109" t="s">
        <v>3658</v>
      </c>
      <c r="CJ2161" s="23"/>
      <c r="CK2161" s="28"/>
      <c r="CM2161" s="23" t="s">
        <v>27</v>
      </c>
      <c r="CN2161" s="23" t="s">
        <v>0</v>
      </c>
      <c r="DE2161" s="23" t="s">
        <v>3716</v>
      </c>
    </row>
    <row r="2162" spans="1:109" x14ac:dyDescent="0.2">
      <c r="A2162" s="29" t="s">
        <v>1375</v>
      </c>
      <c r="B2162" s="29" t="s">
        <v>27</v>
      </c>
      <c r="C2162" s="29">
        <f t="shared" ref="C2162:C2205" si="191">A2162*10000+B2162</f>
        <v>1000440003</v>
      </c>
      <c r="D2162" s="29" t="s">
        <v>1378</v>
      </c>
      <c r="E2162" s="20" t="s">
        <v>1617</v>
      </c>
      <c r="I2162" s="20" t="s">
        <v>134</v>
      </c>
      <c r="N2162" s="20" t="s">
        <v>1310</v>
      </c>
      <c r="O2162" s="20" t="s">
        <v>1326</v>
      </c>
      <c r="Q2162" s="20" t="s">
        <v>2041</v>
      </c>
      <c r="T2162" s="20" t="s">
        <v>3267</v>
      </c>
      <c r="U2162" s="119" t="s">
        <v>3284</v>
      </c>
      <c r="V2162" s="20" t="s">
        <v>1879</v>
      </c>
      <c r="W2162" s="20" t="s">
        <v>1</v>
      </c>
      <c r="AF2162" s="23" t="s">
        <v>2041</v>
      </c>
      <c r="AL2162" s="109" t="s">
        <v>3659</v>
      </c>
      <c r="CJ2162" s="23"/>
      <c r="CK2162" s="28"/>
      <c r="CM2162" s="23" t="s">
        <v>1</v>
      </c>
      <c r="CN2162" s="23" t="s">
        <v>0</v>
      </c>
      <c r="DE2162" s="23" t="s">
        <v>3716</v>
      </c>
    </row>
    <row r="2163" spans="1:109" x14ac:dyDescent="0.2">
      <c r="A2163" s="29" t="s">
        <v>1375</v>
      </c>
      <c r="B2163" s="29" t="s">
        <v>1</v>
      </c>
      <c r="C2163" s="29">
        <f t="shared" si="191"/>
        <v>1000440004</v>
      </c>
      <c r="D2163" s="29" t="s">
        <v>1379</v>
      </c>
      <c r="E2163" s="20" t="s">
        <v>3517</v>
      </c>
      <c r="I2163" s="20" t="s">
        <v>1388</v>
      </c>
      <c r="N2163" s="20" t="s">
        <v>1310</v>
      </c>
      <c r="O2163" s="20" t="s">
        <v>1326</v>
      </c>
      <c r="Q2163" s="20" t="s">
        <v>2041</v>
      </c>
      <c r="T2163" s="20" t="s">
        <v>3267</v>
      </c>
      <c r="U2163" s="119" t="s">
        <v>3285</v>
      </c>
      <c r="V2163" s="20" t="s">
        <v>1879</v>
      </c>
      <c r="W2163" s="20" t="s">
        <v>1</v>
      </c>
      <c r="AF2163" s="23" t="s">
        <v>2041</v>
      </c>
      <c r="AL2163" s="109" t="s">
        <v>3660</v>
      </c>
      <c r="CJ2163" s="23"/>
      <c r="CK2163" s="28"/>
      <c r="CM2163" s="23" t="s">
        <v>2</v>
      </c>
      <c r="CN2163" s="23" t="s">
        <v>0</v>
      </c>
      <c r="DE2163" s="23" t="s">
        <v>3716</v>
      </c>
    </row>
    <row r="2164" spans="1:109" x14ac:dyDescent="0.2">
      <c r="A2164" s="29" t="s">
        <v>1375</v>
      </c>
      <c r="B2164" s="29" t="s">
        <v>2</v>
      </c>
      <c r="C2164" s="29">
        <f t="shared" si="191"/>
        <v>1000440005</v>
      </c>
      <c r="D2164" s="29" t="s">
        <v>1380</v>
      </c>
      <c r="E2164" s="20" t="s">
        <v>1391</v>
      </c>
      <c r="N2164" s="20" t="s">
        <v>1310</v>
      </c>
      <c r="O2164" s="20" t="s">
        <v>1326</v>
      </c>
      <c r="Q2164" s="20" t="s">
        <v>2041</v>
      </c>
      <c r="T2164" s="20" t="s">
        <v>3267</v>
      </c>
      <c r="U2164" s="119" t="s">
        <v>3286</v>
      </c>
      <c r="V2164" s="20" t="s">
        <v>1879</v>
      </c>
      <c r="W2164" s="20" t="s">
        <v>1</v>
      </c>
      <c r="AF2164" s="23" t="s">
        <v>2041</v>
      </c>
      <c r="AL2164" s="109" t="s">
        <v>3661</v>
      </c>
      <c r="CJ2164" s="23"/>
      <c r="CK2164" s="28"/>
      <c r="CM2164" s="23" t="s">
        <v>3</v>
      </c>
      <c r="CN2164" s="23" t="s">
        <v>0</v>
      </c>
      <c r="DE2164" s="23" t="s">
        <v>3716</v>
      </c>
    </row>
    <row r="2165" spans="1:109" x14ac:dyDescent="0.2">
      <c r="A2165" s="29" t="s">
        <v>1375</v>
      </c>
      <c r="B2165" s="29" t="s">
        <v>3</v>
      </c>
      <c r="C2165" s="29">
        <f t="shared" si="191"/>
        <v>1000440006</v>
      </c>
      <c r="D2165" s="29" t="s">
        <v>1381</v>
      </c>
      <c r="E2165" s="20" t="s">
        <v>1384</v>
      </c>
      <c r="I2165" s="20" t="s">
        <v>1393</v>
      </c>
      <c r="N2165" s="20" t="s">
        <v>1310</v>
      </c>
      <c r="O2165" s="20" t="s">
        <v>1326</v>
      </c>
      <c r="Q2165" s="20" t="s">
        <v>2041</v>
      </c>
      <c r="T2165" s="20" t="s">
        <v>3267</v>
      </c>
      <c r="U2165" s="119" t="s">
        <v>3287</v>
      </c>
      <c r="V2165" s="20" t="s">
        <v>1879</v>
      </c>
      <c r="W2165" s="20" t="s">
        <v>1</v>
      </c>
      <c r="AF2165" s="23" t="s">
        <v>2041</v>
      </c>
      <c r="AL2165" s="109" t="s">
        <v>3662</v>
      </c>
      <c r="CJ2165" s="23"/>
      <c r="CK2165" s="28"/>
      <c r="CM2165" s="23" t="s">
        <v>4</v>
      </c>
      <c r="CN2165" s="23" t="s">
        <v>0</v>
      </c>
      <c r="DE2165" s="23" t="s">
        <v>3716</v>
      </c>
    </row>
    <row r="2166" spans="1:109" x14ac:dyDescent="0.2">
      <c r="A2166" s="29" t="s">
        <v>1375</v>
      </c>
      <c r="B2166" s="29" t="s">
        <v>4</v>
      </c>
      <c r="C2166" s="29">
        <f t="shared" si="191"/>
        <v>1000440007</v>
      </c>
      <c r="D2166" s="29" t="s">
        <v>1382</v>
      </c>
      <c r="E2166" s="20" t="s">
        <v>1384</v>
      </c>
      <c r="I2166" s="20" t="s">
        <v>1392</v>
      </c>
      <c r="N2166" s="20" t="s">
        <v>1310</v>
      </c>
      <c r="O2166" s="20" t="s">
        <v>1326</v>
      </c>
      <c r="Q2166" s="20" t="s">
        <v>2041</v>
      </c>
      <c r="T2166" s="20" t="s">
        <v>3267</v>
      </c>
      <c r="U2166" s="119" t="s">
        <v>3288</v>
      </c>
      <c r="V2166" s="20" t="s">
        <v>1879</v>
      </c>
      <c r="W2166" s="20" t="s">
        <v>1</v>
      </c>
      <c r="AF2166" s="23" t="s">
        <v>2041</v>
      </c>
      <c r="AL2166" s="109" t="s">
        <v>3663</v>
      </c>
      <c r="CJ2166" s="23"/>
      <c r="CK2166" s="28"/>
      <c r="CM2166" s="23" t="s">
        <v>5</v>
      </c>
      <c r="CN2166" s="23" t="s">
        <v>0</v>
      </c>
      <c r="DE2166" s="23" t="s">
        <v>3716</v>
      </c>
    </row>
    <row r="2167" spans="1:109" x14ac:dyDescent="0.2">
      <c r="A2167" s="29" t="s">
        <v>1375</v>
      </c>
      <c r="B2167" s="29" t="s">
        <v>5</v>
      </c>
      <c r="C2167" s="29">
        <f t="shared" si="191"/>
        <v>1000440008</v>
      </c>
      <c r="D2167" s="29" t="s">
        <v>1387</v>
      </c>
      <c r="E2167" s="20" t="s">
        <v>1384</v>
      </c>
      <c r="I2167" s="20" t="s">
        <v>206</v>
      </c>
      <c r="N2167" s="20" t="s">
        <v>1321</v>
      </c>
      <c r="O2167" s="20" t="s">
        <v>1394</v>
      </c>
      <c r="Q2167" s="20" t="s">
        <v>2041</v>
      </c>
      <c r="T2167" s="20" t="s">
        <v>3267</v>
      </c>
      <c r="U2167" s="119" t="s">
        <v>3289</v>
      </c>
      <c r="V2167" s="20" t="s">
        <v>1879</v>
      </c>
      <c r="W2167" s="20" t="s">
        <v>1</v>
      </c>
      <c r="AC2167" s="20" t="s">
        <v>1386</v>
      </c>
      <c r="AF2167" s="23" t="s">
        <v>2041</v>
      </c>
      <c r="AL2167" s="109"/>
      <c r="AY2167" s="109" t="s">
        <v>3664</v>
      </c>
      <c r="BY2167" s="151">
        <v>1440009</v>
      </c>
      <c r="CJ2167" s="23"/>
      <c r="CK2167" s="28"/>
      <c r="CN2167" s="23" t="s">
        <v>0</v>
      </c>
      <c r="CO2167" s="74"/>
    </row>
    <row r="2168" spans="1:109" ht="17.25" x14ac:dyDescent="0.3">
      <c r="A2168" s="100"/>
      <c r="B2168" s="100"/>
      <c r="C2168" s="100">
        <f t="shared" si="191"/>
        <v>0</v>
      </c>
      <c r="D2168" s="100"/>
      <c r="E2168" s="101" t="s">
        <v>1410</v>
      </c>
      <c r="F2168" s="101"/>
      <c r="G2168" s="101"/>
      <c r="H2168" s="101"/>
      <c r="I2168" s="102"/>
      <c r="J2168" s="102"/>
      <c r="K2168" s="102"/>
      <c r="L2168" s="102"/>
      <c r="M2168" s="102"/>
      <c r="N2168" s="102"/>
      <c r="O2168" s="102"/>
      <c r="P2168" s="102"/>
      <c r="Q2168" s="102"/>
      <c r="R2168" s="102"/>
      <c r="S2168" s="102"/>
      <c r="T2168" s="102"/>
      <c r="U2168" s="102"/>
      <c r="V2168" s="102"/>
      <c r="W2168" s="102"/>
      <c r="X2168" s="102"/>
      <c r="Y2168" s="103"/>
      <c r="Z2168" s="102"/>
      <c r="AA2168" s="102"/>
      <c r="AB2168" s="102"/>
      <c r="AC2168" s="102"/>
      <c r="AD2168" s="102"/>
      <c r="AE2168" s="104"/>
      <c r="AG2168" s="102"/>
      <c r="AH2168" s="105"/>
      <c r="AI2168" s="105"/>
      <c r="AJ2168" s="105"/>
      <c r="AK2168" s="106"/>
      <c r="AL2168" s="106"/>
      <c r="AM2168" s="106"/>
      <c r="AN2168" s="106"/>
      <c r="AO2168" s="106"/>
      <c r="AP2168" s="106"/>
      <c r="AQ2168" s="106"/>
      <c r="AR2168" s="106"/>
      <c r="AS2168" s="106"/>
      <c r="AT2168" s="106"/>
      <c r="AU2168" s="105"/>
      <c r="AV2168" s="105"/>
      <c r="AW2168" s="105"/>
      <c r="AX2168" s="107"/>
      <c r="AY2168" s="107"/>
      <c r="AZ2168" s="106"/>
      <c r="BA2168" s="106"/>
      <c r="BB2168" s="106"/>
      <c r="BC2168" s="106"/>
      <c r="BD2168" s="106"/>
      <c r="BE2168" s="106"/>
      <c r="BF2168" s="106"/>
      <c r="BG2168" s="106"/>
      <c r="BH2168" s="105"/>
      <c r="BI2168" s="105"/>
      <c r="BJ2168" s="105"/>
      <c r="BK2168" s="107"/>
      <c r="BL2168" s="107"/>
      <c r="BM2168" s="106"/>
      <c r="BN2168" s="106"/>
      <c r="BO2168" s="106"/>
      <c r="BP2168" s="106"/>
      <c r="BQ2168" s="106"/>
      <c r="BR2168" s="106"/>
      <c r="BS2168" s="106"/>
      <c r="BT2168" s="106"/>
      <c r="BU2168" s="105"/>
      <c r="BV2168" s="105"/>
      <c r="BW2168" s="105"/>
      <c r="BX2168" s="107"/>
      <c r="BY2168" s="107"/>
      <c r="BZ2168" s="106"/>
      <c r="CA2168" s="106"/>
      <c r="CB2168" s="106"/>
      <c r="CC2168" s="106"/>
      <c r="CD2168" s="106"/>
      <c r="CE2168" s="106"/>
      <c r="CF2168" s="106"/>
      <c r="CG2168" s="106"/>
      <c r="CH2168" s="102"/>
      <c r="CI2168" s="100"/>
      <c r="CJ2168" s="108"/>
      <c r="CK2168" s="100"/>
      <c r="CL2168" s="109"/>
      <c r="CM2168" s="109"/>
      <c r="CN2168" s="109"/>
      <c r="CO2168" s="109"/>
      <c r="CP2168" s="109"/>
      <c r="CQ2168" s="109"/>
      <c r="CR2168" s="109"/>
      <c r="CS2168" s="109"/>
      <c r="CT2168" s="110"/>
      <c r="CU2168" s="110"/>
      <c r="CV2168" s="110"/>
      <c r="CW2168" s="110"/>
      <c r="CX2168" s="110"/>
      <c r="CY2168" s="110"/>
      <c r="CZ2168" s="110"/>
      <c r="DA2168" s="110"/>
      <c r="DB2168" s="110"/>
      <c r="DC2168" s="106"/>
      <c r="DD2168" s="109"/>
      <c r="DE2168" s="109"/>
    </row>
    <row r="2169" spans="1:109" s="109" customFormat="1" x14ac:dyDescent="0.2">
      <c r="A2169" s="29" t="s">
        <v>1399</v>
      </c>
      <c r="B2169" s="29" t="s">
        <v>0</v>
      </c>
      <c r="C2169" s="29">
        <f t="shared" si="191"/>
        <v>1000170001</v>
      </c>
      <c r="D2169" s="29" t="s">
        <v>1400</v>
      </c>
      <c r="E2169" s="20" t="s">
        <v>1440</v>
      </c>
      <c r="F2169" s="20"/>
      <c r="G2169" s="20"/>
      <c r="H2169" s="20"/>
      <c r="I2169" s="20" t="s">
        <v>1447</v>
      </c>
      <c r="J2169" s="20"/>
      <c r="K2169" s="20"/>
      <c r="L2169" s="20"/>
      <c r="M2169" s="20"/>
      <c r="N2169" s="20" t="s">
        <v>1310</v>
      </c>
      <c r="O2169" s="20" t="s">
        <v>1326</v>
      </c>
      <c r="P2169" s="20"/>
      <c r="Q2169" s="20" t="s">
        <v>2041</v>
      </c>
      <c r="R2169" s="20"/>
      <c r="S2169" s="20"/>
      <c r="T2169" s="20" t="s">
        <v>3267</v>
      </c>
      <c r="U2169" s="119" t="s">
        <v>3290</v>
      </c>
      <c r="V2169" s="20" t="s">
        <v>1880</v>
      </c>
      <c r="W2169" s="20" t="s">
        <v>1</v>
      </c>
      <c r="X2169" s="20"/>
      <c r="Y2169" s="23"/>
      <c r="Z2169" s="20"/>
      <c r="AA2169" s="20"/>
      <c r="AB2169" s="20"/>
      <c r="AC2169" s="20"/>
      <c r="AD2169" s="20"/>
      <c r="AE2169" s="23"/>
      <c r="AF2169" s="23" t="s">
        <v>2041</v>
      </c>
      <c r="AG2169" s="20"/>
      <c r="AH2169" s="25"/>
      <c r="AI2169" s="25"/>
      <c r="AJ2169" s="25"/>
      <c r="AK2169" s="28"/>
      <c r="AL2169" s="109" t="s">
        <v>3665</v>
      </c>
      <c r="AM2169" s="28"/>
      <c r="AN2169" s="28"/>
      <c r="AO2169" s="28"/>
      <c r="AP2169" s="28"/>
      <c r="AQ2169" s="28"/>
      <c r="AR2169" s="28"/>
      <c r="AS2169" s="28"/>
      <c r="AT2169" s="28"/>
      <c r="AU2169" s="25"/>
      <c r="AV2169" s="25"/>
      <c r="AW2169" s="25"/>
      <c r="AX2169" s="23"/>
      <c r="AY2169" s="23"/>
      <c r="AZ2169" s="28"/>
      <c r="BA2169" s="28"/>
      <c r="BB2169" s="28"/>
      <c r="BC2169" s="28"/>
      <c r="BD2169" s="28"/>
      <c r="BE2169" s="28"/>
      <c r="BF2169" s="28"/>
      <c r="BG2169" s="28"/>
      <c r="BH2169" s="25"/>
      <c r="BI2169" s="25"/>
      <c r="BJ2169" s="25"/>
      <c r="BK2169" s="23"/>
      <c r="BL2169" s="23"/>
      <c r="BM2169" s="28"/>
      <c r="BN2169" s="28"/>
      <c r="BO2169" s="28"/>
      <c r="BP2169" s="28"/>
      <c r="BQ2169" s="28"/>
      <c r="BR2169" s="28"/>
      <c r="BS2169" s="28"/>
      <c r="BT2169" s="28"/>
      <c r="BU2169" s="25"/>
      <c r="BV2169" s="25"/>
      <c r="BW2169" s="25"/>
      <c r="BX2169" s="23"/>
      <c r="BY2169" s="23"/>
      <c r="BZ2169" s="28"/>
      <c r="CA2169" s="28"/>
      <c r="CB2169" s="28"/>
      <c r="CC2169" s="28"/>
      <c r="CD2169" s="28"/>
      <c r="CE2169" s="28"/>
      <c r="CF2169" s="28"/>
      <c r="CG2169" s="28"/>
      <c r="CH2169" s="23"/>
      <c r="CI2169" s="23"/>
      <c r="CJ2169" s="28"/>
      <c r="CK2169" s="23"/>
      <c r="CL2169" s="23"/>
      <c r="CM2169" s="23" t="s">
        <v>26</v>
      </c>
      <c r="CN2169" s="23" t="s">
        <v>0</v>
      </c>
      <c r="CO2169" s="23"/>
      <c r="CP2169" s="23"/>
      <c r="CQ2169" s="23"/>
      <c r="CR2169" s="23"/>
      <c r="CS2169" s="23"/>
      <c r="CT2169" s="30"/>
      <c r="CU2169" s="30"/>
      <c r="CV2169" s="30"/>
      <c r="CW2169" s="30"/>
      <c r="CX2169" s="30"/>
      <c r="CY2169" s="30"/>
      <c r="CZ2169" s="30"/>
      <c r="DA2169" s="30"/>
      <c r="DB2169" s="30"/>
      <c r="DC2169" s="28"/>
      <c r="DD2169" s="23"/>
      <c r="DE2169" s="23" t="s">
        <v>3716</v>
      </c>
    </row>
    <row r="2170" spans="1:109" x14ac:dyDescent="0.2">
      <c r="A2170" s="29" t="s">
        <v>1399</v>
      </c>
      <c r="B2170" s="29" t="s">
        <v>26</v>
      </c>
      <c r="C2170" s="29">
        <f t="shared" si="191"/>
        <v>1000170002</v>
      </c>
      <c r="D2170" s="29" t="s">
        <v>1401</v>
      </c>
      <c r="E2170" s="20" t="s">
        <v>1116</v>
      </c>
      <c r="I2170" s="20" t="s">
        <v>1441</v>
      </c>
      <c r="N2170" s="20" t="s">
        <v>1310</v>
      </c>
      <c r="O2170" s="20" t="s">
        <v>1326</v>
      </c>
      <c r="Q2170" s="20" t="s">
        <v>2041</v>
      </c>
      <c r="T2170" s="20" t="s">
        <v>3267</v>
      </c>
      <c r="U2170" s="119" t="s">
        <v>3291</v>
      </c>
      <c r="V2170" s="20" t="s">
        <v>1880</v>
      </c>
      <c r="W2170" s="20" t="s">
        <v>1</v>
      </c>
      <c r="AF2170" s="23" t="s">
        <v>2041</v>
      </c>
      <c r="AL2170" s="109" t="s">
        <v>3666</v>
      </c>
      <c r="CM2170" s="23" t="s">
        <v>27</v>
      </c>
      <c r="CN2170" s="23" t="s">
        <v>0</v>
      </c>
      <c r="DE2170" s="23" t="s">
        <v>3716</v>
      </c>
    </row>
    <row r="2171" spans="1:109" x14ac:dyDescent="0.2">
      <c r="A2171" s="29" t="s">
        <v>1399</v>
      </c>
      <c r="B2171" s="29" t="s">
        <v>27</v>
      </c>
      <c r="C2171" s="29">
        <f t="shared" si="191"/>
        <v>1000170003</v>
      </c>
      <c r="D2171" s="29" t="s">
        <v>1402</v>
      </c>
      <c r="E2171" s="20" t="s">
        <v>1423</v>
      </c>
      <c r="I2171" s="20" t="s">
        <v>1442</v>
      </c>
      <c r="N2171" s="20" t="s">
        <v>1310</v>
      </c>
      <c r="O2171" s="20" t="s">
        <v>1326</v>
      </c>
      <c r="Q2171" s="20" t="s">
        <v>2041</v>
      </c>
      <c r="T2171" s="20" t="s">
        <v>3267</v>
      </c>
      <c r="U2171" s="119" t="s">
        <v>3292</v>
      </c>
      <c r="V2171" s="20" t="s">
        <v>1880</v>
      </c>
      <c r="W2171" s="20" t="s">
        <v>1</v>
      </c>
      <c r="AF2171" s="23" t="s">
        <v>2041</v>
      </c>
      <c r="AL2171" s="109" t="s">
        <v>3667</v>
      </c>
      <c r="CM2171" s="23" t="s">
        <v>1</v>
      </c>
      <c r="CN2171" s="23" t="s">
        <v>0</v>
      </c>
      <c r="DE2171" s="23" t="s">
        <v>3716</v>
      </c>
    </row>
    <row r="2172" spans="1:109" x14ac:dyDescent="0.2">
      <c r="A2172" s="29" t="s">
        <v>1399</v>
      </c>
      <c r="B2172" s="29" t="s">
        <v>1</v>
      </c>
      <c r="C2172" s="29">
        <f t="shared" si="191"/>
        <v>1000170004</v>
      </c>
      <c r="D2172" s="29" t="s">
        <v>1403</v>
      </c>
      <c r="E2172" s="20" t="s">
        <v>1423</v>
      </c>
      <c r="I2172" s="20" t="s">
        <v>1442</v>
      </c>
      <c r="N2172" s="20" t="s">
        <v>1310</v>
      </c>
      <c r="O2172" s="20" t="s">
        <v>1326</v>
      </c>
      <c r="Q2172" s="20" t="s">
        <v>2041</v>
      </c>
      <c r="T2172" s="20" t="s">
        <v>3267</v>
      </c>
      <c r="U2172" s="119" t="s">
        <v>3293</v>
      </c>
      <c r="V2172" s="20" t="s">
        <v>1880</v>
      </c>
      <c r="W2172" s="20" t="s">
        <v>1</v>
      </c>
      <c r="AF2172" s="23" t="s">
        <v>2041</v>
      </c>
      <c r="AL2172" s="109" t="s">
        <v>3668</v>
      </c>
      <c r="CM2172" s="23" t="s">
        <v>2</v>
      </c>
      <c r="CN2172" s="23" t="s">
        <v>0</v>
      </c>
      <c r="DE2172" s="23" t="s">
        <v>3716</v>
      </c>
    </row>
    <row r="2173" spans="1:109" x14ac:dyDescent="0.2">
      <c r="A2173" s="29" t="s">
        <v>1399</v>
      </c>
      <c r="B2173" s="29" t="s">
        <v>2</v>
      </c>
      <c r="C2173" s="29">
        <f t="shared" si="191"/>
        <v>1000170005</v>
      </c>
      <c r="D2173" s="29" t="s">
        <v>1404</v>
      </c>
      <c r="E2173" s="20" t="s">
        <v>1121</v>
      </c>
      <c r="I2173" s="20" t="s">
        <v>1443</v>
      </c>
      <c r="N2173" s="20" t="s">
        <v>1310</v>
      </c>
      <c r="O2173" s="20" t="s">
        <v>1326</v>
      </c>
      <c r="Q2173" s="20" t="s">
        <v>2041</v>
      </c>
      <c r="T2173" s="20" t="s">
        <v>3267</v>
      </c>
      <c r="U2173" s="119" t="s">
        <v>3294</v>
      </c>
      <c r="V2173" s="20" t="s">
        <v>1880</v>
      </c>
      <c r="W2173" s="20" t="s">
        <v>1</v>
      </c>
      <c r="AF2173" s="23" t="s">
        <v>2041</v>
      </c>
      <c r="AL2173" s="109" t="s">
        <v>3669</v>
      </c>
      <c r="CM2173" s="23" t="s">
        <v>3</v>
      </c>
      <c r="CN2173" s="23" t="s">
        <v>0</v>
      </c>
      <c r="DE2173" s="23" t="s">
        <v>3716</v>
      </c>
    </row>
    <row r="2174" spans="1:109" x14ac:dyDescent="0.2">
      <c r="A2174" s="29" t="s">
        <v>1399</v>
      </c>
      <c r="B2174" s="29" t="s">
        <v>3</v>
      </c>
      <c r="C2174" s="29">
        <f t="shared" si="191"/>
        <v>1000170006</v>
      </c>
      <c r="D2174" s="29" t="s">
        <v>1405</v>
      </c>
      <c r="E2174" s="20" t="s">
        <v>1122</v>
      </c>
      <c r="I2174" s="20" t="s">
        <v>1444</v>
      </c>
      <c r="N2174" s="20" t="s">
        <v>1310</v>
      </c>
      <c r="O2174" s="20" t="s">
        <v>1326</v>
      </c>
      <c r="Q2174" s="20" t="s">
        <v>2041</v>
      </c>
      <c r="T2174" s="20" t="s">
        <v>3267</v>
      </c>
      <c r="U2174" s="119" t="s">
        <v>3295</v>
      </c>
      <c r="V2174" s="20" t="s">
        <v>1880</v>
      </c>
      <c r="W2174" s="20" t="s">
        <v>1</v>
      </c>
      <c r="AF2174" s="23" t="s">
        <v>2041</v>
      </c>
      <c r="AL2174" s="109" t="s">
        <v>3670</v>
      </c>
      <c r="CM2174" s="23" t="s">
        <v>4</v>
      </c>
      <c r="CN2174" s="23" t="s">
        <v>0</v>
      </c>
      <c r="DE2174" s="23" t="s">
        <v>3716</v>
      </c>
    </row>
    <row r="2175" spans="1:109" x14ac:dyDescent="0.2">
      <c r="A2175" s="29" t="s">
        <v>1399</v>
      </c>
      <c r="B2175" s="29" t="s">
        <v>4</v>
      </c>
      <c r="C2175" s="29">
        <f t="shared" si="191"/>
        <v>1000170007</v>
      </c>
      <c r="D2175" s="29" t="s">
        <v>1406</v>
      </c>
      <c r="E2175" s="20" t="s">
        <v>1120</v>
      </c>
      <c r="I2175" s="20" t="s">
        <v>1448</v>
      </c>
      <c r="N2175" s="20" t="s">
        <v>1310</v>
      </c>
      <c r="O2175" s="20" t="s">
        <v>1326</v>
      </c>
      <c r="Q2175" s="20" t="s">
        <v>2041</v>
      </c>
      <c r="T2175" s="20" t="s">
        <v>3267</v>
      </c>
      <c r="U2175" s="119" t="s">
        <v>3296</v>
      </c>
      <c r="V2175" s="20" t="s">
        <v>1880</v>
      </c>
      <c r="W2175" s="20" t="s">
        <v>1</v>
      </c>
      <c r="AF2175" s="23" t="s">
        <v>2041</v>
      </c>
      <c r="AL2175" s="109" t="s">
        <v>3671</v>
      </c>
      <c r="CM2175" s="23" t="s">
        <v>5</v>
      </c>
      <c r="CN2175" s="23" t="s">
        <v>0</v>
      </c>
      <c r="DE2175" s="23" t="s">
        <v>3716</v>
      </c>
    </row>
    <row r="2176" spans="1:109" x14ac:dyDescent="0.2">
      <c r="A2176" s="29" t="s">
        <v>1399</v>
      </c>
      <c r="B2176" s="29" t="s">
        <v>5</v>
      </c>
      <c r="C2176" s="29">
        <f t="shared" si="191"/>
        <v>1000170008</v>
      </c>
      <c r="D2176" s="29" t="s">
        <v>1407</v>
      </c>
      <c r="E2176" s="20" t="s">
        <v>109</v>
      </c>
      <c r="I2176" s="20" t="s">
        <v>1445</v>
      </c>
      <c r="N2176" s="20" t="s">
        <v>1310</v>
      </c>
      <c r="O2176" s="20" t="s">
        <v>1326</v>
      </c>
      <c r="Q2176" s="20" t="s">
        <v>2041</v>
      </c>
      <c r="T2176" s="20" t="s">
        <v>3267</v>
      </c>
      <c r="U2176" s="119" t="s">
        <v>3297</v>
      </c>
      <c r="V2176" s="20" t="s">
        <v>1880</v>
      </c>
      <c r="W2176" s="20" t="s">
        <v>1</v>
      </c>
      <c r="AF2176" s="23" t="s">
        <v>2041</v>
      </c>
      <c r="AL2176" s="109" t="s">
        <v>3672</v>
      </c>
      <c r="CM2176" s="23" t="s">
        <v>6</v>
      </c>
      <c r="CN2176" s="23" t="s">
        <v>0</v>
      </c>
      <c r="DE2176" s="23" t="s">
        <v>3716</v>
      </c>
    </row>
    <row r="2177" spans="1:109" x14ac:dyDescent="0.2">
      <c r="A2177" s="29" t="s">
        <v>1399</v>
      </c>
      <c r="B2177" s="29" t="s">
        <v>6</v>
      </c>
      <c r="C2177" s="29">
        <f t="shared" si="191"/>
        <v>1000170009</v>
      </c>
      <c r="D2177" s="29" t="s">
        <v>1408</v>
      </c>
      <c r="E2177" s="20" t="s">
        <v>1116</v>
      </c>
      <c r="I2177" s="20" t="s">
        <v>1442</v>
      </c>
      <c r="N2177" s="20" t="s">
        <v>1310</v>
      </c>
      <c r="O2177" s="20" t="s">
        <v>1326</v>
      </c>
      <c r="Q2177" s="20" t="s">
        <v>2041</v>
      </c>
      <c r="T2177" s="20" t="s">
        <v>3267</v>
      </c>
      <c r="U2177" s="119" t="s">
        <v>3298</v>
      </c>
      <c r="V2177" s="20" t="s">
        <v>1880</v>
      </c>
      <c r="W2177" s="20" t="s">
        <v>1</v>
      </c>
      <c r="AF2177" s="23" t="s">
        <v>2041</v>
      </c>
      <c r="AL2177" s="109" t="s">
        <v>3673</v>
      </c>
      <c r="CM2177" s="23" t="s">
        <v>7</v>
      </c>
      <c r="CN2177" s="23" t="s">
        <v>0</v>
      </c>
      <c r="DE2177" s="23" t="s">
        <v>3716</v>
      </c>
    </row>
    <row r="2178" spans="1:109" x14ac:dyDescent="0.2">
      <c r="A2178" s="29" t="s">
        <v>1399</v>
      </c>
      <c r="B2178" s="29" t="s">
        <v>7</v>
      </c>
      <c r="C2178" s="29">
        <f t="shared" si="191"/>
        <v>1000170010</v>
      </c>
      <c r="D2178" s="29" t="s">
        <v>1409</v>
      </c>
      <c r="E2178" s="20" t="s">
        <v>652</v>
      </c>
      <c r="I2178" s="20" t="s">
        <v>1446</v>
      </c>
      <c r="N2178" s="20" t="s">
        <v>1321</v>
      </c>
      <c r="O2178" s="20" t="s">
        <v>1449</v>
      </c>
      <c r="Q2178" s="20" t="s">
        <v>2041</v>
      </c>
      <c r="T2178" s="20" t="s">
        <v>3267</v>
      </c>
      <c r="U2178" s="119" t="s">
        <v>3299</v>
      </c>
      <c r="V2178" s="20" t="s">
        <v>1880</v>
      </c>
      <c r="W2178" s="20" t="s">
        <v>1</v>
      </c>
      <c r="AC2178" s="20" t="s">
        <v>14</v>
      </c>
      <c r="AF2178" s="23" t="s">
        <v>2041</v>
      </c>
      <c r="AL2178" s="109"/>
      <c r="AY2178" s="109" t="s">
        <v>3674</v>
      </c>
      <c r="BY2178" s="151">
        <v>1170011</v>
      </c>
      <c r="CN2178" s="23" t="s">
        <v>0</v>
      </c>
      <c r="CO2178" s="74"/>
    </row>
    <row r="2179" spans="1:109" ht="17.25" x14ac:dyDescent="0.3">
      <c r="A2179" s="100"/>
      <c r="B2179" s="100"/>
      <c r="C2179" s="100">
        <f t="shared" si="191"/>
        <v>0</v>
      </c>
      <c r="D2179" s="100"/>
      <c r="E2179" s="101" t="s">
        <v>1509</v>
      </c>
      <c r="F2179" s="101"/>
      <c r="G2179" s="101"/>
      <c r="H2179" s="101"/>
      <c r="I2179" s="102"/>
      <c r="J2179" s="102"/>
      <c r="K2179" s="102"/>
      <c r="L2179" s="102"/>
      <c r="M2179" s="102"/>
      <c r="N2179" s="102"/>
      <c r="O2179" s="102"/>
      <c r="P2179" s="102"/>
      <c r="Q2179" s="102"/>
      <c r="R2179" s="102"/>
      <c r="S2179" s="102"/>
      <c r="T2179" s="102"/>
      <c r="U2179" s="102"/>
      <c r="V2179" s="102"/>
      <c r="W2179" s="102"/>
      <c r="X2179" s="102"/>
      <c r="Y2179" s="103"/>
      <c r="Z2179" s="102"/>
      <c r="AA2179" s="102"/>
      <c r="AB2179" s="102"/>
      <c r="AC2179" s="102"/>
      <c r="AD2179" s="102"/>
      <c r="AE2179" s="104"/>
      <c r="AG2179" s="102"/>
      <c r="AH2179" s="105"/>
      <c r="AI2179" s="105"/>
      <c r="AJ2179" s="105"/>
      <c r="AK2179" s="106"/>
      <c r="AL2179" s="106"/>
      <c r="AM2179" s="106"/>
      <c r="AN2179" s="106"/>
      <c r="AO2179" s="106"/>
      <c r="AP2179" s="106"/>
      <c r="AQ2179" s="106"/>
      <c r="AR2179" s="106"/>
      <c r="AS2179" s="106"/>
      <c r="AT2179" s="106"/>
      <c r="AU2179" s="105"/>
      <c r="AV2179" s="105"/>
      <c r="AW2179" s="105"/>
      <c r="AX2179" s="107"/>
      <c r="AY2179" s="107"/>
      <c r="AZ2179" s="106"/>
      <c r="BA2179" s="106"/>
      <c r="BB2179" s="106"/>
      <c r="BC2179" s="106"/>
      <c r="BD2179" s="106"/>
      <c r="BE2179" s="106"/>
      <c r="BF2179" s="106"/>
      <c r="BG2179" s="106"/>
      <c r="BH2179" s="105"/>
      <c r="BI2179" s="105"/>
      <c r="BJ2179" s="105"/>
      <c r="BK2179" s="107"/>
      <c r="BL2179" s="107"/>
      <c r="BM2179" s="106"/>
      <c r="BN2179" s="106"/>
      <c r="BO2179" s="106"/>
      <c r="BP2179" s="106"/>
      <c r="BQ2179" s="106"/>
      <c r="BR2179" s="106"/>
      <c r="BS2179" s="106"/>
      <c r="BT2179" s="106"/>
      <c r="BU2179" s="105"/>
      <c r="BV2179" s="105"/>
      <c r="BW2179" s="105"/>
      <c r="BX2179" s="107"/>
      <c r="BY2179" s="107"/>
      <c r="BZ2179" s="106"/>
      <c r="CA2179" s="106"/>
      <c r="CB2179" s="106"/>
      <c r="CC2179" s="106"/>
      <c r="CD2179" s="106"/>
      <c r="CE2179" s="106"/>
      <c r="CF2179" s="106"/>
      <c r="CG2179" s="106"/>
      <c r="CH2179" s="102"/>
      <c r="CI2179" s="100"/>
      <c r="CJ2179" s="108"/>
      <c r="CK2179" s="100"/>
      <c r="CL2179" s="109"/>
      <c r="CM2179" s="109"/>
      <c r="CN2179" s="109"/>
      <c r="CO2179" s="109"/>
      <c r="CP2179" s="109"/>
      <c r="CQ2179" s="109"/>
      <c r="CR2179" s="109"/>
      <c r="CS2179" s="109"/>
      <c r="CT2179" s="110"/>
      <c r="CU2179" s="110"/>
      <c r="CV2179" s="110"/>
      <c r="CW2179" s="110"/>
      <c r="CX2179" s="110"/>
      <c r="CY2179" s="110"/>
      <c r="CZ2179" s="110"/>
      <c r="DA2179" s="110"/>
      <c r="DB2179" s="110"/>
      <c r="DC2179" s="106"/>
      <c r="DD2179" s="109"/>
      <c r="DE2179" s="109"/>
    </row>
    <row r="2180" spans="1:109" s="109" customFormat="1" x14ac:dyDescent="0.2">
      <c r="A2180" s="29" t="s">
        <v>1494</v>
      </c>
      <c r="B2180" s="29" t="s">
        <v>0</v>
      </c>
      <c r="C2180" s="29">
        <f t="shared" si="191"/>
        <v>1000160001</v>
      </c>
      <c r="D2180" s="29" t="s">
        <v>1495</v>
      </c>
      <c r="E2180" s="20" t="s">
        <v>485</v>
      </c>
      <c r="F2180" s="20"/>
      <c r="G2180" s="20"/>
      <c r="H2180" s="20"/>
      <c r="I2180" s="20"/>
      <c r="J2180" s="20"/>
      <c r="K2180" s="20"/>
      <c r="L2180" s="20"/>
      <c r="M2180" s="20"/>
      <c r="N2180" s="20" t="s">
        <v>1310</v>
      </c>
      <c r="O2180" s="20" t="s">
        <v>1326</v>
      </c>
      <c r="P2180" s="20"/>
      <c r="Q2180" s="20" t="s">
        <v>2041</v>
      </c>
      <c r="R2180" s="20"/>
      <c r="S2180" s="20"/>
      <c r="T2180" s="20" t="s">
        <v>3267</v>
      </c>
      <c r="U2180" s="119" t="s">
        <v>3300</v>
      </c>
      <c r="V2180" s="20" t="s">
        <v>1881</v>
      </c>
      <c r="W2180" s="20" t="s">
        <v>1</v>
      </c>
      <c r="X2180" s="20"/>
      <c r="Y2180" s="23"/>
      <c r="Z2180" s="20"/>
      <c r="AA2180" s="20"/>
      <c r="AB2180" s="20"/>
      <c r="AC2180" s="20"/>
      <c r="AD2180" s="20"/>
      <c r="AE2180" s="23"/>
      <c r="AF2180" s="23" t="s">
        <v>2041</v>
      </c>
      <c r="AG2180" s="20"/>
      <c r="AH2180" s="25"/>
      <c r="AI2180" s="25"/>
      <c r="AJ2180" s="25"/>
      <c r="AK2180" s="28"/>
      <c r="AL2180" s="109" t="s">
        <v>3675</v>
      </c>
      <c r="AM2180" s="28"/>
      <c r="AN2180" s="28"/>
      <c r="AO2180" s="28"/>
      <c r="AP2180" s="28"/>
      <c r="AQ2180" s="28"/>
      <c r="AR2180" s="28"/>
      <c r="AS2180" s="28"/>
      <c r="AT2180" s="28"/>
      <c r="AU2180" s="25"/>
      <c r="AV2180" s="25"/>
      <c r="AW2180" s="25"/>
      <c r="AX2180" s="23"/>
      <c r="AY2180" s="23"/>
      <c r="AZ2180" s="28"/>
      <c r="BA2180" s="28"/>
      <c r="BB2180" s="28"/>
      <c r="BC2180" s="28"/>
      <c r="BD2180" s="28"/>
      <c r="BE2180" s="28"/>
      <c r="BF2180" s="28"/>
      <c r="BG2180" s="28"/>
      <c r="BH2180" s="25"/>
      <c r="BI2180" s="25"/>
      <c r="BJ2180" s="25"/>
      <c r="BK2180" s="23"/>
      <c r="BL2180" s="23"/>
      <c r="BM2180" s="28"/>
      <c r="BN2180" s="28"/>
      <c r="BO2180" s="28"/>
      <c r="BP2180" s="28"/>
      <c r="BQ2180" s="28"/>
      <c r="BR2180" s="28"/>
      <c r="BS2180" s="28"/>
      <c r="BT2180" s="28"/>
      <c r="BU2180" s="25"/>
      <c r="BV2180" s="25"/>
      <c r="BW2180" s="25"/>
      <c r="BX2180" s="23"/>
      <c r="BY2180" s="23"/>
      <c r="BZ2180" s="28"/>
      <c r="CA2180" s="28"/>
      <c r="CB2180" s="28"/>
      <c r="CC2180" s="28"/>
      <c r="CD2180" s="28"/>
      <c r="CE2180" s="28"/>
      <c r="CF2180" s="28"/>
      <c r="CG2180" s="28"/>
      <c r="CH2180" s="23"/>
      <c r="CI2180" s="28"/>
      <c r="CJ2180" s="28"/>
      <c r="CK2180" s="28"/>
      <c r="CL2180" s="23"/>
      <c r="CM2180" s="28">
        <v>2</v>
      </c>
      <c r="CN2180" s="23" t="s">
        <v>0</v>
      </c>
      <c r="CO2180" s="23"/>
      <c r="CP2180" s="23"/>
      <c r="CQ2180" s="23"/>
      <c r="CR2180" s="23"/>
      <c r="CS2180" s="23"/>
      <c r="CT2180" s="30"/>
      <c r="CU2180" s="30"/>
      <c r="CV2180" s="30"/>
      <c r="CW2180" s="30"/>
      <c r="CX2180" s="30"/>
      <c r="CY2180" s="30"/>
      <c r="CZ2180" s="30"/>
      <c r="DA2180" s="30"/>
      <c r="DB2180" s="30"/>
      <c r="DC2180" s="28"/>
      <c r="DD2180" s="23"/>
      <c r="DE2180" s="23" t="s">
        <v>3716</v>
      </c>
    </row>
    <row r="2181" spans="1:109" x14ac:dyDescent="0.2">
      <c r="A2181" s="29" t="s">
        <v>1494</v>
      </c>
      <c r="B2181" s="29" t="s">
        <v>26</v>
      </c>
      <c r="C2181" s="29">
        <f t="shared" si="191"/>
        <v>1000160002</v>
      </c>
      <c r="D2181" s="29" t="s">
        <v>1496</v>
      </c>
      <c r="E2181" s="20" t="s">
        <v>651</v>
      </c>
      <c r="I2181" s="20" t="s">
        <v>206</v>
      </c>
      <c r="N2181" s="20" t="s">
        <v>1310</v>
      </c>
      <c r="O2181" s="20" t="s">
        <v>1326</v>
      </c>
      <c r="Q2181" s="20" t="s">
        <v>2041</v>
      </c>
      <c r="T2181" s="20" t="s">
        <v>3267</v>
      </c>
      <c r="U2181" s="119" t="s">
        <v>3301</v>
      </c>
      <c r="V2181" s="20" t="s">
        <v>1881</v>
      </c>
      <c r="W2181" s="20" t="s">
        <v>1</v>
      </c>
      <c r="AF2181" s="23" t="s">
        <v>2041</v>
      </c>
      <c r="AL2181" s="109" t="s">
        <v>3676</v>
      </c>
      <c r="CI2181" s="28"/>
      <c r="CK2181" s="28"/>
      <c r="CM2181" s="28">
        <v>3</v>
      </c>
      <c r="CN2181" s="23" t="s">
        <v>0</v>
      </c>
      <c r="DE2181" s="23" t="s">
        <v>3716</v>
      </c>
    </row>
    <row r="2182" spans="1:109" x14ac:dyDescent="0.2">
      <c r="A2182" s="29" t="s">
        <v>1494</v>
      </c>
      <c r="B2182" s="29" t="s">
        <v>27</v>
      </c>
      <c r="C2182" s="29">
        <f t="shared" si="191"/>
        <v>1000160003</v>
      </c>
      <c r="D2182" s="29" t="s">
        <v>1497</v>
      </c>
      <c r="E2182" s="20" t="s">
        <v>696</v>
      </c>
      <c r="N2182" s="20" t="s">
        <v>1310</v>
      </c>
      <c r="O2182" s="20" t="s">
        <v>1326</v>
      </c>
      <c r="Q2182" s="20" t="s">
        <v>2041</v>
      </c>
      <c r="T2182" s="20" t="s">
        <v>3267</v>
      </c>
      <c r="U2182" s="119" t="s">
        <v>3302</v>
      </c>
      <c r="V2182" s="20" t="s">
        <v>1881</v>
      </c>
      <c r="W2182" s="20" t="s">
        <v>1</v>
      </c>
      <c r="AF2182" s="23" t="s">
        <v>2041</v>
      </c>
      <c r="AL2182" s="109" t="s">
        <v>3677</v>
      </c>
      <c r="CI2182" s="28"/>
      <c r="CK2182" s="28"/>
      <c r="CM2182" s="28">
        <v>4</v>
      </c>
      <c r="CN2182" s="23" t="s">
        <v>0</v>
      </c>
      <c r="DE2182" s="23" t="s">
        <v>3716</v>
      </c>
    </row>
    <row r="2183" spans="1:109" x14ac:dyDescent="0.2">
      <c r="A2183" s="29" t="s">
        <v>1494</v>
      </c>
      <c r="B2183" s="29" t="s">
        <v>1</v>
      </c>
      <c r="C2183" s="29">
        <f t="shared" si="191"/>
        <v>1000160004</v>
      </c>
      <c r="D2183" s="29" t="s">
        <v>1498</v>
      </c>
      <c r="E2183" s="20" t="s">
        <v>1304</v>
      </c>
      <c r="I2183" s="20" t="s">
        <v>1499</v>
      </c>
      <c r="N2183" s="20" t="s">
        <v>1310</v>
      </c>
      <c r="O2183" s="20" t="s">
        <v>1326</v>
      </c>
      <c r="Q2183" s="20" t="s">
        <v>2041</v>
      </c>
      <c r="T2183" s="20" t="s">
        <v>3267</v>
      </c>
      <c r="U2183" s="119" t="s">
        <v>3303</v>
      </c>
      <c r="V2183" s="20" t="s">
        <v>1881</v>
      </c>
      <c r="W2183" s="20" t="s">
        <v>1</v>
      </c>
      <c r="AF2183" s="23" t="s">
        <v>2041</v>
      </c>
      <c r="AL2183" s="109" t="s">
        <v>3678</v>
      </c>
      <c r="CI2183" s="28"/>
      <c r="CK2183" s="28"/>
      <c r="CM2183" s="28">
        <v>5</v>
      </c>
      <c r="CN2183" s="23" t="s">
        <v>0</v>
      </c>
      <c r="DE2183" s="23" t="s">
        <v>3716</v>
      </c>
    </row>
    <row r="2184" spans="1:109" x14ac:dyDescent="0.2">
      <c r="A2184" s="29" t="s">
        <v>1494</v>
      </c>
      <c r="B2184" s="29" t="s">
        <v>2</v>
      </c>
      <c r="C2184" s="29">
        <f t="shared" si="191"/>
        <v>1000160005</v>
      </c>
      <c r="D2184" s="29" t="s">
        <v>1500</v>
      </c>
      <c r="E2184" s="20" t="s">
        <v>1117</v>
      </c>
      <c r="I2184" s="20" t="s">
        <v>1342</v>
      </c>
      <c r="N2184" s="20" t="s">
        <v>1310</v>
      </c>
      <c r="O2184" s="20" t="s">
        <v>1326</v>
      </c>
      <c r="Q2184" s="20" t="s">
        <v>2041</v>
      </c>
      <c r="T2184" s="20" t="s">
        <v>3267</v>
      </c>
      <c r="U2184" s="119" t="s">
        <v>3304</v>
      </c>
      <c r="V2184" s="20" t="s">
        <v>1881</v>
      </c>
      <c r="W2184" s="20" t="s">
        <v>1</v>
      </c>
      <c r="AF2184" s="23" t="s">
        <v>2041</v>
      </c>
      <c r="AL2184" s="109" t="s">
        <v>3679</v>
      </c>
      <c r="CI2184" s="28"/>
      <c r="CK2184" s="28"/>
      <c r="CM2184" s="28">
        <v>6</v>
      </c>
      <c r="CN2184" s="23" t="s">
        <v>0</v>
      </c>
      <c r="DE2184" s="23" t="s">
        <v>3716</v>
      </c>
    </row>
    <row r="2185" spans="1:109" x14ac:dyDescent="0.2">
      <c r="A2185" s="29" t="s">
        <v>1494</v>
      </c>
      <c r="B2185" s="29" t="s">
        <v>3</v>
      </c>
      <c r="C2185" s="29">
        <f t="shared" si="191"/>
        <v>1000160006</v>
      </c>
      <c r="D2185" s="29" t="s">
        <v>1501</v>
      </c>
      <c r="E2185" s="20" t="s">
        <v>1114</v>
      </c>
      <c r="I2185" s="20" t="s">
        <v>157</v>
      </c>
      <c r="N2185" s="20" t="s">
        <v>1310</v>
      </c>
      <c r="O2185" s="20" t="s">
        <v>1326</v>
      </c>
      <c r="Q2185" s="20" t="s">
        <v>2041</v>
      </c>
      <c r="T2185" s="20" t="s">
        <v>3267</v>
      </c>
      <c r="U2185" s="119" t="s">
        <v>3305</v>
      </c>
      <c r="V2185" s="20" t="s">
        <v>1881</v>
      </c>
      <c r="W2185" s="20" t="s">
        <v>1</v>
      </c>
      <c r="AF2185" s="23" t="s">
        <v>2041</v>
      </c>
      <c r="AL2185" s="109" t="s">
        <v>3680</v>
      </c>
      <c r="CI2185" s="28"/>
      <c r="CK2185" s="28"/>
      <c r="CM2185" s="28">
        <v>7</v>
      </c>
      <c r="CN2185" s="23" t="s">
        <v>0</v>
      </c>
      <c r="DE2185" s="23" t="s">
        <v>3716</v>
      </c>
    </row>
    <row r="2186" spans="1:109" x14ac:dyDescent="0.2">
      <c r="A2186" s="29" t="s">
        <v>1494</v>
      </c>
      <c r="B2186" s="29" t="s">
        <v>4</v>
      </c>
      <c r="C2186" s="29">
        <f t="shared" si="191"/>
        <v>1000160007</v>
      </c>
      <c r="D2186" s="29" t="s">
        <v>1502</v>
      </c>
      <c r="E2186" s="20" t="s">
        <v>485</v>
      </c>
      <c r="I2186" s="20" t="s">
        <v>1503</v>
      </c>
      <c r="N2186" s="20" t="s">
        <v>1310</v>
      </c>
      <c r="O2186" s="20" t="s">
        <v>1326</v>
      </c>
      <c r="Q2186" s="20" t="s">
        <v>2041</v>
      </c>
      <c r="T2186" s="20" t="s">
        <v>3267</v>
      </c>
      <c r="U2186" s="119" t="s">
        <v>3306</v>
      </c>
      <c r="V2186" s="20" t="s">
        <v>1881</v>
      </c>
      <c r="W2186" s="20" t="s">
        <v>1</v>
      </c>
      <c r="AF2186" s="23" t="s">
        <v>2041</v>
      </c>
      <c r="AL2186" s="109" t="s">
        <v>3681</v>
      </c>
      <c r="CI2186" s="28"/>
      <c r="CK2186" s="28"/>
      <c r="CM2186" s="28">
        <v>8</v>
      </c>
      <c r="CN2186" s="23" t="s">
        <v>0</v>
      </c>
      <c r="DE2186" s="23" t="s">
        <v>3716</v>
      </c>
    </row>
    <row r="2187" spans="1:109" x14ac:dyDescent="0.2">
      <c r="A2187" s="29" t="s">
        <v>1494</v>
      </c>
      <c r="B2187" s="29" t="s">
        <v>5</v>
      </c>
      <c r="C2187" s="29">
        <f t="shared" si="191"/>
        <v>1000160008</v>
      </c>
      <c r="D2187" s="29" t="s">
        <v>1504</v>
      </c>
      <c r="E2187" s="20" t="s">
        <v>485</v>
      </c>
      <c r="I2187" s="20" t="s">
        <v>1503</v>
      </c>
      <c r="N2187" s="20" t="s">
        <v>1310</v>
      </c>
      <c r="O2187" s="20" t="s">
        <v>1326</v>
      </c>
      <c r="Q2187" s="20" t="s">
        <v>2041</v>
      </c>
      <c r="T2187" s="20" t="s">
        <v>3267</v>
      </c>
      <c r="U2187" s="119" t="s">
        <v>3307</v>
      </c>
      <c r="V2187" s="20" t="s">
        <v>1881</v>
      </c>
      <c r="W2187" s="20" t="s">
        <v>1</v>
      </c>
      <c r="AF2187" s="23" t="s">
        <v>2041</v>
      </c>
      <c r="AL2187" s="109" t="s">
        <v>3682</v>
      </c>
      <c r="CI2187" s="28"/>
      <c r="CK2187" s="28"/>
      <c r="CM2187" s="28">
        <v>9</v>
      </c>
      <c r="CN2187" s="23" t="s">
        <v>0</v>
      </c>
      <c r="DE2187" s="23" t="s">
        <v>3716</v>
      </c>
    </row>
    <row r="2188" spans="1:109" x14ac:dyDescent="0.2">
      <c r="A2188" s="29" t="s">
        <v>1494</v>
      </c>
      <c r="B2188" s="29" t="s">
        <v>6</v>
      </c>
      <c r="C2188" s="29">
        <f t="shared" si="191"/>
        <v>1000160009</v>
      </c>
      <c r="D2188" s="29" t="s">
        <v>1505</v>
      </c>
      <c r="E2188" s="20" t="s">
        <v>1118</v>
      </c>
      <c r="I2188" s="20" t="s">
        <v>1506</v>
      </c>
      <c r="N2188" s="20" t="s">
        <v>1310</v>
      </c>
      <c r="O2188" s="20" t="s">
        <v>1326</v>
      </c>
      <c r="Q2188" s="20" t="s">
        <v>2041</v>
      </c>
      <c r="T2188" s="20" t="s">
        <v>3267</v>
      </c>
      <c r="U2188" s="119" t="s">
        <v>3308</v>
      </c>
      <c r="V2188" s="20" t="s">
        <v>1881</v>
      </c>
      <c r="W2188" s="20" t="s">
        <v>1</v>
      </c>
      <c r="AF2188" s="23" t="s">
        <v>2041</v>
      </c>
      <c r="AL2188" s="109" t="s">
        <v>3683</v>
      </c>
      <c r="CI2188" s="28"/>
      <c r="CK2188" s="28"/>
      <c r="CM2188" s="28">
        <v>10</v>
      </c>
      <c r="CN2188" s="23" t="s">
        <v>0</v>
      </c>
      <c r="DE2188" s="23" t="s">
        <v>3716</v>
      </c>
    </row>
    <row r="2189" spans="1:109" x14ac:dyDescent="0.2">
      <c r="A2189" s="29" t="s">
        <v>1494</v>
      </c>
      <c r="B2189" s="29" t="s">
        <v>7</v>
      </c>
      <c r="C2189" s="29">
        <f t="shared" si="191"/>
        <v>1000160010</v>
      </c>
      <c r="D2189" s="29" t="s">
        <v>1507</v>
      </c>
      <c r="E2189" s="20" t="s">
        <v>652</v>
      </c>
      <c r="I2189" s="20" t="s">
        <v>206</v>
      </c>
      <c r="N2189" s="20" t="s">
        <v>1321</v>
      </c>
      <c r="O2189" s="20" t="s">
        <v>1508</v>
      </c>
      <c r="Q2189" s="20" t="s">
        <v>2041</v>
      </c>
      <c r="T2189" s="20" t="s">
        <v>3267</v>
      </c>
      <c r="U2189" s="119" t="s">
        <v>3309</v>
      </c>
      <c r="V2189" s="20" t="s">
        <v>1881</v>
      </c>
      <c r="W2189" s="20" t="s">
        <v>1</v>
      </c>
      <c r="AC2189" s="20" t="s">
        <v>13</v>
      </c>
      <c r="AF2189" s="23" t="s">
        <v>2041</v>
      </c>
      <c r="AL2189" s="109"/>
      <c r="AY2189" s="109" t="s">
        <v>3684</v>
      </c>
      <c r="BY2189" s="151">
        <v>1160011</v>
      </c>
      <c r="CI2189" s="28"/>
      <c r="CK2189" s="28"/>
      <c r="CM2189" s="28"/>
      <c r="CN2189" s="23" t="s">
        <v>0</v>
      </c>
      <c r="CO2189" s="74"/>
    </row>
    <row r="2190" spans="1:109" ht="17.25" x14ac:dyDescent="0.3">
      <c r="A2190" s="100"/>
      <c r="B2190" s="100"/>
      <c r="C2190" s="100">
        <f t="shared" si="191"/>
        <v>0</v>
      </c>
      <c r="D2190" s="100"/>
      <c r="E2190" s="101" t="s">
        <v>1594</v>
      </c>
      <c r="F2190" s="101"/>
      <c r="G2190" s="101"/>
      <c r="H2190" s="101"/>
      <c r="I2190" s="102"/>
      <c r="J2190" s="102"/>
      <c r="K2190" s="102"/>
      <c r="L2190" s="102"/>
      <c r="M2190" s="102"/>
      <c r="N2190" s="102"/>
      <c r="O2190" s="102"/>
      <c r="P2190" s="102"/>
      <c r="Q2190" s="102"/>
      <c r="R2190" s="102"/>
      <c r="S2190" s="102"/>
      <c r="T2190" s="102"/>
      <c r="U2190" s="102"/>
      <c r="V2190" s="102"/>
      <c r="W2190" s="102"/>
      <c r="X2190" s="102"/>
      <c r="Y2190" s="103"/>
      <c r="Z2190" s="102"/>
      <c r="AA2190" s="102"/>
      <c r="AB2190" s="102"/>
      <c r="AC2190" s="102"/>
      <c r="AD2190" s="102"/>
      <c r="AE2190" s="104"/>
      <c r="AG2190" s="102"/>
      <c r="AH2190" s="105"/>
      <c r="AI2190" s="105"/>
      <c r="AJ2190" s="105"/>
      <c r="AK2190" s="106"/>
      <c r="AL2190" s="106"/>
      <c r="AM2190" s="106"/>
      <c r="AN2190" s="106"/>
      <c r="AO2190" s="106"/>
      <c r="AP2190" s="106"/>
      <c r="AQ2190" s="106"/>
      <c r="AR2190" s="106"/>
      <c r="AS2190" s="106"/>
      <c r="AT2190" s="106"/>
      <c r="AU2190" s="105"/>
      <c r="AV2190" s="105"/>
      <c r="AW2190" s="105"/>
      <c r="AX2190" s="107"/>
      <c r="AY2190" s="107"/>
      <c r="AZ2190" s="106"/>
      <c r="BA2190" s="106"/>
      <c r="BB2190" s="106"/>
      <c r="BC2190" s="106"/>
      <c r="BD2190" s="106"/>
      <c r="BE2190" s="106"/>
      <c r="BF2190" s="106"/>
      <c r="BG2190" s="106"/>
      <c r="BH2190" s="105"/>
      <c r="BI2190" s="105"/>
      <c r="BJ2190" s="105"/>
      <c r="BK2190" s="107"/>
      <c r="BL2190" s="107"/>
      <c r="BM2190" s="106"/>
      <c r="BN2190" s="106"/>
      <c r="BO2190" s="106"/>
      <c r="BP2190" s="106"/>
      <c r="BQ2190" s="106"/>
      <c r="BR2190" s="106"/>
      <c r="BS2190" s="106"/>
      <c r="BT2190" s="106"/>
      <c r="BU2190" s="105"/>
      <c r="BV2190" s="105"/>
      <c r="BW2190" s="105"/>
      <c r="BX2190" s="107"/>
      <c r="BY2190" s="107"/>
      <c r="BZ2190" s="106"/>
      <c r="CA2190" s="106"/>
      <c r="CB2190" s="106"/>
      <c r="CC2190" s="106"/>
      <c r="CD2190" s="106"/>
      <c r="CE2190" s="106"/>
      <c r="CF2190" s="106"/>
      <c r="CG2190" s="106"/>
      <c r="CH2190" s="102"/>
      <c r="CI2190" s="100"/>
      <c r="CJ2190" s="108"/>
      <c r="CK2190" s="100"/>
      <c r="CL2190" s="109"/>
      <c r="CM2190" s="109"/>
      <c r="CN2190" s="109"/>
      <c r="CO2190" s="109"/>
      <c r="CP2190" s="109"/>
      <c r="CQ2190" s="109"/>
      <c r="CR2190" s="109"/>
      <c r="CS2190" s="109"/>
      <c r="CT2190" s="110"/>
      <c r="CU2190" s="110"/>
      <c r="CV2190" s="110"/>
      <c r="CW2190" s="110"/>
      <c r="CX2190" s="110"/>
      <c r="CY2190" s="110"/>
      <c r="CZ2190" s="110"/>
      <c r="DA2190" s="110"/>
      <c r="DB2190" s="110"/>
      <c r="DC2190" s="106"/>
      <c r="DD2190" s="109"/>
      <c r="DE2190" s="109"/>
    </row>
    <row r="2191" spans="1:109" x14ac:dyDescent="0.2">
      <c r="A2191" s="29" t="s">
        <v>56</v>
      </c>
      <c r="B2191" s="29" t="s">
        <v>0</v>
      </c>
      <c r="C2191" s="29">
        <f t="shared" si="191"/>
        <v>1000520001</v>
      </c>
      <c r="D2191" s="29" t="s">
        <v>1595</v>
      </c>
      <c r="E2191" s="20" t="s">
        <v>1621</v>
      </c>
      <c r="I2191" s="20" t="s">
        <v>1611</v>
      </c>
      <c r="N2191" s="20" t="s">
        <v>1310</v>
      </c>
      <c r="O2191" s="20" t="s">
        <v>1326</v>
      </c>
      <c r="Q2191" s="20" t="s">
        <v>2041</v>
      </c>
      <c r="T2191" s="20" t="s">
        <v>3267</v>
      </c>
      <c r="U2191" s="119" t="s">
        <v>3310</v>
      </c>
      <c r="V2191" s="20" t="s">
        <v>1882</v>
      </c>
      <c r="W2191" s="20" t="s">
        <v>1</v>
      </c>
      <c r="AF2191" s="23" t="s">
        <v>2041</v>
      </c>
      <c r="AL2191" s="109" t="s">
        <v>3685</v>
      </c>
      <c r="CM2191" s="23" t="s">
        <v>26</v>
      </c>
      <c r="CN2191" s="23" t="s">
        <v>0</v>
      </c>
      <c r="DE2191" s="23" t="s">
        <v>3716</v>
      </c>
    </row>
    <row r="2192" spans="1:109" x14ac:dyDescent="0.2">
      <c r="A2192" s="29" t="s">
        <v>56</v>
      </c>
      <c r="B2192" s="29" t="s">
        <v>26</v>
      </c>
      <c r="C2192" s="29">
        <f t="shared" si="191"/>
        <v>1000520002</v>
      </c>
      <c r="D2192" s="29" t="s">
        <v>1596</v>
      </c>
      <c r="E2192" s="20" t="s">
        <v>1117</v>
      </c>
      <c r="N2192" s="20" t="s">
        <v>1310</v>
      </c>
      <c r="O2192" s="20" t="s">
        <v>1326</v>
      </c>
      <c r="Q2192" s="20" t="s">
        <v>2041</v>
      </c>
      <c r="T2192" s="20" t="s">
        <v>3267</v>
      </c>
      <c r="U2192" s="119" t="s">
        <v>3311</v>
      </c>
      <c r="V2192" s="20" t="s">
        <v>1882</v>
      </c>
      <c r="W2192" s="20" t="s">
        <v>1</v>
      </c>
      <c r="AF2192" s="23" t="s">
        <v>2041</v>
      </c>
      <c r="AL2192" s="149" t="s">
        <v>3686</v>
      </c>
      <c r="CM2192" s="23" t="s">
        <v>27</v>
      </c>
      <c r="CN2192" s="23" t="s">
        <v>0</v>
      </c>
      <c r="DE2192" s="23" t="s">
        <v>3716</v>
      </c>
    </row>
    <row r="2193" spans="1:109" x14ac:dyDescent="0.2">
      <c r="A2193" s="29" t="s">
        <v>56</v>
      </c>
      <c r="B2193" s="29" t="s">
        <v>27</v>
      </c>
      <c r="C2193" s="29">
        <f t="shared" si="191"/>
        <v>1000520003</v>
      </c>
      <c r="D2193" s="29" t="s">
        <v>1597</v>
      </c>
      <c r="E2193" s="20" t="s">
        <v>1618</v>
      </c>
      <c r="N2193" s="20" t="s">
        <v>1310</v>
      </c>
      <c r="O2193" s="20" t="s">
        <v>1326</v>
      </c>
      <c r="Q2193" s="20" t="s">
        <v>2041</v>
      </c>
      <c r="T2193" s="20" t="s">
        <v>3267</v>
      </c>
      <c r="U2193" s="119" t="s">
        <v>3312</v>
      </c>
      <c r="V2193" s="20" t="s">
        <v>1882</v>
      </c>
      <c r="W2193" s="20" t="s">
        <v>1</v>
      </c>
      <c r="AF2193" s="23" t="s">
        <v>2041</v>
      </c>
      <c r="AL2193" s="149" t="s">
        <v>3687</v>
      </c>
      <c r="CM2193" s="23" t="s">
        <v>1</v>
      </c>
      <c r="CN2193" s="23" t="s">
        <v>0</v>
      </c>
      <c r="DE2193" s="23" t="s">
        <v>3716</v>
      </c>
    </row>
    <row r="2194" spans="1:109" x14ac:dyDescent="0.2">
      <c r="A2194" s="29" t="s">
        <v>56</v>
      </c>
      <c r="B2194" s="29" t="s">
        <v>1</v>
      </c>
      <c r="C2194" s="29">
        <f t="shared" si="191"/>
        <v>1000520004</v>
      </c>
      <c r="D2194" s="29" t="s">
        <v>1598</v>
      </c>
      <c r="E2194" s="20" t="s">
        <v>1623</v>
      </c>
      <c r="I2194" s="20" t="s">
        <v>1612</v>
      </c>
      <c r="N2194" s="20" t="s">
        <v>1310</v>
      </c>
      <c r="O2194" s="20" t="s">
        <v>1326</v>
      </c>
      <c r="Q2194" s="20" t="s">
        <v>2041</v>
      </c>
      <c r="T2194" s="20" t="s">
        <v>3267</v>
      </c>
      <c r="U2194" s="119" t="s">
        <v>3313</v>
      </c>
      <c r="V2194" s="20" t="s">
        <v>1882</v>
      </c>
      <c r="W2194" s="20" t="s">
        <v>1</v>
      </c>
      <c r="AF2194" s="23" t="s">
        <v>2041</v>
      </c>
      <c r="AL2194" s="149" t="s">
        <v>3688</v>
      </c>
      <c r="CM2194" s="23" t="s">
        <v>2</v>
      </c>
      <c r="CN2194" s="23" t="s">
        <v>0</v>
      </c>
      <c r="DE2194" s="23" t="s">
        <v>3716</v>
      </c>
    </row>
    <row r="2195" spans="1:109" x14ac:dyDescent="0.2">
      <c r="A2195" s="29" t="s">
        <v>56</v>
      </c>
      <c r="B2195" s="29" t="s">
        <v>2</v>
      </c>
      <c r="C2195" s="29">
        <f t="shared" si="191"/>
        <v>1000520005</v>
      </c>
      <c r="D2195" s="29" t="s">
        <v>1599</v>
      </c>
      <c r="E2195" s="20" t="s">
        <v>1618</v>
      </c>
      <c r="I2195" s="20" t="s">
        <v>1613</v>
      </c>
      <c r="N2195" s="20" t="s">
        <v>1310</v>
      </c>
      <c r="O2195" s="20" t="s">
        <v>1326</v>
      </c>
      <c r="Q2195" s="20" t="s">
        <v>2041</v>
      </c>
      <c r="T2195" s="20" t="s">
        <v>3267</v>
      </c>
      <c r="U2195" s="119" t="s">
        <v>3314</v>
      </c>
      <c r="V2195" s="20" t="s">
        <v>1882</v>
      </c>
      <c r="W2195" s="20" t="s">
        <v>1</v>
      </c>
      <c r="AF2195" s="23" t="s">
        <v>2041</v>
      </c>
      <c r="AL2195" s="149" t="s">
        <v>3689</v>
      </c>
      <c r="CM2195" s="23" t="s">
        <v>3</v>
      </c>
      <c r="CN2195" s="23" t="s">
        <v>0</v>
      </c>
      <c r="DE2195" s="23" t="s">
        <v>3716</v>
      </c>
    </row>
    <row r="2196" spans="1:109" s="14" customFormat="1" x14ac:dyDescent="0.2">
      <c r="A2196" s="29" t="s">
        <v>56</v>
      </c>
      <c r="B2196" s="29" t="s">
        <v>3</v>
      </c>
      <c r="C2196" s="29">
        <f t="shared" si="191"/>
        <v>1000520006</v>
      </c>
      <c r="D2196" s="29" t="s">
        <v>1609</v>
      </c>
      <c r="E2196" s="20" t="s">
        <v>1618</v>
      </c>
      <c r="F2196" s="20"/>
      <c r="G2196" s="20"/>
      <c r="H2196" s="20"/>
      <c r="I2196" s="20"/>
      <c r="J2196" s="20"/>
      <c r="K2196" s="20"/>
      <c r="L2196" s="20"/>
      <c r="M2196" s="20"/>
      <c r="N2196" s="20" t="s">
        <v>1310</v>
      </c>
      <c r="O2196" s="20" t="s">
        <v>1326</v>
      </c>
      <c r="P2196" s="20"/>
      <c r="Q2196" s="20" t="s">
        <v>2041</v>
      </c>
      <c r="R2196" s="20"/>
      <c r="S2196" s="20"/>
      <c r="T2196" s="20" t="s">
        <v>3267</v>
      </c>
      <c r="U2196" s="119" t="s">
        <v>3315</v>
      </c>
      <c r="V2196" s="20" t="s">
        <v>1882</v>
      </c>
      <c r="W2196" s="20" t="s">
        <v>1</v>
      </c>
      <c r="X2196" s="20"/>
      <c r="Y2196" s="23"/>
      <c r="Z2196" s="20"/>
      <c r="AA2196" s="20"/>
      <c r="AB2196" s="20"/>
      <c r="AC2196" s="20"/>
      <c r="AD2196" s="20"/>
      <c r="AE2196" s="23"/>
      <c r="AF2196" s="23" t="s">
        <v>2041</v>
      </c>
      <c r="AG2196" s="20"/>
      <c r="AH2196" s="25"/>
      <c r="AI2196" s="25"/>
      <c r="AJ2196" s="25"/>
      <c r="AK2196" s="28"/>
      <c r="AL2196" s="149" t="s">
        <v>3690</v>
      </c>
      <c r="AM2196" s="28"/>
      <c r="AN2196" s="28"/>
      <c r="AO2196" s="28"/>
      <c r="AP2196" s="28"/>
      <c r="AQ2196" s="28"/>
      <c r="AR2196" s="28"/>
      <c r="AS2196" s="28"/>
      <c r="AT2196" s="28"/>
      <c r="AU2196" s="25"/>
      <c r="AV2196" s="25"/>
      <c r="AW2196" s="25"/>
      <c r="AX2196" s="23"/>
      <c r="AY2196" s="23"/>
      <c r="AZ2196" s="28"/>
      <c r="BA2196" s="28"/>
      <c r="BB2196" s="28"/>
      <c r="BC2196" s="28"/>
      <c r="BD2196" s="28"/>
      <c r="BE2196" s="28"/>
      <c r="BF2196" s="28"/>
      <c r="BG2196" s="28"/>
      <c r="BH2196" s="25"/>
      <c r="BI2196" s="25"/>
      <c r="BJ2196" s="25"/>
      <c r="BK2196" s="23"/>
      <c r="BL2196" s="23"/>
      <c r="BM2196" s="28"/>
      <c r="BN2196" s="28"/>
      <c r="BO2196" s="28"/>
      <c r="BP2196" s="28"/>
      <c r="BQ2196" s="28"/>
      <c r="BR2196" s="28"/>
      <c r="BS2196" s="28"/>
      <c r="BT2196" s="28"/>
      <c r="BU2196" s="25"/>
      <c r="BV2196" s="25"/>
      <c r="BW2196" s="25"/>
      <c r="BX2196" s="23"/>
      <c r="BY2196" s="23"/>
      <c r="BZ2196" s="28"/>
      <c r="CA2196" s="28"/>
      <c r="CB2196" s="28"/>
      <c r="CC2196" s="28"/>
      <c r="CD2196" s="28"/>
      <c r="CE2196" s="28"/>
      <c r="CF2196" s="28"/>
      <c r="CG2196" s="28"/>
      <c r="CH2196" s="23"/>
      <c r="CI2196" s="23"/>
      <c r="CJ2196" s="28"/>
      <c r="CK2196" s="23"/>
      <c r="CL2196" s="23"/>
      <c r="CM2196" s="23" t="s">
        <v>4</v>
      </c>
      <c r="CN2196" s="23" t="s">
        <v>0</v>
      </c>
      <c r="CO2196" s="23"/>
      <c r="CP2196" s="23"/>
      <c r="CQ2196" s="23"/>
      <c r="CR2196" s="23"/>
      <c r="CS2196" s="23"/>
      <c r="CT2196" s="30"/>
      <c r="CU2196" s="30"/>
      <c r="CV2196" s="30"/>
      <c r="CW2196" s="30"/>
      <c r="CX2196" s="30"/>
      <c r="CY2196" s="30"/>
      <c r="CZ2196" s="30"/>
      <c r="DA2196" s="30"/>
      <c r="DB2196" s="30"/>
      <c r="DC2196" s="28"/>
      <c r="DD2196" s="23"/>
      <c r="DE2196" s="23" t="s">
        <v>3716</v>
      </c>
    </row>
    <row r="2197" spans="1:109" x14ac:dyDescent="0.2">
      <c r="A2197" s="29" t="s">
        <v>56</v>
      </c>
      <c r="B2197" s="29" t="s">
        <v>4</v>
      </c>
      <c r="C2197" s="29">
        <f t="shared" si="191"/>
        <v>1000520007</v>
      </c>
      <c r="D2197" s="29" t="s">
        <v>1600</v>
      </c>
      <c r="E2197" s="20" t="s">
        <v>1619</v>
      </c>
      <c r="I2197" s="20" t="s">
        <v>1615</v>
      </c>
      <c r="N2197" s="20" t="s">
        <v>1310</v>
      </c>
      <c r="O2197" s="20" t="s">
        <v>1326</v>
      </c>
      <c r="Q2197" s="20" t="s">
        <v>2041</v>
      </c>
      <c r="T2197" s="20" t="s">
        <v>3267</v>
      </c>
      <c r="U2197" s="119" t="s">
        <v>3316</v>
      </c>
      <c r="V2197" s="20" t="s">
        <v>1882</v>
      </c>
      <c r="W2197" s="20" t="s">
        <v>1</v>
      </c>
      <c r="AF2197" s="23" t="s">
        <v>2041</v>
      </c>
      <c r="AL2197" s="149" t="s">
        <v>3691</v>
      </c>
      <c r="CM2197" s="23" t="s">
        <v>5</v>
      </c>
      <c r="CN2197" s="23" t="s">
        <v>0</v>
      </c>
      <c r="DE2197" s="23" t="s">
        <v>3716</v>
      </c>
    </row>
    <row r="2198" spans="1:109" x14ac:dyDescent="0.2">
      <c r="A2198" s="29" t="s">
        <v>56</v>
      </c>
      <c r="B2198" s="29" t="s">
        <v>5</v>
      </c>
      <c r="C2198" s="29">
        <f t="shared" si="191"/>
        <v>1000520008</v>
      </c>
      <c r="D2198" s="29" t="s">
        <v>1601</v>
      </c>
      <c r="E2198" s="20" t="s">
        <v>1619</v>
      </c>
      <c r="N2198" s="20" t="s">
        <v>1310</v>
      </c>
      <c r="O2198" s="20" t="s">
        <v>1326</v>
      </c>
      <c r="Q2198" s="20" t="s">
        <v>2041</v>
      </c>
      <c r="T2198" s="20" t="s">
        <v>3267</v>
      </c>
      <c r="U2198" s="119" t="s">
        <v>3317</v>
      </c>
      <c r="V2198" s="20" t="s">
        <v>1882</v>
      </c>
      <c r="W2198" s="20" t="s">
        <v>1</v>
      </c>
      <c r="AF2198" s="23" t="s">
        <v>2041</v>
      </c>
      <c r="AL2198" s="149" t="s">
        <v>3692</v>
      </c>
      <c r="CM2198" s="23" t="s">
        <v>6</v>
      </c>
      <c r="CN2198" s="23" t="s">
        <v>0</v>
      </c>
      <c r="DE2198" s="23" t="s">
        <v>3716</v>
      </c>
    </row>
    <row r="2199" spans="1:109" x14ac:dyDescent="0.2">
      <c r="A2199" s="29" t="s">
        <v>56</v>
      </c>
      <c r="B2199" s="29" t="s">
        <v>6</v>
      </c>
      <c r="C2199" s="29">
        <f t="shared" si="191"/>
        <v>1000520009</v>
      </c>
      <c r="D2199" s="29" t="s">
        <v>1602</v>
      </c>
      <c r="E2199" s="20" t="s">
        <v>1622</v>
      </c>
      <c r="N2199" s="20" t="s">
        <v>1310</v>
      </c>
      <c r="O2199" s="20" t="s">
        <v>1326</v>
      </c>
      <c r="Q2199" s="20" t="s">
        <v>2041</v>
      </c>
      <c r="T2199" s="20" t="s">
        <v>3267</v>
      </c>
      <c r="U2199" s="119" t="s">
        <v>3318</v>
      </c>
      <c r="V2199" s="20" t="s">
        <v>1882</v>
      </c>
      <c r="W2199" s="20" t="s">
        <v>1</v>
      </c>
      <c r="AF2199" s="23" t="s">
        <v>2041</v>
      </c>
      <c r="AL2199" s="149" t="s">
        <v>3693</v>
      </c>
      <c r="CM2199" s="23" t="s">
        <v>7</v>
      </c>
      <c r="CN2199" s="23" t="s">
        <v>0</v>
      </c>
      <c r="DE2199" s="23" t="s">
        <v>3716</v>
      </c>
    </row>
    <row r="2200" spans="1:109" x14ac:dyDescent="0.2">
      <c r="A2200" s="29" t="s">
        <v>56</v>
      </c>
      <c r="B2200" s="29" t="s">
        <v>7</v>
      </c>
      <c r="C2200" s="29">
        <f t="shared" si="191"/>
        <v>1000520010</v>
      </c>
      <c r="D2200" s="29" t="s">
        <v>1603</v>
      </c>
      <c r="E2200" s="20" t="s">
        <v>1622</v>
      </c>
      <c r="I2200" s="20" t="s">
        <v>1614</v>
      </c>
      <c r="N2200" s="20" t="s">
        <v>1310</v>
      </c>
      <c r="O2200" s="20" t="s">
        <v>1326</v>
      </c>
      <c r="Q2200" s="20" t="s">
        <v>2041</v>
      </c>
      <c r="T2200" s="20" t="s">
        <v>3267</v>
      </c>
      <c r="U2200" s="119" t="s">
        <v>3319</v>
      </c>
      <c r="V2200" s="20" t="s">
        <v>1882</v>
      </c>
      <c r="W2200" s="20" t="s">
        <v>1</v>
      </c>
      <c r="AF2200" s="23" t="s">
        <v>2041</v>
      </c>
      <c r="AL2200" s="149" t="s">
        <v>3694</v>
      </c>
      <c r="CM2200" s="23" t="s">
        <v>8</v>
      </c>
      <c r="CN2200" s="23" t="s">
        <v>0</v>
      </c>
      <c r="DE2200" s="23" t="s">
        <v>3716</v>
      </c>
    </row>
    <row r="2201" spans="1:109" x14ac:dyDescent="0.2">
      <c r="A2201" s="29" t="s">
        <v>56</v>
      </c>
      <c r="B2201" s="29" t="s">
        <v>8</v>
      </c>
      <c r="C2201" s="29">
        <f t="shared" si="191"/>
        <v>1000520011</v>
      </c>
      <c r="D2201" s="29" t="s">
        <v>1604</v>
      </c>
      <c r="E2201" s="20" t="s">
        <v>1624</v>
      </c>
      <c r="I2201" s="20" t="s">
        <v>1616</v>
      </c>
      <c r="N2201" s="20" t="s">
        <v>1310</v>
      </c>
      <c r="O2201" s="20" t="s">
        <v>1326</v>
      </c>
      <c r="Q2201" s="20" t="s">
        <v>2041</v>
      </c>
      <c r="T2201" s="20" t="s">
        <v>3267</v>
      </c>
      <c r="U2201" s="119" t="s">
        <v>3320</v>
      </c>
      <c r="V2201" s="20" t="s">
        <v>1882</v>
      </c>
      <c r="W2201" s="20" t="s">
        <v>1</v>
      </c>
      <c r="AF2201" s="23" t="s">
        <v>2041</v>
      </c>
      <c r="AL2201" s="149" t="s">
        <v>3695</v>
      </c>
      <c r="CM2201" s="23" t="s">
        <v>9</v>
      </c>
      <c r="CN2201" s="23" t="s">
        <v>0</v>
      </c>
      <c r="DE2201" s="23" t="s">
        <v>3716</v>
      </c>
    </row>
    <row r="2202" spans="1:109" x14ac:dyDescent="0.2">
      <c r="A2202" s="29" t="s">
        <v>56</v>
      </c>
      <c r="B2202" s="29" t="s">
        <v>9</v>
      </c>
      <c r="C2202" s="29">
        <f t="shared" si="191"/>
        <v>1000520012</v>
      </c>
      <c r="D2202" s="29" t="s">
        <v>1605</v>
      </c>
      <c r="E2202" s="20" t="s">
        <v>1624</v>
      </c>
      <c r="N2202" s="20" t="s">
        <v>1310</v>
      </c>
      <c r="O2202" s="20" t="s">
        <v>1326</v>
      </c>
      <c r="Q2202" s="20" t="s">
        <v>2041</v>
      </c>
      <c r="T2202" s="20" t="s">
        <v>3267</v>
      </c>
      <c r="U2202" s="119" t="s">
        <v>3321</v>
      </c>
      <c r="V2202" s="20" t="s">
        <v>1882</v>
      </c>
      <c r="W2202" s="20" t="s">
        <v>1</v>
      </c>
      <c r="AF2202" s="23" t="s">
        <v>2041</v>
      </c>
      <c r="AL2202" s="149" t="s">
        <v>3696</v>
      </c>
      <c r="CM2202" s="23" t="s">
        <v>10</v>
      </c>
      <c r="CN2202" s="23" t="s">
        <v>0</v>
      </c>
      <c r="DE2202" s="23" t="s">
        <v>3716</v>
      </c>
    </row>
    <row r="2203" spans="1:109" x14ac:dyDescent="0.2">
      <c r="A2203" s="29" t="s">
        <v>56</v>
      </c>
      <c r="B2203" s="29" t="s">
        <v>10</v>
      </c>
      <c r="C2203" s="29">
        <f t="shared" si="191"/>
        <v>1000520013</v>
      </c>
      <c r="D2203" s="29" t="s">
        <v>1606</v>
      </c>
      <c r="E2203" s="20" t="s">
        <v>1117</v>
      </c>
      <c r="N2203" s="20" t="s">
        <v>1310</v>
      </c>
      <c r="O2203" s="20" t="s">
        <v>1326</v>
      </c>
      <c r="Q2203" s="20" t="s">
        <v>2041</v>
      </c>
      <c r="T2203" s="20" t="s">
        <v>3267</v>
      </c>
      <c r="U2203" s="119" t="s">
        <v>3322</v>
      </c>
      <c r="V2203" s="20" t="s">
        <v>1882</v>
      </c>
      <c r="W2203" s="20" t="s">
        <v>1</v>
      </c>
      <c r="AF2203" s="23" t="s">
        <v>2041</v>
      </c>
      <c r="AL2203" s="149" t="s">
        <v>3697</v>
      </c>
      <c r="CM2203" s="23" t="s">
        <v>11</v>
      </c>
      <c r="CN2203" s="23" t="s">
        <v>0</v>
      </c>
      <c r="DE2203" s="23" t="s">
        <v>3716</v>
      </c>
    </row>
    <row r="2204" spans="1:109" x14ac:dyDescent="0.2">
      <c r="A2204" s="29" t="s">
        <v>56</v>
      </c>
      <c r="B2204" s="29" t="s">
        <v>11</v>
      </c>
      <c r="C2204" s="29">
        <f t="shared" si="191"/>
        <v>1000520014</v>
      </c>
      <c r="D2204" s="29" t="s">
        <v>1607</v>
      </c>
      <c r="E2204" s="20" t="s">
        <v>1117</v>
      </c>
      <c r="N2204" s="20" t="s">
        <v>1310</v>
      </c>
      <c r="O2204" s="20" t="s">
        <v>1326</v>
      </c>
      <c r="Q2204" s="20" t="s">
        <v>2041</v>
      </c>
      <c r="T2204" s="20" t="s">
        <v>3267</v>
      </c>
      <c r="U2204" s="119" t="s">
        <v>3323</v>
      </c>
      <c r="V2204" s="20" t="s">
        <v>1882</v>
      </c>
      <c r="W2204" s="20" t="s">
        <v>1</v>
      </c>
      <c r="AF2204" s="23" t="s">
        <v>2041</v>
      </c>
      <c r="AL2204" s="149" t="s">
        <v>3698</v>
      </c>
      <c r="CM2204" s="23" t="s">
        <v>12</v>
      </c>
      <c r="CN2204" s="23" t="s">
        <v>0</v>
      </c>
      <c r="DE2204" s="23" t="s">
        <v>3716</v>
      </c>
    </row>
    <row r="2205" spans="1:109" x14ac:dyDescent="0.2">
      <c r="A2205" s="29" t="s">
        <v>56</v>
      </c>
      <c r="B2205" s="29" t="s">
        <v>12</v>
      </c>
      <c r="C2205" s="29">
        <f t="shared" si="191"/>
        <v>1000520015</v>
      </c>
      <c r="D2205" s="29" t="s">
        <v>1608</v>
      </c>
      <c r="E2205" s="20" t="s">
        <v>1117</v>
      </c>
      <c r="G2205" s="20" t="s">
        <v>3733</v>
      </c>
      <c r="N2205" s="20" t="s">
        <v>1321</v>
      </c>
      <c r="O2205" s="20" t="s">
        <v>1508</v>
      </c>
      <c r="Q2205" s="20" t="s">
        <v>2041</v>
      </c>
      <c r="T2205" s="20" t="s">
        <v>3267</v>
      </c>
      <c r="U2205" s="119" t="s">
        <v>3324</v>
      </c>
      <c r="V2205" s="20" t="s">
        <v>1882</v>
      </c>
      <c r="W2205" s="20" t="s">
        <v>1</v>
      </c>
      <c r="AC2205" s="20" t="s">
        <v>368</v>
      </c>
      <c r="AF2205" s="23" t="s">
        <v>2041</v>
      </c>
      <c r="AL2205" s="149"/>
      <c r="AY2205" s="149" t="s">
        <v>3699</v>
      </c>
      <c r="BY2205" s="151">
        <v>1520016</v>
      </c>
      <c r="CN2205" s="23" t="s">
        <v>0</v>
      </c>
      <c r="CO2205" s="74"/>
    </row>
    <row r="2206" spans="1:109" s="109" customFormat="1" ht="17.25" x14ac:dyDescent="0.3">
      <c r="A2206" s="100"/>
      <c r="B2206" s="100"/>
      <c r="C2206" s="100"/>
      <c r="D2206" s="100"/>
      <c r="E2206" s="101" t="s">
        <v>3603</v>
      </c>
      <c r="F2206" s="101"/>
      <c r="G2206" s="102"/>
      <c r="H2206" s="102"/>
      <c r="I2206" s="102"/>
      <c r="J2206" s="102"/>
      <c r="K2206" s="102"/>
      <c r="L2206" s="102"/>
      <c r="M2206" s="102"/>
      <c r="N2206" s="102"/>
      <c r="O2206" s="102"/>
      <c r="P2206" s="102"/>
      <c r="Q2206" s="102"/>
      <c r="R2206" s="102"/>
      <c r="S2206" s="102"/>
      <c r="T2206" s="102"/>
      <c r="U2206" s="102"/>
      <c r="V2206" s="103"/>
      <c r="W2206" s="102"/>
      <c r="X2206" s="102"/>
      <c r="Y2206" s="102"/>
      <c r="Z2206" s="102"/>
      <c r="AA2206" s="102"/>
      <c r="AB2206" s="104"/>
      <c r="AC2206" s="23"/>
      <c r="AD2206" s="102"/>
      <c r="AE2206" s="105"/>
      <c r="AF2206" s="105"/>
      <c r="AG2206" s="105"/>
      <c r="AH2206" s="106"/>
      <c r="AI2206" s="106"/>
      <c r="AJ2206" s="106"/>
      <c r="AK2206" s="106"/>
      <c r="AL2206" s="106"/>
      <c r="AM2206" s="106"/>
      <c r="AN2206" s="106"/>
      <c r="AO2206" s="105"/>
      <c r="AP2206" s="105"/>
      <c r="AQ2206" s="105"/>
      <c r="AR2206" s="105"/>
      <c r="AS2206" s="105"/>
      <c r="AT2206" s="105"/>
      <c r="AU2206" s="107"/>
      <c r="AV2206" s="107"/>
      <c r="AW2206" s="106"/>
      <c r="AX2206" s="106"/>
      <c r="AY2206" s="106"/>
      <c r="AZ2206" s="106"/>
      <c r="BA2206" s="106"/>
      <c r="BB2206" s="105"/>
      <c r="BC2206" s="105"/>
      <c r="BD2206" s="105"/>
      <c r="BE2206" s="105"/>
      <c r="BF2206" s="105"/>
      <c r="BG2206" s="105"/>
      <c r="BH2206" s="107"/>
      <c r="BI2206" s="107"/>
      <c r="BJ2206" s="106"/>
      <c r="BK2206" s="106"/>
      <c r="BL2206" s="106"/>
      <c r="BM2206" s="106"/>
      <c r="BN2206" s="106"/>
      <c r="BO2206" s="105"/>
      <c r="BP2206" s="105"/>
      <c r="BQ2206" s="105"/>
      <c r="BR2206" s="105"/>
      <c r="BS2206" s="105"/>
      <c r="BT2206" s="105"/>
      <c r="BU2206" s="107"/>
      <c r="BV2206" s="107"/>
      <c r="BW2206" s="106"/>
      <c r="BX2206" s="106"/>
      <c r="BY2206" s="106"/>
      <c r="BZ2206" s="106"/>
      <c r="CA2206" s="106"/>
      <c r="CB2206" s="102"/>
      <c r="CC2206" s="100"/>
      <c r="CD2206" s="105"/>
      <c r="CE2206" s="105"/>
      <c r="CF2206" s="105"/>
      <c r="CG2206" s="108"/>
      <c r="CH2206" s="100"/>
      <c r="CQ2206" s="110"/>
      <c r="CR2206" s="110"/>
      <c r="CS2206" s="110"/>
      <c r="CT2206" s="110"/>
      <c r="CU2206" s="110"/>
      <c r="CV2206" s="110"/>
      <c r="CW2206" s="110"/>
      <c r="CX2206" s="110"/>
      <c r="CY2206" s="110"/>
      <c r="CZ2206" s="106"/>
    </row>
    <row r="2207" spans="1:109" x14ac:dyDescent="0.2">
      <c r="A2207" s="29" t="s">
        <v>3604</v>
      </c>
      <c r="B2207" s="29" t="s">
        <v>181</v>
      </c>
      <c r="C2207" s="29">
        <f t="shared" ref="C2207:C2227" si="192">A2207*10000+B2207</f>
        <v>1000490001</v>
      </c>
      <c r="D2207" s="29" t="s">
        <v>3605</v>
      </c>
      <c r="E2207" s="20" t="s">
        <v>455</v>
      </c>
      <c r="N2207" s="20" t="s">
        <v>1310</v>
      </c>
      <c r="O2207" s="20" t="s">
        <v>1326</v>
      </c>
      <c r="Q2207" s="20" t="s">
        <v>2041</v>
      </c>
      <c r="T2207" s="20" t="s">
        <v>1322</v>
      </c>
      <c r="U2207" s="148" t="s">
        <v>3606</v>
      </c>
      <c r="V2207" s="20" t="s">
        <v>3720</v>
      </c>
      <c r="W2207" s="20" t="s">
        <v>23</v>
      </c>
      <c r="AF2207" s="23" t="s">
        <v>2041</v>
      </c>
      <c r="AL2207" s="150" t="s">
        <v>3700</v>
      </c>
      <c r="CM2207" s="23" t="s">
        <v>22</v>
      </c>
      <c r="CN2207" s="23" t="s">
        <v>181</v>
      </c>
      <c r="DE2207" s="23" t="s">
        <v>3715</v>
      </c>
    </row>
    <row r="2208" spans="1:109" x14ac:dyDescent="0.2">
      <c r="A2208" s="29" t="s">
        <v>3604</v>
      </c>
      <c r="B2208" s="29" t="s">
        <v>22</v>
      </c>
      <c r="C2208" s="29">
        <f t="shared" si="192"/>
        <v>1000490002</v>
      </c>
      <c r="D2208" s="29" t="s">
        <v>3607</v>
      </c>
      <c r="E2208" s="20" t="s">
        <v>455</v>
      </c>
      <c r="N2208" s="20" t="s">
        <v>1310</v>
      </c>
      <c r="O2208" s="20" t="s">
        <v>1326</v>
      </c>
      <c r="Q2208" s="20" t="s">
        <v>2041</v>
      </c>
      <c r="T2208" s="20" t="s">
        <v>1322</v>
      </c>
      <c r="U2208" s="148" t="s">
        <v>3608</v>
      </c>
      <c r="V2208" s="20" t="s">
        <v>3720</v>
      </c>
      <c r="W2208" s="20" t="s">
        <v>23</v>
      </c>
      <c r="AF2208" s="23" t="s">
        <v>2041</v>
      </c>
      <c r="AL2208" s="149" t="s">
        <v>3701</v>
      </c>
      <c r="CM2208" s="23" t="s">
        <v>122</v>
      </c>
      <c r="CN2208" s="23" t="s">
        <v>181</v>
      </c>
      <c r="DE2208" s="23" t="s">
        <v>3715</v>
      </c>
    </row>
    <row r="2209" spans="1:109" x14ac:dyDescent="0.2">
      <c r="A2209" s="29" t="s">
        <v>3604</v>
      </c>
      <c r="B2209" s="29" t="s">
        <v>122</v>
      </c>
      <c r="C2209" s="29">
        <f t="shared" si="192"/>
        <v>1000490003</v>
      </c>
      <c r="D2209" s="29" t="s">
        <v>3609</v>
      </c>
      <c r="E2209" s="20" t="s">
        <v>455</v>
      </c>
      <c r="N2209" s="20" t="s">
        <v>1310</v>
      </c>
      <c r="O2209" s="20" t="s">
        <v>1326</v>
      </c>
      <c r="Q2209" s="20" t="s">
        <v>2041</v>
      </c>
      <c r="T2209" s="20" t="s">
        <v>1322</v>
      </c>
      <c r="U2209" s="148" t="s">
        <v>3610</v>
      </c>
      <c r="V2209" s="20" t="s">
        <v>3720</v>
      </c>
      <c r="W2209" s="20" t="s">
        <v>23</v>
      </c>
      <c r="AF2209" s="23" t="s">
        <v>2041</v>
      </c>
      <c r="AL2209" s="149" t="s">
        <v>3702</v>
      </c>
      <c r="CM2209" s="23" t="s">
        <v>23</v>
      </c>
      <c r="CN2209" s="23" t="s">
        <v>181</v>
      </c>
      <c r="DE2209" s="23" t="s">
        <v>3715</v>
      </c>
    </row>
    <row r="2210" spans="1:109" x14ac:dyDescent="0.2">
      <c r="A2210" s="29" t="s">
        <v>3604</v>
      </c>
      <c r="B2210" s="29" t="s">
        <v>23</v>
      </c>
      <c r="C2210" s="29">
        <f t="shared" si="192"/>
        <v>1000490004</v>
      </c>
      <c r="D2210" s="29" t="s">
        <v>3611</v>
      </c>
      <c r="E2210" s="20" t="s">
        <v>3517</v>
      </c>
      <c r="I2210" s="20" t="s">
        <v>3612</v>
      </c>
      <c r="N2210" s="20" t="s">
        <v>1310</v>
      </c>
      <c r="O2210" s="20" t="s">
        <v>1326</v>
      </c>
      <c r="Q2210" s="20" t="s">
        <v>2041</v>
      </c>
      <c r="T2210" s="20" t="s">
        <v>1322</v>
      </c>
      <c r="U2210" s="148" t="s">
        <v>3613</v>
      </c>
      <c r="V2210" s="20" t="s">
        <v>3720</v>
      </c>
      <c r="W2210" s="20" t="s">
        <v>23</v>
      </c>
      <c r="AF2210" s="23" t="s">
        <v>2041</v>
      </c>
      <c r="AL2210" s="149" t="s">
        <v>3703</v>
      </c>
      <c r="CM2210" s="23" t="s">
        <v>123</v>
      </c>
      <c r="CN2210" s="23" t="s">
        <v>181</v>
      </c>
      <c r="DE2210" s="23" t="s">
        <v>3715</v>
      </c>
    </row>
    <row r="2211" spans="1:109" x14ac:dyDescent="0.2">
      <c r="A2211" s="29" t="s">
        <v>3604</v>
      </c>
      <c r="B2211" s="29" t="s">
        <v>123</v>
      </c>
      <c r="C2211" s="29">
        <f t="shared" si="192"/>
        <v>1000490005</v>
      </c>
      <c r="D2211" s="29" t="s">
        <v>3614</v>
      </c>
      <c r="E2211" s="20" t="s">
        <v>455</v>
      </c>
      <c r="N2211" s="20" t="s">
        <v>1310</v>
      </c>
      <c r="O2211" s="20" t="s">
        <v>1326</v>
      </c>
      <c r="Q2211" s="20" t="s">
        <v>2041</v>
      </c>
      <c r="T2211" s="20" t="s">
        <v>1322</v>
      </c>
      <c r="U2211" s="148" t="s">
        <v>3615</v>
      </c>
      <c r="V2211" s="20" t="s">
        <v>3720</v>
      </c>
      <c r="W2211" s="20" t="s">
        <v>23</v>
      </c>
      <c r="AF2211" s="23" t="s">
        <v>2041</v>
      </c>
      <c r="AL2211" s="149" t="s">
        <v>3704</v>
      </c>
      <c r="CM2211" s="23" t="s">
        <v>120</v>
      </c>
      <c r="CN2211" s="23" t="s">
        <v>181</v>
      </c>
      <c r="DE2211" s="23" t="s">
        <v>3715</v>
      </c>
    </row>
    <row r="2212" spans="1:109" x14ac:dyDescent="0.2">
      <c r="A2212" s="29" t="s">
        <v>3604</v>
      </c>
      <c r="B2212" s="29" t="s">
        <v>120</v>
      </c>
      <c r="C2212" s="29">
        <f t="shared" si="192"/>
        <v>1000490006</v>
      </c>
      <c r="D2212" s="29" t="s">
        <v>3616</v>
      </c>
      <c r="E2212" s="20" t="s">
        <v>3642</v>
      </c>
      <c r="I2212" s="20" t="s">
        <v>3519</v>
      </c>
      <c r="N2212" s="20" t="s">
        <v>1310</v>
      </c>
      <c r="O2212" s="20" t="s">
        <v>1326</v>
      </c>
      <c r="Q2212" s="20" t="s">
        <v>2041</v>
      </c>
      <c r="T2212" s="20" t="s">
        <v>1322</v>
      </c>
      <c r="U2212" s="148" t="s">
        <v>3617</v>
      </c>
      <c r="V2212" s="20" t="s">
        <v>3720</v>
      </c>
      <c r="W2212" s="20" t="s">
        <v>23</v>
      </c>
      <c r="AF2212" s="23" t="s">
        <v>2041</v>
      </c>
      <c r="AL2212" s="149" t="s">
        <v>3705</v>
      </c>
      <c r="CM2212" s="23" t="s">
        <v>171</v>
      </c>
      <c r="CN2212" s="23" t="s">
        <v>181</v>
      </c>
      <c r="DE2212" s="23" t="s">
        <v>3715</v>
      </c>
    </row>
    <row r="2213" spans="1:109" x14ac:dyDescent="0.2">
      <c r="A2213" s="29" t="s">
        <v>3604</v>
      </c>
      <c r="B2213" s="29" t="s">
        <v>171</v>
      </c>
      <c r="C2213" s="29">
        <f t="shared" si="192"/>
        <v>1000490007</v>
      </c>
      <c r="D2213" s="29" t="s">
        <v>3618</v>
      </c>
      <c r="E2213" s="20" t="s">
        <v>979</v>
      </c>
      <c r="N2213" s="20" t="s">
        <v>1310</v>
      </c>
      <c r="O2213" s="20" t="s">
        <v>1326</v>
      </c>
      <c r="Q2213" s="20" t="s">
        <v>2041</v>
      </c>
      <c r="T2213" s="20" t="s">
        <v>1322</v>
      </c>
      <c r="U2213" s="148" t="s">
        <v>3619</v>
      </c>
      <c r="V2213" s="20" t="s">
        <v>3720</v>
      </c>
      <c r="W2213" s="20" t="s">
        <v>23</v>
      </c>
      <c r="AF2213" s="23" t="s">
        <v>2041</v>
      </c>
      <c r="AL2213" s="149" t="s">
        <v>3706</v>
      </c>
      <c r="CM2213" s="23" t="s">
        <v>137</v>
      </c>
      <c r="CN2213" s="23" t="s">
        <v>181</v>
      </c>
      <c r="DE2213" s="23" t="s">
        <v>3715</v>
      </c>
    </row>
    <row r="2214" spans="1:109" x14ac:dyDescent="0.2">
      <c r="A2214" s="29" t="s">
        <v>3604</v>
      </c>
      <c r="B2214" s="29" t="s">
        <v>137</v>
      </c>
      <c r="C2214" s="29">
        <f t="shared" si="192"/>
        <v>1000490008</v>
      </c>
      <c r="D2214" s="29" t="s">
        <v>3620</v>
      </c>
      <c r="E2214" s="20" t="s">
        <v>455</v>
      </c>
      <c r="N2214" s="20" t="s">
        <v>1310</v>
      </c>
      <c r="O2214" s="20" t="s">
        <v>1326</v>
      </c>
      <c r="Q2214" s="20" t="s">
        <v>2041</v>
      </c>
      <c r="T2214" s="20" t="s">
        <v>1322</v>
      </c>
      <c r="U2214" s="148" t="s">
        <v>3621</v>
      </c>
      <c r="V2214" s="20" t="s">
        <v>3720</v>
      </c>
      <c r="W2214" s="20" t="s">
        <v>23</v>
      </c>
      <c r="AF2214" s="23" t="s">
        <v>2041</v>
      </c>
      <c r="AL2214" s="149" t="s">
        <v>3707</v>
      </c>
      <c r="CM2214" s="23" t="s">
        <v>145</v>
      </c>
      <c r="CN2214" s="23" t="s">
        <v>181</v>
      </c>
      <c r="DE2214" s="23" t="s">
        <v>3715</v>
      </c>
    </row>
    <row r="2215" spans="1:109" x14ac:dyDescent="0.2">
      <c r="A2215" s="29" t="s">
        <v>3604</v>
      </c>
      <c r="B2215" s="29" t="s">
        <v>145</v>
      </c>
      <c r="C2215" s="29">
        <f t="shared" si="192"/>
        <v>1000490009</v>
      </c>
      <c r="D2215" s="29" t="s">
        <v>3622</v>
      </c>
      <c r="E2215" s="20" t="s">
        <v>455</v>
      </c>
      <c r="N2215" s="20" t="s">
        <v>1310</v>
      </c>
      <c r="O2215" s="20" t="s">
        <v>1326</v>
      </c>
      <c r="Q2215" s="20" t="s">
        <v>2041</v>
      </c>
      <c r="T2215" s="20" t="s">
        <v>1322</v>
      </c>
      <c r="U2215" s="148" t="s">
        <v>3623</v>
      </c>
      <c r="V2215" s="20" t="s">
        <v>3720</v>
      </c>
      <c r="W2215" s="20" t="s">
        <v>23</v>
      </c>
      <c r="AF2215" s="23" t="s">
        <v>2041</v>
      </c>
      <c r="AL2215" s="149" t="s">
        <v>3708</v>
      </c>
      <c r="CM2215" s="23" t="s">
        <v>146</v>
      </c>
      <c r="CN2215" s="23" t="s">
        <v>181</v>
      </c>
      <c r="DE2215" s="23" t="s">
        <v>3715</v>
      </c>
    </row>
    <row r="2216" spans="1:109" x14ac:dyDescent="0.2">
      <c r="A2216" s="29" t="s">
        <v>3604</v>
      </c>
      <c r="B2216" s="29" t="s">
        <v>146</v>
      </c>
      <c r="C2216" s="29">
        <f t="shared" si="192"/>
        <v>1000490010</v>
      </c>
      <c r="D2216" s="29" t="s">
        <v>3624</v>
      </c>
      <c r="E2216" s="20" t="s">
        <v>3372</v>
      </c>
      <c r="N2216" s="20" t="s">
        <v>1310</v>
      </c>
      <c r="O2216" s="20" t="s">
        <v>1326</v>
      </c>
      <c r="Q2216" s="20" t="s">
        <v>2041</v>
      </c>
      <c r="T2216" s="20" t="s">
        <v>1322</v>
      </c>
      <c r="U2216" s="148" t="s">
        <v>3625</v>
      </c>
      <c r="V2216" s="20" t="s">
        <v>3720</v>
      </c>
      <c r="W2216" s="20" t="s">
        <v>23</v>
      </c>
      <c r="AF2216" s="23" t="s">
        <v>2041</v>
      </c>
      <c r="AL2216" s="149" t="s">
        <v>3709</v>
      </c>
      <c r="CM2216" s="23" t="s">
        <v>175</v>
      </c>
      <c r="CN2216" s="23" t="s">
        <v>181</v>
      </c>
      <c r="DE2216" s="23" t="s">
        <v>3715</v>
      </c>
    </row>
    <row r="2217" spans="1:109" x14ac:dyDescent="0.2">
      <c r="A2217" s="29" t="s">
        <v>3604</v>
      </c>
      <c r="B2217" s="29" t="s">
        <v>175</v>
      </c>
      <c r="C2217" s="29">
        <f t="shared" si="192"/>
        <v>1000490011</v>
      </c>
      <c r="D2217" s="29" t="s">
        <v>3626</v>
      </c>
      <c r="E2217" s="20" t="s">
        <v>455</v>
      </c>
      <c r="N2217" s="20" t="s">
        <v>1310</v>
      </c>
      <c r="O2217" s="20" t="s">
        <v>1326</v>
      </c>
      <c r="Q2217" s="20" t="s">
        <v>2041</v>
      </c>
      <c r="T2217" s="20" t="s">
        <v>1322</v>
      </c>
      <c r="U2217" s="148" t="s">
        <v>3627</v>
      </c>
      <c r="V2217" s="20" t="s">
        <v>3720</v>
      </c>
      <c r="W2217" s="20" t="s">
        <v>23</v>
      </c>
      <c r="AF2217" s="23" t="s">
        <v>2041</v>
      </c>
      <c r="AL2217" s="149" t="s">
        <v>3710</v>
      </c>
      <c r="CM2217" s="23" t="s">
        <v>147</v>
      </c>
      <c r="CN2217" s="23" t="s">
        <v>181</v>
      </c>
      <c r="DE2217" s="23" t="s">
        <v>3715</v>
      </c>
    </row>
    <row r="2218" spans="1:109" x14ac:dyDescent="0.2">
      <c r="A2218" s="29" t="s">
        <v>3604</v>
      </c>
      <c r="B2218" s="29" t="s">
        <v>147</v>
      </c>
      <c r="C2218" s="29">
        <f t="shared" si="192"/>
        <v>1000490012</v>
      </c>
      <c r="D2218" s="29" t="s">
        <v>3628</v>
      </c>
      <c r="E2218" s="20" t="s">
        <v>455</v>
      </c>
      <c r="N2218" s="20" t="s">
        <v>1310</v>
      </c>
      <c r="O2218" s="20" t="s">
        <v>1326</v>
      </c>
      <c r="Q2218" s="20" t="s">
        <v>2041</v>
      </c>
      <c r="T2218" s="20" t="s">
        <v>1322</v>
      </c>
      <c r="U2218" s="148" t="s">
        <v>3629</v>
      </c>
      <c r="V2218" s="20" t="s">
        <v>3720</v>
      </c>
      <c r="W2218" s="20" t="s">
        <v>23</v>
      </c>
      <c r="AF2218" s="23" t="s">
        <v>2041</v>
      </c>
      <c r="AL2218" s="149" t="s">
        <v>3711</v>
      </c>
      <c r="CM2218" s="23" t="s">
        <v>148</v>
      </c>
      <c r="CN2218" s="23" t="s">
        <v>181</v>
      </c>
      <c r="DE2218" s="23" t="s">
        <v>3715</v>
      </c>
    </row>
    <row r="2219" spans="1:109" x14ac:dyDescent="0.2">
      <c r="A2219" s="29" t="s">
        <v>3604</v>
      </c>
      <c r="B2219" s="29" t="s">
        <v>148</v>
      </c>
      <c r="C2219" s="29">
        <f t="shared" si="192"/>
        <v>1000490013</v>
      </c>
      <c r="D2219" s="29" t="s">
        <v>3630</v>
      </c>
      <c r="E2219" s="20" t="s">
        <v>455</v>
      </c>
      <c r="N2219" s="20" t="s">
        <v>1310</v>
      </c>
      <c r="O2219" s="20" t="s">
        <v>1326</v>
      </c>
      <c r="Q2219" s="20" t="s">
        <v>2041</v>
      </c>
      <c r="T2219" s="20" t="s">
        <v>1322</v>
      </c>
      <c r="U2219" s="148" t="s">
        <v>3631</v>
      </c>
      <c r="V2219" s="20" t="s">
        <v>3720</v>
      </c>
      <c r="W2219" s="20" t="s">
        <v>23</v>
      </c>
      <c r="AF2219" s="23" t="s">
        <v>2041</v>
      </c>
      <c r="AL2219" s="149" t="s">
        <v>3712</v>
      </c>
      <c r="CM2219" s="23" t="s">
        <v>170</v>
      </c>
      <c r="CN2219" s="23" t="s">
        <v>181</v>
      </c>
      <c r="DE2219" s="23" t="s">
        <v>3715</v>
      </c>
    </row>
    <row r="2220" spans="1:109" x14ac:dyDescent="0.2">
      <c r="A2220" s="29" t="s">
        <v>3604</v>
      </c>
      <c r="B2220" s="29" t="s">
        <v>170</v>
      </c>
      <c r="C2220" s="29">
        <f t="shared" si="192"/>
        <v>1000490014</v>
      </c>
      <c r="D2220" s="29" t="s">
        <v>3632</v>
      </c>
      <c r="E2220" s="20" t="s">
        <v>640</v>
      </c>
      <c r="N2220" s="20" t="s">
        <v>1310</v>
      </c>
      <c r="O2220" s="20" t="s">
        <v>1326</v>
      </c>
      <c r="Q2220" s="20" t="s">
        <v>2041</v>
      </c>
      <c r="T2220" s="20" t="s">
        <v>1322</v>
      </c>
      <c r="U2220" s="148" t="s">
        <v>3633</v>
      </c>
      <c r="V2220" s="20" t="s">
        <v>3720</v>
      </c>
      <c r="W2220" s="20" t="s">
        <v>23</v>
      </c>
      <c r="AF2220" s="23" t="s">
        <v>2041</v>
      </c>
      <c r="AL2220" s="149" t="s">
        <v>3713</v>
      </c>
      <c r="CM2220" s="23" t="s">
        <v>3641</v>
      </c>
      <c r="CN2220" s="23" t="s">
        <v>181</v>
      </c>
      <c r="DE2220" s="23" t="s">
        <v>3715</v>
      </c>
    </row>
    <row r="2221" spans="1:109" x14ac:dyDescent="0.2">
      <c r="A2221" s="29" t="s">
        <v>3604</v>
      </c>
      <c r="B2221" s="29" t="s">
        <v>176</v>
      </c>
      <c r="C2221" s="29">
        <f t="shared" si="192"/>
        <v>1000490015</v>
      </c>
      <c r="D2221" s="29" t="s">
        <v>3634</v>
      </c>
      <c r="E2221" s="20" t="s">
        <v>3642</v>
      </c>
      <c r="N2221" s="20" t="s">
        <v>1310</v>
      </c>
      <c r="O2221" s="20" t="s">
        <v>1326</v>
      </c>
      <c r="Q2221" s="20" t="s">
        <v>2041</v>
      </c>
      <c r="T2221" s="20" t="s">
        <v>1322</v>
      </c>
      <c r="U2221" s="148" t="s">
        <v>3635</v>
      </c>
      <c r="V2221" s="20" t="s">
        <v>3720</v>
      </c>
      <c r="W2221" s="20" t="s">
        <v>23</v>
      </c>
      <c r="AF2221" s="23" t="s">
        <v>2041</v>
      </c>
      <c r="AL2221" s="149" t="s">
        <v>3718</v>
      </c>
      <c r="CN2221" s="23" t="s">
        <v>181</v>
      </c>
      <c r="DE2221" s="23" t="s">
        <v>3715</v>
      </c>
    </row>
    <row r="2222" spans="1:109" x14ac:dyDescent="0.2">
      <c r="A2222" s="29" t="s">
        <v>3604</v>
      </c>
      <c r="B2222" s="29" t="s">
        <v>138</v>
      </c>
      <c r="C2222" s="29">
        <f t="shared" si="192"/>
        <v>1000490016</v>
      </c>
      <c r="D2222" s="29" t="s">
        <v>3636</v>
      </c>
      <c r="E2222" s="20" t="s">
        <v>3642</v>
      </c>
      <c r="N2222" s="20" t="s">
        <v>1310</v>
      </c>
      <c r="O2222" s="20" t="s">
        <v>1326</v>
      </c>
      <c r="Q2222" s="20" t="s">
        <v>2041</v>
      </c>
      <c r="T2222" s="20" t="s">
        <v>1322</v>
      </c>
      <c r="U2222" s="148" t="s">
        <v>3637</v>
      </c>
      <c r="V2222" s="20" t="s">
        <v>3720</v>
      </c>
      <c r="W2222" s="20" t="s">
        <v>23</v>
      </c>
      <c r="AF2222" s="23" t="s">
        <v>2041</v>
      </c>
      <c r="AL2222" s="149" t="s">
        <v>3719</v>
      </c>
      <c r="CN2222" s="23" t="s">
        <v>181</v>
      </c>
      <c r="CO2222" s="74"/>
      <c r="DE2222" s="23" t="s">
        <v>3715</v>
      </c>
    </row>
    <row r="2223" spans="1:109" x14ac:dyDescent="0.2">
      <c r="A2223" s="29" t="s">
        <v>3604</v>
      </c>
      <c r="B2223" s="29" t="s">
        <v>178</v>
      </c>
      <c r="C2223" s="29">
        <f t="shared" si="192"/>
        <v>1000490017</v>
      </c>
      <c r="D2223" s="29" t="s">
        <v>3638</v>
      </c>
      <c r="E2223" s="20" t="s">
        <v>3642</v>
      </c>
      <c r="N2223" s="20" t="s">
        <v>1321</v>
      </c>
      <c r="O2223" s="20" t="s">
        <v>3717</v>
      </c>
      <c r="Q2223" s="20" t="s">
        <v>2041</v>
      </c>
      <c r="T2223" s="20" t="s">
        <v>1322</v>
      </c>
      <c r="U2223" s="148" t="s">
        <v>3639</v>
      </c>
      <c r="V2223" s="20" t="s">
        <v>3720</v>
      </c>
      <c r="W2223" s="20" t="s">
        <v>23</v>
      </c>
      <c r="AC2223" s="20" t="s">
        <v>3640</v>
      </c>
      <c r="AF2223" s="23" t="s">
        <v>2041</v>
      </c>
      <c r="AL2223" s="151"/>
      <c r="AY2223" s="151">
        <v>1490017</v>
      </c>
      <c r="BY2223" s="151">
        <v>1490018</v>
      </c>
      <c r="CN2223" s="23" t="s">
        <v>181</v>
      </c>
      <c r="CO2223" s="74"/>
    </row>
    <row r="2224" spans="1:109" ht="17.25" x14ac:dyDescent="0.3">
      <c r="A2224" s="100"/>
      <c r="B2224" s="100"/>
      <c r="C2224" s="100">
        <f t="shared" si="192"/>
        <v>0</v>
      </c>
      <c r="D2224" s="100"/>
      <c r="E2224" s="101" t="s">
        <v>4505</v>
      </c>
      <c r="F2224" s="101"/>
      <c r="G2224" s="101"/>
      <c r="H2224" s="101"/>
      <c r="I2224" s="102"/>
      <c r="J2224" s="102"/>
      <c r="K2224" s="102"/>
      <c r="L2224" s="102"/>
      <c r="M2224" s="102"/>
      <c r="N2224" s="102"/>
      <c r="O2224" s="102"/>
      <c r="P2224" s="102"/>
      <c r="Q2224" s="102"/>
      <c r="R2224" s="102"/>
      <c r="S2224" s="102"/>
      <c r="T2224" s="102"/>
      <c r="U2224" s="102"/>
      <c r="V2224" s="102"/>
      <c r="W2224" s="102"/>
      <c r="X2224" s="102"/>
      <c r="Y2224" s="103"/>
      <c r="Z2224" s="102"/>
      <c r="AA2224" s="102"/>
      <c r="AB2224" s="102"/>
      <c r="AC2224" s="102"/>
      <c r="AD2224" s="102"/>
      <c r="AE2224" s="104"/>
      <c r="AG2224" s="102"/>
      <c r="AH2224" s="105"/>
      <c r="AI2224" s="105"/>
      <c r="AJ2224" s="105"/>
      <c r="AK2224" s="106"/>
      <c r="AL2224" s="106"/>
      <c r="AM2224" s="106"/>
      <c r="AN2224" s="106"/>
      <c r="AO2224" s="106"/>
      <c r="AP2224" s="106"/>
      <c r="AQ2224" s="106"/>
      <c r="AR2224" s="106"/>
      <c r="AS2224" s="106"/>
      <c r="AT2224" s="106"/>
      <c r="AU2224" s="105"/>
      <c r="AV2224" s="105"/>
      <c r="AW2224" s="105"/>
      <c r="AX2224" s="107"/>
      <c r="AY2224" s="107"/>
      <c r="AZ2224" s="106"/>
      <c r="BA2224" s="106"/>
      <c r="BB2224" s="106"/>
      <c r="BC2224" s="106"/>
      <c r="BD2224" s="106"/>
      <c r="BE2224" s="106"/>
      <c r="BF2224" s="106"/>
      <c r="BG2224" s="106"/>
      <c r="BH2224" s="105"/>
      <c r="BI2224" s="105"/>
      <c r="BJ2224" s="105"/>
      <c r="BK2224" s="107"/>
      <c r="BL2224" s="107"/>
      <c r="BM2224" s="106"/>
      <c r="BN2224" s="106"/>
      <c r="BO2224" s="106"/>
      <c r="BP2224" s="106"/>
      <c r="BQ2224" s="106"/>
      <c r="BR2224" s="106"/>
      <c r="BS2224" s="106"/>
      <c r="BT2224" s="106"/>
      <c r="BU2224" s="105"/>
      <c r="BV2224" s="105"/>
      <c r="BW2224" s="105"/>
      <c r="BX2224" s="107"/>
      <c r="BY2224" s="107"/>
      <c r="BZ2224" s="106"/>
      <c r="CA2224" s="106"/>
      <c r="CB2224" s="106"/>
      <c r="CC2224" s="106"/>
      <c r="CD2224" s="106"/>
      <c r="CE2224" s="106"/>
      <c r="CF2224" s="106"/>
      <c r="CG2224" s="106"/>
      <c r="CH2224" s="102"/>
      <c r="CI2224" s="100"/>
      <c r="CJ2224" s="108"/>
      <c r="CK2224" s="100"/>
      <c r="CL2224" s="109"/>
      <c r="CM2224" s="109"/>
      <c r="CN2224" s="109"/>
      <c r="CO2224" s="109"/>
      <c r="CP2224" s="109"/>
      <c r="CQ2224" s="109"/>
      <c r="CR2224" s="109"/>
      <c r="CS2224" s="109"/>
      <c r="CT2224" s="110"/>
      <c r="CU2224" s="110"/>
      <c r="CV2224" s="110"/>
      <c r="CW2224" s="110"/>
      <c r="CX2224" s="110"/>
      <c r="CY2224" s="110"/>
      <c r="CZ2224" s="110"/>
      <c r="DA2224" s="110"/>
      <c r="DB2224" s="110"/>
      <c r="DC2224" s="106"/>
      <c r="DD2224" s="109"/>
      <c r="DE2224" s="109"/>
    </row>
    <row r="2225" spans="1:109" x14ac:dyDescent="0.2">
      <c r="A2225" s="29" t="s">
        <v>4506</v>
      </c>
      <c r="B2225" s="29" t="s">
        <v>0</v>
      </c>
      <c r="C2225" s="29">
        <f t="shared" si="192"/>
        <v>1000040001</v>
      </c>
      <c r="D2225" s="29" t="s">
        <v>4507</v>
      </c>
      <c r="E2225" s="20" t="s">
        <v>1385</v>
      </c>
      <c r="N2225" s="20" t="s">
        <v>1310</v>
      </c>
      <c r="O2225" s="20" t="s">
        <v>1326</v>
      </c>
      <c r="Q2225" s="20" t="s">
        <v>2041</v>
      </c>
      <c r="T2225" s="20" t="s">
        <v>1322</v>
      </c>
      <c r="U2225" s="148" t="s">
        <v>4508</v>
      </c>
      <c r="V2225" s="20" t="s">
        <v>4509</v>
      </c>
      <c r="W2225" s="20" t="s">
        <v>1</v>
      </c>
      <c r="AF2225" s="23" t="s">
        <v>2041</v>
      </c>
      <c r="AL2225" s="109" t="s">
        <v>4521</v>
      </c>
      <c r="CJ2225" s="23"/>
      <c r="CK2225" s="28"/>
      <c r="CM2225" s="23" t="s">
        <v>26</v>
      </c>
      <c r="CN2225" s="23" t="s">
        <v>0</v>
      </c>
      <c r="DE2225" s="23" t="s">
        <v>702</v>
      </c>
    </row>
    <row r="2226" spans="1:109" x14ac:dyDescent="0.2">
      <c r="A2226" s="29" t="s">
        <v>4506</v>
      </c>
      <c r="B2226" s="29" t="s">
        <v>26</v>
      </c>
      <c r="C2226" s="29">
        <f t="shared" si="192"/>
        <v>1000040002</v>
      </c>
      <c r="D2226" s="29" t="s">
        <v>4510</v>
      </c>
      <c r="E2226" s="20" t="s">
        <v>1385</v>
      </c>
      <c r="N2226" s="20" t="s">
        <v>1310</v>
      </c>
      <c r="O2226" s="20" t="s">
        <v>1326</v>
      </c>
      <c r="Q2226" s="20" t="s">
        <v>2041</v>
      </c>
      <c r="T2226" s="20" t="s">
        <v>1322</v>
      </c>
      <c r="U2226" s="148" t="s">
        <v>4515</v>
      </c>
      <c r="V2226" s="20" t="s">
        <v>4509</v>
      </c>
      <c r="W2226" s="20" t="s">
        <v>1</v>
      </c>
      <c r="AF2226" s="23" t="s">
        <v>2041</v>
      </c>
      <c r="AL2226" s="109" t="s">
        <v>4522</v>
      </c>
      <c r="CJ2226" s="23"/>
      <c r="CK2226" s="28"/>
      <c r="CM2226" s="23" t="s">
        <v>27</v>
      </c>
      <c r="CN2226" s="23" t="s">
        <v>0</v>
      </c>
      <c r="DE2226" s="23" t="s">
        <v>702</v>
      </c>
    </row>
    <row r="2227" spans="1:109" x14ac:dyDescent="0.2">
      <c r="A2227" s="29" t="s">
        <v>4506</v>
      </c>
      <c r="B2227" s="29" t="s">
        <v>27</v>
      </c>
      <c r="C2227" s="29">
        <f t="shared" si="192"/>
        <v>1000040003</v>
      </c>
      <c r="D2227" s="29" t="s">
        <v>4511</v>
      </c>
      <c r="E2227" s="20" t="s">
        <v>1385</v>
      </c>
      <c r="N2227" s="20" t="s">
        <v>1310</v>
      </c>
      <c r="O2227" s="20" t="s">
        <v>1326</v>
      </c>
      <c r="Q2227" s="20" t="s">
        <v>2041</v>
      </c>
      <c r="T2227" s="20" t="s">
        <v>1322</v>
      </c>
      <c r="U2227" s="148" t="s">
        <v>4516</v>
      </c>
      <c r="V2227" s="20" t="s">
        <v>4509</v>
      </c>
      <c r="W2227" s="20" t="s">
        <v>1</v>
      </c>
      <c r="AF2227" s="23" t="s">
        <v>2041</v>
      </c>
      <c r="AL2227" s="109" t="s">
        <v>4523</v>
      </c>
      <c r="CJ2227" s="23"/>
      <c r="CK2227" s="28"/>
      <c r="CM2227" s="23" t="s">
        <v>1</v>
      </c>
      <c r="CN2227" s="23" t="s">
        <v>0</v>
      </c>
      <c r="DE2227" s="23" t="s">
        <v>702</v>
      </c>
    </row>
    <row r="2228" spans="1:109" x14ac:dyDescent="0.2">
      <c r="A2228" s="29" t="s">
        <v>4506</v>
      </c>
      <c r="B2228" s="29" t="s">
        <v>1</v>
      </c>
      <c r="C2228" s="29">
        <f t="shared" ref="C2228:C2230" si="193">A2228*10000+B2228</f>
        <v>1000040004</v>
      </c>
      <c r="D2228" s="29" t="s">
        <v>4512</v>
      </c>
      <c r="E2228" s="20" t="s">
        <v>3517</v>
      </c>
      <c r="I2228" s="20" t="s">
        <v>134</v>
      </c>
      <c r="N2228" s="20" t="s">
        <v>1310</v>
      </c>
      <c r="O2228" s="20" t="s">
        <v>1326</v>
      </c>
      <c r="Q2228" s="20" t="s">
        <v>2041</v>
      </c>
      <c r="T2228" s="20" t="s">
        <v>1322</v>
      </c>
      <c r="U2228" s="148" t="s">
        <v>4517</v>
      </c>
      <c r="V2228" s="20" t="s">
        <v>4509</v>
      </c>
      <c r="W2228" s="20" t="s">
        <v>1</v>
      </c>
      <c r="AF2228" s="23" t="s">
        <v>2041</v>
      </c>
      <c r="AL2228" s="109" t="s">
        <v>4524</v>
      </c>
      <c r="CJ2228" s="23"/>
      <c r="CK2228" s="28"/>
      <c r="CM2228" s="23" t="s">
        <v>2</v>
      </c>
      <c r="CN2228" s="23" t="s">
        <v>0</v>
      </c>
      <c r="DE2228" s="23" t="s">
        <v>702</v>
      </c>
    </row>
    <row r="2229" spans="1:109" x14ac:dyDescent="0.2">
      <c r="A2229" s="29" t="s">
        <v>4506</v>
      </c>
      <c r="B2229" s="29" t="s">
        <v>2</v>
      </c>
      <c r="C2229" s="29">
        <f t="shared" si="193"/>
        <v>1000040005</v>
      </c>
      <c r="D2229" s="29" t="s">
        <v>4513</v>
      </c>
      <c r="E2229" s="20" t="s">
        <v>3517</v>
      </c>
      <c r="I2229" s="20" t="s">
        <v>134</v>
      </c>
      <c r="N2229" s="20" t="s">
        <v>1310</v>
      </c>
      <c r="O2229" s="20" t="s">
        <v>1326</v>
      </c>
      <c r="Q2229" s="20" t="s">
        <v>2041</v>
      </c>
      <c r="T2229" s="20" t="s">
        <v>1322</v>
      </c>
      <c r="U2229" s="148" t="s">
        <v>4518</v>
      </c>
      <c r="V2229" s="20" t="s">
        <v>4509</v>
      </c>
      <c r="W2229" s="20" t="s">
        <v>1</v>
      </c>
      <c r="AF2229" s="23" t="s">
        <v>2041</v>
      </c>
      <c r="AL2229" s="109" t="s">
        <v>4525</v>
      </c>
      <c r="CJ2229" s="23"/>
      <c r="CK2229" s="28"/>
      <c r="CM2229" s="23" t="s">
        <v>3</v>
      </c>
      <c r="CN2229" s="23" t="s">
        <v>0</v>
      </c>
      <c r="DE2229" s="23" t="s">
        <v>702</v>
      </c>
    </row>
    <row r="2230" spans="1:109" x14ac:dyDescent="0.2">
      <c r="A2230" s="29" t="s">
        <v>4506</v>
      </c>
      <c r="B2230" s="29" t="s">
        <v>3</v>
      </c>
      <c r="C2230" s="29">
        <f t="shared" si="193"/>
        <v>1000040006</v>
      </c>
      <c r="D2230" s="29" t="s">
        <v>4514</v>
      </c>
      <c r="E2230" s="20" t="s">
        <v>1423</v>
      </c>
      <c r="I2230" s="20" t="s">
        <v>4520</v>
      </c>
      <c r="N2230" s="20" t="s">
        <v>1310</v>
      </c>
      <c r="O2230" s="20" t="s">
        <v>1326</v>
      </c>
      <c r="Q2230" s="20" t="s">
        <v>2041</v>
      </c>
      <c r="T2230" s="20" t="s">
        <v>1322</v>
      </c>
      <c r="U2230" s="148" t="s">
        <v>4519</v>
      </c>
      <c r="V2230" s="20" t="s">
        <v>4509</v>
      </c>
      <c r="W2230" s="20" t="s">
        <v>1</v>
      </c>
      <c r="AF2230" s="23" t="s">
        <v>2041</v>
      </c>
      <c r="AL2230" s="109" t="s">
        <v>4526</v>
      </c>
      <c r="CJ2230" s="23"/>
      <c r="CK2230" s="28"/>
      <c r="CM2230" s="23" t="s">
        <v>4</v>
      </c>
      <c r="CN2230" s="23" t="s">
        <v>0</v>
      </c>
      <c r="DE2230" s="23" t="s">
        <v>702</v>
      </c>
    </row>
    <row r="2231" spans="1:109" x14ac:dyDescent="0.2">
      <c r="A2231" s="29" t="s">
        <v>4506</v>
      </c>
      <c r="B2231" s="29" t="s">
        <v>4527</v>
      </c>
      <c r="C2231" s="29">
        <f t="shared" ref="C2231:C2241" si="194">A2231*10000+B2231</f>
        <v>1000040007</v>
      </c>
      <c r="D2231" s="29" t="s">
        <v>4530</v>
      </c>
      <c r="E2231" s="20" t="s">
        <v>1423</v>
      </c>
      <c r="N2231" s="20" t="s">
        <v>1310</v>
      </c>
      <c r="O2231" s="20" t="s">
        <v>1326</v>
      </c>
      <c r="Q2231" s="20" t="s">
        <v>2041</v>
      </c>
      <c r="T2231" s="20" t="s">
        <v>1322</v>
      </c>
      <c r="U2231" s="148" t="s">
        <v>4528</v>
      </c>
      <c r="V2231" s="20" t="s">
        <v>4509</v>
      </c>
      <c r="W2231" s="20" t="s">
        <v>1</v>
      </c>
      <c r="AF2231" s="23" t="s">
        <v>2041</v>
      </c>
      <c r="AL2231" s="109" t="s">
        <v>4529</v>
      </c>
      <c r="CJ2231" s="23"/>
      <c r="CK2231" s="28"/>
      <c r="CM2231" s="23" t="s">
        <v>4535</v>
      </c>
      <c r="CN2231" s="23" t="s">
        <v>0</v>
      </c>
      <c r="DE2231" s="23" t="s">
        <v>702</v>
      </c>
    </row>
    <row r="2232" spans="1:109" x14ac:dyDescent="0.2">
      <c r="A2232" s="29" t="s">
        <v>4506</v>
      </c>
      <c r="B2232" s="29" t="s">
        <v>4535</v>
      </c>
      <c r="C2232" s="29">
        <f t="shared" si="194"/>
        <v>1000040008</v>
      </c>
      <c r="D2232" s="29" t="s">
        <v>4536</v>
      </c>
      <c r="E2232" s="20" t="s">
        <v>3517</v>
      </c>
      <c r="I2232" s="20" t="s">
        <v>134</v>
      </c>
      <c r="N2232" s="20" t="s">
        <v>1310</v>
      </c>
      <c r="O2232" s="20" t="s">
        <v>1326</v>
      </c>
      <c r="Q2232" s="20" t="s">
        <v>2041</v>
      </c>
      <c r="T2232" s="20" t="s">
        <v>1322</v>
      </c>
      <c r="U2232" s="148" t="s">
        <v>4537</v>
      </c>
      <c r="V2232" s="20" t="s">
        <v>4509</v>
      </c>
      <c r="W2232" s="20" t="s">
        <v>1</v>
      </c>
      <c r="AF2232" s="23" t="s">
        <v>2041</v>
      </c>
      <c r="AL2232" s="109" t="s">
        <v>4538</v>
      </c>
      <c r="CJ2232" s="23"/>
      <c r="CK2232" s="28"/>
      <c r="CM2232" s="23" t="s">
        <v>4539</v>
      </c>
      <c r="CN2232" s="23" t="s">
        <v>0</v>
      </c>
      <c r="DE2232" s="23" t="s">
        <v>702</v>
      </c>
    </row>
    <row r="2233" spans="1:109" s="128" customFormat="1" x14ac:dyDescent="0.2">
      <c r="A2233" s="127" t="s">
        <v>4506</v>
      </c>
      <c r="B2233" s="127" t="s">
        <v>145</v>
      </c>
      <c r="C2233" s="127">
        <f t="shared" si="194"/>
        <v>1000040009</v>
      </c>
      <c r="D2233" s="127" t="s">
        <v>4602</v>
      </c>
      <c r="E2233" s="129" t="s">
        <v>1124</v>
      </c>
      <c r="F2233" s="129"/>
      <c r="G2233" s="129"/>
      <c r="H2233" s="129"/>
      <c r="I2233" s="129" t="s">
        <v>4579</v>
      </c>
      <c r="J2233" s="129"/>
      <c r="K2233" s="129"/>
      <c r="L2233" s="129"/>
      <c r="M2233" s="129"/>
      <c r="N2233" s="129" t="s">
        <v>1310</v>
      </c>
      <c r="O2233" s="129" t="s">
        <v>1326</v>
      </c>
      <c r="P2233" s="129"/>
      <c r="Q2233" s="129" t="s">
        <v>2041</v>
      </c>
      <c r="R2233" s="129"/>
      <c r="S2233" s="129"/>
      <c r="T2233" s="129" t="s">
        <v>1322</v>
      </c>
      <c r="U2233" s="190" t="s">
        <v>4603</v>
      </c>
      <c r="V2233" s="129" t="s">
        <v>4509</v>
      </c>
      <c r="W2233" s="129" t="s">
        <v>1</v>
      </c>
      <c r="X2233" s="129"/>
      <c r="Z2233" s="129"/>
      <c r="AA2233" s="129"/>
      <c r="AB2233" s="129"/>
      <c r="AC2233" s="129"/>
      <c r="AD2233" s="129"/>
      <c r="AF2233" s="128" t="s">
        <v>2041</v>
      </c>
      <c r="AG2233" s="129"/>
      <c r="AH2233" s="131"/>
      <c r="AI2233" s="131"/>
      <c r="AJ2233" s="131"/>
      <c r="AK2233" s="134"/>
      <c r="AL2233" s="128" t="s">
        <v>4604</v>
      </c>
      <c r="AM2233" s="134"/>
      <c r="AN2233" s="134"/>
      <c r="AO2233" s="134"/>
      <c r="AP2233" s="134"/>
      <c r="AQ2233" s="134"/>
      <c r="AR2233" s="134"/>
      <c r="AS2233" s="134"/>
      <c r="AT2233" s="134"/>
      <c r="AU2233" s="131"/>
      <c r="AV2233" s="131"/>
      <c r="AW2233" s="131"/>
      <c r="AZ2233" s="134"/>
      <c r="BA2233" s="134"/>
      <c r="BB2233" s="134"/>
      <c r="BC2233" s="134"/>
      <c r="BD2233" s="134"/>
      <c r="BE2233" s="134"/>
      <c r="BF2233" s="134"/>
      <c r="BG2233" s="134"/>
      <c r="BH2233" s="131"/>
      <c r="BI2233" s="131"/>
      <c r="BJ2233" s="131"/>
      <c r="BM2233" s="134"/>
      <c r="BN2233" s="134"/>
      <c r="BO2233" s="134"/>
      <c r="BP2233" s="134"/>
      <c r="BQ2233" s="134"/>
      <c r="BR2233" s="134"/>
      <c r="BS2233" s="134"/>
      <c r="BT2233" s="134"/>
      <c r="BU2233" s="131"/>
      <c r="BV2233" s="131"/>
      <c r="BW2233" s="131"/>
      <c r="BZ2233" s="134"/>
      <c r="CA2233" s="134"/>
      <c r="CB2233" s="134"/>
      <c r="CC2233" s="134"/>
      <c r="CD2233" s="134"/>
      <c r="CE2233" s="134"/>
      <c r="CF2233" s="134"/>
      <c r="CG2233" s="134"/>
      <c r="CK2233" s="134"/>
      <c r="CM2233" s="128" t="s">
        <v>146</v>
      </c>
      <c r="CN2233" s="128" t="s">
        <v>0</v>
      </c>
      <c r="CT2233" s="135"/>
      <c r="CU2233" s="135"/>
      <c r="CV2233" s="135"/>
      <c r="CW2233" s="135"/>
      <c r="CX2233" s="135"/>
      <c r="CY2233" s="135"/>
      <c r="CZ2233" s="135"/>
      <c r="DA2233" s="135"/>
      <c r="DB2233" s="135"/>
      <c r="DC2233" s="134"/>
      <c r="DE2233" s="128" t="s">
        <v>702</v>
      </c>
    </row>
    <row r="2234" spans="1:109" s="128" customFormat="1" x14ac:dyDescent="0.2">
      <c r="A2234" s="127" t="s">
        <v>4506</v>
      </c>
      <c r="B2234" s="127" t="s">
        <v>146</v>
      </c>
      <c r="C2234" s="127">
        <f t="shared" si="194"/>
        <v>1000040010</v>
      </c>
      <c r="D2234" s="127" t="s">
        <v>4605</v>
      </c>
      <c r="E2234" s="129" t="s">
        <v>1124</v>
      </c>
      <c r="F2234" s="129"/>
      <c r="G2234" s="129"/>
      <c r="H2234" s="129"/>
      <c r="I2234" s="129"/>
      <c r="J2234" s="129"/>
      <c r="K2234" s="129"/>
      <c r="L2234" s="129"/>
      <c r="M2234" s="129"/>
      <c r="N2234" s="129" t="s">
        <v>1310</v>
      </c>
      <c r="O2234" s="129" t="s">
        <v>1326</v>
      </c>
      <c r="P2234" s="129"/>
      <c r="Q2234" s="129" t="s">
        <v>2041</v>
      </c>
      <c r="R2234" s="129"/>
      <c r="S2234" s="129"/>
      <c r="T2234" s="129" t="s">
        <v>1322</v>
      </c>
      <c r="U2234" s="190" t="s">
        <v>4606</v>
      </c>
      <c r="V2234" s="129" t="s">
        <v>4509</v>
      </c>
      <c r="W2234" s="129" t="s">
        <v>1</v>
      </c>
      <c r="X2234" s="129"/>
      <c r="Z2234" s="129"/>
      <c r="AA2234" s="129"/>
      <c r="AB2234" s="129"/>
      <c r="AC2234" s="129"/>
      <c r="AD2234" s="129"/>
      <c r="AF2234" s="128" t="s">
        <v>2041</v>
      </c>
      <c r="AG2234" s="129"/>
      <c r="AH2234" s="131"/>
      <c r="AI2234" s="131"/>
      <c r="AJ2234" s="131"/>
      <c r="AK2234" s="134"/>
      <c r="AL2234" s="128" t="s">
        <v>4607</v>
      </c>
      <c r="AM2234" s="134"/>
      <c r="AN2234" s="134"/>
      <c r="AO2234" s="134"/>
      <c r="AP2234" s="134"/>
      <c r="AQ2234" s="134"/>
      <c r="AR2234" s="134"/>
      <c r="AS2234" s="134"/>
      <c r="AT2234" s="134"/>
      <c r="AU2234" s="131"/>
      <c r="AV2234" s="131"/>
      <c r="AW2234" s="131"/>
      <c r="AZ2234" s="134"/>
      <c r="BA2234" s="134"/>
      <c r="BB2234" s="134"/>
      <c r="BC2234" s="134"/>
      <c r="BD2234" s="134"/>
      <c r="BE2234" s="134"/>
      <c r="BF2234" s="134"/>
      <c r="BG2234" s="134"/>
      <c r="BH2234" s="131"/>
      <c r="BI2234" s="131"/>
      <c r="BJ2234" s="131"/>
      <c r="BM2234" s="134"/>
      <c r="BN2234" s="134"/>
      <c r="BO2234" s="134"/>
      <c r="BP2234" s="134"/>
      <c r="BQ2234" s="134"/>
      <c r="BR2234" s="134"/>
      <c r="BS2234" s="134"/>
      <c r="BT2234" s="134"/>
      <c r="BU2234" s="131"/>
      <c r="BV2234" s="131"/>
      <c r="BW2234" s="131"/>
      <c r="BZ2234" s="134"/>
      <c r="CA2234" s="134"/>
      <c r="CB2234" s="134"/>
      <c r="CC2234" s="134"/>
      <c r="CD2234" s="134"/>
      <c r="CE2234" s="134"/>
      <c r="CF2234" s="134"/>
      <c r="CG2234" s="134"/>
      <c r="CK2234" s="134"/>
      <c r="CM2234" s="128" t="s">
        <v>175</v>
      </c>
      <c r="CN2234" s="128" t="s">
        <v>0</v>
      </c>
      <c r="CT2234" s="135"/>
      <c r="CU2234" s="135"/>
      <c r="CV2234" s="135"/>
      <c r="CW2234" s="135"/>
      <c r="CX2234" s="135"/>
      <c r="CY2234" s="135"/>
      <c r="CZ2234" s="135"/>
      <c r="DA2234" s="135"/>
      <c r="DB2234" s="135"/>
      <c r="DC2234" s="134"/>
      <c r="DE2234" s="128" t="s">
        <v>702</v>
      </c>
    </row>
    <row r="2235" spans="1:109" s="128" customFormat="1" x14ac:dyDescent="0.2">
      <c r="A2235" s="127" t="s">
        <v>4506</v>
      </c>
      <c r="B2235" s="127" t="s">
        <v>8</v>
      </c>
      <c r="C2235" s="127">
        <f t="shared" si="194"/>
        <v>1000040011</v>
      </c>
      <c r="D2235" s="127" t="s">
        <v>4580</v>
      </c>
      <c r="E2235" s="129" t="s">
        <v>1125</v>
      </c>
      <c r="F2235" s="129"/>
      <c r="G2235" s="129"/>
      <c r="H2235" s="129"/>
      <c r="I2235" s="129" t="s">
        <v>4581</v>
      </c>
      <c r="J2235" s="129"/>
      <c r="K2235" s="129"/>
      <c r="L2235" s="129"/>
      <c r="M2235" s="129"/>
      <c r="N2235" s="129" t="s">
        <v>1310</v>
      </c>
      <c r="O2235" s="129" t="s">
        <v>1326</v>
      </c>
      <c r="P2235" s="129"/>
      <c r="Q2235" s="129" t="s">
        <v>2041</v>
      </c>
      <c r="R2235" s="129"/>
      <c r="S2235" s="129"/>
      <c r="T2235" s="129" t="s">
        <v>1322</v>
      </c>
      <c r="U2235" s="190" t="s">
        <v>4582</v>
      </c>
      <c r="V2235" s="129" t="s">
        <v>4509</v>
      </c>
      <c r="W2235" s="129" t="s">
        <v>1</v>
      </c>
      <c r="X2235" s="129"/>
      <c r="Z2235" s="129"/>
      <c r="AA2235" s="129"/>
      <c r="AB2235" s="129"/>
      <c r="AC2235" s="129"/>
      <c r="AD2235" s="129"/>
      <c r="AF2235" s="128" t="s">
        <v>2041</v>
      </c>
      <c r="AG2235" s="129"/>
      <c r="AH2235" s="131"/>
      <c r="AI2235" s="131"/>
      <c r="AJ2235" s="131"/>
      <c r="AK2235" s="134"/>
      <c r="AL2235" s="128" t="s">
        <v>4583</v>
      </c>
      <c r="AM2235" s="134"/>
      <c r="AN2235" s="134"/>
      <c r="AO2235" s="134"/>
      <c r="AP2235" s="134"/>
      <c r="AQ2235" s="134"/>
      <c r="AR2235" s="134"/>
      <c r="AS2235" s="134"/>
      <c r="AT2235" s="134"/>
      <c r="AU2235" s="131"/>
      <c r="AV2235" s="131"/>
      <c r="AW2235" s="131"/>
      <c r="AZ2235" s="134"/>
      <c r="BA2235" s="134"/>
      <c r="BB2235" s="134"/>
      <c r="BC2235" s="134"/>
      <c r="BD2235" s="134"/>
      <c r="BE2235" s="134"/>
      <c r="BF2235" s="134"/>
      <c r="BG2235" s="134"/>
      <c r="BH2235" s="131"/>
      <c r="BI2235" s="131"/>
      <c r="BJ2235" s="131"/>
      <c r="BM2235" s="134"/>
      <c r="BN2235" s="134"/>
      <c r="BO2235" s="134"/>
      <c r="BP2235" s="134"/>
      <c r="BQ2235" s="134"/>
      <c r="BR2235" s="134"/>
      <c r="BS2235" s="134"/>
      <c r="BT2235" s="134"/>
      <c r="BU2235" s="131"/>
      <c r="BV2235" s="131"/>
      <c r="BW2235" s="131"/>
      <c r="BZ2235" s="134"/>
      <c r="CA2235" s="134"/>
      <c r="CB2235" s="134"/>
      <c r="CC2235" s="134"/>
      <c r="CD2235" s="134"/>
      <c r="CE2235" s="134"/>
      <c r="CF2235" s="134"/>
      <c r="CG2235" s="134"/>
      <c r="CK2235" s="134"/>
      <c r="CM2235" s="128" t="s">
        <v>9</v>
      </c>
      <c r="CN2235" s="128" t="s">
        <v>0</v>
      </c>
      <c r="CT2235" s="135"/>
      <c r="CU2235" s="135"/>
      <c r="CV2235" s="135"/>
      <c r="CW2235" s="135"/>
      <c r="CX2235" s="135"/>
      <c r="CY2235" s="135"/>
      <c r="CZ2235" s="135"/>
      <c r="DA2235" s="135"/>
      <c r="DB2235" s="135"/>
      <c r="DC2235" s="134"/>
      <c r="DE2235" s="128" t="s">
        <v>702</v>
      </c>
    </row>
    <row r="2236" spans="1:109" s="128" customFormat="1" x14ac:dyDescent="0.2">
      <c r="A2236" s="127" t="s">
        <v>4506</v>
      </c>
      <c r="B2236" s="127" t="s">
        <v>9</v>
      </c>
      <c r="C2236" s="127">
        <f t="shared" si="194"/>
        <v>1000040012</v>
      </c>
      <c r="D2236" s="127" t="s">
        <v>4584</v>
      </c>
      <c r="E2236" s="129" t="s">
        <v>1125</v>
      </c>
      <c r="F2236" s="129"/>
      <c r="G2236" s="129"/>
      <c r="H2236" s="129"/>
      <c r="I2236" s="129"/>
      <c r="J2236" s="129"/>
      <c r="K2236" s="129"/>
      <c r="L2236" s="129"/>
      <c r="M2236" s="129"/>
      <c r="N2236" s="129" t="s">
        <v>1310</v>
      </c>
      <c r="O2236" s="129" t="s">
        <v>1326</v>
      </c>
      <c r="P2236" s="129"/>
      <c r="Q2236" s="129" t="s">
        <v>2041</v>
      </c>
      <c r="R2236" s="129"/>
      <c r="S2236" s="129"/>
      <c r="T2236" s="129" t="s">
        <v>1322</v>
      </c>
      <c r="U2236" s="190" t="s">
        <v>4585</v>
      </c>
      <c r="V2236" s="129" t="s">
        <v>4509</v>
      </c>
      <c r="W2236" s="129" t="s">
        <v>1</v>
      </c>
      <c r="X2236" s="129"/>
      <c r="Z2236" s="129"/>
      <c r="AA2236" s="129"/>
      <c r="AB2236" s="129"/>
      <c r="AC2236" s="129"/>
      <c r="AD2236" s="129"/>
      <c r="AF2236" s="128" t="s">
        <v>2041</v>
      </c>
      <c r="AG2236" s="129"/>
      <c r="AH2236" s="131"/>
      <c r="AI2236" s="131"/>
      <c r="AJ2236" s="131"/>
      <c r="AK2236" s="134"/>
      <c r="AL2236" s="128" t="s">
        <v>4586</v>
      </c>
      <c r="AM2236" s="134"/>
      <c r="AN2236" s="134"/>
      <c r="AO2236" s="134"/>
      <c r="AP2236" s="134"/>
      <c r="AQ2236" s="134"/>
      <c r="AR2236" s="134"/>
      <c r="AS2236" s="134"/>
      <c r="AT2236" s="134"/>
      <c r="AU2236" s="131"/>
      <c r="AV2236" s="131"/>
      <c r="AW2236" s="131"/>
      <c r="AZ2236" s="134"/>
      <c r="BA2236" s="134"/>
      <c r="BB2236" s="134"/>
      <c r="BC2236" s="134"/>
      <c r="BD2236" s="134"/>
      <c r="BE2236" s="134"/>
      <c r="BF2236" s="134"/>
      <c r="BG2236" s="134"/>
      <c r="BH2236" s="131"/>
      <c r="BI2236" s="131"/>
      <c r="BJ2236" s="131"/>
      <c r="BM2236" s="134"/>
      <c r="BN2236" s="134"/>
      <c r="BO2236" s="134"/>
      <c r="BP2236" s="134"/>
      <c r="BQ2236" s="134"/>
      <c r="BR2236" s="134"/>
      <c r="BS2236" s="134"/>
      <c r="BT2236" s="134"/>
      <c r="BU2236" s="131"/>
      <c r="BV2236" s="131"/>
      <c r="BW2236" s="131"/>
      <c r="BZ2236" s="134"/>
      <c r="CA2236" s="134"/>
      <c r="CB2236" s="134"/>
      <c r="CC2236" s="134"/>
      <c r="CD2236" s="134"/>
      <c r="CE2236" s="134"/>
      <c r="CF2236" s="134"/>
      <c r="CG2236" s="134"/>
      <c r="CK2236" s="134"/>
      <c r="CM2236" s="128" t="s">
        <v>10</v>
      </c>
      <c r="CN2236" s="128" t="s">
        <v>0</v>
      </c>
      <c r="CT2236" s="135"/>
      <c r="CU2236" s="135"/>
      <c r="CV2236" s="135"/>
      <c r="CW2236" s="135"/>
      <c r="CX2236" s="135"/>
      <c r="CY2236" s="135"/>
      <c r="CZ2236" s="135"/>
      <c r="DA2236" s="135"/>
      <c r="DB2236" s="135"/>
      <c r="DC2236" s="134"/>
      <c r="DE2236" s="128" t="s">
        <v>702</v>
      </c>
    </row>
    <row r="2237" spans="1:109" s="128" customFormat="1" x14ac:dyDescent="0.2">
      <c r="A2237" s="127" t="s">
        <v>4506</v>
      </c>
      <c r="B2237" s="127" t="s">
        <v>10</v>
      </c>
      <c r="C2237" s="127">
        <f t="shared" si="194"/>
        <v>1000040013</v>
      </c>
      <c r="D2237" s="127" t="s">
        <v>4587</v>
      </c>
      <c r="E2237" s="129" t="s">
        <v>3538</v>
      </c>
      <c r="F2237" s="129"/>
      <c r="G2237" s="129"/>
      <c r="H2237" s="129"/>
      <c r="I2237" s="129" t="s">
        <v>4588</v>
      </c>
      <c r="J2237" s="129"/>
      <c r="K2237" s="129"/>
      <c r="L2237" s="129"/>
      <c r="M2237" s="129"/>
      <c r="N2237" s="129" t="s">
        <v>1310</v>
      </c>
      <c r="O2237" s="129" t="s">
        <v>1326</v>
      </c>
      <c r="P2237" s="129"/>
      <c r="Q2237" s="129" t="s">
        <v>2041</v>
      </c>
      <c r="R2237" s="129"/>
      <c r="S2237" s="129"/>
      <c r="T2237" s="129" t="s">
        <v>1322</v>
      </c>
      <c r="U2237" s="190" t="s">
        <v>4589</v>
      </c>
      <c r="V2237" s="129" t="s">
        <v>4509</v>
      </c>
      <c r="W2237" s="129" t="s">
        <v>1</v>
      </c>
      <c r="X2237" s="129"/>
      <c r="Z2237" s="129"/>
      <c r="AA2237" s="129"/>
      <c r="AB2237" s="129"/>
      <c r="AC2237" s="129"/>
      <c r="AD2237" s="129"/>
      <c r="AF2237" s="128" t="s">
        <v>2041</v>
      </c>
      <c r="AG2237" s="129"/>
      <c r="AH2237" s="131"/>
      <c r="AI2237" s="131"/>
      <c r="AJ2237" s="131"/>
      <c r="AK2237" s="134"/>
      <c r="AL2237" s="128" t="s">
        <v>4590</v>
      </c>
      <c r="AM2237" s="134"/>
      <c r="AN2237" s="134"/>
      <c r="AO2237" s="134"/>
      <c r="AP2237" s="134"/>
      <c r="AQ2237" s="134"/>
      <c r="AR2237" s="134"/>
      <c r="AS2237" s="134"/>
      <c r="AT2237" s="134"/>
      <c r="AU2237" s="131"/>
      <c r="AV2237" s="131"/>
      <c r="AW2237" s="131"/>
      <c r="AZ2237" s="134"/>
      <c r="BA2237" s="134"/>
      <c r="BB2237" s="134"/>
      <c r="BC2237" s="134"/>
      <c r="BD2237" s="134"/>
      <c r="BE2237" s="134"/>
      <c r="BF2237" s="134"/>
      <c r="BG2237" s="134"/>
      <c r="BH2237" s="131"/>
      <c r="BI2237" s="131"/>
      <c r="BJ2237" s="131"/>
      <c r="BM2237" s="134"/>
      <c r="BN2237" s="134"/>
      <c r="BO2237" s="134"/>
      <c r="BP2237" s="134"/>
      <c r="BQ2237" s="134"/>
      <c r="BR2237" s="134"/>
      <c r="BS2237" s="134"/>
      <c r="BT2237" s="134"/>
      <c r="BU2237" s="131"/>
      <c r="BV2237" s="131"/>
      <c r="BW2237" s="131"/>
      <c r="BZ2237" s="134"/>
      <c r="CA2237" s="134"/>
      <c r="CB2237" s="134"/>
      <c r="CC2237" s="134"/>
      <c r="CD2237" s="134"/>
      <c r="CE2237" s="134"/>
      <c r="CF2237" s="134"/>
      <c r="CG2237" s="134"/>
      <c r="CK2237" s="134"/>
      <c r="CM2237" s="128" t="s">
        <v>11</v>
      </c>
      <c r="CN2237" s="128" t="s">
        <v>0</v>
      </c>
      <c r="CT2237" s="135"/>
      <c r="CU2237" s="135"/>
      <c r="CV2237" s="135"/>
      <c r="CW2237" s="135"/>
      <c r="CX2237" s="135"/>
      <c r="CY2237" s="135"/>
      <c r="CZ2237" s="135"/>
      <c r="DA2237" s="135"/>
      <c r="DB2237" s="135"/>
      <c r="DC2237" s="134"/>
      <c r="DE2237" s="128" t="s">
        <v>702</v>
      </c>
    </row>
    <row r="2238" spans="1:109" s="128" customFormat="1" x14ac:dyDescent="0.2">
      <c r="A2238" s="127" t="s">
        <v>4506</v>
      </c>
      <c r="B2238" s="127" t="s">
        <v>11</v>
      </c>
      <c r="C2238" s="127">
        <f t="shared" si="194"/>
        <v>1000040014</v>
      </c>
      <c r="D2238" s="127" t="s">
        <v>4591</v>
      </c>
      <c r="E2238" s="129" t="s">
        <v>4592</v>
      </c>
      <c r="F2238" s="129"/>
      <c r="G2238" s="129"/>
      <c r="H2238" s="129"/>
      <c r="I2238" s="129" t="s">
        <v>4593</v>
      </c>
      <c r="J2238" s="129"/>
      <c r="K2238" s="129"/>
      <c r="L2238" s="129"/>
      <c r="M2238" s="129"/>
      <c r="N2238" s="129" t="s">
        <v>1310</v>
      </c>
      <c r="O2238" s="129" t="s">
        <v>1326</v>
      </c>
      <c r="P2238" s="129"/>
      <c r="Q2238" s="129" t="s">
        <v>2041</v>
      </c>
      <c r="R2238" s="129"/>
      <c r="S2238" s="129"/>
      <c r="T2238" s="129" t="s">
        <v>1322</v>
      </c>
      <c r="U2238" s="190" t="s">
        <v>4594</v>
      </c>
      <c r="V2238" s="129" t="s">
        <v>4509</v>
      </c>
      <c r="W2238" s="129" t="s">
        <v>1</v>
      </c>
      <c r="X2238" s="129"/>
      <c r="Z2238" s="129"/>
      <c r="AA2238" s="129"/>
      <c r="AB2238" s="129"/>
      <c r="AC2238" s="129"/>
      <c r="AD2238" s="129"/>
      <c r="AF2238" s="128" t="s">
        <v>2041</v>
      </c>
      <c r="AG2238" s="129"/>
      <c r="AH2238" s="131"/>
      <c r="AI2238" s="131"/>
      <c r="AJ2238" s="131"/>
      <c r="AK2238" s="134"/>
      <c r="AL2238" s="128" t="s">
        <v>4595</v>
      </c>
      <c r="AM2238" s="134"/>
      <c r="AN2238" s="134"/>
      <c r="AO2238" s="134"/>
      <c r="AP2238" s="134"/>
      <c r="AQ2238" s="134"/>
      <c r="AR2238" s="134"/>
      <c r="AS2238" s="134"/>
      <c r="AT2238" s="134"/>
      <c r="AU2238" s="131"/>
      <c r="AV2238" s="131"/>
      <c r="AW2238" s="131"/>
      <c r="AZ2238" s="134"/>
      <c r="BA2238" s="134"/>
      <c r="BB2238" s="134"/>
      <c r="BC2238" s="134"/>
      <c r="BD2238" s="134"/>
      <c r="BE2238" s="134"/>
      <c r="BF2238" s="134"/>
      <c r="BG2238" s="134"/>
      <c r="BH2238" s="131"/>
      <c r="BI2238" s="131"/>
      <c r="BJ2238" s="131"/>
      <c r="BM2238" s="134"/>
      <c r="BN2238" s="134"/>
      <c r="BO2238" s="134"/>
      <c r="BP2238" s="134"/>
      <c r="BQ2238" s="134"/>
      <c r="BR2238" s="134"/>
      <c r="BS2238" s="134"/>
      <c r="BT2238" s="134"/>
      <c r="BU2238" s="131"/>
      <c r="BV2238" s="131"/>
      <c r="BW2238" s="131"/>
      <c r="BZ2238" s="134"/>
      <c r="CA2238" s="134"/>
      <c r="CB2238" s="134"/>
      <c r="CC2238" s="134"/>
      <c r="CD2238" s="134"/>
      <c r="CE2238" s="134"/>
      <c r="CF2238" s="134"/>
      <c r="CG2238" s="134"/>
      <c r="CK2238" s="134"/>
      <c r="CM2238" s="128" t="s">
        <v>12</v>
      </c>
      <c r="CN2238" s="128" t="s">
        <v>0</v>
      </c>
      <c r="CT2238" s="135"/>
      <c r="CU2238" s="135"/>
      <c r="CV2238" s="135"/>
      <c r="CW2238" s="135"/>
      <c r="CX2238" s="135"/>
      <c r="CY2238" s="135"/>
      <c r="CZ2238" s="135"/>
      <c r="DA2238" s="135"/>
      <c r="DB2238" s="135"/>
      <c r="DC2238" s="134"/>
      <c r="DE2238" s="128" t="s">
        <v>702</v>
      </c>
    </row>
    <row r="2239" spans="1:109" s="128" customFormat="1" x14ac:dyDescent="0.2">
      <c r="A2239" s="127" t="s">
        <v>4506</v>
      </c>
      <c r="B2239" s="127" t="s">
        <v>12</v>
      </c>
      <c r="C2239" s="127">
        <f t="shared" si="194"/>
        <v>1000040015</v>
      </c>
      <c r="D2239" s="127" t="s">
        <v>4596</v>
      </c>
      <c r="E2239" s="129" t="s">
        <v>4592</v>
      </c>
      <c r="F2239" s="129"/>
      <c r="G2239" s="129"/>
      <c r="H2239" s="129"/>
      <c r="I2239" s="129" t="s">
        <v>4593</v>
      </c>
      <c r="J2239" s="129"/>
      <c r="K2239" s="129"/>
      <c r="L2239" s="129"/>
      <c r="M2239" s="129"/>
      <c r="N2239" s="129" t="s">
        <v>1310</v>
      </c>
      <c r="O2239" s="129" t="s">
        <v>1326</v>
      </c>
      <c r="P2239" s="129"/>
      <c r="Q2239" s="129" t="s">
        <v>2041</v>
      </c>
      <c r="R2239" s="129"/>
      <c r="S2239" s="129"/>
      <c r="T2239" s="129" t="s">
        <v>1322</v>
      </c>
      <c r="U2239" s="190" t="s">
        <v>4597</v>
      </c>
      <c r="V2239" s="129" t="s">
        <v>4509</v>
      </c>
      <c r="W2239" s="129" t="s">
        <v>1</v>
      </c>
      <c r="X2239" s="129"/>
      <c r="Z2239" s="129"/>
      <c r="AA2239" s="129"/>
      <c r="AB2239" s="129"/>
      <c r="AC2239" s="129"/>
      <c r="AD2239" s="129"/>
      <c r="AF2239" s="128" t="s">
        <v>2041</v>
      </c>
      <c r="AG2239" s="129"/>
      <c r="AH2239" s="131"/>
      <c r="AI2239" s="131"/>
      <c r="AJ2239" s="131"/>
      <c r="AK2239" s="134"/>
      <c r="AL2239" s="128" t="s">
        <v>4598</v>
      </c>
      <c r="AM2239" s="134"/>
      <c r="AN2239" s="134"/>
      <c r="AO2239" s="134"/>
      <c r="AP2239" s="134"/>
      <c r="AQ2239" s="134"/>
      <c r="AR2239" s="134"/>
      <c r="AS2239" s="134"/>
      <c r="AT2239" s="134"/>
      <c r="AU2239" s="131"/>
      <c r="AV2239" s="131"/>
      <c r="AW2239" s="131"/>
      <c r="AZ2239" s="134"/>
      <c r="BA2239" s="134"/>
      <c r="BB2239" s="134"/>
      <c r="BC2239" s="134"/>
      <c r="BD2239" s="134"/>
      <c r="BE2239" s="134"/>
      <c r="BF2239" s="134"/>
      <c r="BG2239" s="134"/>
      <c r="BH2239" s="131"/>
      <c r="BI2239" s="131"/>
      <c r="BJ2239" s="131"/>
      <c r="BM2239" s="134"/>
      <c r="BN2239" s="134"/>
      <c r="BO2239" s="134"/>
      <c r="BP2239" s="134"/>
      <c r="BQ2239" s="134"/>
      <c r="BR2239" s="134"/>
      <c r="BS2239" s="134"/>
      <c r="BT2239" s="134"/>
      <c r="BU2239" s="131"/>
      <c r="BV2239" s="131"/>
      <c r="BW2239" s="131"/>
      <c r="BZ2239" s="134"/>
      <c r="CA2239" s="134"/>
      <c r="CB2239" s="134"/>
      <c r="CC2239" s="134"/>
      <c r="CD2239" s="134"/>
      <c r="CE2239" s="134"/>
      <c r="CF2239" s="134"/>
      <c r="CG2239" s="134"/>
      <c r="CK2239" s="134"/>
      <c r="CM2239" s="128" t="s">
        <v>13</v>
      </c>
      <c r="CN2239" s="128" t="s">
        <v>0</v>
      </c>
      <c r="CT2239" s="135"/>
      <c r="CU2239" s="135"/>
      <c r="CV2239" s="135"/>
      <c r="CW2239" s="135"/>
      <c r="CX2239" s="135"/>
      <c r="CY2239" s="135"/>
      <c r="CZ2239" s="135"/>
      <c r="DA2239" s="135"/>
      <c r="DB2239" s="135"/>
      <c r="DC2239" s="134"/>
      <c r="DE2239" s="128" t="s">
        <v>702</v>
      </c>
    </row>
    <row r="2240" spans="1:109" s="128" customFormat="1" x14ac:dyDescent="0.2">
      <c r="A2240" s="127" t="s">
        <v>4506</v>
      </c>
      <c r="B2240" s="127" t="s">
        <v>13</v>
      </c>
      <c r="C2240" s="127">
        <f t="shared" si="194"/>
        <v>1000040016</v>
      </c>
      <c r="D2240" s="127" t="s">
        <v>4599</v>
      </c>
      <c r="E2240" s="129" t="s">
        <v>4592</v>
      </c>
      <c r="F2240" s="129"/>
      <c r="G2240" s="129"/>
      <c r="H2240" s="129"/>
      <c r="I2240" s="129"/>
      <c r="J2240" s="129"/>
      <c r="K2240" s="129"/>
      <c r="L2240" s="129"/>
      <c r="M2240" s="129"/>
      <c r="N2240" s="129" t="s">
        <v>1310</v>
      </c>
      <c r="O2240" s="129" t="s">
        <v>1326</v>
      </c>
      <c r="P2240" s="129"/>
      <c r="Q2240" s="129" t="s">
        <v>2041</v>
      </c>
      <c r="R2240" s="129"/>
      <c r="S2240" s="129"/>
      <c r="T2240" s="129" t="s">
        <v>1322</v>
      </c>
      <c r="U2240" s="190" t="s">
        <v>4600</v>
      </c>
      <c r="V2240" s="129" t="s">
        <v>4509</v>
      </c>
      <c r="W2240" s="129" t="s">
        <v>1</v>
      </c>
      <c r="X2240" s="129"/>
      <c r="Z2240" s="129"/>
      <c r="AA2240" s="129"/>
      <c r="AB2240" s="129"/>
      <c r="AC2240" s="129"/>
      <c r="AD2240" s="129"/>
      <c r="AF2240" s="128" t="s">
        <v>2041</v>
      </c>
      <c r="AG2240" s="129"/>
      <c r="AH2240" s="131"/>
      <c r="AI2240" s="131"/>
      <c r="AJ2240" s="131"/>
      <c r="AK2240" s="134"/>
      <c r="AL2240" s="128" t="s">
        <v>4601</v>
      </c>
      <c r="AM2240" s="134"/>
      <c r="AN2240" s="134"/>
      <c r="AO2240" s="134"/>
      <c r="AP2240" s="134"/>
      <c r="AQ2240" s="134"/>
      <c r="AR2240" s="134"/>
      <c r="AS2240" s="134"/>
      <c r="AT2240" s="134"/>
      <c r="AU2240" s="131"/>
      <c r="AV2240" s="131"/>
      <c r="AW2240" s="131"/>
      <c r="AZ2240" s="134"/>
      <c r="BA2240" s="134"/>
      <c r="BB2240" s="134"/>
      <c r="BC2240" s="134"/>
      <c r="BD2240" s="134"/>
      <c r="BE2240" s="134"/>
      <c r="BF2240" s="134"/>
      <c r="BG2240" s="134"/>
      <c r="BH2240" s="131"/>
      <c r="BI2240" s="131"/>
      <c r="BJ2240" s="131"/>
      <c r="BM2240" s="134"/>
      <c r="BN2240" s="134"/>
      <c r="BO2240" s="134"/>
      <c r="BP2240" s="134"/>
      <c r="BQ2240" s="134"/>
      <c r="BR2240" s="134"/>
      <c r="BS2240" s="134"/>
      <c r="BT2240" s="134"/>
      <c r="BU2240" s="131"/>
      <c r="BV2240" s="131"/>
      <c r="BW2240" s="131"/>
      <c r="BZ2240" s="134"/>
      <c r="CA2240" s="134"/>
      <c r="CB2240" s="134"/>
      <c r="CC2240" s="134"/>
      <c r="CD2240" s="134"/>
      <c r="CE2240" s="134"/>
      <c r="CF2240" s="134"/>
      <c r="CG2240" s="134"/>
      <c r="CK2240" s="134"/>
      <c r="CM2240" s="128" t="s">
        <v>14</v>
      </c>
      <c r="CN2240" s="128" t="s">
        <v>0</v>
      </c>
      <c r="CT2240" s="135"/>
      <c r="CU2240" s="135"/>
      <c r="CV2240" s="135"/>
      <c r="CW2240" s="135"/>
      <c r="CX2240" s="135"/>
      <c r="CY2240" s="135"/>
      <c r="CZ2240" s="135"/>
      <c r="DA2240" s="135"/>
      <c r="DB2240" s="135"/>
      <c r="DC2240" s="134"/>
      <c r="DE2240" s="128" t="s">
        <v>702</v>
      </c>
    </row>
    <row r="2241" spans="1:109" s="128" customFormat="1" x14ac:dyDescent="0.2">
      <c r="A2241" s="127" t="s">
        <v>4506</v>
      </c>
      <c r="B2241" s="127" t="s">
        <v>178</v>
      </c>
      <c r="C2241" s="127">
        <f t="shared" si="194"/>
        <v>1000040017</v>
      </c>
      <c r="D2241" s="127" t="s">
        <v>3638</v>
      </c>
      <c r="E2241" s="129" t="s">
        <v>4592</v>
      </c>
      <c r="F2241" s="129"/>
      <c r="G2241" s="129"/>
      <c r="H2241" s="129"/>
      <c r="I2241" s="129" t="s">
        <v>1388</v>
      </c>
      <c r="J2241" s="129"/>
      <c r="K2241" s="129"/>
      <c r="L2241" s="129"/>
      <c r="M2241" s="129"/>
      <c r="N2241" s="129" t="s">
        <v>1321</v>
      </c>
      <c r="O2241" s="129" t="s">
        <v>3717</v>
      </c>
      <c r="P2241" s="129"/>
      <c r="Q2241" s="129" t="s">
        <v>2041</v>
      </c>
      <c r="R2241" s="129"/>
      <c r="S2241" s="129"/>
      <c r="T2241" s="129" t="s">
        <v>1322</v>
      </c>
      <c r="U2241" s="190" t="s">
        <v>3639</v>
      </c>
      <c r="V2241" s="129" t="s">
        <v>4509</v>
      </c>
      <c r="W2241" s="129" t="s">
        <v>1</v>
      </c>
      <c r="X2241" s="129"/>
      <c r="Z2241" s="129"/>
      <c r="AA2241" s="129"/>
      <c r="AB2241" s="129"/>
      <c r="AC2241" s="129" t="s">
        <v>23</v>
      </c>
      <c r="AD2241" s="129"/>
      <c r="AF2241" s="128" t="s">
        <v>2041</v>
      </c>
      <c r="AG2241" s="129"/>
      <c r="AH2241" s="131"/>
      <c r="AI2241" s="131"/>
      <c r="AJ2241" s="131"/>
      <c r="AK2241" s="134"/>
      <c r="AM2241" s="134"/>
      <c r="AN2241" s="134"/>
      <c r="AO2241" s="134"/>
      <c r="AP2241" s="134"/>
      <c r="AQ2241" s="134"/>
      <c r="AR2241" s="134"/>
      <c r="AS2241" s="134"/>
      <c r="AT2241" s="134"/>
      <c r="AU2241" s="131"/>
      <c r="AV2241" s="131"/>
      <c r="AW2241" s="131"/>
      <c r="AY2241" s="128" t="s">
        <v>4608</v>
      </c>
      <c r="AZ2241" s="134"/>
      <c r="BA2241" s="134"/>
      <c r="BB2241" s="134"/>
      <c r="BC2241" s="134"/>
      <c r="BD2241" s="134"/>
      <c r="BE2241" s="134"/>
      <c r="BF2241" s="134"/>
      <c r="BG2241" s="134"/>
      <c r="BH2241" s="131"/>
      <c r="BI2241" s="131"/>
      <c r="BJ2241" s="131"/>
      <c r="BM2241" s="134"/>
      <c r="BN2241" s="134"/>
      <c r="BO2241" s="134"/>
      <c r="BP2241" s="134"/>
      <c r="BQ2241" s="134"/>
      <c r="BR2241" s="134"/>
      <c r="BS2241" s="134"/>
      <c r="BT2241" s="134"/>
      <c r="BU2241" s="131"/>
      <c r="BV2241" s="131"/>
      <c r="BW2241" s="131"/>
      <c r="BY2241" s="128" t="s">
        <v>4609</v>
      </c>
      <c r="BZ2241" s="134"/>
      <c r="CA2241" s="134"/>
      <c r="CB2241" s="134"/>
      <c r="CC2241" s="134"/>
      <c r="CD2241" s="134"/>
      <c r="CE2241" s="134"/>
      <c r="CF2241" s="134"/>
      <c r="CG2241" s="134"/>
      <c r="CK2241" s="134"/>
      <c r="CN2241" s="128" t="s">
        <v>0</v>
      </c>
      <c r="CT2241" s="135"/>
      <c r="CU2241" s="135"/>
      <c r="CV2241" s="135"/>
      <c r="CW2241" s="135"/>
      <c r="CX2241" s="135"/>
      <c r="CY2241" s="135"/>
      <c r="CZ2241" s="135"/>
      <c r="DA2241" s="135"/>
      <c r="DB2241" s="135"/>
      <c r="DC2241" s="134"/>
    </row>
    <row r="2242" spans="1:109" ht="17.25" x14ac:dyDescent="0.3">
      <c r="A2242" s="8"/>
      <c r="B2242" s="8"/>
      <c r="C2242" s="8"/>
      <c r="D2242" s="8"/>
      <c r="E2242" s="9" t="s">
        <v>3385</v>
      </c>
      <c r="F2242" s="9"/>
      <c r="G2242" s="9"/>
      <c r="H2242" s="9"/>
      <c r="I2242" s="10"/>
      <c r="J2242" s="10"/>
      <c r="K2242" s="10"/>
      <c r="L2242" s="10"/>
      <c r="M2242" s="10"/>
      <c r="N2242" s="10"/>
      <c r="O2242" s="10"/>
      <c r="P2242" s="10"/>
      <c r="Q2242" s="10"/>
      <c r="R2242" s="10"/>
      <c r="S2242" s="10"/>
      <c r="T2242" s="10"/>
      <c r="U2242" s="10"/>
      <c r="V2242" s="10"/>
      <c r="W2242" s="11"/>
      <c r="X2242" s="10"/>
      <c r="Y2242" s="10"/>
      <c r="Z2242" s="10"/>
      <c r="AA2242" s="10"/>
      <c r="AB2242" s="10"/>
      <c r="AC2242" s="12"/>
      <c r="AD2242" s="12"/>
      <c r="AE2242" s="10"/>
      <c r="AF2242" s="13"/>
      <c r="AG2242" s="13"/>
      <c r="AH2242" s="13"/>
      <c r="AI2242" s="15"/>
      <c r="AJ2242" s="15"/>
      <c r="AK2242" s="15"/>
      <c r="AL2242" s="15"/>
      <c r="AM2242" s="15"/>
      <c r="AN2242" s="15"/>
      <c r="AO2242" s="15"/>
      <c r="AP2242" s="13"/>
      <c r="AQ2242" s="13"/>
      <c r="AR2242" s="13"/>
      <c r="AS2242" s="13"/>
      <c r="AT2242" s="13"/>
      <c r="AU2242" s="13"/>
      <c r="AV2242" s="31"/>
      <c r="AW2242" s="31"/>
      <c r="AX2242" s="15"/>
      <c r="AY2242" s="15"/>
      <c r="AZ2242" s="15"/>
      <c r="BA2242" s="15"/>
      <c r="BB2242" s="15"/>
      <c r="BC2242" s="13"/>
      <c r="BD2242" s="13"/>
      <c r="BE2242" s="13"/>
      <c r="BF2242" s="13"/>
      <c r="BG2242" s="13"/>
      <c r="BH2242" s="13"/>
      <c r="BI2242" s="31"/>
      <c r="BJ2242" s="31"/>
      <c r="BK2242" s="15"/>
      <c r="BL2242" s="15"/>
      <c r="BM2242" s="15"/>
      <c r="BN2242" s="15"/>
      <c r="BO2242" s="15"/>
      <c r="BP2242" s="13"/>
      <c r="BQ2242" s="13"/>
      <c r="BR2242" s="13"/>
      <c r="BS2242" s="13"/>
      <c r="BT2242" s="13"/>
      <c r="BU2242" s="13"/>
      <c r="BV2242" s="31"/>
      <c r="BW2242" s="31"/>
      <c r="BX2242" s="15"/>
      <c r="BY2242" s="15"/>
      <c r="BZ2242" s="15"/>
      <c r="CA2242" s="15"/>
      <c r="CB2242" s="15"/>
      <c r="CC2242" s="10"/>
      <c r="CD2242" s="13"/>
      <c r="CE2242" s="13"/>
      <c r="CF2242" s="13"/>
      <c r="CG2242" s="8"/>
      <c r="CH2242" s="16"/>
      <c r="CI2242" s="8"/>
      <c r="CJ2242" s="14"/>
      <c r="CK2242" s="14"/>
      <c r="CL2242" s="14"/>
      <c r="CM2242" s="14"/>
      <c r="CN2242" s="14"/>
      <c r="CO2242" s="14"/>
      <c r="CP2242" s="14"/>
      <c r="CQ2242" s="14"/>
      <c r="CR2242" s="17"/>
      <c r="CS2242" s="17"/>
      <c r="CT2242" s="17"/>
      <c r="CU2242" s="17"/>
      <c r="CV2242" s="17"/>
      <c r="CW2242" s="17"/>
      <c r="CX2242" s="17"/>
      <c r="CY2242" s="17"/>
      <c r="CZ2242" s="17"/>
      <c r="DA2242" s="15"/>
      <c r="DB2242" s="14"/>
      <c r="DC2242" s="14"/>
      <c r="DD2242" s="14"/>
      <c r="DE2242" s="14"/>
    </row>
    <row r="2243" spans="1:109" x14ac:dyDescent="0.2">
      <c r="A2243" s="29" t="s">
        <v>3417</v>
      </c>
      <c r="B2243" s="29" t="s">
        <v>181</v>
      </c>
      <c r="C2243" s="29">
        <f t="shared" ref="C2243:C2267" si="195">A2243*10000+B2243</f>
        <v>1000000001</v>
      </c>
      <c r="D2243" s="29" t="s">
        <v>3386</v>
      </c>
      <c r="E2243" s="20" t="s">
        <v>3411</v>
      </c>
      <c r="I2243" s="20" t="s">
        <v>3420</v>
      </c>
      <c r="N2243" s="20" t="s">
        <v>3387</v>
      </c>
      <c r="O2243" s="20" t="s">
        <v>3414</v>
      </c>
      <c r="Q2243" s="20" t="s">
        <v>2041</v>
      </c>
      <c r="T2243" s="20" t="s">
        <v>3421</v>
      </c>
      <c r="U2243" s="119" t="s">
        <v>3424</v>
      </c>
      <c r="W2243" s="20" t="s">
        <v>23</v>
      </c>
      <c r="Y2243" s="20"/>
      <c r="AC2243" s="23"/>
      <c r="AD2243" s="23"/>
      <c r="AE2243" s="20"/>
      <c r="AF2243" s="25"/>
      <c r="AG2243" s="25"/>
      <c r="AH2243" s="126"/>
      <c r="AL2243" s="25">
        <v>60101</v>
      </c>
      <c r="AU2243" s="126"/>
      <c r="AX2243" s="28"/>
      <c r="AY2243" s="25"/>
      <c r="BC2243" s="25"/>
      <c r="BG2243" s="25"/>
      <c r="BI2243" s="23"/>
      <c r="BJ2243" s="23"/>
      <c r="BK2243" s="28"/>
      <c r="BL2243" s="28"/>
      <c r="BP2243" s="25"/>
      <c r="BT2243" s="25"/>
      <c r="BV2243" s="23"/>
      <c r="BW2243" s="23"/>
      <c r="BX2243" s="28"/>
      <c r="BY2243" s="28"/>
      <c r="CC2243" s="23"/>
      <c r="CG2243" s="23"/>
      <c r="CH2243" s="28"/>
      <c r="CI2243" s="28"/>
      <c r="CR2243" s="30"/>
      <c r="CS2243" s="30"/>
      <c r="DA2243" s="28"/>
      <c r="DB2243" s="23"/>
      <c r="DC2243" s="23"/>
    </row>
    <row r="2244" spans="1:109" x14ac:dyDescent="0.2">
      <c r="A2244" s="29" t="s">
        <v>3417</v>
      </c>
      <c r="B2244" s="29" t="s">
        <v>22</v>
      </c>
      <c r="C2244" s="29">
        <f t="shared" si="195"/>
        <v>1000000002</v>
      </c>
      <c r="D2244" s="29" t="s">
        <v>3388</v>
      </c>
      <c r="E2244" s="20" t="s">
        <v>3408</v>
      </c>
      <c r="I2244" s="20" t="s">
        <v>3420</v>
      </c>
      <c r="N2244" s="20" t="s">
        <v>3387</v>
      </c>
      <c r="O2244" s="20" t="s">
        <v>3414</v>
      </c>
      <c r="Q2244" s="20" t="s">
        <v>2041</v>
      </c>
      <c r="T2244" s="20" t="s">
        <v>3421</v>
      </c>
      <c r="U2244" s="119" t="s">
        <v>3425</v>
      </c>
      <c r="W2244" s="20" t="s">
        <v>23</v>
      </c>
      <c r="Y2244" s="20"/>
      <c r="AC2244" s="23"/>
      <c r="AD2244" s="23"/>
      <c r="AE2244" s="20"/>
      <c r="AF2244" s="25"/>
      <c r="AG2244" s="25"/>
      <c r="AH2244" s="126"/>
      <c r="AL2244" s="25">
        <v>60102</v>
      </c>
      <c r="AU2244" s="126"/>
      <c r="AX2244" s="28"/>
      <c r="AY2244" s="25"/>
      <c r="BC2244" s="25"/>
      <c r="BG2244" s="25"/>
      <c r="BI2244" s="23"/>
      <c r="BJ2244" s="23"/>
      <c r="BK2244" s="28"/>
      <c r="BL2244" s="28"/>
      <c r="BP2244" s="25"/>
      <c r="BT2244" s="25"/>
      <c r="BV2244" s="23"/>
      <c r="BW2244" s="23"/>
      <c r="BX2244" s="28"/>
      <c r="BY2244" s="28"/>
      <c r="CC2244" s="23"/>
      <c r="CG2244" s="23"/>
      <c r="CH2244" s="28"/>
      <c r="CI2244" s="28"/>
      <c r="CR2244" s="30"/>
      <c r="CS2244" s="30"/>
      <c r="DA2244" s="28"/>
      <c r="DB2244" s="23"/>
      <c r="DC2244" s="23"/>
    </row>
    <row r="2245" spans="1:109" x14ac:dyDescent="0.2">
      <c r="A2245" s="29" t="s">
        <v>3417</v>
      </c>
      <c r="B2245" s="29" t="s">
        <v>122</v>
      </c>
      <c r="C2245" s="29">
        <f t="shared" si="195"/>
        <v>1000000003</v>
      </c>
      <c r="D2245" s="29" t="s">
        <v>3389</v>
      </c>
      <c r="E2245" s="20" t="s">
        <v>3880</v>
      </c>
      <c r="I2245" s="20" t="s">
        <v>3420</v>
      </c>
      <c r="N2245" s="20" t="s">
        <v>3387</v>
      </c>
      <c r="O2245" s="20" t="s">
        <v>3414</v>
      </c>
      <c r="Q2245" s="20" t="s">
        <v>2041</v>
      </c>
      <c r="T2245" s="20" t="s">
        <v>3421</v>
      </c>
      <c r="U2245" s="119" t="s">
        <v>3426</v>
      </c>
      <c r="W2245" s="20" t="s">
        <v>23</v>
      </c>
      <c r="Y2245" s="20"/>
      <c r="AC2245" s="23"/>
      <c r="AD2245" s="23"/>
      <c r="AE2245" s="20"/>
      <c r="AF2245" s="25"/>
      <c r="AG2245" s="25"/>
      <c r="AH2245" s="126"/>
      <c r="AL2245" s="25">
        <v>60103</v>
      </c>
      <c r="AU2245" s="126"/>
      <c r="AX2245" s="28"/>
      <c r="AY2245" s="25"/>
      <c r="BC2245" s="25"/>
      <c r="BG2245" s="25"/>
      <c r="BI2245" s="23"/>
      <c r="BJ2245" s="23"/>
      <c r="BK2245" s="28"/>
      <c r="BL2245" s="28"/>
      <c r="BP2245" s="25"/>
      <c r="BT2245" s="25"/>
      <c r="BV2245" s="23"/>
      <c r="BW2245" s="23"/>
      <c r="BX2245" s="28"/>
      <c r="BY2245" s="28"/>
      <c r="CC2245" s="23"/>
      <c r="CG2245" s="23"/>
      <c r="CH2245" s="28"/>
      <c r="CI2245" s="28"/>
      <c r="CR2245" s="30"/>
      <c r="CS2245" s="30"/>
      <c r="DA2245" s="28"/>
      <c r="DB2245" s="23"/>
      <c r="DC2245" s="23"/>
    </row>
    <row r="2246" spans="1:109" x14ac:dyDescent="0.2">
      <c r="A2246" s="29" t="s">
        <v>3417</v>
      </c>
      <c r="B2246" s="29" t="s">
        <v>23</v>
      </c>
      <c r="C2246" s="29">
        <f t="shared" si="195"/>
        <v>1000000004</v>
      </c>
      <c r="D2246" s="29" t="s">
        <v>3390</v>
      </c>
      <c r="E2246" s="20" t="s">
        <v>3408</v>
      </c>
      <c r="I2246" s="20" t="s">
        <v>3420</v>
      </c>
      <c r="N2246" s="20" t="s">
        <v>3387</v>
      </c>
      <c r="O2246" s="20" t="s">
        <v>3414</v>
      </c>
      <c r="Q2246" s="20" t="s">
        <v>2041</v>
      </c>
      <c r="T2246" s="20" t="s">
        <v>3421</v>
      </c>
      <c r="U2246" s="119" t="s">
        <v>3427</v>
      </c>
      <c r="W2246" s="20" t="s">
        <v>23</v>
      </c>
      <c r="Y2246" s="20"/>
      <c r="AC2246" s="23"/>
      <c r="AD2246" s="23"/>
      <c r="AE2246" s="20"/>
      <c r="AF2246" s="25"/>
      <c r="AG2246" s="25"/>
      <c r="AH2246" s="126"/>
      <c r="AL2246" s="25">
        <v>60104</v>
      </c>
      <c r="AU2246" s="126"/>
      <c r="AX2246" s="28"/>
      <c r="AY2246" s="25"/>
      <c r="BC2246" s="25"/>
      <c r="BG2246" s="25"/>
      <c r="BI2246" s="23"/>
      <c r="BJ2246" s="23"/>
      <c r="BK2246" s="28"/>
      <c r="BL2246" s="28"/>
      <c r="BP2246" s="25"/>
      <c r="BT2246" s="25"/>
      <c r="BV2246" s="23"/>
      <c r="BW2246" s="23"/>
      <c r="BX2246" s="28"/>
      <c r="BY2246" s="28"/>
      <c r="CC2246" s="23"/>
      <c r="CG2246" s="23"/>
      <c r="CH2246" s="28"/>
      <c r="CI2246" s="28"/>
      <c r="CR2246" s="30"/>
      <c r="CS2246" s="30"/>
      <c r="DA2246" s="28"/>
      <c r="DB2246" s="23"/>
      <c r="DC2246" s="23"/>
    </row>
    <row r="2247" spans="1:109" x14ac:dyDescent="0.2">
      <c r="A2247" s="29" t="s">
        <v>3417</v>
      </c>
      <c r="B2247" s="29" t="s">
        <v>123</v>
      </c>
      <c r="C2247" s="29">
        <f t="shared" si="195"/>
        <v>1000000005</v>
      </c>
      <c r="D2247" s="29" t="s">
        <v>3391</v>
      </c>
      <c r="E2247" s="20" t="s">
        <v>3408</v>
      </c>
      <c r="I2247" s="20" t="s">
        <v>3420</v>
      </c>
      <c r="N2247" s="20" t="s">
        <v>3387</v>
      </c>
      <c r="O2247" s="20" t="s">
        <v>3414</v>
      </c>
      <c r="Q2247" s="20" t="s">
        <v>2041</v>
      </c>
      <c r="T2247" s="20" t="s">
        <v>3421</v>
      </c>
      <c r="U2247" s="119" t="s">
        <v>3428</v>
      </c>
      <c r="W2247" s="20" t="s">
        <v>23</v>
      </c>
      <c r="Y2247" s="20"/>
      <c r="AC2247" s="23"/>
      <c r="AD2247" s="23"/>
      <c r="AE2247" s="20"/>
      <c r="AF2247" s="25"/>
      <c r="AG2247" s="25"/>
      <c r="AH2247" s="126"/>
      <c r="AL2247" s="25">
        <v>60105</v>
      </c>
      <c r="AU2247" s="126"/>
      <c r="AX2247" s="28"/>
      <c r="AY2247" s="25"/>
      <c r="BC2247" s="25"/>
      <c r="BG2247" s="25"/>
      <c r="BI2247" s="23"/>
      <c r="BJ2247" s="23"/>
      <c r="BK2247" s="28"/>
      <c r="BL2247" s="28"/>
      <c r="BP2247" s="25"/>
      <c r="BT2247" s="25"/>
      <c r="BV2247" s="23"/>
      <c r="BW2247" s="23"/>
      <c r="BX2247" s="28"/>
      <c r="BY2247" s="28"/>
      <c r="CC2247" s="23"/>
      <c r="CG2247" s="23"/>
      <c r="CH2247" s="28"/>
      <c r="CI2247" s="28"/>
      <c r="CR2247" s="30"/>
      <c r="CS2247" s="30"/>
      <c r="DA2247" s="28"/>
      <c r="DB2247" s="23"/>
      <c r="DC2247" s="23"/>
    </row>
    <row r="2248" spans="1:109" x14ac:dyDescent="0.2">
      <c r="A2248" s="29" t="s">
        <v>3417</v>
      </c>
      <c r="B2248" s="29" t="s">
        <v>120</v>
      </c>
      <c r="C2248" s="29">
        <f t="shared" ref="C2248" si="196">A2248*10000+B2248</f>
        <v>1000000006</v>
      </c>
      <c r="D2248" s="29" t="s">
        <v>3402</v>
      </c>
      <c r="E2248" s="20" t="s">
        <v>3408</v>
      </c>
      <c r="I2248" s="20" t="s">
        <v>3420</v>
      </c>
      <c r="N2248" s="20" t="s">
        <v>3387</v>
      </c>
      <c r="O2248" s="20" t="s">
        <v>3414</v>
      </c>
      <c r="Q2248" s="20" t="s">
        <v>2041</v>
      </c>
      <c r="T2248" s="20" t="s">
        <v>3421</v>
      </c>
      <c r="U2248" s="119" t="s">
        <v>3429</v>
      </c>
      <c r="W2248" s="20" t="s">
        <v>23</v>
      </c>
      <c r="Y2248" s="20"/>
      <c r="AC2248" s="23"/>
      <c r="AD2248" s="23"/>
      <c r="AE2248" s="20"/>
      <c r="AF2248" s="25"/>
      <c r="AG2248" s="25"/>
      <c r="AH2248" s="126"/>
      <c r="AL2248" s="25">
        <v>60106</v>
      </c>
      <c r="AU2248" s="126"/>
      <c r="AX2248" s="28"/>
      <c r="AY2248" s="25"/>
      <c r="BC2248" s="25"/>
      <c r="BG2248" s="25"/>
      <c r="BI2248" s="23"/>
      <c r="BJ2248" s="23"/>
      <c r="BK2248" s="28"/>
      <c r="BL2248" s="28"/>
      <c r="BP2248" s="25"/>
      <c r="BT2248" s="25"/>
      <c r="BV2248" s="23"/>
      <c r="BW2248" s="23"/>
      <c r="BX2248" s="28"/>
      <c r="BY2248" s="28"/>
      <c r="CC2248" s="23"/>
      <c r="CG2248" s="23"/>
      <c r="CH2248" s="28"/>
      <c r="CI2248" s="28"/>
      <c r="CR2248" s="30"/>
      <c r="CS2248" s="30"/>
      <c r="DA2248" s="28"/>
      <c r="DB2248" s="23"/>
      <c r="DC2248" s="23"/>
    </row>
    <row r="2249" spans="1:109" x14ac:dyDescent="0.2">
      <c r="A2249" s="29" t="s">
        <v>3417</v>
      </c>
      <c r="B2249" s="29" t="s">
        <v>171</v>
      </c>
      <c r="C2249" s="29">
        <f t="shared" ref="C2249" si="197">A2249*10000+B2249</f>
        <v>1000000007</v>
      </c>
      <c r="D2249" s="29" t="s">
        <v>3403</v>
      </c>
      <c r="E2249" s="20" t="s">
        <v>3408</v>
      </c>
      <c r="I2249" s="20" t="s">
        <v>3420</v>
      </c>
      <c r="N2249" s="20" t="s">
        <v>3387</v>
      </c>
      <c r="O2249" s="20" t="s">
        <v>3414</v>
      </c>
      <c r="Q2249" s="20" t="s">
        <v>2041</v>
      </c>
      <c r="T2249" s="20" t="s">
        <v>3421</v>
      </c>
      <c r="U2249" s="119" t="s">
        <v>3430</v>
      </c>
      <c r="W2249" s="20" t="s">
        <v>23</v>
      </c>
      <c r="Y2249" s="20"/>
      <c r="AC2249" s="23"/>
      <c r="AD2249" s="23"/>
      <c r="AE2249" s="20"/>
      <c r="AF2249" s="25"/>
      <c r="AG2249" s="25"/>
      <c r="AH2249" s="126"/>
      <c r="AL2249" s="25">
        <v>60107</v>
      </c>
      <c r="AU2249" s="126"/>
      <c r="AX2249" s="28"/>
      <c r="AY2249" s="25"/>
      <c r="BC2249" s="25"/>
      <c r="BG2249" s="25"/>
      <c r="BI2249" s="23"/>
      <c r="BJ2249" s="23"/>
      <c r="BK2249" s="28"/>
      <c r="BL2249" s="28"/>
      <c r="BP2249" s="25"/>
      <c r="BT2249" s="25"/>
      <c r="BV2249" s="23"/>
      <c r="BW2249" s="23"/>
      <c r="BX2249" s="28"/>
      <c r="BY2249" s="28"/>
      <c r="CC2249" s="23"/>
      <c r="CG2249" s="23"/>
      <c r="CH2249" s="28"/>
      <c r="CI2249" s="28"/>
      <c r="CR2249" s="30"/>
      <c r="CS2249" s="30"/>
      <c r="DA2249" s="28"/>
      <c r="DB2249" s="23"/>
      <c r="DC2249" s="23"/>
    </row>
    <row r="2250" spans="1:109" x14ac:dyDescent="0.2">
      <c r="A2250" s="29" t="s">
        <v>3417</v>
      </c>
      <c r="B2250" s="29" t="s">
        <v>137</v>
      </c>
      <c r="C2250" s="29">
        <f t="shared" ref="C2250" si="198">A2250*10000+B2250</f>
        <v>1000000008</v>
      </c>
      <c r="D2250" s="29" t="s">
        <v>3498</v>
      </c>
      <c r="E2250" s="20" t="s">
        <v>3408</v>
      </c>
      <c r="I2250" s="20" t="s">
        <v>3420</v>
      </c>
      <c r="N2250" s="20" t="s">
        <v>3387</v>
      </c>
      <c r="O2250" s="20" t="s">
        <v>3414</v>
      </c>
      <c r="Q2250" s="20" t="s">
        <v>2041</v>
      </c>
      <c r="T2250" s="20" t="s">
        <v>3421</v>
      </c>
      <c r="U2250" s="119" t="s">
        <v>3499</v>
      </c>
      <c r="W2250" s="20" t="s">
        <v>23</v>
      </c>
      <c r="Y2250" s="20"/>
      <c r="AC2250" s="23"/>
      <c r="AD2250" s="23"/>
      <c r="AE2250" s="20"/>
      <c r="AF2250" s="25"/>
      <c r="AG2250" s="25"/>
      <c r="AH2250" s="126"/>
      <c r="AL2250" s="25" t="s">
        <v>3500</v>
      </c>
      <c r="AU2250" s="126"/>
      <c r="AX2250" s="28"/>
      <c r="AY2250" s="25"/>
      <c r="BC2250" s="25"/>
      <c r="BG2250" s="25"/>
      <c r="BI2250" s="23"/>
      <c r="BJ2250" s="23"/>
      <c r="BK2250" s="28"/>
      <c r="BL2250" s="28"/>
      <c r="BP2250" s="25"/>
      <c r="BT2250" s="25"/>
      <c r="BV2250" s="23"/>
      <c r="BW2250" s="23"/>
      <c r="BX2250" s="28"/>
      <c r="BY2250" s="28"/>
      <c r="CC2250" s="23"/>
      <c r="CG2250" s="23"/>
      <c r="CH2250" s="28"/>
      <c r="CI2250" s="28"/>
      <c r="CR2250" s="30"/>
      <c r="CS2250" s="30"/>
      <c r="DA2250" s="28"/>
      <c r="DB2250" s="23"/>
      <c r="DC2250" s="23"/>
    </row>
    <row r="2251" spans="1:109" x14ac:dyDescent="0.2">
      <c r="A2251" s="29" t="s">
        <v>3417</v>
      </c>
      <c r="B2251" s="29" t="s">
        <v>145</v>
      </c>
      <c r="C2251" s="29">
        <f t="shared" ref="C2251:C2252" si="199">A2251*10000+B2251</f>
        <v>1000000009</v>
      </c>
      <c r="D2251" s="29" t="s">
        <v>4082</v>
      </c>
      <c r="E2251" s="20" t="s">
        <v>3408</v>
      </c>
      <c r="I2251" s="20" t="s">
        <v>3420</v>
      </c>
      <c r="N2251" s="20" t="s">
        <v>3387</v>
      </c>
      <c r="O2251" s="20" t="s">
        <v>3414</v>
      </c>
      <c r="Q2251" s="20" t="s">
        <v>2041</v>
      </c>
      <c r="T2251" s="20" t="s">
        <v>3421</v>
      </c>
      <c r="U2251" s="119" t="s">
        <v>4084</v>
      </c>
      <c r="W2251" s="20" t="s">
        <v>23</v>
      </c>
      <c r="Y2251" s="20"/>
      <c r="AC2251" s="23"/>
      <c r="AD2251" s="23"/>
      <c r="AE2251" s="20"/>
      <c r="AF2251" s="25"/>
      <c r="AG2251" s="25"/>
      <c r="AH2251" s="126"/>
      <c r="AL2251" s="25" t="s">
        <v>4111</v>
      </c>
      <c r="AU2251" s="126"/>
      <c r="AX2251" s="28"/>
      <c r="AY2251" s="25"/>
      <c r="BC2251" s="25"/>
      <c r="BG2251" s="25"/>
      <c r="BI2251" s="23"/>
      <c r="BJ2251" s="23"/>
      <c r="BK2251" s="28"/>
      <c r="BL2251" s="28"/>
      <c r="BP2251" s="25"/>
      <c r="BT2251" s="25"/>
      <c r="BV2251" s="23"/>
      <c r="BW2251" s="23"/>
      <c r="BX2251" s="28"/>
      <c r="BY2251" s="28"/>
      <c r="CC2251" s="23"/>
      <c r="CG2251" s="23"/>
      <c r="CH2251" s="28"/>
      <c r="CI2251" s="28"/>
      <c r="CR2251" s="30"/>
      <c r="CS2251" s="30"/>
      <c r="DA2251" s="28"/>
      <c r="DB2251" s="23"/>
      <c r="DC2251" s="23"/>
    </row>
    <row r="2252" spans="1:109" x14ac:dyDescent="0.2">
      <c r="A2252" s="29" t="s">
        <v>3417</v>
      </c>
      <c r="B2252" s="29" t="s">
        <v>146</v>
      </c>
      <c r="C2252" s="29">
        <f t="shared" si="199"/>
        <v>1000000010</v>
      </c>
      <c r="D2252" s="29" t="s">
        <v>4083</v>
      </c>
      <c r="E2252" s="20" t="s">
        <v>3408</v>
      </c>
      <c r="I2252" s="20" t="s">
        <v>3420</v>
      </c>
      <c r="N2252" s="20" t="s">
        <v>3387</v>
      </c>
      <c r="O2252" s="20" t="s">
        <v>3414</v>
      </c>
      <c r="Q2252" s="20" t="s">
        <v>2041</v>
      </c>
      <c r="T2252" s="20" t="s">
        <v>3421</v>
      </c>
      <c r="U2252" s="119" t="s">
        <v>4085</v>
      </c>
      <c r="W2252" s="20" t="s">
        <v>23</v>
      </c>
      <c r="Y2252" s="20"/>
      <c r="AC2252" s="23"/>
      <c r="AD2252" s="23"/>
      <c r="AE2252" s="20"/>
      <c r="AF2252" s="25"/>
      <c r="AG2252" s="25"/>
      <c r="AH2252" s="126"/>
      <c r="AL2252" s="25" t="s">
        <v>4112</v>
      </c>
      <c r="AU2252" s="126"/>
      <c r="AX2252" s="28"/>
      <c r="AY2252" s="25"/>
      <c r="BC2252" s="25"/>
      <c r="BG2252" s="25"/>
      <c r="BI2252" s="23"/>
      <c r="BJ2252" s="23"/>
      <c r="BK2252" s="28"/>
      <c r="BL2252" s="28"/>
      <c r="BP2252" s="25"/>
      <c r="BT2252" s="25"/>
      <c r="BV2252" s="23"/>
      <c r="BW2252" s="23"/>
      <c r="BX2252" s="28"/>
      <c r="BY2252" s="28"/>
      <c r="CC2252" s="23"/>
      <c r="CG2252" s="23"/>
      <c r="CH2252" s="28"/>
      <c r="CI2252" s="28"/>
      <c r="CR2252" s="30"/>
      <c r="CS2252" s="30"/>
      <c r="DA2252" s="28"/>
      <c r="DB2252" s="23"/>
      <c r="DC2252" s="23"/>
    </row>
    <row r="2253" spans="1:109" x14ac:dyDescent="0.2">
      <c r="A2253" s="29" t="s">
        <v>3418</v>
      </c>
      <c r="B2253" s="29" t="s">
        <v>181</v>
      </c>
      <c r="C2253" s="29">
        <f t="shared" si="195"/>
        <v>1000010001</v>
      </c>
      <c r="D2253" s="29" t="s">
        <v>3392</v>
      </c>
      <c r="E2253" s="20" t="s">
        <v>3412</v>
      </c>
      <c r="I2253" s="20" t="s">
        <v>3420</v>
      </c>
      <c r="N2253" s="20" t="s">
        <v>3387</v>
      </c>
      <c r="O2253" s="20" t="s">
        <v>3415</v>
      </c>
      <c r="Q2253" s="20" t="s">
        <v>2041</v>
      </c>
      <c r="T2253" s="20" t="s">
        <v>3422</v>
      </c>
      <c r="U2253" s="119" t="s">
        <v>3424</v>
      </c>
      <c r="W2253" s="20" t="s">
        <v>23</v>
      </c>
      <c r="Y2253" s="20"/>
      <c r="AC2253" s="23"/>
      <c r="AD2253" s="23"/>
      <c r="AE2253" s="20"/>
      <c r="AF2253" s="25"/>
      <c r="AG2253" s="25"/>
      <c r="AH2253" s="126"/>
      <c r="AL2253" s="25">
        <v>60201</v>
      </c>
      <c r="AU2253" s="126"/>
      <c r="AX2253" s="28"/>
      <c r="AY2253" s="25"/>
      <c r="BC2253" s="25"/>
      <c r="BG2253" s="25"/>
      <c r="BI2253" s="23"/>
      <c r="BJ2253" s="23"/>
      <c r="BK2253" s="28"/>
      <c r="BL2253" s="28"/>
      <c r="BP2253" s="25"/>
      <c r="BT2253" s="25"/>
      <c r="BV2253" s="23"/>
      <c r="BW2253" s="23"/>
      <c r="BX2253" s="28"/>
      <c r="BY2253" s="28"/>
      <c r="CC2253" s="23"/>
      <c r="CG2253" s="23"/>
      <c r="CH2253" s="28"/>
      <c r="CI2253" s="28"/>
      <c r="CR2253" s="30"/>
      <c r="CS2253" s="30"/>
      <c r="DA2253" s="28"/>
      <c r="DB2253" s="23"/>
      <c r="DC2253" s="23"/>
    </row>
    <row r="2254" spans="1:109" x14ac:dyDescent="0.2">
      <c r="A2254" s="29" t="s">
        <v>3418</v>
      </c>
      <c r="B2254" s="29" t="s">
        <v>22</v>
      </c>
      <c r="C2254" s="29">
        <f t="shared" si="195"/>
        <v>1000010002</v>
      </c>
      <c r="D2254" s="29" t="s">
        <v>3393</v>
      </c>
      <c r="E2254" s="20" t="s">
        <v>3409</v>
      </c>
      <c r="I2254" s="20" t="s">
        <v>3420</v>
      </c>
      <c r="N2254" s="20" t="s">
        <v>3387</v>
      </c>
      <c r="O2254" s="20" t="s">
        <v>3415</v>
      </c>
      <c r="Q2254" s="20" t="s">
        <v>2041</v>
      </c>
      <c r="T2254" s="20" t="s">
        <v>3422</v>
      </c>
      <c r="U2254" s="119" t="s">
        <v>3425</v>
      </c>
      <c r="W2254" s="20" t="s">
        <v>23</v>
      </c>
      <c r="Y2254" s="20"/>
      <c r="AC2254" s="23"/>
      <c r="AD2254" s="23"/>
      <c r="AE2254" s="20"/>
      <c r="AF2254" s="25"/>
      <c r="AG2254" s="25"/>
      <c r="AH2254" s="126"/>
      <c r="AL2254" s="25">
        <v>60202</v>
      </c>
      <c r="AU2254" s="126"/>
      <c r="AX2254" s="28"/>
      <c r="AY2254" s="25"/>
      <c r="BC2254" s="25"/>
      <c r="BG2254" s="25"/>
      <c r="BI2254" s="23"/>
      <c r="BJ2254" s="23"/>
      <c r="BK2254" s="28"/>
      <c r="BL2254" s="28"/>
      <c r="BP2254" s="25"/>
      <c r="BT2254" s="25"/>
      <c r="BV2254" s="23"/>
      <c r="BW2254" s="23"/>
      <c r="BX2254" s="28"/>
      <c r="BY2254" s="28"/>
      <c r="CC2254" s="23"/>
      <c r="CG2254" s="23"/>
      <c r="CH2254" s="28"/>
      <c r="CI2254" s="28"/>
      <c r="CR2254" s="30"/>
      <c r="CS2254" s="30"/>
      <c r="DA2254" s="28"/>
      <c r="DB2254" s="23"/>
      <c r="DC2254" s="23"/>
    </row>
    <row r="2255" spans="1:109" x14ac:dyDescent="0.2">
      <c r="A2255" s="29" t="s">
        <v>3418</v>
      </c>
      <c r="B2255" s="29" t="s">
        <v>122</v>
      </c>
      <c r="C2255" s="29">
        <f t="shared" si="195"/>
        <v>1000010003</v>
      </c>
      <c r="D2255" s="29" t="s">
        <v>3394</v>
      </c>
      <c r="E2255" s="20" t="s">
        <v>3881</v>
      </c>
      <c r="I2255" s="20" t="s">
        <v>3420</v>
      </c>
      <c r="N2255" s="20" t="s">
        <v>3387</v>
      </c>
      <c r="O2255" s="20" t="s">
        <v>3415</v>
      </c>
      <c r="Q2255" s="20" t="s">
        <v>2041</v>
      </c>
      <c r="T2255" s="20" t="s">
        <v>3422</v>
      </c>
      <c r="U2255" s="119" t="s">
        <v>3426</v>
      </c>
      <c r="W2255" s="20" t="s">
        <v>23</v>
      </c>
      <c r="Y2255" s="20"/>
      <c r="AC2255" s="23"/>
      <c r="AD2255" s="23"/>
      <c r="AE2255" s="20"/>
      <c r="AF2255" s="25"/>
      <c r="AG2255" s="25"/>
      <c r="AH2255" s="126"/>
      <c r="AL2255" s="25">
        <v>60203</v>
      </c>
      <c r="AU2255" s="126"/>
      <c r="AX2255" s="28"/>
      <c r="AY2255" s="25"/>
      <c r="BC2255" s="25"/>
      <c r="BG2255" s="25"/>
      <c r="BI2255" s="23"/>
      <c r="BJ2255" s="23"/>
      <c r="BK2255" s="28"/>
      <c r="BL2255" s="28"/>
      <c r="BP2255" s="25"/>
      <c r="BT2255" s="25"/>
      <c r="BV2255" s="23"/>
      <c r="BW2255" s="23"/>
      <c r="BX2255" s="28"/>
      <c r="BY2255" s="28"/>
      <c r="CC2255" s="23"/>
      <c r="CG2255" s="23"/>
      <c r="CH2255" s="28"/>
      <c r="CI2255" s="28"/>
      <c r="CR2255" s="30"/>
      <c r="CS2255" s="30"/>
      <c r="DA2255" s="28"/>
      <c r="DB2255" s="23"/>
      <c r="DC2255" s="23"/>
    </row>
    <row r="2256" spans="1:109" x14ac:dyDescent="0.2">
      <c r="A2256" s="29" t="s">
        <v>3418</v>
      </c>
      <c r="B2256" s="29" t="s">
        <v>23</v>
      </c>
      <c r="C2256" s="29">
        <f t="shared" si="195"/>
        <v>1000010004</v>
      </c>
      <c r="D2256" s="29" t="s">
        <v>3395</v>
      </c>
      <c r="E2256" s="20" t="s">
        <v>3409</v>
      </c>
      <c r="I2256" s="20" t="s">
        <v>3420</v>
      </c>
      <c r="N2256" s="20" t="s">
        <v>3387</v>
      </c>
      <c r="O2256" s="20" t="s">
        <v>3415</v>
      </c>
      <c r="Q2256" s="20" t="s">
        <v>2041</v>
      </c>
      <c r="T2256" s="20" t="s">
        <v>3422</v>
      </c>
      <c r="U2256" s="119" t="s">
        <v>3427</v>
      </c>
      <c r="W2256" s="20" t="s">
        <v>23</v>
      </c>
      <c r="Y2256" s="20"/>
      <c r="AC2256" s="23"/>
      <c r="AD2256" s="23"/>
      <c r="AE2256" s="20"/>
      <c r="AF2256" s="25"/>
      <c r="AG2256" s="25"/>
      <c r="AH2256" s="126"/>
      <c r="AL2256" s="25">
        <v>60204</v>
      </c>
      <c r="AU2256" s="126"/>
      <c r="AX2256" s="28"/>
      <c r="AY2256" s="25"/>
      <c r="BC2256" s="25"/>
      <c r="BG2256" s="25"/>
      <c r="BI2256" s="23"/>
      <c r="BJ2256" s="23"/>
      <c r="BK2256" s="28"/>
      <c r="BL2256" s="28"/>
      <c r="BP2256" s="25"/>
      <c r="BT2256" s="25"/>
      <c r="BV2256" s="23"/>
      <c r="BW2256" s="23"/>
      <c r="BX2256" s="28"/>
      <c r="BY2256" s="28"/>
      <c r="CC2256" s="23"/>
      <c r="CG2256" s="23"/>
      <c r="CH2256" s="28"/>
      <c r="CI2256" s="28"/>
      <c r="CR2256" s="30"/>
      <c r="CS2256" s="30"/>
      <c r="DA2256" s="28"/>
      <c r="DB2256" s="23"/>
      <c r="DC2256" s="23"/>
    </row>
    <row r="2257" spans="1:107" x14ac:dyDescent="0.2">
      <c r="A2257" s="29" t="s">
        <v>3418</v>
      </c>
      <c r="B2257" s="29" t="s">
        <v>123</v>
      </c>
      <c r="C2257" s="29">
        <f t="shared" si="195"/>
        <v>1000010005</v>
      </c>
      <c r="D2257" s="29" t="s">
        <v>3396</v>
      </c>
      <c r="E2257" s="20" t="s">
        <v>3409</v>
      </c>
      <c r="I2257" s="20" t="s">
        <v>3420</v>
      </c>
      <c r="N2257" s="20" t="s">
        <v>3387</v>
      </c>
      <c r="O2257" s="20" t="s">
        <v>3415</v>
      </c>
      <c r="Q2257" s="20" t="s">
        <v>2041</v>
      </c>
      <c r="T2257" s="20" t="s">
        <v>3422</v>
      </c>
      <c r="U2257" s="119" t="s">
        <v>3428</v>
      </c>
      <c r="W2257" s="20" t="s">
        <v>23</v>
      </c>
      <c r="Y2257" s="20"/>
      <c r="AC2257" s="23"/>
      <c r="AD2257" s="23"/>
      <c r="AE2257" s="20"/>
      <c r="AF2257" s="25"/>
      <c r="AG2257" s="25"/>
      <c r="AH2257" s="126"/>
      <c r="AL2257" s="25">
        <v>60205</v>
      </c>
      <c r="AU2257" s="126"/>
      <c r="AX2257" s="28"/>
      <c r="AY2257" s="25"/>
      <c r="BC2257" s="25"/>
      <c r="BG2257" s="25"/>
      <c r="BI2257" s="23"/>
      <c r="BJ2257" s="23"/>
      <c r="BK2257" s="28"/>
      <c r="BL2257" s="28"/>
      <c r="BP2257" s="25"/>
      <c r="BT2257" s="25"/>
      <c r="BV2257" s="23"/>
      <c r="BW2257" s="23"/>
      <c r="BX2257" s="28"/>
      <c r="BY2257" s="28"/>
      <c r="CC2257" s="23"/>
      <c r="CG2257" s="23"/>
      <c r="CH2257" s="28"/>
      <c r="CI2257" s="28"/>
      <c r="CR2257" s="30"/>
      <c r="CS2257" s="30"/>
      <c r="DA2257" s="28"/>
      <c r="DB2257" s="23"/>
      <c r="DC2257" s="23"/>
    </row>
    <row r="2258" spans="1:107" x14ac:dyDescent="0.2">
      <c r="A2258" s="29" t="s">
        <v>3418</v>
      </c>
      <c r="B2258" s="29" t="s">
        <v>120</v>
      </c>
      <c r="C2258" s="29">
        <f t="shared" ref="C2258:C2259" si="200">A2258*10000+B2258</f>
        <v>1000010006</v>
      </c>
      <c r="D2258" s="29" t="s">
        <v>3404</v>
      </c>
      <c r="E2258" s="20" t="s">
        <v>3409</v>
      </c>
      <c r="I2258" s="20" t="s">
        <v>3420</v>
      </c>
      <c r="N2258" s="20" t="s">
        <v>3387</v>
      </c>
      <c r="O2258" s="20" t="s">
        <v>3415</v>
      </c>
      <c r="Q2258" s="20" t="s">
        <v>2041</v>
      </c>
      <c r="T2258" s="20" t="s">
        <v>3422</v>
      </c>
      <c r="U2258" s="119" t="s">
        <v>3429</v>
      </c>
      <c r="W2258" s="20" t="s">
        <v>23</v>
      </c>
      <c r="Y2258" s="20"/>
      <c r="AC2258" s="23"/>
      <c r="AD2258" s="23"/>
      <c r="AE2258" s="20"/>
      <c r="AF2258" s="25"/>
      <c r="AG2258" s="25"/>
      <c r="AH2258" s="126"/>
      <c r="AL2258" s="25">
        <v>60206</v>
      </c>
      <c r="AU2258" s="126"/>
      <c r="AX2258" s="28"/>
      <c r="AY2258" s="25"/>
      <c r="BC2258" s="25"/>
      <c r="BG2258" s="25"/>
      <c r="BI2258" s="23"/>
      <c r="BJ2258" s="23"/>
      <c r="BK2258" s="28"/>
      <c r="BL2258" s="28"/>
      <c r="BP2258" s="25"/>
      <c r="BT2258" s="25"/>
      <c r="BV2258" s="23"/>
      <c r="BW2258" s="23"/>
      <c r="BX2258" s="28"/>
      <c r="BY2258" s="28"/>
      <c r="CC2258" s="23"/>
      <c r="CG2258" s="23"/>
      <c r="CH2258" s="28"/>
      <c r="CI2258" s="28"/>
      <c r="CR2258" s="30"/>
      <c r="CS2258" s="30"/>
      <c r="DA2258" s="28"/>
      <c r="DB2258" s="23"/>
      <c r="DC2258" s="23"/>
    </row>
    <row r="2259" spans="1:107" x14ac:dyDescent="0.2">
      <c r="A2259" s="29" t="s">
        <v>3418</v>
      </c>
      <c r="B2259" s="29" t="s">
        <v>171</v>
      </c>
      <c r="C2259" s="29">
        <f t="shared" si="200"/>
        <v>1000010007</v>
      </c>
      <c r="D2259" s="29" t="s">
        <v>3405</v>
      </c>
      <c r="E2259" s="20" t="s">
        <v>3409</v>
      </c>
      <c r="I2259" s="20" t="s">
        <v>3420</v>
      </c>
      <c r="N2259" s="20" t="s">
        <v>3387</v>
      </c>
      <c r="O2259" s="20" t="s">
        <v>3415</v>
      </c>
      <c r="Q2259" s="20" t="s">
        <v>2041</v>
      </c>
      <c r="T2259" s="20" t="s">
        <v>3422</v>
      </c>
      <c r="U2259" s="119" t="s">
        <v>3430</v>
      </c>
      <c r="W2259" s="20" t="s">
        <v>23</v>
      </c>
      <c r="Y2259" s="20"/>
      <c r="AC2259" s="23"/>
      <c r="AD2259" s="23"/>
      <c r="AE2259" s="20"/>
      <c r="AF2259" s="25"/>
      <c r="AG2259" s="25"/>
      <c r="AH2259" s="126"/>
      <c r="AL2259" s="25">
        <v>60207</v>
      </c>
      <c r="AU2259" s="126"/>
      <c r="AX2259" s="28"/>
      <c r="AY2259" s="25"/>
      <c r="BC2259" s="25"/>
      <c r="BG2259" s="25"/>
      <c r="BI2259" s="23"/>
      <c r="BJ2259" s="23"/>
      <c r="BK2259" s="28"/>
      <c r="BL2259" s="28"/>
      <c r="BP2259" s="25"/>
      <c r="BT2259" s="25"/>
      <c r="BV2259" s="23"/>
      <c r="BW2259" s="23"/>
      <c r="BX2259" s="28"/>
      <c r="BY2259" s="28"/>
      <c r="CC2259" s="23"/>
      <c r="CG2259" s="23"/>
      <c r="CH2259" s="28"/>
      <c r="CI2259" s="28"/>
      <c r="CR2259" s="30"/>
      <c r="CS2259" s="30"/>
      <c r="DA2259" s="28"/>
      <c r="DB2259" s="23"/>
      <c r="DC2259" s="23"/>
    </row>
    <row r="2260" spans="1:107" x14ac:dyDescent="0.2">
      <c r="A2260" s="29" t="s">
        <v>3418</v>
      </c>
      <c r="B2260" s="29" t="s">
        <v>137</v>
      </c>
      <c r="C2260" s="29">
        <f t="shared" ref="C2260" si="201">A2260*10000+B2260</f>
        <v>1000010008</v>
      </c>
      <c r="D2260" s="29" t="s">
        <v>3501</v>
      </c>
      <c r="E2260" s="20" t="s">
        <v>3409</v>
      </c>
      <c r="I2260" s="20" t="s">
        <v>3420</v>
      </c>
      <c r="N2260" s="20" t="s">
        <v>3387</v>
      </c>
      <c r="O2260" s="20" t="s">
        <v>3415</v>
      </c>
      <c r="Q2260" s="20" t="s">
        <v>2041</v>
      </c>
      <c r="T2260" s="20" t="s">
        <v>3422</v>
      </c>
      <c r="U2260" s="119" t="s">
        <v>3499</v>
      </c>
      <c r="W2260" s="20" t="s">
        <v>23</v>
      </c>
      <c r="Y2260" s="20"/>
      <c r="AC2260" s="23"/>
      <c r="AD2260" s="23"/>
      <c r="AE2260" s="20"/>
      <c r="AF2260" s="25"/>
      <c r="AG2260" s="25"/>
      <c r="AH2260" s="126"/>
      <c r="AL2260" s="25" t="s">
        <v>3502</v>
      </c>
      <c r="AU2260" s="126"/>
      <c r="AX2260" s="28"/>
      <c r="AY2260" s="25"/>
      <c r="BC2260" s="25"/>
      <c r="BG2260" s="25"/>
      <c r="BI2260" s="23"/>
      <c r="BJ2260" s="23"/>
      <c r="BK2260" s="28"/>
      <c r="BL2260" s="28"/>
      <c r="BP2260" s="25"/>
      <c r="BT2260" s="25"/>
      <c r="BV2260" s="23"/>
      <c r="BW2260" s="23"/>
      <c r="BX2260" s="28"/>
      <c r="BY2260" s="28"/>
      <c r="CC2260" s="23"/>
      <c r="CG2260" s="23"/>
      <c r="CH2260" s="28"/>
      <c r="CI2260" s="28"/>
      <c r="CR2260" s="30"/>
      <c r="CS2260" s="30"/>
      <c r="DA2260" s="28"/>
      <c r="DB2260" s="23"/>
      <c r="DC2260" s="23"/>
    </row>
    <row r="2261" spans="1:107" x14ac:dyDescent="0.2">
      <c r="A2261" s="29" t="s">
        <v>3418</v>
      </c>
      <c r="B2261" s="29" t="s">
        <v>145</v>
      </c>
      <c r="C2261" s="29">
        <f t="shared" ref="C2261:C2262" si="202">A2261*10000+B2261</f>
        <v>1000010009</v>
      </c>
      <c r="D2261" s="29" t="s">
        <v>4086</v>
      </c>
      <c r="E2261" s="20" t="s">
        <v>3409</v>
      </c>
      <c r="I2261" s="20" t="s">
        <v>3420</v>
      </c>
      <c r="N2261" s="20" t="s">
        <v>3387</v>
      </c>
      <c r="O2261" s="20" t="s">
        <v>3415</v>
      </c>
      <c r="Q2261" s="20" t="s">
        <v>2041</v>
      </c>
      <c r="T2261" s="20" t="s">
        <v>3422</v>
      </c>
      <c r="U2261" s="119" t="s">
        <v>4084</v>
      </c>
      <c r="W2261" s="20" t="s">
        <v>23</v>
      </c>
      <c r="Y2261" s="20"/>
      <c r="AC2261" s="23"/>
      <c r="AD2261" s="23"/>
      <c r="AE2261" s="20"/>
      <c r="AF2261" s="25"/>
      <c r="AG2261" s="25"/>
      <c r="AH2261" s="126"/>
      <c r="AL2261" s="25" t="s">
        <v>4113</v>
      </c>
      <c r="AU2261" s="126"/>
      <c r="AX2261" s="28"/>
      <c r="AY2261" s="25"/>
      <c r="BC2261" s="25"/>
      <c r="BG2261" s="25"/>
      <c r="BI2261" s="23"/>
      <c r="BJ2261" s="23"/>
      <c r="BK2261" s="28"/>
      <c r="BL2261" s="28"/>
      <c r="BP2261" s="25"/>
      <c r="BT2261" s="25"/>
      <c r="BV2261" s="23"/>
      <c r="BW2261" s="23"/>
      <c r="BX2261" s="28"/>
      <c r="BY2261" s="28"/>
      <c r="CC2261" s="23"/>
      <c r="CG2261" s="23"/>
      <c r="CH2261" s="28"/>
      <c r="CI2261" s="28"/>
      <c r="CR2261" s="30"/>
      <c r="CS2261" s="30"/>
      <c r="DA2261" s="28"/>
      <c r="DB2261" s="23"/>
      <c r="DC2261" s="23"/>
    </row>
    <row r="2262" spans="1:107" x14ac:dyDescent="0.2">
      <c r="A2262" s="29" t="s">
        <v>3418</v>
      </c>
      <c r="B2262" s="29" t="s">
        <v>146</v>
      </c>
      <c r="C2262" s="29">
        <f t="shared" si="202"/>
        <v>1000010010</v>
      </c>
      <c r="D2262" s="29" t="s">
        <v>4087</v>
      </c>
      <c r="E2262" s="20" t="s">
        <v>3409</v>
      </c>
      <c r="I2262" s="20" t="s">
        <v>3420</v>
      </c>
      <c r="N2262" s="20" t="s">
        <v>3387</v>
      </c>
      <c r="O2262" s="20" t="s">
        <v>3415</v>
      </c>
      <c r="Q2262" s="20" t="s">
        <v>2041</v>
      </c>
      <c r="T2262" s="20" t="s">
        <v>3422</v>
      </c>
      <c r="U2262" s="119" t="s">
        <v>4085</v>
      </c>
      <c r="W2262" s="20" t="s">
        <v>23</v>
      </c>
      <c r="Y2262" s="20"/>
      <c r="AC2262" s="23"/>
      <c r="AD2262" s="23"/>
      <c r="AE2262" s="20"/>
      <c r="AF2262" s="25"/>
      <c r="AG2262" s="25"/>
      <c r="AH2262" s="126"/>
      <c r="AL2262" s="25" t="s">
        <v>4114</v>
      </c>
      <c r="AU2262" s="126"/>
      <c r="AX2262" s="28"/>
      <c r="AY2262" s="25"/>
      <c r="BC2262" s="25"/>
      <c r="BG2262" s="25"/>
      <c r="BI2262" s="23"/>
      <c r="BJ2262" s="23"/>
      <c r="BK2262" s="28"/>
      <c r="BL2262" s="28"/>
      <c r="BP2262" s="25"/>
      <c r="BT2262" s="25"/>
      <c r="BV2262" s="23"/>
      <c r="BW2262" s="23"/>
      <c r="BX2262" s="28"/>
      <c r="BY2262" s="28"/>
      <c r="CC2262" s="23"/>
      <c r="CG2262" s="23"/>
      <c r="CH2262" s="28"/>
      <c r="CI2262" s="28"/>
      <c r="CR2262" s="30"/>
      <c r="CS2262" s="30"/>
      <c r="DA2262" s="28"/>
      <c r="DB2262" s="23"/>
      <c r="DC2262" s="23"/>
    </row>
    <row r="2263" spans="1:107" x14ac:dyDescent="0.2">
      <c r="A2263" s="29" t="s">
        <v>3419</v>
      </c>
      <c r="B2263" s="29" t="s">
        <v>181</v>
      </c>
      <c r="C2263" s="29">
        <f t="shared" si="195"/>
        <v>1000020001</v>
      </c>
      <c r="D2263" s="29" t="s">
        <v>3397</v>
      </c>
      <c r="E2263" s="20" t="s">
        <v>3413</v>
      </c>
      <c r="I2263" s="20" t="s">
        <v>3420</v>
      </c>
      <c r="N2263" s="20" t="s">
        <v>3387</v>
      </c>
      <c r="O2263" s="20" t="s">
        <v>3416</v>
      </c>
      <c r="Q2263" s="20" t="s">
        <v>2041</v>
      </c>
      <c r="T2263" s="20" t="s">
        <v>3423</v>
      </c>
      <c r="U2263" s="119" t="s">
        <v>3424</v>
      </c>
      <c r="W2263" s="20" t="s">
        <v>23</v>
      </c>
      <c r="Y2263" s="20"/>
      <c r="AC2263" s="23"/>
      <c r="AD2263" s="23"/>
      <c r="AE2263" s="20"/>
      <c r="AF2263" s="25"/>
      <c r="AG2263" s="25"/>
      <c r="AH2263" s="126"/>
      <c r="AL2263" s="25">
        <v>60301</v>
      </c>
      <c r="AU2263" s="126"/>
      <c r="AX2263" s="28"/>
      <c r="AY2263" s="25"/>
      <c r="BC2263" s="25"/>
      <c r="BG2263" s="25"/>
      <c r="BI2263" s="23"/>
      <c r="BJ2263" s="23"/>
      <c r="BK2263" s="28"/>
      <c r="BL2263" s="28"/>
      <c r="BP2263" s="25"/>
      <c r="BT2263" s="25"/>
      <c r="BV2263" s="23"/>
      <c r="BW2263" s="23"/>
      <c r="BX2263" s="28"/>
      <c r="BY2263" s="28"/>
      <c r="CC2263" s="23"/>
      <c r="CG2263" s="23"/>
      <c r="CH2263" s="28"/>
      <c r="CI2263" s="28"/>
      <c r="CR2263" s="30"/>
      <c r="CS2263" s="30"/>
      <c r="DA2263" s="28"/>
      <c r="DB2263" s="23"/>
      <c r="DC2263" s="23"/>
    </row>
    <row r="2264" spans="1:107" x14ac:dyDescent="0.2">
      <c r="A2264" s="29" t="s">
        <v>3419</v>
      </c>
      <c r="B2264" s="29" t="s">
        <v>22</v>
      </c>
      <c r="C2264" s="29">
        <f t="shared" si="195"/>
        <v>1000020002</v>
      </c>
      <c r="D2264" s="29" t="s">
        <v>3398</v>
      </c>
      <c r="E2264" s="20" t="s">
        <v>3410</v>
      </c>
      <c r="I2264" s="20" t="s">
        <v>3420</v>
      </c>
      <c r="N2264" s="20" t="s">
        <v>3387</v>
      </c>
      <c r="O2264" s="20" t="s">
        <v>3416</v>
      </c>
      <c r="Q2264" s="20" t="s">
        <v>2041</v>
      </c>
      <c r="T2264" s="20" t="s">
        <v>3423</v>
      </c>
      <c r="U2264" s="119" t="s">
        <v>3425</v>
      </c>
      <c r="W2264" s="20" t="s">
        <v>23</v>
      </c>
      <c r="Y2264" s="20"/>
      <c r="AC2264" s="23"/>
      <c r="AD2264" s="23"/>
      <c r="AE2264" s="20"/>
      <c r="AF2264" s="25"/>
      <c r="AG2264" s="25"/>
      <c r="AH2264" s="126"/>
      <c r="AL2264" s="25">
        <v>60302</v>
      </c>
      <c r="AU2264" s="126"/>
      <c r="AX2264" s="28"/>
      <c r="AY2264" s="25"/>
      <c r="BC2264" s="25"/>
      <c r="BG2264" s="25"/>
      <c r="BI2264" s="23"/>
      <c r="BJ2264" s="23"/>
      <c r="BK2264" s="28"/>
      <c r="BL2264" s="28"/>
      <c r="BP2264" s="25"/>
      <c r="BT2264" s="25"/>
      <c r="BV2264" s="23"/>
      <c r="BW2264" s="23"/>
      <c r="BX2264" s="28"/>
      <c r="BY2264" s="28"/>
      <c r="CC2264" s="23"/>
      <c r="CG2264" s="23"/>
      <c r="CH2264" s="28"/>
      <c r="CI2264" s="28"/>
      <c r="CR2264" s="30"/>
      <c r="CS2264" s="30"/>
      <c r="DA2264" s="28"/>
      <c r="DB2264" s="23"/>
      <c r="DC2264" s="23"/>
    </row>
    <row r="2265" spans="1:107" x14ac:dyDescent="0.2">
      <c r="A2265" s="29" t="s">
        <v>3419</v>
      </c>
      <c r="B2265" s="29" t="s">
        <v>122</v>
      </c>
      <c r="C2265" s="29">
        <f t="shared" si="195"/>
        <v>1000020003</v>
      </c>
      <c r="D2265" s="29" t="s">
        <v>3399</v>
      </c>
      <c r="E2265" s="20" t="s">
        <v>3410</v>
      </c>
      <c r="I2265" s="20" t="s">
        <v>3420</v>
      </c>
      <c r="N2265" s="20" t="s">
        <v>3387</v>
      </c>
      <c r="O2265" s="20" t="s">
        <v>3416</v>
      </c>
      <c r="Q2265" s="20" t="s">
        <v>2041</v>
      </c>
      <c r="T2265" s="20" t="s">
        <v>3423</v>
      </c>
      <c r="U2265" s="119" t="s">
        <v>3426</v>
      </c>
      <c r="W2265" s="20" t="s">
        <v>23</v>
      </c>
      <c r="Y2265" s="20"/>
      <c r="AC2265" s="23"/>
      <c r="AD2265" s="23"/>
      <c r="AE2265" s="20"/>
      <c r="AF2265" s="25"/>
      <c r="AG2265" s="25"/>
      <c r="AH2265" s="126"/>
      <c r="AL2265" s="25">
        <v>60303</v>
      </c>
      <c r="AU2265" s="126"/>
      <c r="AX2265" s="28"/>
      <c r="AY2265" s="25"/>
      <c r="BC2265" s="25"/>
      <c r="BG2265" s="25"/>
      <c r="BI2265" s="23"/>
      <c r="BJ2265" s="23"/>
      <c r="BK2265" s="28"/>
      <c r="BL2265" s="28"/>
      <c r="BP2265" s="25"/>
      <c r="BT2265" s="25"/>
      <c r="BV2265" s="23"/>
      <c r="BW2265" s="23"/>
      <c r="BX2265" s="28"/>
      <c r="BY2265" s="28"/>
      <c r="CC2265" s="23"/>
      <c r="CG2265" s="23"/>
      <c r="CH2265" s="28"/>
      <c r="CI2265" s="28"/>
      <c r="CR2265" s="30"/>
      <c r="CS2265" s="30"/>
      <c r="DA2265" s="28"/>
      <c r="DB2265" s="23"/>
      <c r="DC2265" s="23"/>
    </row>
    <row r="2266" spans="1:107" x14ac:dyDescent="0.2">
      <c r="A2266" s="29" t="s">
        <v>3419</v>
      </c>
      <c r="B2266" s="29" t="s">
        <v>23</v>
      </c>
      <c r="C2266" s="29">
        <f t="shared" si="195"/>
        <v>1000020004</v>
      </c>
      <c r="D2266" s="29" t="s">
        <v>3400</v>
      </c>
      <c r="E2266" s="20" t="s">
        <v>3410</v>
      </c>
      <c r="I2266" s="20" t="s">
        <v>3420</v>
      </c>
      <c r="N2266" s="20" t="s">
        <v>3387</v>
      </c>
      <c r="O2266" s="20" t="s">
        <v>3416</v>
      </c>
      <c r="Q2266" s="20" t="s">
        <v>2041</v>
      </c>
      <c r="T2266" s="20" t="s">
        <v>3423</v>
      </c>
      <c r="U2266" s="119" t="s">
        <v>3427</v>
      </c>
      <c r="W2266" s="20" t="s">
        <v>23</v>
      </c>
      <c r="Y2266" s="20"/>
      <c r="AC2266" s="23"/>
      <c r="AD2266" s="23"/>
      <c r="AE2266" s="20"/>
      <c r="AF2266" s="25"/>
      <c r="AG2266" s="25"/>
      <c r="AH2266" s="126"/>
      <c r="AL2266" s="25">
        <v>60304</v>
      </c>
      <c r="AU2266" s="126"/>
      <c r="AX2266" s="28"/>
      <c r="AY2266" s="25"/>
      <c r="BC2266" s="25"/>
      <c r="BG2266" s="25"/>
      <c r="BI2266" s="23"/>
      <c r="BJ2266" s="23"/>
      <c r="BK2266" s="28"/>
      <c r="BL2266" s="28"/>
      <c r="BP2266" s="25"/>
      <c r="BT2266" s="25"/>
      <c r="BV2266" s="23"/>
      <c r="BW2266" s="23"/>
      <c r="BX2266" s="28"/>
      <c r="BY2266" s="28"/>
      <c r="CC2266" s="23"/>
      <c r="CG2266" s="23"/>
      <c r="CH2266" s="28"/>
      <c r="CI2266" s="28"/>
      <c r="CR2266" s="30"/>
      <c r="CS2266" s="30"/>
      <c r="DA2266" s="28"/>
      <c r="DB2266" s="23"/>
      <c r="DC2266" s="23"/>
    </row>
    <row r="2267" spans="1:107" x14ac:dyDescent="0.2">
      <c r="A2267" s="29" t="s">
        <v>3419</v>
      </c>
      <c r="B2267" s="29" t="s">
        <v>123</v>
      </c>
      <c r="C2267" s="29">
        <f t="shared" si="195"/>
        <v>1000020005</v>
      </c>
      <c r="D2267" s="29" t="s">
        <v>3401</v>
      </c>
      <c r="E2267" s="20" t="s">
        <v>3410</v>
      </c>
      <c r="I2267" s="20" t="s">
        <v>3420</v>
      </c>
      <c r="N2267" s="20" t="s">
        <v>3387</v>
      </c>
      <c r="O2267" s="20" t="s">
        <v>3416</v>
      </c>
      <c r="Q2267" s="20" t="s">
        <v>2041</v>
      </c>
      <c r="T2267" s="20" t="s">
        <v>3423</v>
      </c>
      <c r="U2267" s="119" t="s">
        <v>3428</v>
      </c>
      <c r="W2267" s="20" t="s">
        <v>23</v>
      </c>
      <c r="Y2267" s="20"/>
      <c r="AC2267" s="23"/>
      <c r="AD2267" s="23"/>
      <c r="AE2267" s="20"/>
      <c r="AF2267" s="25"/>
      <c r="AG2267" s="25"/>
      <c r="AH2267" s="126"/>
      <c r="AL2267" s="25">
        <v>60305</v>
      </c>
      <c r="AU2267" s="126"/>
      <c r="AX2267" s="28"/>
      <c r="AY2267" s="25"/>
      <c r="BC2267" s="25"/>
      <c r="BG2267" s="25"/>
      <c r="BI2267" s="23"/>
      <c r="BJ2267" s="23"/>
      <c r="BK2267" s="28"/>
      <c r="BL2267" s="28"/>
      <c r="BP2267" s="25"/>
      <c r="BT2267" s="25"/>
      <c r="BV2267" s="23"/>
      <c r="BW2267" s="23"/>
      <c r="BX2267" s="28"/>
      <c r="BY2267" s="28"/>
      <c r="CC2267" s="23"/>
      <c r="CG2267" s="23"/>
      <c r="CH2267" s="28"/>
      <c r="CI2267" s="28"/>
      <c r="CR2267" s="30"/>
      <c r="CS2267" s="30"/>
      <c r="DA2267" s="28"/>
      <c r="DB2267" s="23"/>
      <c r="DC2267" s="23"/>
    </row>
    <row r="2268" spans="1:107" x14ac:dyDescent="0.2">
      <c r="A2268" s="29" t="s">
        <v>3419</v>
      </c>
      <c r="B2268" s="29" t="s">
        <v>120</v>
      </c>
      <c r="C2268" s="29">
        <f t="shared" ref="C2268:C2269" si="203">A2268*10000+B2268</f>
        <v>1000020006</v>
      </c>
      <c r="D2268" s="29" t="s">
        <v>3406</v>
      </c>
      <c r="E2268" s="20" t="s">
        <v>3410</v>
      </c>
      <c r="I2268" s="20" t="s">
        <v>3420</v>
      </c>
      <c r="N2268" s="20" t="s">
        <v>3387</v>
      </c>
      <c r="O2268" s="20" t="s">
        <v>3416</v>
      </c>
      <c r="Q2268" s="20" t="s">
        <v>2041</v>
      </c>
      <c r="T2268" s="20" t="s">
        <v>3423</v>
      </c>
      <c r="U2268" s="119" t="s">
        <v>3429</v>
      </c>
      <c r="W2268" s="20" t="s">
        <v>23</v>
      </c>
      <c r="Y2268" s="20"/>
      <c r="AC2268" s="23"/>
      <c r="AD2268" s="23"/>
      <c r="AE2268" s="20"/>
      <c r="AF2268" s="25"/>
      <c r="AG2268" s="25"/>
      <c r="AH2268" s="126"/>
      <c r="AL2268" s="25">
        <v>60306</v>
      </c>
      <c r="AU2268" s="126"/>
      <c r="AX2268" s="28"/>
      <c r="AY2268" s="25"/>
      <c r="BC2268" s="25"/>
      <c r="BG2268" s="25"/>
      <c r="BI2268" s="23"/>
      <c r="BJ2268" s="23"/>
      <c r="BK2268" s="28"/>
      <c r="BL2268" s="28"/>
      <c r="BP2268" s="25"/>
      <c r="BT2268" s="25"/>
      <c r="BV2268" s="23"/>
      <c r="BW2268" s="23"/>
      <c r="BX2268" s="28"/>
      <c r="BY2268" s="28"/>
      <c r="CC2268" s="23"/>
      <c r="CG2268" s="23"/>
      <c r="CH2268" s="28"/>
      <c r="CI2268" s="28"/>
      <c r="CR2268" s="30"/>
      <c r="CS2268" s="30"/>
      <c r="DA2268" s="28"/>
      <c r="DB2268" s="23"/>
      <c r="DC2268" s="23"/>
    </row>
    <row r="2269" spans="1:107" x14ac:dyDescent="0.2">
      <c r="A2269" s="29" t="s">
        <v>3419</v>
      </c>
      <c r="B2269" s="29" t="s">
        <v>171</v>
      </c>
      <c r="C2269" s="29">
        <f t="shared" si="203"/>
        <v>1000020007</v>
      </c>
      <c r="D2269" s="29" t="s">
        <v>3407</v>
      </c>
      <c r="E2269" s="20" t="s">
        <v>3410</v>
      </c>
      <c r="I2269" s="20" t="s">
        <v>3420</v>
      </c>
      <c r="N2269" s="20" t="s">
        <v>3387</v>
      </c>
      <c r="O2269" s="20" t="s">
        <v>3416</v>
      </c>
      <c r="Q2269" s="20" t="s">
        <v>2041</v>
      </c>
      <c r="T2269" s="20" t="s">
        <v>3423</v>
      </c>
      <c r="U2269" s="119" t="s">
        <v>3430</v>
      </c>
      <c r="W2269" s="20" t="s">
        <v>23</v>
      </c>
      <c r="Y2269" s="20"/>
      <c r="AC2269" s="23"/>
      <c r="AD2269" s="23"/>
      <c r="AE2269" s="20"/>
      <c r="AF2269" s="25"/>
      <c r="AG2269" s="25"/>
      <c r="AH2269" s="126"/>
      <c r="AL2269" s="25">
        <v>60307</v>
      </c>
      <c r="AU2269" s="126"/>
      <c r="AX2269" s="28"/>
      <c r="AY2269" s="25"/>
      <c r="BC2269" s="25"/>
      <c r="BG2269" s="25"/>
      <c r="BI2269" s="23"/>
      <c r="BJ2269" s="23"/>
      <c r="BK2269" s="28"/>
      <c r="BL2269" s="28"/>
      <c r="BP2269" s="25"/>
      <c r="BT2269" s="25"/>
      <c r="BV2269" s="23"/>
      <c r="BW2269" s="23"/>
      <c r="BX2269" s="28"/>
      <c r="BY2269" s="28"/>
      <c r="CC2269" s="23"/>
      <c r="CG2269" s="23"/>
      <c r="CH2269" s="28"/>
      <c r="CI2269" s="28"/>
      <c r="CR2269" s="30"/>
      <c r="CS2269" s="30"/>
      <c r="DA2269" s="28"/>
      <c r="DB2269" s="23"/>
      <c r="DC2269" s="23"/>
    </row>
    <row r="2270" spans="1:107" x14ac:dyDescent="0.2">
      <c r="A2270" s="29" t="s">
        <v>3419</v>
      </c>
      <c r="B2270" s="29" t="s">
        <v>137</v>
      </c>
      <c r="C2270" s="29">
        <f t="shared" ref="C2270:C2314" si="204">A2270*10000+B2270</f>
        <v>1000020008</v>
      </c>
      <c r="D2270" s="29" t="s">
        <v>3503</v>
      </c>
      <c r="E2270" s="20" t="s">
        <v>3410</v>
      </c>
      <c r="I2270" s="20" t="s">
        <v>3420</v>
      </c>
      <c r="N2270" s="20" t="s">
        <v>3387</v>
      </c>
      <c r="O2270" s="20" t="s">
        <v>3416</v>
      </c>
      <c r="Q2270" s="20" t="s">
        <v>2041</v>
      </c>
      <c r="T2270" s="20" t="s">
        <v>3423</v>
      </c>
      <c r="U2270" s="119" t="s">
        <v>3499</v>
      </c>
      <c r="W2270" s="20" t="s">
        <v>23</v>
      </c>
      <c r="Y2270" s="20"/>
      <c r="AC2270" s="23"/>
      <c r="AD2270" s="23"/>
      <c r="AE2270" s="20"/>
      <c r="AF2270" s="25"/>
      <c r="AG2270" s="25"/>
      <c r="AH2270" s="126"/>
      <c r="AL2270" s="25" t="s">
        <v>3504</v>
      </c>
      <c r="AU2270" s="126"/>
      <c r="AX2270" s="28"/>
      <c r="AY2270" s="25"/>
      <c r="BC2270" s="25"/>
      <c r="BG2270" s="25"/>
      <c r="BI2270" s="23"/>
      <c r="BJ2270" s="23"/>
      <c r="BK2270" s="28"/>
      <c r="BL2270" s="28"/>
      <c r="BP2270" s="25"/>
      <c r="BT2270" s="25"/>
      <c r="BV2270" s="23"/>
      <c r="BW2270" s="23"/>
      <c r="BX2270" s="28"/>
      <c r="BY2270" s="28"/>
      <c r="CC2270" s="23"/>
      <c r="CG2270" s="23"/>
      <c r="CH2270" s="28"/>
      <c r="CI2270" s="28"/>
      <c r="CR2270" s="30"/>
      <c r="CS2270" s="30"/>
      <c r="DA2270" s="28"/>
      <c r="DB2270" s="23"/>
      <c r="DC2270" s="23"/>
    </row>
    <row r="2271" spans="1:107" x14ac:dyDescent="0.2">
      <c r="A2271" s="29" t="s">
        <v>3419</v>
      </c>
      <c r="B2271" s="29" t="s">
        <v>145</v>
      </c>
      <c r="C2271" s="29">
        <f t="shared" ref="C2271:C2272" si="205">A2271*10000+B2271</f>
        <v>1000020009</v>
      </c>
      <c r="D2271" s="29" t="s">
        <v>4088</v>
      </c>
      <c r="E2271" s="20" t="s">
        <v>3410</v>
      </c>
      <c r="I2271" s="20" t="s">
        <v>3420</v>
      </c>
      <c r="N2271" s="20" t="s">
        <v>3387</v>
      </c>
      <c r="O2271" s="20" t="s">
        <v>3416</v>
      </c>
      <c r="Q2271" s="20" t="s">
        <v>2041</v>
      </c>
      <c r="T2271" s="20" t="s">
        <v>3423</v>
      </c>
      <c r="U2271" s="119" t="s">
        <v>4084</v>
      </c>
      <c r="W2271" s="20" t="s">
        <v>23</v>
      </c>
      <c r="Y2271" s="20"/>
      <c r="AC2271" s="23"/>
      <c r="AD2271" s="23"/>
      <c r="AE2271" s="20"/>
      <c r="AF2271" s="25"/>
      <c r="AG2271" s="25"/>
      <c r="AH2271" s="126"/>
      <c r="AL2271" s="25" t="s">
        <v>4115</v>
      </c>
      <c r="AU2271" s="126"/>
      <c r="AX2271" s="28"/>
      <c r="AY2271" s="25"/>
      <c r="BC2271" s="25"/>
      <c r="BG2271" s="25"/>
      <c r="BI2271" s="23"/>
      <c r="BJ2271" s="23"/>
      <c r="BK2271" s="28"/>
      <c r="BL2271" s="28"/>
      <c r="BP2271" s="25"/>
      <c r="BT2271" s="25"/>
      <c r="BV2271" s="23"/>
      <c r="BW2271" s="23"/>
      <c r="BX2271" s="28"/>
      <c r="BY2271" s="28"/>
      <c r="CC2271" s="23"/>
      <c r="CG2271" s="23"/>
      <c r="CH2271" s="28"/>
      <c r="CI2271" s="28"/>
      <c r="CR2271" s="30"/>
      <c r="CS2271" s="30"/>
      <c r="DA2271" s="28"/>
      <c r="DB2271" s="23"/>
      <c r="DC2271" s="23"/>
    </row>
    <row r="2272" spans="1:107" x14ac:dyDescent="0.2">
      <c r="A2272" s="29" t="s">
        <v>3419</v>
      </c>
      <c r="B2272" s="29" t="s">
        <v>146</v>
      </c>
      <c r="C2272" s="29">
        <f t="shared" si="205"/>
        <v>1000020010</v>
      </c>
      <c r="D2272" s="29" t="s">
        <v>4089</v>
      </c>
      <c r="E2272" s="20" t="s">
        <v>3410</v>
      </c>
      <c r="I2272" s="20" t="s">
        <v>3420</v>
      </c>
      <c r="N2272" s="20" t="s">
        <v>3387</v>
      </c>
      <c r="O2272" s="20" t="s">
        <v>3416</v>
      </c>
      <c r="Q2272" s="20" t="s">
        <v>2041</v>
      </c>
      <c r="T2272" s="20" t="s">
        <v>3423</v>
      </c>
      <c r="U2272" s="119" t="s">
        <v>4085</v>
      </c>
      <c r="W2272" s="20" t="s">
        <v>23</v>
      </c>
      <c r="Y2272" s="20"/>
      <c r="AC2272" s="23"/>
      <c r="AD2272" s="23"/>
      <c r="AE2272" s="20"/>
      <c r="AF2272" s="25"/>
      <c r="AG2272" s="25"/>
      <c r="AH2272" s="126"/>
      <c r="AL2272" s="25" t="s">
        <v>4116</v>
      </c>
      <c r="AU2272" s="126"/>
      <c r="AX2272" s="28"/>
      <c r="AY2272" s="25"/>
      <c r="BC2272" s="25"/>
      <c r="BG2272" s="25"/>
      <c r="BI2272" s="23"/>
      <c r="BJ2272" s="23"/>
      <c r="BK2272" s="28"/>
      <c r="BL2272" s="28"/>
      <c r="BP2272" s="25"/>
      <c r="BT2272" s="25"/>
      <c r="BV2272" s="23"/>
      <c r="BW2272" s="23"/>
      <c r="BX2272" s="28"/>
      <c r="BY2272" s="28"/>
      <c r="CC2272" s="23"/>
      <c r="CG2272" s="23"/>
      <c r="CH2272" s="28"/>
      <c r="CI2272" s="28"/>
      <c r="CR2272" s="30"/>
      <c r="CS2272" s="30"/>
      <c r="DA2272" s="28"/>
      <c r="DB2272" s="23"/>
      <c r="DC2272" s="23"/>
    </row>
    <row r="2273" spans="1:111" ht="17.25" x14ac:dyDescent="0.3">
      <c r="A2273" s="8"/>
      <c r="B2273" s="8"/>
      <c r="C2273" s="8"/>
      <c r="D2273" s="8"/>
      <c r="E2273" s="9" t="s">
        <v>3878</v>
      </c>
      <c r="F2273" s="9"/>
      <c r="G2273" s="9"/>
      <c r="H2273" s="9"/>
      <c r="I2273" s="10"/>
      <c r="J2273" s="10"/>
      <c r="K2273" s="10"/>
      <c r="L2273" s="10"/>
      <c r="M2273" s="10"/>
      <c r="N2273" s="10"/>
      <c r="O2273" s="10"/>
      <c r="P2273" s="10"/>
      <c r="Q2273" s="10"/>
      <c r="R2273" s="10"/>
      <c r="S2273" s="10"/>
      <c r="T2273" s="10"/>
      <c r="U2273" s="10"/>
      <c r="V2273" s="10"/>
      <c r="W2273" s="11"/>
      <c r="X2273" s="10"/>
      <c r="Y2273" s="10"/>
      <c r="Z2273" s="10"/>
      <c r="AA2273" s="10"/>
      <c r="AB2273" s="10"/>
      <c r="AC2273" s="12"/>
      <c r="AD2273" s="12"/>
      <c r="AE2273" s="10"/>
      <c r="AF2273" s="13"/>
      <c r="AG2273" s="13"/>
      <c r="AH2273" s="13"/>
      <c r="AI2273" s="15"/>
      <c r="AJ2273" s="15"/>
      <c r="AK2273" s="15"/>
      <c r="AL2273" s="15"/>
      <c r="AM2273" s="15"/>
      <c r="AN2273" s="15"/>
      <c r="AO2273" s="15"/>
      <c r="AP2273" s="13"/>
      <c r="AQ2273" s="13"/>
      <c r="AR2273" s="13"/>
      <c r="AS2273" s="13"/>
      <c r="AT2273" s="13"/>
      <c r="AU2273" s="13"/>
      <c r="AV2273" s="31"/>
      <c r="AW2273" s="31"/>
      <c r="AX2273" s="15"/>
      <c r="AY2273" s="15"/>
      <c r="AZ2273" s="15"/>
      <c r="BA2273" s="15"/>
      <c r="BB2273" s="15"/>
      <c r="BC2273" s="13"/>
      <c r="BD2273" s="13"/>
      <c r="BE2273" s="13"/>
      <c r="BF2273" s="13"/>
      <c r="BG2273" s="13"/>
      <c r="BH2273" s="13"/>
      <c r="BI2273" s="31"/>
      <c r="BJ2273" s="31"/>
      <c r="BK2273" s="15"/>
      <c r="BL2273" s="15"/>
      <c r="BM2273" s="15"/>
      <c r="BN2273" s="15"/>
      <c r="BO2273" s="15"/>
      <c r="BP2273" s="13"/>
      <c r="BQ2273" s="13"/>
      <c r="BR2273" s="13"/>
      <c r="BS2273" s="13"/>
      <c r="BT2273" s="13"/>
      <c r="BU2273" s="13"/>
      <c r="BV2273" s="31"/>
      <c r="BW2273" s="31"/>
      <c r="BX2273" s="15"/>
      <c r="BY2273" s="15"/>
      <c r="BZ2273" s="15"/>
      <c r="CA2273" s="15"/>
      <c r="CB2273" s="15"/>
      <c r="CC2273" s="10"/>
      <c r="CD2273" s="13"/>
      <c r="CE2273" s="13"/>
      <c r="CF2273" s="13"/>
      <c r="CG2273" s="8"/>
      <c r="CH2273" s="16"/>
      <c r="CI2273" s="8"/>
      <c r="CJ2273" s="14"/>
      <c r="CK2273" s="14"/>
      <c r="CL2273" s="14"/>
      <c r="CM2273" s="14"/>
      <c r="CN2273" s="14"/>
      <c r="CO2273" s="14"/>
      <c r="CP2273" s="14"/>
      <c r="CQ2273" s="14"/>
      <c r="CR2273" s="17"/>
      <c r="CS2273" s="17"/>
      <c r="CT2273" s="17"/>
      <c r="CU2273" s="17"/>
      <c r="CV2273" s="17"/>
      <c r="CW2273" s="17"/>
      <c r="CX2273" s="17"/>
      <c r="CY2273" s="17"/>
      <c r="CZ2273" s="17"/>
      <c r="DA2273" s="15"/>
      <c r="DB2273" s="14"/>
      <c r="DC2273" s="14"/>
      <c r="DD2273" s="14"/>
      <c r="DE2273" s="14"/>
    </row>
    <row r="2274" spans="1:111" x14ac:dyDescent="0.2">
      <c r="A2274" s="29">
        <v>50000</v>
      </c>
      <c r="B2274" s="29">
        <v>1</v>
      </c>
      <c r="C2274" s="29">
        <f t="shared" si="204"/>
        <v>500000001</v>
      </c>
      <c r="D2274" s="29" t="s">
        <v>3796</v>
      </c>
      <c r="E2274" s="21" t="s">
        <v>3935</v>
      </c>
      <c r="F2274" s="21"/>
      <c r="I2274" s="159" t="s">
        <v>3895</v>
      </c>
      <c r="J2274" s="20" t="s">
        <v>3879</v>
      </c>
      <c r="N2274" s="21" t="s">
        <v>1129</v>
      </c>
      <c r="O2274" s="22" t="s">
        <v>3940</v>
      </c>
      <c r="P2274" s="22"/>
      <c r="Q2274" s="22" t="s">
        <v>2041</v>
      </c>
      <c r="R2274" s="22"/>
      <c r="S2274" s="22"/>
      <c r="T2274" s="20" t="s">
        <v>3797</v>
      </c>
      <c r="U2274" s="148" t="s">
        <v>3798</v>
      </c>
      <c r="V2274" s="20" t="s">
        <v>3799</v>
      </c>
      <c r="W2274" s="20" t="s">
        <v>23</v>
      </c>
      <c r="DE2274" s="69" t="b">
        <v>1</v>
      </c>
    </row>
    <row r="2275" spans="1:111" x14ac:dyDescent="0.2">
      <c r="A2275" s="29">
        <v>50000</v>
      </c>
      <c r="B2275" s="29">
        <v>2</v>
      </c>
      <c r="C2275" s="29">
        <f t="shared" si="204"/>
        <v>500000002</v>
      </c>
      <c r="D2275" s="29" t="s">
        <v>3800</v>
      </c>
      <c r="E2275" s="21" t="s">
        <v>3922</v>
      </c>
      <c r="F2275" s="21"/>
      <c r="I2275" s="159" t="s">
        <v>3895</v>
      </c>
      <c r="J2275" s="20" t="s">
        <v>3879</v>
      </c>
      <c r="N2275" s="21" t="s">
        <v>1129</v>
      </c>
      <c r="O2275" s="22" t="s">
        <v>3940</v>
      </c>
      <c r="P2275" s="22"/>
      <c r="Q2275" s="22" t="s">
        <v>2041</v>
      </c>
      <c r="R2275" s="22"/>
      <c r="S2275" s="22"/>
      <c r="T2275" s="20" t="s">
        <v>3797</v>
      </c>
      <c r="U2275" s="148" t="s">
        <v>3801</v>
      </c>
      <c r="V2275" s="20" t="s">
        <v>3799</v>
      </c>
      <c r="W2275" s="20" t="s">
        <v>23</v>
      </c>
      <c r="DE2275" s="69" t="b">
        <v>1</v>
      </c>
    </row>
    <row r="2276" spans="1:111" x14ac:dyDescent="0.2">
      <c r="A2276" s="29">
        <v>50000</v>
      </c>
      <c r="B2276" s="29">
        <v>3</v>
      </c>
      <c r="C2276" s="29">
        <f t="shared" si="204"/>
        <v>500000003</v>
      </c>
      <c r="D2276" s="29" t="s">
        <v>3802</v>
      </c>
      <c r="E2276" s="20" t="s">
        <v>3411</v>
      </c>
      <c r="I2276" s="159" t="s">
        <v>3895</v>
      </c>
      <c r="J2276" s="20" t="s">
        <v>3879</v>
      </c>
      <c r="N2276" s="21" t="s">
        <v>1129</v>
      </c>
      <c r="O2276" s="20" t="s">
        <v>3416</v>
      </c>
      <c r="P2276" s="20" t="s">
        <v>3416</v>
      </c>
      <c r="Q2276" s="20" t="s">
        <v>2041</v>
      </c>
      <c r="T2276" s="20" t="s">
        <v>3797</v>
      </c>
      <c r="U2276" s="148" t="s">
        <v>3803</v>
      </c>
      <c r="V2276" s="20" t="s">
        <v>3799</v>
      </c>
      <c r="W2276" s="20" t="s">
        <v>23</v>
      </c>
      <c r="DE2276" s="69" t="b">
        <v>1</v>
      </c>
    </row>
    <row r="2277" spans="1:111" x14ac:dyDescent="0.2">
      <c r="A2277" s="29">
        <v>50000</v>
      </c>
      <c r="B2277" s="29">
        <v>4</v>
      </c>
      <c r="C2277" s="29">
        <f t="shared" si="204"/>
        <v>500000004</v>
      </c>
      <c r="D2277" s="29" t="s">
        <v>3804</v>
      </c>
      <c r="E2277" s="21" t="s">
        <v>3922</v>
      </c>
      <c r="F2277" s="21"/>
      <c r="I2277" s="159" t="s">
        <v>3895</v>
      </c>
      <c r="J2277" s="20" t="s">
        <v>3879</v>
      </c>
      <c r="N2277" s="21" t="s">
        <v>1129</v>
      </c>
      <c r="O2277" s="22" t="s">
        <v>3940</v>
      </c>
      <c r="P2277" s="22"/>
      <c r="Q2277" s="22" t="s">
        <v>2041</v>
      </c>
      <c r="R2277" s="22"/>
      <c r="S2277" s="22"/>
      <c r="T2277" s="20" t="s">
        <v>3797</v>
      </c>
      <c r="U2277" s="148" t="s">
        <v>3805</v>
      </c>
      <c r="V2277" s="20" t="s">
        <v>3799</v>
      </c>
      <c r="W2277" s="20" t="s">
        <v>23</v>
      </c>
      <c r="DE2277" s="69" t="b">
        <v>1</v>
      </c>
    </row>
    <row r="2278" spans="1:111" x14ac:dyDescent="0.2">
      <c r="A2278" s="29">
        <v>50000</v>
      </c>
      <c r="B2278" s="29">
        <v>5</v>
      </c>
      <c r="C2278" s="29">
        <f t="shared" si="204"/>
        <v>500000005</v>
      </c>
      <c r="D2278" s="29" t="s">
        <v>3806</v>
      </c>
      <c r="E2278" s="21" t="s">
        <v>3922</v>
      </c>
      <c r="F2278" s="21"/>
      <c r="I2278" s="159" t="s">
        <v>3895</v>
      </c>
      <c r="J2278" s="20" t="s">
        <v>3879</v>
      </c>
      <c r="N2278" s="21" t="s">
        <v>1129</v>
      </c>
      <c r="O2278" s="22" t="s">
        <v>3940</v>
      </c>
      <c r="P2278" s="22"/>
      <c r="Q2278" s="22" t="s">
        <v>2041</v>
      </c>
      <c r="R2278" s="22"/>
      <c r="S2278" s="22"/>
      <c r="T2278" s="20" t="s">
        <v>3797</v>
      </c>
      <c r="U2278" s="148" t="s">
        <v>3807</v>
      </c>
      <c r="V2278" s="20" t="s">
        <v>3799</v>
      </c>
      <c r="W2278" s="20" t="s">
        <v>23</v>
      </c>
      <c r="DE2278" s="69" t="b">
        <v>1</v>
      </c>
    </row>
    <row r="2279" spans="1:111" x14ac:dyDescent="0.2">
      <c r="A2279" s="29">
        <v>50000</v>
      </c>
      <c r="B2279" s="29">
        <v>6</v>
      </c>
      <c r="C2279" s="29">
        <f t="shared" si="204"/>
        <v>500000006</v>
      </c>
      <c r="D2279" s="29" t="s">
        <v>3808</v>
      </c>
      <c r="E2279" s="21" t="s">
        <v>3922</v>
      </c>
      <c r="F2279" s="21"/>
      <c r="I2279" s="159" t="s">
        <v>3895</v>
      </c>
      <c r="J2279" s="20" t="s">
        <v>3879</v>
      </c>
      <c r="N2279" s="21" t="s">
        <v>1129</v>
      </c>
      <c r="O2279" s="22" t="s">
        <v>3940</v>
      </c>
      <c r="P2279" s="22"/>
      <c r="Q2279" s="22" t="s">
        <v>2041</v>
      </c>
      <c r="R2279" s="22"/>
      <c r="S2279" s="22"/>
      <c r="T2279" s="20" t="s">
        <v>3797</v>
      </c>
      <c r="U2279" s="148" t="s">
        <v>3809</v>
      </c>
      <c r="V2279" s="20" t="s">
        <v>3799</v>
      </c>
      <c r="W2279" s="20" t="s">
        <v>23</v>
      </c>
      <c r="DE2279" s="69" t="b">
        <v>1</v>
      </c>
    </row>
    <row r="2280" spans="1:111" x14ac:dyDescent="0.2">
      <c r="A2280" s="29">
        <v>50000</v>
      </c>
      <c r="B2280" s="29">
        <v>7</v>
      </c>
      <c r="C2280" s="29">
        <f t="shared" si="204"/>
        <v>500000007</v>
      </c>
      <c r="D2280" s="29" t="s">
        <v>3810</v>
      </c>
      <c r="E2280" s="21" t="s">
        <v>3922</v>
      </c>
      <c r="F2280" s="21"/>
      <c r="I2280" s="159" t="s">
        <v>3895</v>
      </c>
      <c r="J2280" s="20" t="s">
        <v>3879</v>
      </c>
      <c r="N2280" s="21" t="s">
        <v>1129</v>
      </c>
      <c r="O2280" s="22" t="s">
        <v>3940</v>
      </c>
      <c r="P2280" s="22"/>
      <c r="Q2280" s="22" t="s">
        <v>2041</v>
      </c>
      <c r="R2280" s="22"/>
      <c r="S2280" s="22"/>
      <c r="T2280" s="20" t="s">
        <v>3797</v>
      </c>
      <c r="U2280" s="148" t="s">
        <v>3811</v>
      </c>
      <c r="V2280" s="20" t="s">
        <v>3799</v>
      </c>
      <c r="W2280" s="20" t="s">
        <v>23</v>
      </c>
      <c r="DE2280" s="69" t="b">
        <v>1</v>
      </c>
    </row>
    <row r="2281" spans="1:111" x14ac:dyDescent="0.2">
      <c r="A2281" s="29">
        <v>50000</v>
      </c>
      <c r="B2281" s="29">
        <v>8</v>
      </c>
      <c r="C2281" s="29">
        <f t="shared" si="204"/>
        <v>500000008</v>
      </c>
      <c r="D2281" s="29" t="s">
        <v>3812</v>
      </c>
      <c r="E2281" s="21" t="s">
        <v>3922</v>
      </c>
      <c r="F2281" s="21"/>
      <c r="I2281" s="159" t="s">
        <v>3895</v>
      </c>
      <c r="J2281" s="20" t="s">
        <v>3879</v>
      </c>
      <c r="N2281" s="21" t="s">
        <v>1129</v>
      </c>
      <c r="O2281" s="22" t="s">
        <v>3940</v>
      </c>
      <c r="P2281" s="22"/>
      <c r="Q2281" s="22" t="s">
        <v>2041</v>
      </c>
      <c r="R2281" s="22"/>
      <c r="S2281" s="22"/>
      <c r="T2281" s="20" t="s">
        <v>3797</v>
      </c>
      <c r="U2281" s="148" t="s">
        <v>3813</v>
      </c>
      <c r="V2281" s="20" t="s">
        <v>3799</v>
      </c>
      <c r="W2281" s="20" t="s">
        <v>23</v>
      </c>
      <c r="DE2281" s="69" t="b">
        <v>1</v>
      </c>
    </row>
    <row r="2282" spans="1:111" x14ac:dyDescent="0.2">
      <c r="A2282" s="29">
        <v>50000</v>
      </c>
      <c r="B2282" s="29">
        <v>9</v>
      </c>
      <c r="C2282" s="29">
        <f t="shared" si="204"/>
        <v>500000009</v>
      </c>
      <c r="D2282" s="29" t="s">
        <v>3814</v>
      </c>
      <c r="E2282" s="21" t="s">
        <v>3922</v>
      </c>
      <c r="F2282" s="21"/>
      <c r="I2282" s="159" t="s">
        <v>3895</v>
      </c>
      <c r="J2282" s="20" t="s">
        <v>3879</v>
      </c>
      <c r="N2282" s="21" t="s">
        <v>1129</v>
      </c>
      <c r="O2282" s="22" t="s">
        <v>3940</v>
      </c>
      <c r="P2282" s="22"/>
      <c r="Q2282" s="22" t="s">
        <v>2041</v>
      </c>
      <c r="R2282" s="22"/>
      <c r="S2282" s="22"/>
      <c r="T2282" s="20" t="s">
        <v>3797</v>
      </c>
      <c r="U2282" s="148" t="s">
        <v>3815</v>
      </c>
      <c r="V2282" s="20" t="s">
        <v>3799</v>
      </c>
      <c r="W2282" s="20" t="s">
        <v>23</v>
      </c>
      <c r="DE2282" s="69" t="b">
        <v>1</v>
      </c>
    </row>
    <row r="2283" spans="1:111" x14ac:dyDescent="0.2">
      <c r="A2283" s="29">
        <v>50000</v>
      </c>
      <c r="B2283" s="29">
        <v>210</v>
      </c>
      <c r="C2283" s="29">
        <f t="shared" si="204"/>
        <v>500000210</v>
      </c>
      <c r="D2283" s="29" t="s">
        <v>3816</v>
      </c>
      <c r="E2283" s="21" t="s">
        <v>3922</v>
      </c>
      <c r="F2283" s="21"/>
      <c r="I2283" s="159" t="s">
        <v>3895</v>
      </c>
      <c r="J2283" s="20" t="s">
        <v>3879</v>
      </c>
      <c r="N2283" s="22" t="s">
        <v>1310</v>
      </c>
      <c r="O2283" s="22" t="s">
        <v>3938</v>
      </c>
      <c r="P2283" s="22" t="s">
        <v>3938</v>
      </c>
      <c r="Q2283" s="22" t="s">
        <v>2041</v>
      </c>
      <c r="R2283" s="22"/>
      <c r="S2283" s="22"/>
      <c r="T2283" s="20" t="s">
        <v>3818</v>
      </c>
      <c r="U2283" s="148" t="s">
        <v>3819</v>
      </c>
      <c r="V2283" s="20" t="s">
        <v>3799</v>
      </c>
      <c r="W2283" s="20" t="s">
        <v>23</v>
      </c>
      <c r="AL2283" s="28" t="s">
        <v>3939</v>
      </c>
      <c r="DE2283" s="69" t="b">
        <v>1</v>
      </c>
    </row>
    <row r="2284" spans="1:111" x14ac:dyDescent="0.2">
      <c r="A2284" s="29">
        <v>50000</v>
      </c>
      <c r="B2284" s="29">
        <v>10</v>
      </c>
      <c r="C2284" s="29">
        <f t="shared" si="204"/>
        <v>500000010</v>
      </c>
      <c r="D2284" s="29" t="s">
        <v>3932</v>
      </c>
      <c r="E2284" s="21" t="s">
        <v>3922</v>
      </c>
      <c r="F2284" s="21"/>
      <c r="I2284" s="159" t="s">
        <v>3895</v>
      </c>
      <c r="N2284" s="22" t="s">
        <v>3820</v>
      </c>
      <c r="O2284" s="22" t="s">
        <v>3817</v>
      </c>
      <c r="P2284" s="22" t="s">
        <v>3817</v>
      </c>
      <c r="Q2284" s="22" t="s">
        <v>2041</v>
      </c>
      <c r="R2284" s="22"/>
      <c r="S2284" s="22"/>
      <c r="T2284" s="20" t="s">
        <v>3821</v>
      </c>
      <c r="U2284" s="148" t="s">
        <v>3822</v>
      </c>
      <c r="V2284" s="20" t="s">
        <v>3823</v>
      </c>
      <c r="W2284" s="20" t="s">
        <v>23</v>
      </c>
      <c r="X2284" s="20" t="s">
        <v>23</v>
      </c>
      <c r="Y2284" s="23" t="s">
        <v>137</v>
      </c>
      <c r="AE2284" s="20"/>
      <c r="CI2284" s="23" t="s">
        <v>3824</v>
      </c>
      <c r="CJ2284" s="28">
        <v>1</v>
      </c>
      <c r="DE2284" s="69" t="b">
        <v>1</v>
      </c>
    </row>
    <row r="2285" spans="1:111" x14ac:dyDescent="0.2">
      <c r="A2285" s="29">
        <v>50000</v>
      </c>
      <c r="B2285" s="29">
        <v>11</v>
      </c>
      <c r="C2285" s="29">
        <f t="shared" si="204"/>
        <v>500000011</v>
      </c>
      <c r="D2285" s="29" t="s">
        <v>3933</v>
      </c>
      <c r="E2285" s="67" t="s">
        <v>3825</v>
      </c>
      <c r="F2285" s="67"/>
      <c r="I2285" s="159" t="s">
        <v>3895</v>
      </c>
      <c r="J2285" s="20" t="s">
        <v>3879</v>
      </c>
      <c r="N2285" s="22" t="s">
        <v>3820</v>
      </c>
      <c r="O2285" s="22" t="s">
        <v>3826</v>
      </c>
      <c r="P2285" s="22" t="s">
        <v>3826</v>
      </c>
      <c r="Q2285" s="22" t="s">
        <v>2041</v>
      </c>
      <c r="R2285" s="22"/>
      <c r="S2285" s="22"/>
      <c r="T2285" s="20" t="s">
        <v>3827</v>
      </c>
      <c r="U2285" s="148" t="s">
        <v>3828</v>
      </c>
      <c r="V2285" s="20" t="s">
        <v>3829</v>
      </c>
      <c r="W2285" s="20" t="s">
        <v>23</v>
      </c>
      <c r="X2285" s="20" t="s">
        <v>23</v>
      </c>
      <c r="Y2285" s="23" t="s">
        <v>5</v>
      </c>
      <c r="AE2285" s="20"/>
      <c r="CI2285" s="23" t="s">
        <v>3830</v>
      </c>
      <c r="DE2285" s="23" t="b">
        <v>1</v>
      </c>
      <c r="DF2285" s="23" t="s">
        <v>3936</v>
      </c>
      <c r="DG2285" s="23" t="s">
        <v>3931</v>
      </c>
    </row>
    <row r="2286" spans="1:111" x14ac:dyDescent="0.2">
      <c r="A2286" s="29">
        <v>50000</v>
      </c>
      <c r="B2286" s="29" t="s">
        <v>147</v>
      </c>
      <c r="C2286" s="29">
        <f t="shared" ref="C2286" si="206">A2286*10000+B2286</f>
        <v>500000012</v>
      </c>
      <c r="D2286" s="29" t="s">
        <v>3934</v>
      </c>
      <c r="E2286" s="21" t="s">
        <v>3922</v>
      </c>
      <c r="F2286" s="21"/>
      <c r="I2286" s="159" t="s">
        <v>3895</v>
      </c>
      <c r="N2286" s="20" t="s">
        <v>1310</v>
      </c>
      <c r="O2286" s="20" t="s">
        <v>1326</v>
      </c>
      <c r="Q2286" s="20" t="s">
        <v>2041</v>
      </c>
      <c r="T2286" s="20" t="s">
        <v>3909</v>
      </c>
      <c r="U2286" s="148" t="s">
        <v>3910</v>
      </c>
      <c r="V2286" s="20" t="s">
        <v>3799</v>
      </c>
      <c r="W2286" s="20" t="s">
        <v>23</v>
      </c>
      <c r="AE2286" s="20"/>
      <c r="DE2286" s="23" t="b">
        <v>1</v>
      </c>
    </row>
    <row r="2287" spans="1:111" x14ac:dyDescent="0.2">
      <c r="A2287" s="29">
        <v>50000</v>
      </c>
      <c r="B2287" s="29" t="s">
        <v>3896</v>
      </c>
      <c r="C2287" s="29">
        <f t="shared" si="204"/>
        <v>500000020</v>
      </c>
      <c r="D2287" s="29" t="s">
        <v>3897</v>
      </c>
      <c r="E2287" s="21" t="s">
        <v>3922</v>
      </c>
      <c r="F2287" s="21"/>
      <c r="I2287" s="159" t="s">
        <v>3895</v>
      </c>
      <c r="N2287" s="20" t="s">
        <v>1310</v>
      </c>
      <c r="O2287" s="20" t="s">
        <v>1326</v>
      </c>
      <c r="Q2287" s="20" t="s">
        <v>2041</v>
      </c>
      <c r="T2287" s="20" t="s">
        <v>3909</v>
      </c>
      <c r="U2287" s="148" t="s">
        <v>3910</v>
      </c>
      <c r="V2287" s="20" t="s">
        <v>3799</v>
      </c>
      <c r="W2287" s="20" t="s">
        <v>23</v>
      </c>
      <c r="AE2287" s="20"/>
      <c r="DE2287" s="23" t="b">
        <v>1</v>
      </c>
    </row>
    <row r="2288" spans="1:111" x14ac:dyDescent="0.2">
      <c r="A2288" s="29">
        <v>50000</v>
      </c>
      <c r="B2288" s="29" t="s">
        <v>18</v>
      </c>
      <c r="C2288" s="29">
        <f t="shared" si="204"/>
        <v>500000021</v>
      </c>
      <c r="D2288" s="29" t="s">
        <v>3898</v>
      </c>
      <c r="E2288" s="21" t="s">
        <v>3922</v>
      </c>
      <c r="F2288" s="21"/>
      <c r="I2288" s="159" t="s">
        <v>3895</v>
      </c>
      <c r="N2288" s="20" t="s">
        <v>1310</v>
      </c>
      <c r="O2288" s="20" t="s">
        <v>1326</v>
      </c>
      <c r="Q2288" s="20" t="s">
        <v>2041</v>
      </c>
      <c r="T2288" s="20" t="s">
        <v>3909</v>
      </c>
      <c r="U2288" s="148" t="s">
        <v>3911</v>
      </c>
      <c r="V2288" s="20" t="s">
        <v>3799</v>
      </c>
      <c r="W2288" s="20" t="s">
        <v>23</v>
      </c>
      <c r="AE2288" s="20"/>
      <c r="DE2288" s="23" t="b">
        <v>1</v>
      </c>
    </row>
    <row r="2289" spans="1:109" x14ac:dyDescent="0.2">
      <c r="A2289" s="29">
        <v>50000</v>
      </c>
      <c r="B2289" s="29" t="s">
        <v>19</v>
      </c>
      <c r="C2289" s="29">
        <f t="shared" si="204"/>
        <v>500000022</v>
      </c>
      <c r="D2289" s="29" t="s">
        <v>3899</v>
      </c>
      <c r="E2289" s="21" t="s">
        <v>3922</v>
      </c>
      <c r="F2289" s="21"/>
      <c r="I2289" s="159" t="s">
        <v>3895</v>
      </c>
      <c r="N2289" s="20" t="s">
        <v>1310</v>
      </c>
      <c r="O2289" s="20" t="s">
        <v>1326</v>
      </c>
      <c r="Q2289" s="20" t="s">
        <v>2041</v>
      </c>
      <c r="T2289" s="20" t="s">
        <v>3909</v>
      </c>
      <c r="U2289" s="148" t="s">
        <v>3912</v>
      </c>
      <c r="V2289" s="20" t="s">
        <v>3799</v>
      </c>
      <c r="W2289" s="20" t="s">
        <v>23</v>
      </c>
      <c r="AE2289" s="20"/>
      <c r="DE2289" s="23" t="b">
        <v>1</v>
      </c>
    </row>
    <row r="2290" spans="1:109" x14ac:dyDescent="0.2">
      <c r="A2290" s="29">
        <v>50000</v>
      </c>
      <c r="B2290" s="29" t="s">
        <v>20</v>
      </c>
      <c r="C2290" s="29">
        <f t="shared" si="204"/>
        <v>500000023</v>
      </c>
      <c r="D2290" s="29" t="s">
        <v>3900</v>
      </c>
      <c r="E2290" s="21" t="s">
        <v>3922</v>
      </c>
      <c r="F2290" s="21"/>
      <c r="I2290" s="159" t="s">
        <v>3895</v>
      </c>
      <c r="N2290" s="20" t="s">
        <v>1310</v>
      </c>
      <c r="O2290" s="20" t="s">
        <v>1326</v>
      </c>
      <c r="Q2290" s="20" t="s">
        <v>2041</v>
      </c>
      <c r="T2290" s="20" t="s">
        <v>3909</v>
      </c>
      <c r="U2290" s="148" t="s">
        <v>3913</v>
      </c>
      <c r="V2290" s="20" t="s">
        <v>3799</v>
      </c>
      <c r="W2290" s="20" t="s">
        <v>23</v>
      </c>
      <c r="AE2290" s="20"/>
      <c r="DE2290" s="23" t="b">
        <v>1</v>
      </c>
    </row>
    <row r="2291" spans="1:109" x14ac:dyDescent="0.2">
      <c r="A2291" s="29">
        <v>50000</v>
      </c>
      <c r="B2291" s="29" t="s">
        <v>21</v>
      </c>
      <c r="C2291" s="29">
        <f t="shared" si="204"/>
        <v>500000024</v>
      </c>
      <c r="D2291" s="29" t="s">
        <v>3901</v>
      </c>
      <c r="E2291" s="21" t="s">
        <v>3922</v>
      </c>
      <c r="F2291" s="21"/>
      <c r="I2291" s="159" t="s">
        <v>3895</v>
      </c>
      <c r="N2291" s="20" t="s">
        <v>1310</v>
      </c>
      <c r="O2291" s="20" t="s">
        <v>1326</v>
      </c>
      <c r="Q2291" s="20" t="s">
        <v>2041</v>
      </c>
      <c r="T2291" s="20" t="s">
        <v>3909</v>
      </c>
      <c r="U2291" s="148" t="s">
        <v>3914</v>
      </c>
      <c r="V2291" s="20" t="s">
        <v>3799</v>
      </c>
      <c r="W2291" s="20" t="s">
        <v>23</v>
      </c>
      <c r="AE2291" s="20"/>
      <c r="DE2291" s="23" t="b">
        <v>1</v>
      </c>
    </row>
    <row r="2292" spans="1:109" x14ac:dyDescent="0.2">
      <c r="A2292" s="29">
        <v>50000</v>
      </c>
      <c r="B2292" s="29" t="s">
        <v>487</v>
      </c>
      <c r="C2292" s="29">
        <f t="shared" si="204"/>
        <v>500000025</v>
      </c>
      <c r="D2292" s="29" t="s">
        <v>3902</v>
      </c>
      <c r="E2292" s="21" t="s">
        <v>3922</v>
      </c>
      <c r="F2292" s="21"/>
      <c r="I2292" s="159" t="s">
        <v>3895</v>
      </c>
      <c r="N2292" s="20" t="s">
        <v>1310</v>
      </c>
      <c r="O2292" s="20" t="s">
        <v>1326</v>
      </c>
      <c r="Q2292" s="20" t="s">
        <v>2041</v>
      </c>
      <c r="T2292" s="20" t="s">
        <v>3909</v>
      </c>
      <c r="U2292" s="148" t="s">
        <v>3915</v>
      </c>
      <c r="V2292" s="20" t="s">
        <v>3799</v>
      </c>
      <c r="W2292" s="20" t="s">
        <v>23</v>
      </c>
      <c r="AE2292" s="20"/>
      <c r="DE2292" s="23" t="b">
        <v>1</v>
      </c>
    </row>
    <row r="2293" spans="1:109" x14ac:dyDescent="0.2">
      <c r="A2293" s="29">
        <v>50000</v>
      </c>
      <c r="B2293" s="29" t="s">
        <v>358</v>
      </c>
      <c r="C2293" s="29">
        <f t="shared" si="204"/>
        <v>500000026</v>
      </c>
      <c r="D2293" s="29" t="s">
        <v>3903</v>
      </c>
      <c r="E2293" s="21" t="s">
        <v>3922</v>
      </c>
      <c r="F2293" s="21"/>
      <c r="I2293" s="159" t="s">
        <v>3895</v>
      </c>
      <c r="N2293" s="20" t="s">
        <v>1310</v>
      </c>
      <c r="O2293" s="20" t="s">
        <v>1326</v>
      </c>
      <c r="Q2293" s="20" t="s">
        <v>2041</v>
      </c>
      <c r="T2293" s="20" t="s">
        <v>3909</v>
      </c>
      <c r="U2293" s="148" t="s">
        <v>3916</v>
      </c>
      <c r="V2293" s="20" t="s">
        <v>3799</v>
      </c>
      <c r="W2293" s="20" t="s">
        <v>23</v>
      </c>
      <c r="AE2293" s="20"/>
      <c r="DE2293" s="23" t="b">
        <v>1</v>
      </c>
    </row>
    <row r="2294" spans="1:109" x14ac:dyDescent="0.2">
      <c r="A2294" s="29">
        <v>50000</v>
      </c>
      <c r="B2294" s="29" t="s">
        <v>488</v>
      </c>
      <c r="C2294" s="29">
        <f t="shared" si="204"/>
        <v>500000027</v>
      </c>
      <c r="D2294" s="29" t="s">
        <v>3904</v>
      </c>
      <c r="E2294" s="21" t="s">
        <v>3922</v>
      </c>
      <c r="F2294" s="21"/>
      <c r="I2294" s="159" t="s">
        <v>3895</v>
      </c>
      <c r="N2294" s="20" t="s">
        <v>1310</v>
      </c>
      <c r="O2294" s="20" t="s">
        <v>1326</v>
      </c>
      <c r="Q2294" s="20" t="s">
        <v>2041</v>
      </c>
      <c r="T2294" s="20" t="s">
        <v>3909</v>
      </c>
      <c r="U2294" s="148" t="s">
        <v>3917</v>
      </c>
      <c r="V2294" s="20" t="s">
        <v>3799</v>
      </c>
      <c r="W2294" s="20" t="s">
        <v>23</v>
      </c>
      <c r="AE2294" s="20"/>
      <c r="DE2294" s="23" t="b">
        <v>1</v>
      </c>
    </row>
    <row r="2295" spans="1:109" x14ac:dyDescent="0.2">
      <c r="A2295" s="29">
        <v>50000</v>
      </c>
      <c r="B2295" s="29" t="s">
        <v>359</v>
      </c>
      <c r="C2295" s="29">
        <f t="shared" si="204"/>
        <v>500000028</v>
      </c>
      <c r="D2295" s="29" t="s">
        <v>3905</v>
      </c>
      <c r="E2295" s="21" t="s">
        <v>3922</v>
      </c>
      <c r="F2295" s="21"/>
      <c r="I2295" s="159" t="s">
        <v>3895</v>
      </c>
      <c r="N2295" s="20" t="s">
        <v>1310</v>
      </c>
      <c r="O2295" s="20" t="s">
        <v>1326</v>
      </c>
      <c r="Q2295" s="20" t="s">
        <v>2041</v>
      </c>
      <c r="T2295" s="20" t="s">
        <v>3909</v>
      </c>
      <c r="U2295" s="148" t="s">
        <v>3918</v>
      </c>
      <c r="V2295" s="20" t="s">
        <v>3799</v>
      </c>
      <c r="W2295" s="20" t="s">
        <v>23</v>
      </c>
      <c r="AE2295" s="20"/>
      <c r="DE2295" s="23" t="b">
        <v>1</v>
      </c>
    </row>
    <row r="2296" spans="1:109" x14ac:dyDescent="0.2">
      <c r="A2296" s="29">
        <v>50000</v>
      </c>
      <c r="B2296" s="29" t="s">
        <v>489</v>
      </c>
      <c r="C2296" s="29">
        <f t="shared" si="204"/>
        <v>500000029</v>
      </c>
      <c r="D2296" s="29" t="s">
        <v>3906</v>
      </c>
      <c r="E2296" s="21" t="s">
        <v>3922</v>
      </c>
      <c r="F2296" s="21"/>
      <c r="I2296" s="159" t="s">
        <v>3895</v>
      </c>
      <c r="N2296" s="20" t="s">
        <v>1310</v>
      </c>
      <c r="O2296" s="20" t="s">
        <v>1326</v>
      </c>
      <c r="Q2296" s="20" t="s">
        <v>2041</v>
      </c>
      <c r="T2296" s="20" t="s">
        <v>3909</v>
      </c>
      <c r="U2296" s="148" t="s">
        <v>3921</v>
      </c>
      <c r="V2296" s="20" t="s">
        <v>3799</v>
      </c>
      <c r="W2296" s="20" t="s">
        <v>23</v>
      </c>
      <c r="AE2296" s="20"/>
      <c r="DE2296" s="23" t="b">
        <v>1</v>
      </c>
    </row>
    <row r="2297" spans="1:109" x14ac:dyDescent="0.2">
      <c r="A2297" s="29">
        <v>50000</v>
      </c>
      <c r="B2297" s="29" t="s">
        <v>342</v>
      </c>
      <c r="C2297" s="29">
        <f t="shared" si="204"/>
        <v>500000030</v>
      </c>
      <c r="D2297" s="29" t="s">
        <v>3907</v>
      </c>
      <c r="E2297" s="21" t="s">
        <v>3922</v>
      </c>
      <c r="F2297" s="21"/>
      <c r="I2297" s="159" t="s">
        <v>3895</v>
      </c>
      <c r="N2297" s="20" t="s">
        <v>1310</v>
      </c>
      <c r="O2297" s="20" t="s">
        <v>1326</v>
      </c>
      <c r="Q2297" s="20" t="s">
        <v>2041</v>
      </c>
      <c r="T2297" s="20" t="s">
        <v>3909</v>
      </c>
      <c r="U2297" s="148" t="s">
        <v>3919</v>
      </c>
      <c r="V2297" s="20" t="s">
        <v>3799</v>
      </c>
      <c r="W2297" s="20" t="s">
        <v>23</v>
      </c>
      <c r="AE2297" s="20"/>
      <c r="DE2297" s="23" t="b">
        <v>1</v>
      </c>
    </row>
    <row r="2298" spans="1:109" x14ac:dyDescent="0.2">
      <c r="A2298" s="29">
        <v>50000</v>
      </c>
      <c r="B2298" s="29" t="s">
        <v>490</v>
      </c>
      <c r="C2298" s="29">
        <f t="shared" si="204"/>
        <v>500000031</v>
      </c>
      <c r="D2298" s="29" t="s">
        <v>3908</v>
      </c>
      <c r="E2298" s="21" t="s">
        <v>3922</v>
      </c>
      <c r="F2298" s="21"/>
      <c r="I2298" s="159" t="s">
        <v>3895</v>
      </c>
      <c r="N2298" s="20" t="s">
        <v>1310</v>
      </c>
      <c r="O2298" s="20" t="s">
        <v>1326</v>
      </c>
      <c r="Q2298" s="20" t="s">
        <v>2041</v>
      </c>
      <c r="T2298" s="20" t="s">
        <v>3909</v>
      </c>
      <c r="U2298" s="148" t="s">
        <v>3920</v>
      </c>
      <c r="V2298" s="20" t="s">
        <v>3799</v>
      </c>
      <c r="W2298" s="20" t="s">
        <v>23</v>
      </c>
      <c r="AE2298" s="20"/>
      <c r="DE2298" s="23" t="b">
        <v>1</v>
      </c>
    </row>
    <row r="2299" spans="1:109" x14ac:dyDescent="0.2">
      <c r="A2299" s="29">
        <v>50000</v>
      </c>
      <c r="B2299" s="29">
        <v>501</v>
      </c>
      <c r="C2299" s="29">
        <f t="shared" si="204"/>
        <v>500000501</v>
      </c>
      <c r="D2299" s="29" t="s">
        <v>3831</v>
      </c>
      <c r="E2299" s="21" t="s">
        <v>3922</v>
      </c>
      <c r="F2299" s="21"/>
      <c r="I2299" s="159" t="s">
        <v>3895</v>
      </c>
      <c r="N2299" s="22" t="s">
        <v>3820</v>
      </c>
      <c r="O2299" s="22" t="s">
        <v>3832</v>
      </c>
      <c r="Q2299" s="20" t="s">
        <v>4853</v>
      </c>
      <c r="R2299" s="20" t="s">
        <v>22</v>
      </c>
      <c r="S2299" s="20" t="s">
        <v>267</v>
      </c>
      <c r="T2299" s="20" t="s">
        <v>3821</v>
      </c>
      <c r="U2299" s="148" t="s">
        <v>3126</v>
      </c>
      <c r="V2299" s="20" t="s">
        <v>3833</v>
      </c>
      <c r="W2299" s="20" t="s">
        <v>23</v>
      </c>
      <c r="X2299" s="20" t="s">
        <v>23</v>
      </c>
      <c r="Y2299" s="23" t="s">
        <v>5</v>
      </c>
      <c r="AE2299" s="20"/>
      <c r="CI2299" s="23" t="s">
        <v>3834</v>
      </c>
      <c r="CJ2299" s="28">
        <v>1</v>
      </c>
      <c r="DE2299" s="23" t="b">
        <v>1</v>
      </c>
    </row>
    <row r="2300" spans="1:109" x14ac:dyDescent="0.2">
      <c r="A2300" s="29">
        <v>50000</v>
      </c>
      <c r="B2300" s="29">
        <v>502</v>
      </c>
      <c r="C2300" s="29">
        <f t="shared" si="204"/>
        <v>500000502</v>
      </c>
      <c r="D2300" s="29" t="s">
        <v>3835</v>
      </c>
      <c r="E2300" s="21" t="s">
        <v>3922</v>
      </c>
      <c r="F2300" s="21"/>
      <c r="I2300" s="159" t="s">
        <v>3895</v>
      </c>
      <c r="N2300" s="22" t="s">
        <v>3820</v>
      </c>
      <c r="O2300" s="22" t="s">
        <v>3832</v>
      </c>
      <c r="Q2300" s="20" t="s">
        <v>4853</v>
      </c>
      <c r="R2300" s="20" t="s">
        <v>22</v>
      </c>
      <c r="S2300" s="20" t="s">
        <v>267</v>
      </c>
      <c r="T2300" s="20" t="s">
        <v>3821</v>
      </c>
      <c r="U2300" s="148" t="s">
        <v>3836</v>
      </c>
      <c r="V2300" s="20" t="s">
        <v>3833</v>
      </c>
      <c r="W2300" s="20" t="s">
        <v>23</v>
      </c>
      <c r="X2300" s="20" t="s">
        <v>23</v>
      </c>
      <c r="Y2300" s="23" t="s">
        <v>5</v>
      </c>
      <c r="AE2300" s="20"/>
      <c r="CI2300" s="23" t="s">
        <v>3834</v>
      </c>
      <c r="CJ2300" s="28">
        <v>1</v>
      </c>
      <c r="DE2300" s="23" t="b">
        <v>1</v>
      </c>
    </row>
    <row r="2301" spans="1:109" x14ac:dyDescent="0.2">
      <c r="A2301" s="29">
        <v>50000</v>
      </c>
      <c r="B2301" s="29">
        <v>503</v>
      </c>
      <c r="C2301" s="29">
        <f t="shared" si="204"/>
        <v>500000503</v>
      </c>
      <c r="D2301" s="29" t="s">
        <v>3837</v>
      </c>
      <c r="E2301" s="21" t="s">
        <v>3922</v>
      </c>
      <c r="F2301" s="21"/>
      <c r="I2301" s="159" t="s">
        <v>3895</v>
      </c>
      <c r="N2301" s="22" t="s">
        <v>3820</v>
      </c>
      <c r="O2301" s="22" t="s">
        <v>3832</v>
      </c>
      <c r="Q2301" s="20" t="s">
        <v>4853</v>
      </c>
      <c r="R2301" s="20" t="s">
        <v>22</v>
      </c>
      <c r="S2301" s="20" t="s">
        <v>267</v>
      </c>
      <c r="T2301" s="20" t="s">
        <v>3821</v>
      </c>
      <c r="U2301" s="148" t="s">
        <v>3426</v>
      </c>
      <c r="V2301" s="20" t="s">
        <v>3833</v>
      </c>
      <c r="W2301" s="20" t="s">
        <v>23</v>
      </c>
      <c r="X2301" s="20" t="s">
        <v>23</v>
      </c>
      <c r="Y2301" s="23" t="s">
        <v>5</v>
      </c>
      <c r="AE2301" s="20"/>
      <c r="CI2301" s="23" t="s">
        <v>3834</v>
      </c>
      <c r="CJ2301" s="28">
        <v>1</v>
      </c>
      <c r="DE2301" s="23" t="b">
        <v>1</v>
      </c>
    </row>
    <row r="2302" spans="1:109" x14ac:dyDescent="0.2">
      <c r="A2302" s="29">
        <v>50000</v>
      </c>
      <c r="B2302" s="29">
        <v>504</v>
      </c>
      <c r="C2302" s="29">
        <f t="shared" si="204"/>
        <v>500000504</v>
      </c>
      <c r="D2302" s="29" t="s">
        <v>3838</v>
      </c>
      <c r="E2302" s="21" t="s">
        <v>3922</v>
      </c>
      <c r="F2302" s="21"/>
      <c r="I2302" s="159" t="s">
        <v>3895</v>
      </c>
      <c r="N2302" s="22" t="s">
        <v>3820</v>
      </c>
      <c r="O2302" s="22" t="s">
        <v>3832</v>
      </c>
      <c r="Q2302" s="20" t="s">
        <v>4853</v>
      </c>
      <c r="R2302" s="20" t="s">
        <v>22</v>
      </c>
      <c r="S2302" s="20" t="s">
        <v>267</v>
      </c>
      <c r="T2302" s="20" t="s">
        <v>3821</v>
      </c>
      <c r="U2302" s="148" t="s">
        <v>3427</v>
      </c>
      <c r="V2302" s="20" t="s">
        <v>3833</v>
      </c>
      <c r="W2302" s="20" t="s">
        <v>23</v>
      </c>
      <c r="X2302" s="20" t="s">
        <v>23</v>
      </c>
      <c r="Y2302" s="23" t="s">
        <v>5</v>
      </c>
      <c r="AE2302" s="20"/>
      <c r="CI2302" s="23" t="s">
        <v>3834</v>
      </c>
      <c r="CJ2302" s="28">
        <v>1</v>
      </c>
      <c r="DE2302" s="23" t="b">
        <v>1</v>
      </c>
    </row>
    <row r="2303" spans="1:109" x14ac:dyDescent="0.2">
      <c r="A2303" s="29">
        <v>50000</v>
      </c>
      <c r="B2303" s="29">
        <v>505</v>
      </c>
      <c r="C2303" s="29">
        <f t="shared" si="204"/>
        <v>500000505</v>
      </c>
      <c r="D2303" s="29" t="s">
        <v>3839</v>
      </c>
      <c r="E2303" s="21" t="s">
        <v>3922</v>
      </c>
      <c r="F2303" s="21"/>
      <c r="I2303" s="159" t="s">
        <v>3895</v>
      </c>
      <c r="N2303" s="22" t="s">
        <v>3820</v>
      </c>
      <c r="O2303" s="22" t="s">
        <v>3832</v>
      </c>
      <c r="Q2303" s="20" t="s">
        <v>4853</v>
      </c>
      <c r="R2303" s="20" t="s">
        <v>22</v>
      </c>
      <c r="S2303" s="20" t="s">
        <v>267</v>
      </c>
      <c r="T2303" s="20" t="s">
        <v>3821</v>
      </c>
      <c r="U2303" s="148" t="s">
        <v>3428</v>
      </c>
      <c r="V2303" s="20" t="s">
        <v>3833</v>
      </c>
      <c r="W2303" s="20" t="s">
        <v>23</v>
      </c>
      <c r="X2303" s="20" t="s">
        <v>23</v>
      </c>
      <c r="Y2303" s="23" t="s">
        <v>5</v>
      </c>
      <c r="AE2303" s="20"/>
      <c r="CI2303" s="23" t="s">
        <v>3834</v>
      </c>
      <c r="CJ2303" s="28">
        <v>1</v>
      </c>
      <c r="DE2303" s="23" t="b">
        <v>1</v>
      </c>
    </row>
    <row r="2304" spans="1:109" x14ac:dyDescent="0.2">
      <c r="A2304" s="29">
        <v>50000</v>
      </c>
      <c r="B2304" s="29">
        <v>506</v>
      </c>
      <c r="C2304" s="29">
        <f t="shared" si="204"/>
        <v>500000506</v>
      </c>
      <c r="D2304" s="29" t="s">
        <v>3840</v>
      </c>
      <c r="E2304" s="21" t="s">
        <v>3922</v>
      </c>
      <c r="F2304" s="21"/>
      <c r="I2304" s="159" t="s">
        <v>3895</v>
      </c>
      <c r="N2304" s="22" t="s">
        <v>3820</v>
      </c>
      <c r="O2304" s="22" t="s">
        <v>3832</v>
      </c>
      <c r="Q2304" s="20" t="s">
        <v>4853</v>
      </c>
      <c r="R2304" s="20" t="s">
        <v>22</v>
      </c>
      <c r="S2304" s="20" t="s">
        <v>267</v>
      </c>
      <c r="T2304" s="20" t="s">
        <v>3821</v>
      </c>
      <c r="U2304" s="148" t="s">
        <v>3429</v>
      </c>
      <c r="V2304" s="20" t="s">
        <v>3833</v>
      </c>
      <c r="W2304" s="20" t="s">
        <v>23</v>
      </c>
      <c r="X2304" s="20" t="s">
        <v>23</v>
      </c>
      <c r="Y2304" s="23" t="s">
        <v>5</v>
      </c>
      <c r="AE2304" s="20"/>
      <c r="CI2304" s="23" t="s">
        <v>3834</v>
      </c>
      <c r="CJ2304" s="28">
        <v>1</v>
      </c>
      <c r="DE2304" s="23" t="b">
        <v>1</v>
      </c>
    </row>
    <row r="2305" spans="1:111" x14ac:dyDescent="0.2">
      <c r="A2305" s="29">
        <v>50000</v>
      </c>
      <c r="B2305" s="29">
        <v>507</v>
      </c>
      <c r="C2305" s="29">
        <f t="shared" si="204"/>
        <v>500000507</v>
      </c>
      <c r="D2305" s="29" t="s">
        <v>3841</v>
      </c>
      <c r="E2305" s="21" t="s">
        <v>3922</v>
      </c>
      <c r="F2305" s="21"/>
      <c r="I2305" s="159" t="s">
        <v>3895</v>
      </c>
      <c r="N2305" s="22" t="s">
        <v>3820</v>
      </c>
      <c r="O2305" s="22" t="s">
        <v>3832</v>
      </c>
      <c r="Q2305" s="20" t="s">
        <v>4853</v>
      </c>
      <c r="R2305" s="20" t="s">
        <v>22</v>
      </c>
      <c r="S2305" s="20" t="s">
        <v>267</v>
      </c>
      <c r="T2305" s="20" t="s">
        <v>3821</v>
      </c>
      <c r="U2305" s="148" t="s">
        <v>3430</v>
      </c>
      <c r="V2305" s="20" t="s">
        <v>3833</v>
      </c>
      <c r="W2305" s="20" t="s">
        <v>23</v>
      </c>
      <c r="X2305" s="20" t="s">
        <v>23</v>
      </c>
      <c r="Y2305" s="23" t="s">
        <v>5</v>
      </c>
      <c r="AE2305" s="20"/>
      <c r="CI2305" s="23" t="s">
        <v>3834</v>
      </c>
      <c r="CJ2305" s="28">
        <v>1</v>
      </c>
      <c r="DE2305" s="23" t="b">
        <v>1</v>
      </c>
    </row>
    <row r="2306" spans="1:111" x14ac:dyDescent="0.2">
      <c r="A2306" s="29">
        <v>50000</v>
      </c>
      <c r="B2306" s="29" t="s">
        <v>4090</v>
      </c>
      <c r="C2306" s="29">
        <f t="shared" ref="C2306:C2307" si="207">A2306*10000+B2306</f>
        <v>500000508</v>
      </c>
      <c r="D2306" s="29" t="s">
        <v>3839</v>
      </c>
      <c r="E2306" s="21" t="s">
        <v>3922</v>
      </c>
      <c r="F2306" s="21"/>
      <c r="I2306" s="159" t="s">
        <v>3895</v>
      </c>
      <c r="N2306" s="22" t="s">
        <v>3820</v>
      </c>
      <c r="O2306" s="22" t="s">
        <v>3832</v>
      </c>
      <c r="Q2306" s="20" t="s">
        <v>4853</v>
      </c>
      <c r="R2306" s="20" t="s">
        <v>22</v>
      </c>
      <c r="S2306" s="20" t="s">
        <v>267</v>
      </c>
      <c r="T2306" s="20" t="s">
        <v>3821</v>
      </c>
      <c r="U2306" s="148" t="s">
        <v>4092</v>
      </c>
      <c r="V2306" s="20" t="s">
        <v>3833</v>
      </c>
      <c r="W2306" s="20" t="s">
        <v>23</v>
      </c>
      <c r="X2306" s="20" t="s">
        <v>23</v>
      </c>
      <c r="Y2306" s="23" t="s">
        <v>5</v>
      </c>
      <c r="AE2306" s="20"/>
      <c r="CI2306" s="23" t="s">
        <v>3834</v>
      </c>
      <c r="CJ2306" s="28">
        <v>1</v>
      </c>
      <c r="DE2306" s="23" t="b">
        <v>1</v>
      </c>
    </row>
    <row r="2307" spans="1:111" x14ac:dyDescent="0.2">
      <c r="A2307" s="29">
        <v>50000</v>
      </c>
      <c r="B2307" s="29" t="s">
        <v>4091</v>
      </c>
      <c r="C2307" s="29">
        <f t="shared" si="207"/>
        <v>500000509</v>
      </c>
      <c r="D2307" s="29" t="s">
        <v>3840</v>
      </c>
      <c r="E2307" s="21" t="s">
        <v>3922</v>
      </c>
      <c r="F2307" s="21"/>
      <c r="I2307" s="159" t="s">
        <v>3895</v>
      </c>
      <c r="N2307" s="22" t="s">
        <v>3820</v>
      </c>
      <c r="O2307" s="22" t="s">
        <v>3832</v>
      </c>
      <c r="Q2307" s="20" t="s">
        <v>4853</v>
      </c>
      <c r="R2307" s="20" t="s">
        <v>22</v>
      </c>
      <c r="S2307" s="20" t="s">
        <v>267</v>
      </c>
      <c r="T2307" s="20" t="s">
        <v>3821</v>
      </c>
      <c r="U2307" s="148" t="s">
        <v>4093</v>
      </c>
      <c r="V2307" s="20" t="s">
        <v>3833</v>
      </c>
      <c r="W2307" s="20" t="s">
        <v>23</v>
      </c>
      <c r="X2307" s="20" t="s">
        <v>23</v>
      </c>
      <c r="Y2307" s="23" t="s">
        <v>5</v>
      </c>
      <c r="AE2307" s="20"/>
      <c r="CI2307" s="23" t="s">
        <v>3834</v>
      </c>
      <c r="CJ2307" s="28">
        <v>1</v>
      </c>
      <c r="DE2307" s="23" t="b">
        <v>1</v>
      </c>
    </row>
    <row r="2308" spans="1:111" x14ac:dyDescent="0.2">
      <c r="A2308" s="29">
        <v>50000</v>
      </c>
      <c r="B2308" s="29">
        <v>601</v>
      </c>
      <c r="C2308" s="29">
        <f t="shared" si="204"/>
        <v>500000601</v>
      </c>
      <c r="D2308" s="29" t="s">
        <v>3842</v>
      </c>
      <c r="E2308" s="20" t="s">
        <v>3882</v>
      </c>
      <c r="I2308" s="159" t="s">
        <v>3895</v>
      </c>
      <c r="J2308" s="20" t="s">
        <v>550</v>
      </c>
      <c r="N2308" s="22" t="s">
        <v>3820</v>
      </c>
      <c r="O2308" s="22" t="s">
        <v>3826</v>
      </c>
      <c r="P2308" s="22" t="s">
        <v>3826</v>
      </c>
      <c r="Q2308" s="22" t="s">
        <v>4724</v>
      </c>
      <c r="R2308" s="22" t="s">
        <v>263</v>
      </c>
      <c r="S2308" s="22" t="s">
        <v>181</v>
      </c>
      <c r="T2308" s="20" t="s">
        <v>3827</v>
      </c>
      <c r="U2308" s="148" t="s">
        <v>3126</v>
      </c>
      <c r="V2308" s="20" t="s">
        <v>3843</v>
      </c>
      <c r="W2308" s="20" t="s">
        <v>23</v>
      </c>
      <c r="X2308" s="20" t="s">
        <v>23</v>
      </c>
      <c r="Y2308" s="23" t="s">
        <v>5</v>
      </c>
      <c r="AE2308" s="20"/>
      <c r="CI2308" s="23" t="s">
        <v>3844</v>
      </c>
      <c r="DE2308" s="23" t="b">
        <v>1</v>
      </c>
      <c r="DF2308" s="23" t="s">
        <v>3936</v>
      </c>
      <c r="DG2308" s="23" t="s">
        <v>3931</v>
      </c>
    </row>
    <row r="2309" spans="1:111" x14ac:dyDescent="0.2">
      <c r="A2309" s="29">
        <v>50000</v>
      </c>
      <c r="B2309" s="29">
        <v>602</v>
      </c>
      <c r="C2309" s="29">
        <f t="shared" si="204"/>
        <v>500000602</v>
      </c>
      <c r="D2309" s="29" t="s">
        <v>3845</v>
      </c>
      <c r="E2309" s="20" t="s">
        <v>3882</v>
      </c>
      <c r="I2309" s="159" t="s">
        <v>3895</v>
      </c>
      <c r="N2309" s="22" t="s">
        <v>3820</v>
      </c>
      <c r="O2309" s="22" t="s">
        <v>3826</v>
      </c>
      <c r="Q2309" s="20" t="s">
        <v>4724</v>
      </c>
      <c r="R2309" s="22" t="s">
        <v>263</v>
      </c>
      <c r="S2309" s="20" t="s">
        <v>181</v>
      </c>
      <c r="T2309" s="20" t="s">
        <v>3827</v>
      </c>
      <c r="U2309" s="148" t="s">
        <v>3836</v>
      </c>
      <c r="V2309" s="20" t="s">
        <v>3843</v>
      </c>
      <c r="W2309" s="20" t="s">
        <v>23</v>
      </c>
      <c r="X2309" s="20" t="s">
        <v>23</v>
      </c>
      <c r="Y2309" s="23" t="s">
        <v>5</v>
      </c>
      <c r="AE2309" s="20"/>
      <c r="CI2309" s="23" t="s">
        <v>3844</v>
      </c>
      <c r="DE2309" s="23" t="b">
        <v>1</v>
      </c>
      <c r="DF2309" s="23" t="s">
        <v>3936</v>
      </c>
      <c r="DG2309" s="23" t="s">
        <v>3931</v>
      </c>
    </row>
    <row r="2310" spans="1:111" x14ac:dyDescent="0.2">
      <c r="A2310" s="29">
        <v>50000</v>
      </c>
      <c r="B2310" s="29">
        <v>603</v>
      </c>
      <c r="C2310" s="29">
        <f t="shared" si="204"/>
        <v>500000603</v>
      </c>
      <c r="D2310" s="29" t="s">
        <v>3846</v>
      </c>
      <c r="E2310" s="20" t="s">
        <v>3882</v>
      </c>
      <c r="I2310" s="159" t="s">
        <v>3895</v>
      </c>
      <c r="N2310" s="22" t="s">
        <v>3820</v>
      </c>
      <c r="O2310" s="22" t="s">
        <v>3826</v>
      </c>
      <c r="Q2310" s="20" t="s">
        <v>4724</v>
      </c>
      <c r="R2310" s="22" t="s">
        <v>263</v>
      </c>
      <c r="S2310" s="20" t="s">
        <v>181</v>
      </c>
      <c r="T2310" s="20" t="s">
        <v>3827</v>
      </c>
      <c r="U2310" s="148" t="s">
        <v>3426</v>
      </c>
      <c r="V2310" s="20" t="s">
        <v>3843</v>
      </c>
      <c r="W2310" s="20" t="s">
        <v>23</v>
      </c>
      <c r="X2310" s="20" t="s">
        <v>23</v>
      </c>
      <c r="Y2310" s="23" t="s">
        <v>5</v>
      </c>
      <c r="AE2310" s="20"/>
      <c r="CI2310" s="23" t="s">
        <v>3844</v>
      </c>
      <c r="DE2310" s="23" t="b">
        <v>1</v>
      </c>
      <c r="DF2310" s="23" t="s">
        <v>3936</v>
      </c>
      <c r="DG2310" s="23" t="s">
        <v>3931</v>
      </c>
    </row>
    <row r="2311" spans="1:111" x14ac:dyDescent="0.2">
      <c r="A2311" s="29">
        <v>50000</v>
      </c>
      <c r="B2311" s="29">
        <v>604</v>
      </c>
      <c r="C2311" s="29">
        <f t="shared" si="204"/>
        <v>500000604</v>
      </c>
      <c r="D2311" s="29" t="s">
        <v>3847</v>
      </c>
      <c r="E2311" s="20" t="s">
        <v>3882</v>
      </c>
      <c r="I2311" s="159" t="s">
        <v>3895</v>
      </c>
      <c r="N2311" s="22" t="s">
        <v>3820</v>
      </c>
      <c r="O2311" s="22" t="s">
        <v>3826</v>
      </c>
      <c r="Q2311" s="20" t="s">
        <v>4724</v>
      </c>
      <c r="R2311" s="22" t="s">
        <v>263</v>
      </c>
      <c r="S2311" s="20" t="s">
        <v>181</v>
      </c>
      <c r="T2311" s="20" t="s">
        <v>3827</v>
      </c>
      <c r="U2311" s="148" t="s">
        <v>3427</v>
      </c>
      <c r="V2311" s="20" t="s">
        <v>3843</v>
      </c>
      <c r="W2311" s="20" t="s">
        <v>23</v>
      </c>
      <c r="X2311" s="20" t="s">
        <v>23</v>
      </c>
      <c r="Y2311" s="23" t="s">
        <v>5</v>
      </c>
      <c r="AE2311" s="20"/>
      <c r="CI2311" s="23" t="s">
        <v>3844</v>
      </c>
      <c r="DE2311" s="23" t="b">
        <v>1</v>
      </c>
      <c r="DF2311" s="23" t="s">
        <v>3936</v>
      </c>
      <c r="DG2311" s="23" t="s">
        <v>3931</v>
      </c>
    </row>
    <row r="2312" spans="1:111" x14ac:dyDescent="0.2">
      <c r="A2312" s="29">
        <v>50000</v>
      </c>
      <c r="B2312" s="29">
        <v>605</v>
      </c>
      <c r="C2312" s="29">
        <f t="shared" si="204"/>
        <v>500000605</v>
      </c>
      <c r="D2312" s="29" t="s">
        <v>3848</v>
      </c>
      <c r="E2312" s="20" t="s">
        <v>3882</v>
      </c>
      <c r="I2312" s="159" t="s">
        <v>3895</v>
      </c>
      <c r="N2312" s="22" t="s">
        <v>3820</v>
      </c>
      <c r="O2312" s="22" t="s">
        <v>3826</v>
      </c>
      <c r="Q2312" s="20" t="s">
        <v>4724</v>
      </c>
      <c r="R2312" s="22" t="s">
        <v>263</v>
      </c>
      <c r="S2312" s="20" t="s">
        <v>181</v>
      </c>
      <c r="T2312" s="20" t="s">
        <v>3827</v>
      </c>
      <c r="U2312" s="148" t="s">
        <v>3428</v>
      </c>
      <c r="V2312" s="20" t="s">
        <v>3843</v>
      </c>
      <c r="W2312" s="20" t="s">
        <v>23</v>
      </c>
      <c r="X2312" s="20" t="s">
        <v>23</v>
      </c>
      <c r="Y2312" s="23" t="s">
        <v>5</v>
      </c>
      <c r="AE2312" s="20"/>
      <c r="CI2312" s="23" t="s">
        <v>3844</v>
      </c>
      <c r="DE2312" s="23" t="b">
        <v>1</v>
      </c>
      <c r="DF2312" s="23" t="s">
        <v>3936</v>
      </c>
      <c r="DG2312" s="23" t="s">
        <v>3931</v>
      </c>
    </row>
    <row r="2313" spans="1:111" x14ac:dyDescent="0.2">
      <c r="A2313" s="29">
        <v>50000</v>
      </c>
      <c r="B2313" s="29">
        <v>606</v>
      </c>
      <c r="C2313" s="29">
        <f t="shared" si="204"/>
        <v>500000606</v>
      </c>
      <c r="D2313" s="29" t="s">
        <v>3849</v>
      </c>
      <c r="E2313" s="20" t="s">
        <v>3882</v>
      </c>
      <c r="I2313" s="159" t="s">
        <v>3895</v>
      </c>
      <c r="N2313" s="22" t="s">
        <v>3820</v>
      </c>
      <c r="O2313" s="22" t="s">
        <v>3826</v>
      </c>
      <c r="Q2313" s="20" t="s">
        <v>4724</v>
      </c>
      <c r="R2313" s="22" t="s">
        <v>263</v>
      </c>
      <c r="S2313" s="20" t="s">
        <v>181</v>
      </c>
      <c r="T2313" s="20" t="s">
        <v>3827</v>
      </c>
      <c r="U2313" s="148" t="s">
        <v>3429</v>
      </c>
      <c r="V2313" s="20" t="s">
        <v>3843</v>
      </c>
      <c r="W2313" s="20" t="s">
        <v>23</v>
      </c>
      <c r="X2313" s="20" t="s">
        <v>23</v>
      </c>
      <c r="Y2313" s="23" t="s">
        <v>5</v>
      </c>
      <c r="AE2313" s="20"/>
      <c r="CI2313" s="23" t="s">
        <v>3844</v>
      </c>
      <c r="DE2313" s="23" t="b">
        <v>1</v>
      </c>
      <c r="DF2313" s="23" t="s">
        <v>3936</v>
      </c>
      <c r="DG2313" s="23" t="s">
        <v>3931</v>
      </c>
    </row>
    <row r="2314" spans="1:111" x14ac:dyDescent="0.2">
      <c r="A2314" s="29">
        <v>50000</v>
      </c>
      <c r="B2314" s="29">
        <v>607</v>
      </c>
      <c r="C2314" s="29">
        <f t="shared" si="204"/>
        <v>500000607</v>
      </c>
      <c r="D2314" s="29" t="s">
        <v>3850</v>
      </c>
      <c r="E2314" s="20" t="s">
        <v>3882</v>
      </c>
      <c r="I2314" s="159" t="s">
        <v>3895</v>
      </c>
      <c r="N2314" s="22" t="s">
        <v>3820</v>
      </c>
      <c r="O2314" s="22" t="s">
        <v>3826</v>
      </c>
      <c r="Q2314" s="20" t="s">
        <v>4724</v>
      </c>
      <c r="R2314" s="22" t="s">
        <v>263</v>
      </c>
      <c r="S2314" s="20" t="s">
        <v>181</v>
      </c>
      <c r="T2314" s="20" t="s">
        <v>3827</v>
      </c>
      <c r="U2314" s="148" t="s">
        <v>3430</v>
      </c>
      <c r="V2314" s="20" t="s">
        <v>3843</v>
      </c>
      <c r="W2314" s="20" t="s">
        <v>23</v>
      </c>
      <c r="X2314" s="20" t="s">
        <v>23</v>
      </c>
      <c r="Y2314" s="23" t="s">
        <v>5</v>
      </c>
      <c r="AE2314" s="20"/>
      <c r="CI2314" s="23" t="s">
        <v>3844</v>
      </c>
      <c r="DE2314" s="23" t="b">
        <v>1</v>
      </c>
      <c r="DF2314" s="23" t="s">
        <v>3936</v>
      </c>
      <c r="DG2314" s="23" t="s">
        <v>3931</v>
      </c>
    </row>
    <row r="2315" spans="1:111" x14ac:dyDescent="0.2">
      <c r="A2315" s="29">
        <v>50000</v>
      </c>
      <c r="B2315" s="29" t="s">
        <v>4094</v>
      </c>
      <c r="C2315" s="29">
        <f t="shared" ref="C2315:C2316" si="208">A2315*10000+B2315</f>
        <v>500000608</v>
      </c>
      <c r="D2315" s="29" t="s">
        <v>4096</v>
      </c>
      <c r="E2315" s="20" t="s">
        <v>3882</v>
      </c>
      <c r="I2315" s="159" t="s">
        <v>3895</v>
      </c>
      <c r="N2315" s="22" t="s">
        <v>3820</v>
      </c>
      <c r="O2315" s="22" t="s">
        <v>3826</v>
      </c>
      <c r="Q2315" s="20" t="s">
        <v>4724</v>
      </c>
      <c r="R2315" s="22" t="s">
        <v>263</v>
      </c>
      <c r="S2315" s="20" t="s">
        <v>181</v>
      </c>
      <c r="T2315" s="20" t="s">
        <v>3827</v>
      </c>
      <c r="U2315" s="148" t="s">
        <v>4098</v>
      </c>
      <c r="V2315" s="20" t="s">
        <v>3843</v>
      </c>
      <c r="W2315" s="20" t="s">
        <v>23</v>
      </c>
      <c r="X2315" s="20" t="s">
        <v>23</v>
      </c>
      <c r="Y2315" s="23" t="s">
        <v>5</v>
      </c>
      <c r="AE2315" s="20"/>
      <c r="CI2315" s="23" t="s">
        <v>3844</v>
      </c>
      <c r="DE2315" s="23" t="b">
        <v>1</v>
      </c>
      <c r="DF2315" s="23" t="s">
        <v>3936</v>
      </c>
      <c r="DG2315" s="23" t="s">
        <v>3931</v>
      </c>
    </row>
    <row r="2316" spans="1:111" x14ac:dyDescent="0.2">
      <c r="A2316" s="29">
        <v>50000</v>
      </c>
      <c r="B2316" s="29" t="s">
        <v>4095</v>
      </c>
      <c r="C2316" s="29">
        <f t="shared" si="208"/>
        <v>500000609</v>
      </c>
      <c r="D2316" s="29" t="s">
        <v>4097</v>
      </c>
      <c r="E2316" s="20" t="s">
        <v>3882</v>
      </c>
      <c r="I2316" s="159" t="s">
        <v>3895</v>
      </c>
      <c r="N2316" s="22" t="s">
        <v>4724</v>
      </c>
      <c r="O2316" s="22" t="s">
        <v>3826</v>
      </c>
      <c r="Q2316" s="20" t="s">
        <v>4724</v>
      </c>
      <c r="R2316" s="22" t="s">
        <v>263</v>
      </c>
      <c r="S2316" s="20" t="s">
        <v>181</v>
      </c>
      <c r="T2316" s="20" t="s">
        <v>3827</v>
      </c>
      <c r="U2316" s="148" t="s">
        <v>4099</v>
      </c>
      <c r="V2316" s="20" t="s">
        <v>3843</v>
      </c>
      <c r="W2316" s="20" t="s">
        <v>23</v>
      </c>
      <c r="X2316" s="20" t="s">
        <v>23</v>
      </c>
      <c r="Y2316" s="23" t="s">
        <v>5</v>
      </c>
      <c r="AE2316" s="20"/>
      <c r="CI2316" s="23" t="s">
        <v>3844</v>
      </c>
      <c r="DE2316" s="23" t="b">
        <v>1</v>
      </c>
      <c r="DF2316" s="23" t="s">
        <v>3936</v>
      </c>
      <c r="DG2316" s="23" t="s">
        <v>3931</v>
      </c>
    </row>
    <row r="2317" spans="1:111" ht="17.25" x14ac:dyDescent="0.3">
      <c r="A2317" s="8"/>
      <c r="B2317" s="8"/>
      <c r="C2317" s="8"/>
      <c r="D2317" s="8"/>
      <c r="E2317" s="9" t="s">
        <v>4144</v>
      </c>
      <c r="F2317" s="9"/>
      <c r="G2317" s="9"/>
      <c r="H2317" s="9"/>
      <c r="I2317" s="10"/>
      <c r="J2317" s="10"/>
      <c r="K2317" s="10"/>
      <c r="L2317" s="10"/>
      <c r="M2317" s="10"/>
      <c r="N2317" s="10"/>
      <c r="O2317" s="10"/>
      <c r="P2317" s="10"/>
      <c r="Q2317" s="10"/>
      <c r="R2317" s="10"/>
      <c r="S2317" s="10"/>
      <c r="T2317" s="10"/>
      <c r="U2317" s="10"/>
      <c r="V2317" s="10"/>
      <c r="W2317" s="11"/>
      <c r="X2317" s="10"/>
      <c r="Y2317" s="10"/>
      <c r="Z2317" s="10"/>
      <c r="AA2317" s="10"/>
      <c r="AB2317" s="10"/>
      <c r="AC2317" s="12"/>
      <c r="AD2317" s="12"/>
      <c r="AE2317" s="10"/>
      <c r="AF2317" s="13"/>
      <c r="AG2317" s="13"/>
      <c r="AH2317" s="13"/>
      <c r="AI2317" s="15"/>
      <c r="AJ2317" s="15"/>
      <c r="AK2317" s="15"/>
      <c r="AL2317" s="15"/>
      <c r="AM2317" s="15"/>
      <c r="AN2317" s="15"/>
      <c r="AO2317" s="15"/>
      <c r="AP2317" s="13"/>
      <c r="AQ2317" s="13"/>
      <c r="AR2317" s="13"/>
      <c r="AS2317" s="13"/>
      <c r="AT2317" s="13"/>
      <c r="AU2317" s="13"/>
      <c r="AV2317" s="31"/>
      <c r="AW2317" s="31"/>
      <c r="AX2317" s="15"/>
      <c r="AY2317" s="15"/>
      <c r="AZ2317" s="15"/>
      <c r="BA2317" s="15"/>
      <c r="BB2317" s="15"/>
      <c r="BC2317" s="13"/>
      <c r="BD2317" s="13"/>
      <c r="BE2317" s="13"/>
      <c r="BF2317" s="13"/>
      <c r="BG2317" s="13"/>
      <c r="BH2317" s="13"/>
      <c r="BI2317" s="31"/>
      <c r="BJ2317" s="31"/>
      <c r="BK2317" s="15"/>
      <c r="BL2317" s="15"/>
      <c r="BM2317" s="15"/>
      <c r="BN2317" s="15"/>
      <c r="BO2317" s="15"/>
      <c r="BP2317" s="13"/>
      <c r="BQ2317" s="13"/>
      <c r="BR2317" s="13"/>
      <c r="BS2317" s="13"/>
      <c r="BT2317" s="13"/>
      <c r="BU2317" s="13"/>
      <c r="BV2317" s="31"/>
      <c r="BW2317" s="31"/>
      <c r="BX2317" s="15"/>
      <c r="BY2317" s="15"/>
      <c r="BZ2317" s="15"/>
      <c r="CA2317" s="15"/>
      <c r="CB2317" s="15"/>
      <c r="CC2317" s="10"/>
      <c r="CD2317" s="13"/>
      <c r="CE2317" s="13"/>
      <c r="CF2317" s="13"/>
      <c r="CG2317" s="8"/>
      <c r="CH2317" s="16"/>
      <c r="CI2317" s="8"/>
      <c r="CJ2317" s="14"/>
      <c r="CK2317" s="14"/>
      <c r="CL2317" s="14"/>
      <c r="CM2317" s="14"/>
      <c r="CN2317" s="14"/>
      <c r="CO2317" s="14"/>
      <c r="CP2317" s="14"/>
      <c r="CQ2317" s="14"/>
      <c r="CR2317" s="17"/>
      <c r="CS2317" s="17"/>
      <c r="CT2317" s="17"/>
      <c r="CU2317" s="17"/>
      <c r="CV2317" s="17"/>
      <c r="CW2317" s="17"/>
      <c r="CX2317" s="17"/>
      <c r="CY2317" s="17"/>
      <c r="CZ2317" s="17"/>
      <c r="DA2317" s="15"/>
      <c r="DB2317" s="14"/>
      <c r="DC2317" s="14"/>
      <c r="DD2317" s="14"/>
      <c r="DE2317" s="14"/>
    </row>
    <row r="2318" spans="1:111" x14ac:dyDescent="0.2">
      <c r="A2318" s="29" t="s">
        <v>4145</v>
      </c>
      <c r="B2318" s="29" t="s">
        <v>181</v>
      </c>
      <c r="C2318" s="29" t="s">
        <v>4146</v>
      </c>
      <c r="D2318" s="29" t="s">
        <v>4147</v>
      </c>
      <c r="E2318" s="21" t="s">
        <v>4243</v>
      </c>
      <c r="F2318" s="21"/>
      <c r="G2318" s="21"/>
      <c r="H2318" s="21"/>
      <c r="I2318" s="21" t="s">
        <v>205</v>
      </c>
      <c r="J2318" s="21"/>
      <c r="K2318" s="21"/>
      <c r="L2318" s="21"/>
      <c r="M2318" s="21"/>
      <c r="N2318" s="21" t="s">
        <v>4148</v>
      </c>
      <c r="O2318" s="21" t="s">
        <v>4148</v>
      </c>
      <c r="Q2318" s="20" t="s">
        <v>2041</v>
      </c>
      <c r="T2318" s="20" t="s">
        <v>4501</v>
      </c>
      <c r="U2318" s="148" t="str">
        <f>D2318</f>
        <v>(0층)시련의 전장 스타트노드</v>
      </c>
      <c r="W2318" s="20" t="s">
        <v>23</v>
      </c>
      <c r="AF2318" s="23" t="s">
        <v>2044</v>
      </c>
    </row>
    <row r="2319" spans="1:111" x14ac:dyDescent="0.2">
      <c r="A2319" s="29" t="s">
        <v>4145</v>
      </c>
      <c r="B2319" s="29" t="s">
        <v>26</v>
      </c>
      <c r="C2319" s="29" t="s">
        <v>4149</v>
      </c>
      <c r="D2319" s="29" t="s">
        <v>4150</v>
      </c>
      <c r="E2319" s="21" t="s">
        <v>4243</v>
      </c>
      <c r="F2319" s="21"/>
      <c r="G2319" s="21"/>
      <c r="H2319" s="21"/>
      <c r="I2319" s="21" t="s">
        <v>205</v>
      </c>
      <c r="J2319" s="21"/>
      <c r="K2319" s="21"/>
      <c r="L2319" s="21"/>
      <c r="M2319" s="21"/>
      <c r="N2319" s="21" t="s">
        <v>4148</v>
      </c>
      <c r="O2319" s="21" t="s">
        <v>4148</v>
      </c>
      <c r="Q2319" s="20" t="s">
        <v>2041</v>
      </c>
      <c r="T2319" s="20" t="s">
        <v>4501</v>
      </c>
      <c r="U2319" s="148" t="str">
        <f t="shared" ref="U2319:U2358" si="209">D2319</f>
        <v>(1층)시련의 전장 이벤트노드 1</v>
      </c>
      <c r="W2319" s="20" t="s">
        <v>23</v>
      </c>
      <c r="AF2319" s="23" t="s">
        <v>2044</v>
      </c>
    </row>
    <row r="2320" spans="1:111" x14ac:dyDescent="0.2">
      <c r="A2320" s="29" t="s">
        <v>4145</v>
      </c>
      <c r="B2320" s="29" t="s">
        <v>27</v>
      </c>
      <c r="C2320" s="29" t="s">
        <v>4151</v>
      </c>
      <c r="D2320" s="29" t="s">
        <v>4152</v>
      </c>
      <c r="E2320" s="21" t="s">
        <v>4243</v>
      </c>
      <c r="F2320" s="21"/>
      <c r="G2320" s="21"/>
      <c r="H2320" s="21"/>
      <c r="I2320" s="21" t="s">
        <v>205</v>
      </c>
      <c r="J2320" s="21"/>
      <c r="K2320" s="21"/>
      <c r="L2320" s="21"/>
      <c r="M2320" s="21"/>
      <c r="N2320" s="21" t="s">
        <v>4148</v>
      </c>
      <c r="O2320" s="21" t="s">
        <v>4148</v>
      </c>
      <c r="Q2320" s="20" t="s">
        <v>2041</v>
      </c>
      <c r="T2320" s="20" t="s">
        <v>4501</v>
      </c>
      <c r="U2320" s="148" t="str">
        <f t="shared" si="209"/>
        <v>(2층)시련의 전장 전투노드 2-1</v>
      </c>
      <c r="W2320" s="20" t="s">
        <v>23</v>
      </c>
      <c r="AF2320" s="23" t="s">
        <v>2044</v>
      </c>
    </row>
    <row r="2321" spans="1:32" x14ac:dyDescent="0.2">
      <c r="A2321" s="29" t="s">
        <v>4145</v>
      </c>
      <c r="B2321" s="29" t="s">
        <v>1</v>
      </c>
      <c r="C2321" s="29" t="s">
        <v>4153</v>
      </c>
      <c r="D2321" s="29" t="s">
        <v>4154</v>
      </c>
      <c r="E2321" s="21" t="s">
        <v>4243</v>
      </c>
      <c r="F2321" s="21"/>
      <c r="G2321" s="21"/>
      <c r="H2321" s="21"/>
      <c r="I2321" s="21" t="s">
        <v>205</v>
      </c>
      <c r="J2321" s="21"/>
      <c r="K2321" s="21"/>
      <c r="L2321" s="21"/>
      <c r="M2321" s="21"/>
      <c r="N2321" s="21" t="s">
        <v>4148</v>
      </c>
      <c r="O2321" s="21" t="s">
        <v>4148</v>
      </c>
      <c r="Q2321" s="20" t="s">
        <v>2041</v>
      </c>
      <c r="T2321" s="20" t="s">
        <v>4501</v>
      </c>
      <c r="U2321" s="148" t="str">
        <f t="shared" si="209"/>
        <v>(2층)시련의 전장 전투노드 2-2</v>
      </c>
      <c r="W2321" s="20" t="s">
        <v>23</v>
      </c>
      <c r="AF2321" s="23" t="s">
        <v>2044</v>
      </c>
    </row>
    <row r="2322" spans="1:32" x14ac:dyDescent="0.2">
      <c r="A2322" s="29" t="s">
        <v>4145</v>
      </c>
      <c r="B2322" s="29" t="s">
        <v>2</v>
      </c>
      <c r="C2322" s="29" t="s">
        <v>4155</v>
      </c>
      <c r="D2322" s="29" t="s">
        <v>4156</v>
      </c>
      <c r="E2322" s="21" t="s">
        <v>4243</v>
      </c>
      <c r="F2322" s="21"/>
      <c r="G2322" s="21"/>
      <c r="H2322" s="21"/>
      <c r="I2322" s="21" t="s">
        <v>205</v>
      </c>
      <c r="J2322" s="21"/>
      <c r="K2322" s="21"/>
      <c r="L2322" s="21"/>
      <c r="M2322" s="21"/>
      <c r="N2322" s="21" t="s">
        <v>4148</v>
      </c>
      <c r="O2322" s="21" t="s">
        <v>4148</v>
      </c>
      <c r="Q2322" s="20" t="s">
        <v>2041</v>
      </c>
      <c r="T2322" s="20" t="s">
        <v>4501</v>
      </c>
      <c r="U2322" s="148" t="str">
        <f t="shared" si="209"/>
        <v>(2층)시련의 전장 전투노드 2-3</v>
      </c>
      <c r="W2322" s="20" t="s">
        <v>23</v>
      </c>
      <c r="AF2322" s="23" t="s">
        <v>2044</v>
      </c>
    </row>
    <row r="2323" spans="1:32" x14ac:dyDescent="0.2">
      <c r="A2323" s="29" t="s">
        <v>4145</v>
      </c>
      <c r="B2323" s="29" t="s">
        <v>3</v>
      </c>
      <c r="C2323" s="29" t="s">
        <v>4157</v>
      </c>
      <c r="D2323" s="29" t="s">
        <v>4158</v>
      </c>
      <c r="E2323" s="21" t="s">
        <v>4243</v>
      </c>
      <c r="F2323" s="21"/>
      <c r="G2323" s="21"/>
      <c r="H2323" s="21"/>
      <c r="I2323" s="21" t="s">
        <v>205</v>
      </c>
      <c r="J2323" s="21"/>
      <c r="K2323" s="21"/>
      <c r="L2323" s="21"/>
      <c r="M2323" s="21"/>
      <c r="N2323" s="21" t="s">
        <v>4148</v>
      </c>
      <c r="O2323" s="21" t="s">
        <v>4148</v>
      </c>
      <c r="Q2323" s="20" t="s">
        <v>2041</v>
      </c>
      <c r="T2323" s="20" t="s">
        <v>4501</v>
      </c>
      <c r="U2323" s="148" t="str">
        <f t="shared" si="209"/>
        <v>(2층)시련의 전장 전투노드 2-4</v>
      </c>
      <c r="W2323" s="20" t="s">
        <v>23</v>
      </c>
      <c r="AF2323" s="23" t="s">
        <v>2044</v>
      </c>
    </row>
    <row r="2324" spans="1:32" x14ac:dyDescent="0.2">
      <c r="A2324" s="29" t="s">
        <v>4145</v>
      </c>
      <c r="B2324" s="29" t="s">
        <v>4</v>
      </c>
      <c r="C2324" s="29" t="s">
        <v>4159</v>
      </c>
      <c r="D2324" s="29" t="s">
        <v>4160</v>
      </c>
      <c r="E2324" s="21" t="s">
        <v>4243</v>
      </c>
      <c r="F2324" s="21"/>
      <c r="G2324" s="21"/>
      <c r="H2324" s="21"/>
      <c r="I2324" s="21" t="s">
        <v>205</v>
      </c>
      <c r="J2324" s="21"/>
      <c r="K2324" s="21"/>
      <c r="L2324" s="21"/>
      <c r="M2324" s="21"/>
      <c r="N2324" s="21" t="s">
        <v>4148</v>
      </c>
      <c r="O2324" s="21" t="s">
        <v>4148</v>
      </c>
      <c r="Q2324" s="20" t="s">
        <v>2041</v>
      </c>
      <c r="T2324" s="20" t="s">
        <v>4501</v>
      </c>
      <c r="U2324" s="148" t="str">
        <f t="shared" si="209"/>
        <v>(3층)시련의 전장 전투노드 3-1</v>
      </c>
      <c r="W2324" s="20" t="s">
        <v>23</v>
      </c>
      <c r="AF2324" s="23" t="s">
        <v>2044</v>
      </c>
    </row>
    <row r="2325" spans="1:32" x14ac:dyDescent="0.2">
      <c r="A2325" s="29" t="s">
        <v>4145</v>
      </c>
      <c r="B2325" s="29" t="s">
        <v>5</v>
      </c>
      <c r="C2325" s="29" t="s">
        <v>4161</v>
      </c>
      <c r="D2325" s="29" t="s">
        <v>4162</v>
      </c>
      <c r="E2325" s="21" t="s">
        <v>4243</v>
      </c>
      <c r="F2325" s="21"/>
      <c r="G2325" s="21"/>
      <c r="H2325" s="21"/>
      <c r="I2325" s="21" t="s">
        <v>205</v>
      </c>
      <c r="J2325" s="21"/>
      <c r="K2325" s="21"/>
      <c r="L2325" s="21"/>
      <c r="M2325" s="21"/>
      <c r="N2325" s="21" t="s">
        <v>4148</v>
      </c>
      <c r="O2325" s="21" t="s">
        <v>4148</v>
      </c>
      <c r="Q2325" s="20" t="s">
        <v>2041</v>
      </c>
      <c r="T2325" s="20" t="s">
        <v>4501</v>
      </c>
      <c r="U2325" s="148" t="str">
        <f t="shared" si="209"/>
        <v>(3층)시련의 전장 전투노드 3-2</v>
      </c>
      <c r="W2325" s="20" t="s">
        <v>23</v>
      </c>
      <c r="AF2325" s="23" t="s">
        <v>2044</v>
      </c>
    </row>
    <row r="2326" spans="1:32" x14ac:dyDescent="0.2">
      <c r="A2326" s="29" t="s">
        <v>4145</v>
      </c>
      <c r="B2326" s="29" t="s">
        <v>6</v>
      </c>
      <c r="C2326" s="29" t="s">
        <v>4163</v>
      </c>
      <c r="D2326" s="29" t="s">
        <v>4164</v>
      </c>
      <c r="E2326" s="21" t="s">
        <v>4243</v>
      </c>
      <c r="F2326" s="21"/>
      <c r="G2326" s="21"/>
      <c r="H2326" s="21"/>
      <c r="I2326" s="21" t="s">
        <v>205</v>
      </c>
      <c r="J2326" s="21"/>
      <c r="K2326" s="21"/>
      <c r="L2326" s="21"/>
      <c r="M2326" s="21"/>
      <c r="N2326" s="21" t="s">
        <v>4148</v>
      </c>
      <c r="O2326" s="21" t="s">
        <v>4148</v>
      </c>
      <c r="Q2326" s="20" t="s">
        <v>2041</v>
      </c>
      <c r="T2326" s="20" t="s">
        <v>4501</v>
      </c>
      <c r="U2326" s="148" t="str">
        <f t="shared" si="209"/>
        <v>(3층)시련의 전장 전투노드 3-3</v>
      </c>
      <c r="W2326" s="20" t="s">
        <v>23</v>
      </c>
      <c r="AF2326" s="23" t="s">
        <v>2044</v>
      </c>
    </row>
    <row r="2327" spans="1:32" x14ac:dyDescent="0.2">
      <c r="A2327" s="29" t="s">
        <v>4145</v>
      </c>
      <c r="B2327" s="29" t="s">
        <v>7</v>
      </c>
      <c r="C2327" s="29" t="s">
        <v>4165</v>
      </c>
      <c r="D2327" s="29" t="s">
        <v>4166</v>
      </c>
      <c r="E2327" s="21" t="s">
        <v>4243</v>
      </c>
      <c r="F2327" s="21"/>
      <c r="G2327" s="21"/>
      <c r="H2327" s="21"/>
      <c r="I2327" s="21" t="s">
        <v>205</v>
      </c>
      <c r="J2327" s="21"/>
      <c r="K2327" s="21"/>
      <c r="L2327" s="21"/>
      <c r="M2327" s="21"/>
      <c r="N2327" s="21" t="s">
        <v>4148</v>
      </c>
      <c r="O2327" s="21" t="s">
        <v>4148</v>
      </c>
      <c r="Q2327" s="20" t="s">
        <v>2041</v>
      </c>
      <c r="T2327" s="20" t="s">
        <v>4501</v>
      </c>
      <c r="U2327" s="148" t="str">
        <f t="shared" si="209"/>
        <v>(4층)시련의 전장 전투노드 4-1</v>
      </c>
      <c r="W2327" s="20" t="s">
        <v>23</v>
      </c>
      <c r="AF2327" s="23" t="s">
        <v>2044</v>
      </c>
    </row>
    <row r="2328" spans="1:32" x14ac:dyDescent="0.2">
      <c r="A2328" s="29" t="s">
        <v>4145</v>
      </c>
      <c r="B2328" s="29" t="s">
        <v>8</v>
      </c>
      <c r="C2328" s="29" t="s">
        <v>4167</v>
      </c>
      <c r="D2328" s="29" t="s">
        <v>4168</v>
      </c>
      <c r="E2328" s="21" t="s">
        <v>4243</v>
      </c>
      <c r="F2328" s="21"/>
      <c r="G2328" s="21"/>
      <c r="H2328" s="21"/>
      <c r="I2328" s="21" t="s">
        <v>205</v>
      </c>
      <c r="J2328" s="21"/>
      <c r="K2328" s="21"/>
      <c r="L2328" s="21"/>
      <c r="M2328" s="21"/>
      <c r="N2328" s="21" t="s">
        <v>4148</v>
      </c>
      <c r="O2328" s="21" t="s">
        <v>4148</v>
      </c>
      <c r="Q2328" s="20" t="s">
        <v>2041</v>
      </c>
      <c r="T2328" s="20" t="s">
        <v>4501</v>
      </c>
      <c r="U2328" s="148" t="str">
        <f t="shared" si="209"/>
        <v>(4층)시련의 전장 전투노드 4-2</v>
      </c>
      <c r="W2328" s="20" t="s">
        <v>23</v>
      </c>
      <c r="AF2328" s="23" t="s">
        <v>2044</v>
      </c>
    </row>
    <row r="2329" spans="1:32" x14ac:dyDescent="0.2">
      <c r="A2329" s="29" t="s">
        <v>4145</v>
      </c>
      <c r="B2329" s="29" t="s">
        <v>9</v>
      </c>
      <c r="C2329" s="29" t="s">
        <v>4169</v>
      </c>
      <c r="D2329" s="29" t="s">
        <v>4170</v>
      </c>
      <c r="E2329" s="21" t="s">
        <v>4243</v>
      </c>
      <c r="F2329" s="21"/>
      <c r="G2329" s="21"/>
      <c r="H2329" s="21"/>
      <c r="I2329" s="21" t="s">
        <v>205</v>
      </c>
      <c r="J2329" s="21"/>
      <c r="K2329" s="21"/>
      <c r="L2329" s="21"/>
      <c r="M2329" s="21"/>
      <c r="N2329" s="21" t="s">
        <v>4148</v>
      </c>
      <c r="O2329" s="21" t="s">
        <v>4148</v>
      </c>
      <c r="Q2329" s="20" t="s">
        <v>2041</v>
      </c>
      <c r="T2329" s="20" t="s">
        <v>4501</v>
      </c>
      <c r="U2329" s="148" t="str">
        <f t="shared" si="209"/>
        <v>(5층)시련의 전장 전투노드 5-1</v>
      </c>
      <c r="W2329" s="20" t="s">
        <v>23</v>
      </c>
      <c r="AF2329" s="23" t="s">
        <v>2044</v>
      </c>
    </row>
    <row r="2330" spans="1:32" x14ac:dyDescent="0.2">
      <c r="A2330" s="29" t="s">
        <v>4145</v>
      </c>
      <c r="B2330" s="29" t="s">
        <v>10</v>
      </c>
      <c r="C2330" s="29" t="s">
        <v>4171</v>
      </c>
      <c r="D2330" s="29" t="s">
        <v>4172</v>
      </c>
      <c r="E2330" s="21" t="s">
        <v>4243</v>
      </c>
      <c r="F2330" s="21"/>
      <c r="G2330" s="21"/>
      <c r="H2330" s="21"/>
      <c r="I2330" s="21" t="s">
        <v>205</v>
      </c>
      <c r="J2330" s="21"/>
      <c r="K2330" s="21"/>
      <c r="L2330" s="21"/>
      <c r="M2330" s="21"/>
      <c r="N2330" s="21" t="s">
        <v>4148</v>
      </c>
      <c r="O2330" s="21" t="s">
        <v>4148</v>
      </c>
      <c r="Q2330" s="20" t="s">
        <v>2041</v>
      </c>
      <c r="T2330" s="20" t="s">
        <v>4501</v>
      </c>
      <c r="U2330" s="148" t="str">
        <f t="shared" si="209"/>
        <v>(5층)시련의 전장 전투노드 5-2</v>
      </c>
      <c r="W2330" s="20" t="s">
        <v>23</v>
      </c>
      <c r="AF2330" s="23" t="s">
        <v>2044</v>
      </c>
    </row>
    <row r="2331" spans="1:32" x14ac:dyDescent="0.2">
      <c r="A2331" s="29" t="s">
        <v>4145</v>
      </c>
      <c r="B2331" s="29" t="s">
        <v>11</v>
      </c>
      <c r="C2331" s="29" t="s">
        <v>4173</v>
      </c>
      <c r="D2331" s="29" t="s">
        <v>4174</v>
      </c>
      <c r="E2331" s="21" t="s">
        <v>4243</v>
      </c>
      <c r="F2331" s="21"/>
      <c r="G2331" s="21"/>
      <c r="H2331" s="21"/>
      <c r="I2331" s="21" t="s">
        <v>205</v>
      </c>
      <c r="J2331" s="21"/>
      <c r="K2331" s="21"/>
      <c r="L2331" s="21"/>
      <c r="M2331" s="21"/>
      <c r="N2331" s="21" t="s">
        <v>4148</v>
      </c>
      <c r="O2331" s="21" t="s">
        <v>4148</v>
      </c>
      <c r="Q2331" s="20" t="s">
        <v>2041</v>
      </c>
      <c r="T2331" s="20" t="s">
        <v>4501</v>
      </c>
      <c r="U2331" s="148" t="str">
        <f t="shared" si="209"/>
        <v>(5층)시련의 전장 전투노드 5-3</v>
      </c>
      <c r="W2331" s="20" t="s">
        <v>23</v>
      </c>
      <c r="AF2331" s="23" t="s">
        <v>2044</v>
      </c>
    </row>
    <row r="2332" spans="1:32" x14ac:dyDescent="0.2">
      <c r="A2332" s="29" t="s">
        <v>4145</v>
      </c>
      <c r="B2332" s="29" t="s">
        <v>12</v>
      </c>
      <c r="C2332" s="29" t="s">
        <v>4175</v>
      </c>
      <c r="D2332" s="29" t="s">
        <v>4176</v>
      </c>
      <c r="E2332" s="21" t="s">
        <v>4243</v>
      </c>
      <c r="F2332" s="21"/>
      <c r="G2332" s="21"/>
      <c r="H2332" s="21"/>
      <c r="I2332" s="21" t="s">
        <v>205</v>
      </c>
      <c r="J2332" s="21"/>
      <c r="K2332" s="21"/>
      <c r="L2332" s="21"/>
      <c r="M2332" s="21"/>
      <c r="N2332" s="21" t="s">
        <v>4148</v>
      </c>
      <c r="O2332" s="21" t="s">
        <v>4148</v>
      </c>
      <c r="Q2332" s="20" t="s">
        <v>2041</v>
      </c>
      <c r="T2332" s="20" t="s">
        <v>4501</v>
      </c>
      <c r="U2332" s="148" t="str">
        <f t="shared" si="209"/>
        <v>(6층)시련의 전장 이벤트노드 6</v>
      </c>
      <c r="W2332" s="20" t="s">
        <v>23</v>
      </c>
      <c r="AF2332" s="23" t="s">
        <v>2044</v>
      </c>
    </row>
    <row r="2333" spans="1:32" x14ac:dyDescent="0.2">
      <c r="A2333" s="29" t="s">
        <v>4145</v>
      </c>
      <c r="B2333" s="29" t="s">
        <v>13</v>
      </c>
      <c r="C2333" s="29" t="s">
        <v>4177</v>
      </c>
      <c r="D2333" s="29" t="s">
        <v>4178</v>
      </c>
      <c r="E2333" s="21" t="s">
        <v>4243</v>
      </c>
      <c r="F2333" s="21"/>
      <c r="G2333" s="21"/>
      <c r="H2333" s="21"/>
      <c r="I2333" s="21" t="s">
        <v>205</v>
      </c>
      <c r="J2333" s="21"/>
      <c r="K2333" s="21"/>
      <c r="L2333" s="21"/>
      <c r="M2333" s="21"/>
      <c r="N2333" s="21" t="s">
        <v>4148</v>
      </c>
      <c r="O2333" s="21" t="s">
        <v>4148</v>
      </c>
      <c r="Q2333" s="20" t="s">
        <v>2041</v>
      </c>
      <c r="T2333" s="20" t="s">
        <v>4501</v>
      </c>
      <c r="U2333" s="148" t="str">
        <f t="shared" si="209"/>
        <v>(7층)시련의 전장 전투노드 7-1</v>
      </c>
      <c r="W2333" s="20" t="s">
        <v>23</v>
      </c>
      <c r="AF2333" s="23" t="s">
        <v>2044</v>
      </c>
    </row>
    <row r="2334" spans="1:32" x14ac:dyDescent="0.2">
      <c r="A2334" s="29" t="s">
        <v>4145</v>
      </c>
      <c r="B2334" s="29" t="s">
        <v>14</v>
      </c>
      <c r="C2334" s="29" t="s">
        <v>4179</v>
      </c>
      <c r="D2334" s="29" t="s">
        <v>4180</v>
      </c>
      <c r="E2334" s="21" t="s">
        <v>4243</v>
      </c>
      <c r="F2334" s="21"/>
      <c r="G2334" s="21"/>
      <c r="H2334" s="21"/>
      <c r="I2334" s="21" t="s">
        <v>205</v>
      </c>
      <c r="J2334" s="21"/>
      <c r="K2334" s="21"/>
      <c r="L2334" s="21"/>
      <c r="M2334" s="21"/>
      <c r="N2334" s="21" t="s">
        <v>4148</v>
      </c>
      <c r="O2334" s="21" t="s">
        <v>4148</v>
      </c>
      <c r="Q2334" s="20" t="s">
        <v>2041</v>
      </c>
      <c r="T2334" s="20" t="s">
        <v>4501</v>
      </c>
      <c r="U2334" s="148" t="str">
        <f t="shared" si="209"/>
        <v>(7층)시련의 전장 전투노드 7-2</v>
      </c>
      <c r="W2334" s="20" t="s">
        <v>23</v>
      </c>
      <c r="AF2334" s="23" t="s">
        <v>2044</v>
      </c>
    </row>
    <row r="2335" spans="1:32" x14ac:dyDescent="0.2">
      <c r="A2335" s="29" t="s">
        <v>4145</v>
      </c>
      <c r="B2335" s="29" t="s">
        <v>15</v>
      </c>
      <c r="C2335" s="29" t="s">
        <v>4181</v>
      </c>
      <c r="D2335" s="29" t="s">
        <v>4182</v>
      </c>
      <c r="E2335" s="21" t="s">
        <v>4243</v>
      </c>
      <c r="F2335" s="21"/>
      <c r="G2335" s="21"/>
      <c r="H2335" s="21"/>
      <c r="I2335" s="21" t="s">
        <v>205</v>
      </c>
      <c r="J2335" s="21"/>
      <c r="K2335" s="21"/>
      <c r="L2335" s="21"/>
      <c r="M2335" s="21"/>
      <c r="N2335" s="21" t="s">
        <v>4148</v>
      </c>
      <c r="O2335" s="21" t="s">
        <v>4148</v>
      </c>
      <c r="Q2335" s="20" t="s">
        <v>2041</v>
      </c>
      <c r="T2335" s="20" t="s">
        <v>4501</v>
      </c>
      <c r="U2335" s="148" t="str">
        <f t="shared" si="209"/>
        <v>(7층)시련의 전장 전투노드 7-3</v>
      </c>
      <c r="W2335" s="20" t="s">
        <v>23</v>
      </c>
      <c r="AF2335" s="23" t="s">
        <v>2044</v>
      </c>
    </row>
    <row r="2336" spans="1:32" x14ac:dyDescent="0.2">
      <c r="A2336" s="29" t="s">
        <v>4145</v>
      </c>
      <c r="B2336" s="29" t="s">
        <v>16</v>
      </c>
      <c r="C2336" s="29" t="s">
        <v>4183</v>
      </c>
      <c r="D2336" s="29" t="s">
        <v>4184</v>
      </c>
      <c r="E2336" s="21" t="s">
        <v>4243</v>
      </c>
      <c r="F2336" s="21"/>
      <c r="G2336" s="21"/>
      <c r="H2336" s="21"/>
      <c r="I2336" s="21" t="s">
        <v>205</v>
      </c>
      <c r="J2336" s="21"/>
      <c r="K2336" s="21"/>
      <c r="L2336" s="21"/>
      <c r="M2336" s="21"/>
      <c r="N2336" s="21" t="s">
        <v>4148</v>
      </c>
      <c r="O2336" s="21" t="s">
        <v>4148</v>
      </c>
      <c r="Q2336" s="20" t="s">
        <v>2041</v>
      </c>
      <c r="T2336" s="20" t="s">
        <v>4501</v>
      </c>
      <c r="U2336" s="148" t="str">
        <f t="shared" si="209"/>
        <v>(7층)시련의 전장 전투노드 7-4</v>
      </c>
      <c r="W2336" s="20" t="s">
        <v>23</v>
      </c>
      <c r="AF2336" s="23" t="s">
        <v>2044</v>
      </c>
    </row>
    <row r="2337" spans="1:32" x14ac:dyDescent="0.2">
      <c r="A2337" s="29" t="s">
        <v>4145</v>
      </c>
      <c r="B2337" s="29" t="s">
        <v>17</v>
      </c>
      <c r="C2337" s="29" t="s">
        <v>4185</v>
      </c>
      <c r="D2337" s="29" t="s">
        <v>4186</v>
      </c>
      <c r="E2337" s="21" t="s">
        <v>4243</v>
      </c>
      <c r="F2337" s="21"/>
      <c r="G2337" s="21"/>
      <c r="H2337" s="21"/>
      <c r="I2337" s="21" t="s">
        <v>205</v>
      </c>
      <c r="J2337" s="21"/>
      <c r="K2337" s="21"/>
      <c r="L2337" s="21"/>
      <c r="M2337" s="21"/>
      <c r="N2337" s="21" t="s">
        <v>4148</v>
      </c>
      <c r="O2337" s="21" t="s">
        <v>4148</v>
      </c>
      <c r="Q2337" s="20" t="s">
        <v>2041</v>
      </c>
      <c r="T2337" s="20" t="s">
        <v>4501</v>
      </c>
      <c r="U2337" s="148" t="str">
        <f t="shared" si="209"/>
        <v>(8층)시련의 전장 전투노드 8-1</v>
      </c>
      <c r="W2337" s="20" t="s">
        <v>23</v>
      </c>
      <c r="AF2337" s="23" t="s">
        <v>2044</v>
      </c>
    </row>
    <row r="2338" spans="1:32" x14ac:dyDescent="0.2">
      <c r="A2338" s="29" t="s">
        <v>4145</v>
      </c>
      <c r="B2338" s="29" t="s">
        <v>18</v>
      </c>
      <c r="C2338" s="29" t="s">
        <v>4187</v>
      </c>
      <c r="D2338" s="29" t="s">
        <v>4188</v>
      </c>
      <c r="E2338" s="21" t="s">
        <v>4243</v>
      </c>
      <c r="F2338" s="21"/>
      <c r="G2338" s="21"/>
      <c r="H2338" s="21"/>
      <c r="I2338" s="21" t="s">
        <v>205</v>
      </c>
      <c r="J2338" s="21"/>
      <c r="K2338" s="21"/>
      <c r="L2338" s="21"/>
      <c r="M2338" s="21"/>
      <c r="N2338" s="21" t="s">
        <v>4148</v>
      </c>
      <c r="O2338" s="21" t="s">
        <v>4148</v>
      </c>
      <c r="Q2338" s="20" t="s">
        <v>2041</v>
      </c>
      <c r="T2338" s="20" t="s">
        <v>4501</v>
      </c>
      <c r="U2338" s="148" t="str">
        <f t="shared" si="209"/>
        <v>(8층)시련의 전장 전투노드 8-2</v>
      </c>
      <c r="W2338" s="20" t="s">
        <v>23</v>
      </c>
      <c r="AF2338" s="23" t="s">
        <v>2044</v>
      </c>
    </row>
    <row r="2339" spans="1:32" x14ac:dyDescent="0.2">
      <c r="A2339" s="29" t="s">
        <v>4145</v>
      </c>
      <c r="B2339" s="29" t="s">
        <v>19</v>
      </c>
      <c r="C2339" s="29" t="s">
        <v>4189</v>
      </c>
      <c r="D2339" s="29" t="s">
        <v>4190</v>
      </c>
      <c r="E2339" s="21" t="s">
        <v>4243</v>
      </c>
      <c r="F2339" s="21"/>
      <c r="G2339" s="21"/>
      <c r="H2339" s="21"/>
      <c r="I2339" s="21" t="s">
        <v>205</v>
      </c>
      <c r="J2339" s="21"/>
      <c r="K2339" s="21"/>
      <c r="L2339" s="21"/>
      <c r="M2339" s="21"/>
      <c r="N2339" s="21" t="s">
        <v>4148</v>
      </c>
      <c r="O2339" s="21" t="s">
        <v>4148</v>
      </c>
      <c r="Q2339" s="20" t="s">
        <v>2041</v>
      </c>
      <c r="T2339" s="20" t="s">
        <v>4501</v>
      </c>
      <c r="U2339" s="148" t="str">
        <f t="shared" si="209"/>
        <v>(8층)시련의 전장 전투노드 8-3</v>
      </c>
      <c r="W2339" s="20" t="s">
        <v>23</v>
      </c>
      <c r="AF2339" s="23" t="s">
        <v>2044</v>
      </c>
    </row>
    <row r="2340" spans="1:32" x14ac:dyDescent="0.2">
      <c r="A2340" s="29" t="s">
        <v>4145</v>
      </c>
      <c r="B2340" s="29" t="s">
        <v>20</v>
      </c>
      <c r="C2340" s="29" t="s">
        <v>4191</v>
      </c>
      <c r="D2340" s="29" t="s">
        <v>4192</v>
      </c>
      <c r="E2340" s="21" t="s">
        <v>4243</v>
      </c>
      <c r="F2340" s="21"/>
      <c r="G2340" s="21"/>
      <c r="H2340" s="21"/>
      <c r="I2340" s="21" t="s">
        <v>205</v>
      </c>
      <c r="J2340" s="21"/>
      <c r="K2340" s="21"/>
      <c r="L2340" s="21"/>
      <c r="M2340" s="21"/>
      <c r="N2340" s="21" t="s">
        <v>4148</v>
      </c>
      <c r="O2340" s="21" t="s">
        <v>4148</v>
      </c>
      <c r="Q2340" s="20" t="s">
        <v>2041</v>
      </c>
      <c r="T2340" s="20" t="s">
        <v>4501</v>
      </c>
      <c r="U2340" s="148" t="str">
        <f t="shared" si="209"/>
        <v>(9층)시련의 전장 전투노드 9-1</v>
      </c>
      <c r="W2340" s="20" t="s">
        <v>23</v>
      </c>
      <c r="AF2340" s="23" t="s">
        <v>2044</v>
      </c>
    </row>
    <row r="2341" spans="1:32" x14ac:dyDescent="0.2">
      <c r="A2341" s="29" t="s">
        <v>4145</v>
      </c>
      <c r="B2341" s="29" t="s">
        <v>21</v>
      </c>
      <c r="C2341" s="29" t="s">
        <v>4193</v>
      </c>
      <c r="D2341" s="29" t="s">
        <v>4194</v>
      </c>
      <c r="E2341" s="21" t="s">
        <v>4243</v>
      </c>
      <c r="F2341" s="21"/>
      <c r="G2341" s="21"/>
      <c r="H2341" s="21"/>
      <c r="I2341" s="21" t="s">
        <v>205</v>
      </c>
      <c r="J2341" s="21"/>
      <c r="K2341" s="21"/>
      <c r="L2341" s="21"/>
      <c r="M2341" s="21"/>
      <c r="N2341" s="21" t="s">
        <v>4148</v>
      </c>
      <c r="O2341" s="21" t="s">
        <v>4148</v>
      </c>
      <c r="Q2341" s="20" t="s">
        <v>2041</v>
      </c>
      <c r="T2341" s="20" t="s">
        <v>4501</v>
      </c>
      <c r="U2341" s="148" t="str">
        <f t="shared" si="209"/>
        <v>(9층)시련의 전장 전투노드 9-2</v>
      </c>
      <c r="W2341" s="20" t="s">
        <v>23</v>
      </c>
      <c r="AF2341" s="23" t="s">
        <v>2044</v>
      </c>
    </row>
    <row r="2342" spans="1:32" x14ac:dyDescent="0.2">
      <c r="A2342" s="29" t="s">
        <v>4145</v>
      </c>
      <c r="B2342" s="29" t="s">
        <v>487</v>
      </c>
      <c r="C2342" s="29" t="s">
        <v>4195</v>
      </c>
      <c r="D2342" s="29" t="s">
        <v>4196</v>
      </c>
      <c r="E2342" s="21" t="s">
        <v>4243</v>
      </c>
      <c r="F2342" s="21"/>
      <c r="G2342" s="21"/>
      <c r="H2342" s="21"/>
      <c r="I2342" s="21" t="s">
        <v>205</v>
      </c>
      <c r="J2342" s="21"/>
      <c r="K2342" s="21"/>
      <c r="L2342" s="21"/>
      <c r="M2342" s="21"/>
      <c r="N2342" s="21" t="s">
        <v>4148</v>
      </c>
      <c r="O2342" s="21" t="s">
        <v>4148</v>
      </c>
      <c r="Q2342" s="20" t="s">
        <v>2041</v>
      </c>
      <c r="T2342" s="20" t="s">
        <v>4501</v>
      </c>
      <c r="U2342" s="148" t="str">
        <f t="shared" si="209"/>
        <v>(10층)시련의 전장 전투노드 10-1</v>
      </c>
      <c r="W2342" s="20" t="s">
        <v>23</v>
      </c>
      <c r="AF2342" s="23" t="s">
        <v>2044</v>
      </c>
    </row>
    <row r="2343" spans="1:32" x14ac:dyDescent="0.2">
      <c r="A2343" s="29" t="s">
        <v>4145</v>
      </c>
      <c r="B2343" s="29" t="s">
        <v>358</v>
      </c>
      <c r="C2343" s="29" t="s">
        <v>4197</v>
      </c>
      <c r="D2343" s="29" t="s">
        <v>4198</v>
      </c>
      <c r="E2343" s="21" t="s">
        <v>4243</v>
      </c>
      <c r="F2343" s="21"/>
      <c r="G2343" s="21"/>
      <c r="H2343" s="21"/>
      <c r="I2343" s="21" t="s">
        <v>205</v>
      </c>
      <c r="J2343" s="21"/>
      <c r="K2343" s="21"/>
      <c r="L2343" s="21"/>
      <c r="M2343" s="21"/>
      <c r="N2343" s="21" t="s">
        <v>4148</v>
      </c>
      <c r="O2343" s="21" t="s">
        <v>4148</v>
      </c>
      <c r="Q2343" s="20" t="s">
        <v>2041</v>
      </c>
      <c r="T2343" s="20" t="s">
        <v>4501</v>
      </c>
      <c r="U2343" s="148" t="str">
        <f t="shared" si="209"/>
        <v>(10층)시련의 전장 전투노드 10-2</v>
      </c>
      <c r="W2343" s="20" t="s">
        <v>23</v>
      </c>
      <c r="AF2343" s="23" t="s">
        <v>2044</v>
      </c>
    </row>
    <row r="2344" spans="1:32" x14ac:dyDescent="0.2">
      <c r="A2344" s="29" t="s">
        <v>4145</v>
      </c>
      <c r="B2344" s="29" t="s">
        <v>488</v>
      </c>
      <c r="C2344" s="29" t="s">
        <v>4199</v>
      </c>
      <c r="D2344" s="29" t="s">
        <v>4200</v>
      </c>
      <c r="E2344" s="21" t="s">
        <v>4243</v>
      </c>
      <c r="F2344" s="21"/>
      <c r="G2344" s="21"/>
      <c r="H2344" s="21"/>
      <c r="I2344" s="21" t="s">
        <v>205</v>
      </c>
      <c r="J2344" s="21"/>
      <c r="K2344" s="21"/>
      <c r="L2344" s="21"/>
      <c r="M2344" s="21"/>
      <c r="N2344" s="21" t="s">
        <v>4148</v>
      </c>
      <c r="O2344" s="21" t="s">
        <v>4148</v>
      </c>
      <c r="Q2344" s="20" t="s">
        <v>2041</v>
      </c>
      <c r="T2344" s="20" t="s">
        <v>4501</v>
      </c>
      <c r="U2344" s="148" t="str">
        <f t="shared" si="209"/>
        <v>(10층)시련의 전장 전투노드 10-3</v>
      </c>
      <c r="W2344" s="20" t="s">
        <v>23</v>
      </c>
      <c r="AF2344" s="23" t="s">
        <v>2044</v>
      </c>
    </row>
    <row r="2345" spans="1:32" x14ac:dyDescent="0.2">
      <c r="A2345" s="29" t="s">
        <v>4145</v>
      </c>
      <c r="B2345" s="29" t="s">
        <v>359</v>
      </c>
      <c r="C2345" s="29" t="s">
        <v>4201</v>
      </c>
      <c r="D2345" s="29" t="s">
        <v>4202</v>
      </c>
      <c r="E2345" s="21" t="s">
        <v>4243</v>
      </c>
      <c r="F2345" s="21"/>
      <c r="G2345" s="21"/>
      <c r="H2345" s="21"/>
      <c r="I2345" s="21" t="s">
        <v>205</v>
      </c>
      <c r="J2345" s="21"/>
      <c r="K2345" s="21"/>
      <c r="L2345" s="21"/>
      <c r="M2345" s="21"/>
      <c r="N2345" s="21" t="s">
        <v>4148</v>
      </c>
      <c r="O2345" s="21" t="s">
        <v>4148</v>
      </c>
      <c r="Q2345" s="20" t="s">
        <v>2041</v>
      </c>
      <c r="T2345" s="20" t="s">
        <v>4501</v>
      </c>
      <c r="U2345" s="148" t="str">
        <f t="shared" si="209"/>
        <v>(11층)시련의 전장 이벤트노드 11</v>
      </c>
      <c r="W2345" s="20" t="s">
        <v>23</v>
      </c>
      <c r="AF2345" s="23" t="s">
        <v>2044</v>
      </c>
    </row>
    <row r="2346" spans="1:32" x14ac:dyDescent="0.2">
      <c r="A2346" s="29" t="s">
        <v>4145</v>
      </c>
      <c r="B2346" s="29" t="s">
        <v>489</v>
      </c>
      <c r="C2346" s="29" t="s">
        <v>4203</v>
      </c>
      <c r="D2346" s="29" t="s">
        <v>4204</v>
      </c>
      <c r="E2346" s="21" t="s">
        <v>4243</v>
      </c>
      <c r="F2346" s="21"/>
      <c r="G2346" s="21"/>
      <c r="H2346" s="21"/>
      <c r="I2346" s="21" t="s">
        <v>205</v>
      </c>
      <c r="J2346" s="21"/>
      <c r="K2346" s="21"/>
      <c r="L2346" s="21"/>
      <c r="M2346" s="21"/>
      <c r="N2346" s="21" t="s">
        <v>4148</v>
      </c>
      <c r="O2346" s="21" t="s">
        <v>4148</v>
      </c>
      <c r="Q2346" s="20" t="s">
        <v>2041</v>
      </c>
      <c r="T2346" s="20" t="s">
        <v>4501</v>
      </c>
      <c r="U2346" s="148" t="str">
        <f t="shared" si="209"/>
        <v>(12층)시련의 전장 전투노드 12-1</v>
      </c>
      <c r="W2346" s="20" t="s">
        <v>23</v>
      </c>
      <c r="AF2346" s="23" t="s">
        <v>2044</v>
      </c>
    </row>
    <row r="2347" spans="1:32" x14ac:dyDescent="0.2">
      <c r="A2347" s="29" t="s">
        <v>4145</v>
      </c>
      <c r="B2347" s="29" t="s">
        <v>342</v>
      </c>
      <c r="C2347" s="29" t="s">
        <v>4205</v>
      </c>
      <c r="D2347" s="29" t="s">
        <v>4206</v>
      </c>
      <c r="E2347" s="21" t="s">
        <v>4243</v>
      </c>
      <c r="F2347" s="21"/>
      <c r="G2347" s="21"/>
      <c r="H2347" s="21"/>
      <c r="I2347" s="21" t="s">
        <v>205</v>
      </c>
      <c r="J2347" s="21"/>
      <c r="K2347" s="21"/>
      <c r="L2347" s="21"/>
      <c r="M2347" s="21"/>
      <c r="N2347" s="21" t="s">
        <v>4148</v>
      </c>
      <c r="O2347" s="21" t="s">
        <v>4148</v>
      </c>
      <c r="Q2347" s="20" t="s">
        <v>2041</v>
      </c>
      <c r="T2347" s="20" t="s">
        <v>4501</v>
      </c>
      <c r="U2347" s="148" t="str">
        <f t="shared" si="209"/>
        <v>(12층)시련의 전장 전투노드 12-2</v>
      </c>
      <c r="W2347" s="20" t="s">
        <v>23</v>
      </c>
      <c r="AF2347" s="23" t="s">
        <v>2044</v>
      </c>
    </row>
    <row r="2348" spans="1:32" x14ac:dyDescent="0.2">
      <c r="A2348" s="29" t="s">
        <v>4145</v>
      </c>
      <c r="B2348" s="29" t="s">
        <v>490</v>
      </c>
      <c r="C2348" s="29" t="s">
        <v>4207</v>
      </c>
      <c r="D2348" s="29" t="s">
        <v>4208</v>
      </c>
      <c r="E2348" s="21" t="s">
        <v>4243</v>
      </c>
      <c r="F2348" s="21"/>
      <c r="G2348" s="21"/>
      <c r="H2348" s="21"/>
      <c r="I2348" s="21" t="s">
        <v>205</v>
      </c>
      <c r="J2348" s="21"/>
      <c r="K2348" s="21"/>
      <c r="L2348" s="21"/>
      <c r="M2348" s="21"/>
      <c r="N2348" s="21" t="s">
        <v>4148</v>
      </c>
      <c r="O2348" s="21" t="s">
        <v>4148</v>
      </c>
      <c r="Q2348" s="20" t="s">
        <v>2041</v>
      </c>
      <c r="T2348" s="20" t="s">
        <v>4501</v>
      </c>
      <c r="U2348" s="148" t="str">
        <f t="shared" si="209"/>
        <v>(12층)시련의 전장 전투노드 12-3</v>
      </c>
      <c r="W2348" s="20" t="s">
        <v>23</v>
      </c>
      <c r="AF2348" s="23" t="s">
        <v>2044</v>
      </c>
    </row>
    <row r="2349" spans="1:32" x14ac:dyDescent="0.2">
      <c r="A2349" s="29" t="s">
        <v>4145</v>
      </c>
      <c r="B2349" s="29" t="s">
        <v>360</v>
      </c>
      <c r="C2349" s="29" t="s">
        <v>4209</v>
      </c>
      <c r="D2349" s="29" t="s">
        <v>4210</v>
      </c>
      <c r="E2349" s="21" t="s">
        <v>4243</v>
      </c>
      <c r="F2349" s="21"/>
      <c r="G2349" s="21"/>
      <c r="H2349" s="21"/>
      <c r="I2349" s="21" t="s">
        <v>205</v>
      </c>
      <c r="J2349" s="21"/>
      <c r="K2349" s="21"/>
      <c r="L2349" s="21"/>
      <c r="M2349" s="21"/>
      <c r="N2349" s="21" t="s">
        <v>4148</v>
      </c>
      <c r="O2349" s="21" t="s">
        <v>4148</v>
      </c>
      <c r="Q2349" s="20" t="s">
        <v>2041</v>
      </c>
      <c r="T2349" s="20" t="s">
        <v>4501</v>
      </c>
      <c r="U2349" s="148" t="str">
        <f t="shared" si="209"/>
        <v>(12층)시련의 전장 전투노드 12-4</v>
      </c>
      <c r="W2349" s="20" t="s">
        <v>23</v>
      </c>
      <c r="AF2349" s="23" t="s">
        <v>2044</v>
      </c>
    </row>
    <row r="2350" spans="1:32" x14ac:dyDescent="0.2">
      <c r="A2350" s="29" t="s">
        <v>4145</v>
      </c>
      <c r="B2350" s="29" t="s">
        <v>491</v>
      </c>
      <c r="C2350" s="29" t="s">
        <v>4211</v>
      </c>
      <c r="D2350" s="29" t="s">
        <v>4212</v>
      </c>
      <c r="E2350" s="21" t="s">
        <v>4243</v>
      </c>
      <c r="F2350" s="21"/>
      <c r="G2350" s="21"/>
      <c r="H2350" s="21"/>
      <c r="I2350" s="21" t="s">
        <v>205</v>
      </c>
      <c r="J2350" s="21"/>
      <c r="K2350" s="21"/>
      <c r="L2350" s="21"/>
      <c r="M2350" s="21"/>
      <c r="N2350" s="21" t="s">
        <v>4148</v>
      </c>
      <c r="O2350" s="21" t="s">
        <v>4148</v>
      </c>
      <c r="Q2350" s="20" t="s">
        <v>2041</v>
      </c>
      <c r="T2350" s="20" t="s">
        <v>4501</v>
      </c>
      <c r="U2350" s="148" t="str">
        <f t="shared" si="209"/>
        <v>(13층)시련의 전장 전투노드 13-1</v>
      </c>
      <c r="W2350" s="20" t="s">
        <v>23</v>
      </c>
      <c r="AF2350" s="23" t="s">
        <v>2044</v>
      </c>
    </row>
    <row r="2351" spans="1:32" x14ac:dyDescent="0.2">
      <c r="A2351" s="29" t="s">
        <v>4145</v>
      </c>
      <c r="B2351" s="29" t="s">
        <v>361</v>
      </c>
      <c r="C2351" s="29" t="s">
        <v>4213</v>
      </c>
      <c r="D2351" s="29" t="s">
        <v>4214</v>
      </c>
      <c r="E2351" s="21" t="s">
        <v>4243</v>
      </c>
      <c r="F2351" s="21"/>
      <c r="G2351" s="21"/>
      <c r="H2351" s="21"/>
      <c r="I2351" s="21" t="s">
        <v>205</v>
      </c>
      <c r="J2351" s="21"/>
      <c r="K2351" s="21"/>
      <c r="L2351" s="21"/>
      <c r="M2351" s="21"/>
      <c r="N2351" s="21" t="s">
        <v>4148</v>
      </c>
      <c r="O2351" s="21" t="s">
        <v>4148</v>
      </c>
      <c r="Q2351" s="20" t="s">
        <v>2041</v>
      </c>
      <c r="T2351" s="20" t="s">
        <v>4501</v>
      </c>
      <c r="U2351" s="148" t="str">
        <f t="shared" si="209"/>
        <v>(13층)시련의 전장 전투노드 13-2</v>
      </c>
      <c r="W2351" s="20" t="s">
        <v>23</v>
      </c>
      <c r="AF2351" s="23" t="s">
        <v>2044</v>
      </c>
    </row>
    <row r="2352" spans="1:32" x14ac:dyDescent="0.2">
      <c r="A2352" s="29" t="s">
        <v>4145</v>
      </c>
      <c r="B2352" s="29" t="s">
        <v>492</v>
      </c>
      <c r="C2352" s="29" t="s">
        <v>4215</v>
      </c>
      <c r="D2352" s="29" t="s">
        <v>4216</v>
      </c>
      <c r="E2352" s="21" t="s">
        <v>4243</v>
      </c>
      <c r="F2352" s="21"/>
      <c r="G2352" s="21"/>
      <c r="H2352" s="21"/>
      <c r="I2352" s="21" t="s">
        <v>205</v>
      </c>
      <c r="J2352" s="21"/>
      <c r="K2352" s="21"/>
      <c r="L2352" s="21"/>
      <c r="M2352" s="21"/>
      <c r="N2352" s="21" t="s">
        <v>4148</v>
      </c>
      <c r="O2352" s="21" t="s">
        <v>4148</v>
      </c>
      <c r="Q2352" s="20" t="s">
        <v>2041</v>
      </c>
      <c r="T2352" s="20" t="s">
        <v>4501</v>
      </c>
      <c r="U2352" s="148" t="str">
        <f t="shared" si="209"/>
        <v>(13층)시련의 전장 전투노드 13-3</v>
      </c>
      <c r="W2352" s="20" t="s">
        <v>23</v>
      </c>
      <c r="AF2352" s="23" t="s">
        <v>2044</v>
      </c>
    </row>
    <row r="2353" spans="1:109" x14ac:dyDescent="0.2">
      <c r="A2353" s="29" t="s">
        <v>4145</v>
      </c>
      <c r="B2353" s="29" t="s">
        <v>362</v>
      </c>
      <c r="C2353" s="29" t="s">
        <v>4217</v>
      </c>
      <c r="D2353" s="29" t="s">
        <v>4218</v>
      </c>
      <c r="E2353" s="21" t="s">
        <v>4243</v>
      </c>
      <c r="F2353" s="21"/>
      <c r="G2353" s="21"/>
      <c r="H2353" s="21"/>
      <c r="I2353" s="21" t="s">
        <v>205</v>
      </c>
      <c r="J2353" s="21"/>
      <c r="K2353" s="21"/>
      <c r="L2353" s="21"/>
      <c r="M2353" s="21"/>
      <c r="N2353" s="21" t="s">
        <v>4148</v>
      </c>
      <c r="O2353" s="21" t="s">
        <v>4148</v>
      </c>
      <c r="Q2353" s="20" t="s">
        <v>2041</v>
      </c>
      <c r="T2353" s="20" t="s">
        <v>4501</v>
      </c>
      <c r="U2353" s="148" t="str">
        <f t="shared" si="209"/>
        <v>(14층)시련의 전장 전투노드 14-1</v>
      </c>
      <c r="W2353" s="20" t="s">
        <v>23</v>
      </c>
      <c r="AF2353" s="23" t="s">
        <v>2044</v>
      </c>
    </row>
    <row r="2354" spans="1:109" x14ac:dyDescent="0.2">
      <c r="A2354" s="29" t="s">
        <v>4145</v>
      </c>
      <c r="B2354" s="29" t="s">
        <v>493</v>
      </c>
      <c r="C2354" s="29" t="s">
        <v>4219</v>
      </c>
      <c r="D2354" s="29" t="s">
        <v>4220</v>
      </c>
      <c r="E2354" s="21" t="s">
        <v>4243</v>
      </c>
      <c r="F2354" s="21"/>
      <c r="G2354" s="21"/>
      <c r="H2354" s="21"/>
      <c r="I2354" s="21" t="s">
        <v>205</v>
      </c>
      <c r="J2354" s="21"/>
      <c r="K2354" s="21"/>
      <c r="L2354" s="21"/>
      <c r="M2354" s="21"/>
      <c r="N2354" s="21" t="s">
        <v>4148</v>
      </c>
      <c r="O2354" s="21" t="s">
        <v>4148</v>
      </c>
      <c r="Q2354" s="20" t="s">
        <v>2041</v>
      </c>
      <c r="T2354" s="20" t="s">
        <v>4501</v>
      </c>
      <c r="U2354" s="148" t="str">
        <f t="shared" si="209"/>
        <v>(14층)시련의 전장 전투노드 14-2</v>
      </c>
      <c r="W2354" s="20" t="s">
        <v>23</v>
      </c>
      <c r="AF2354" s="23" t="s">
        <v>2044</v>
      </c>
    </row>
    <row r="2355" spans="1:109" x14ac:dyDescent="0.2">
      <c r="A2355" s="29" t="s">
        <v>4145</v>
      </c>
      <c r="B2355" s="29" t="s">
        <v>363</v>
      </c>
      <c r="C2355" s="29" t="s">
        <v>4221</v>
      </c>
      <c r="D2355" s="29" t="s">
        <v>4222</v>
      </c>
      <c r="E2355" s="21" t="s">
        <v>4243</v>
      </c>
      <c r="F2355" s="21"/>
      <c r="G2355" s="21"/>
      <c r="H2355" s="21"/>
      <c r="I2355" s="21" t="s">
        <v>205</v>
      </c>
      <c r="J2355" s="21"/>
      <c r="K2355" s="21"/>
      <c r="L2355" s="21"/>
      <c r="M2355" s="21"/>
      <c r="N2355" s="21" t="s">
        <v>4148</v>
      </c>
      <c r="O2355" s="21" t="s">
        <v>4148</v>
      </c>
      <c r="Q2355" s="20" t="s">
        <v>2041</v>
      </c>
      <c r="T2355" s="20" t="s">
        <v>4501</v>
      </c>
      <c r="U2355" s="148" t="str">
        <f t="shared" si="209"/>
        <v>(15층)시련의 전장 전투노드 15-1</v>
      </c>
      <c r="W2355" s="20" t="s">
        <v>23</v>
      </c>
      <c r="AF2355" s="23" t="s">
        <v>2044</v>
      </c>
    </row>
    <row r="2356" spans="1:109" x14ac:dyDescent="0.2">
      <c r="A2356" s="29" t="s">
        <v>4145</v>
      </c>
      <c r="B2356" s="29" t="s">
        <v>494</v>
      </c>
      <c r="C2356" s="29" t="s">
        <v>4223</v>
      </c>
      <c r="D2356" s="29" t="s">
        <v>4224</v>
      </c>
      <c r="E2356" s="21" t="s">
        <v>4243</v>
      </c>
      <c r="F2356" s="21"/>
      <c r="G2356" s="21"/>
      <c r="H2356" s="21"/>
      <c r="I2356" s="21" t="s">
        <v>205</v>
      </c>
      <c r="J2356" s="21"/>
      <c r="K2356" s="21"/>
      <c r="L2356" s="21"/>
      <c r="M2356" s="21"/>
      <c r="N2356" s="21" t="s">
        <v>4148</v>
      </c>
      <c r="O2356" s="21" t="s">
        <v>4148</v>
      </c>
      <c r="Q2356" s="20" t="s">
        <v>2041</v>
      </c>
      <c r="T2356" s="20" t="s">
        <v>4501</v>
      </c>
      <c r="U2356" s="148" t="str">
        <f t="shared" si="209"/>
        <v>(15층)시련의 전장 전투노드 15-2</v>
      </c>
      <c r="W2356" s="20" t="s">
        <v>23</v>
      </c>
      <c r="AF2356" s="23" t="s">
        <v>2044</v>
      </c>
    </row>
    <row r="2357" spans="1:109" x14ac:dyDescent="0.2">
      <c r="A2357" s="29" t="s">
        <v>4145</v>
      </c>
      <c r="B2357" s="29" t="s">
        <v>348</v>
      </c>
      <c r="C2357" s="29" t="s">
        <v>4225</v>
      </c>
      <c r="D2357" s="29" t="s">
        <v>4226</v>
      </c>
      <c r="E2357" s="21" t="s">
        <v>4243</v>
      </c>
      <c r="F2357" s="21"/>
      <c r="G2357" s="21"/>
      <c r="H2357" s="21"/>
      <c r="I2357" s="21" t="s">
        <v>205</v>
      </c>
      <c r="J2357" s="21"/>
      <c r="K2357" s="21"/>
      <c r="L2357" s="21"/>
      <c r="M2357" s="21"/>
      <c r="N2357" s="21" t="s">
        <v>4148</v>
      </c>
      <c r="O2357" s="21" t="s">
        <v>4148</v>
      </c>
      <c r="Q2357" s="20" t="s">
        <v>2041</v>
      </c>
      <c r="T2357" s="20" t="s">
        <v>4501</v>
      </c>
      <c r="U2357" s="148" t="str">
        <f t="shared" si="209"/>
        <v>(15층)시련의 전장 전투노드 15-3</v>
      </c>
      <c r="W2357" s="20" t="s">
        <v>23</v>
      </c>
      <c r="AF2357" s="23" t="s">
        <v>2044</v>
      </c>
    </row>
    <row r="2358" spans="1:109" x14ac:dyDescent="0.2">
      <c r="A2358" s="29" t="s">
        <v>4145</v>
      </c>
      <c r="B2358" s="29" t="s">
        <v>495</v>
      </c>
      <c r="C2358" s="29" t="s">
        <v>4227</v>
      </c>
      <c r="D2358" s="29" t="s">
        <v>4228</v>
      </c>
      <c r="E2358" s="21" t="s">
        <v>4243</v>
      </c>
      <c r="I2358" s="21" t="s">
        <v>205</v>
      </c>
      <c r="N2358" s="21" t="s">
        <v>4148</v>
      </c>
      <c r="O2358" s="21" t="s">
        <v>4148</v>
      </c>
      <c r="Q2358" s="20" t="s">
        <v>2041</v>
      </c>
      <c r="T2358" s="20" t="s">
        <v>4501</v>
      </c>
      <c r="U2358" s="148" t="str">
        <f t="shared" si="209"/>
        <v>(16층)시련의 전장 엔드노드</v>
      </c>
      <c r="W2358" s="20" t="s">
        <v>23</v>
      </c>
      <c r="AF2358" s="23" t="s">
        <v>2044</v>
      </c>
    </row>
    <row r="2359" spans="1:109" ht="17.25" x14ac:dyDescent="0.3">
      <c r="A2359" s="8"/>
      <c r="B2359" s="8"/>
      <c r="C2359" s="8"/>
      <c r="D2359" s="8"/>
      <c r="E2359" s="9" t="s">
        <v>4704</v>
      </c>
      <c r="F2359" s="9"/>
      <c r="G2359" s="9"/>
      <c r="H2359" s="9"/>
      <c r="I2359" s="10"/>
      <c r="J2359" s="10"/>
      <c r="K2359" s="10"/>
      <c r="L2359" s="10"/>
      <c r="M2359" s="10"/>
      <c r="N2359" s="10"/>
      <c r="O2359" s="10"/>
      <c r="P2359" s="10"/>
      <c r="Q2359" s="10"/>
      <c r="R2359" s="10"/>
      <c r="S2359" s="10"/>
      <c r="T2359" s="10"/>
      <c r="U2359" s="10"/>
      <c r="V2359" s="10"/>
      <c r="W2359" s="11"/>
      <c r="X2359" s="10"/>
      <c r="Y2359" s="10"/>
      <c r="Z2359" s="10"/>
      <c r="AA2359" s="10"/>
      <c r="AB2359" s="10"/>
      <c r="AC2359" s="12"/>
      <c r="AD2359" s="12"/>
      <c r="AE2359" s="10"/>
      <c r="AF2359" s="13"/>
      <c r="AG2359" s="13"/>
      <c r="AH2359" s="13"/>
      <c r="AI2359" s="15"/>
      <c r="AJ2359" s="15"/>
      <c r="AK2359" s="15"/>
      <c r="AL2359" s="15"/>
      <c r="AM2359" s="15"/>
      <c r="AN2359" s="15"/>
      <c r="AO2359" s="15"/>
      <c r="AP2359" s="13"/>
      <c r="AQ2359" s="13"/>
      <c r="AR2359" s="13"/>
      <c r="AS2359" s="13"/>
      <c r="AT2359" s="13"/>
      <c r="AU2359" s="13"/>
      <c r="AV2359" s="31"/>
      <c r="AW2359" s="31"/>
      <c r="AX2359" s="15"/>
      <c r="AY2359" s="15"/>
      <c r="AZ2359" s="15"/>
      <c r="BA2359" s="15"/>
      <c r="BB2359" s="15"/>
      <c r="BC2359" s="13"/>
      <c r="BD2359" s="13"/>
      <c r="BE2359" s="13"/>
      <c r="BF2359" s="13"/>
      <c r="BG2359" s="13"/>
      <c r="BH2359" s="13"/>
      <c r="BI2359" s="31"/>
      <c r="BJ2359" s="31"/>
      <c r="BK2359" s="15"/>
      <c r="BL2359" s="15"/>
      <c r="BM2359" s="15"/>
      <c r="BN2359" s="15"/>
      <c r="BO2359" s="15"/>
      <c r="BP2359" s="13"/>
      <c r="BQ2359" s="13"/>
      <c r="BR2359" s="13"/>
      <c r="BS2359" s="13"/>
      <c r="BT2359" s="13"/>
      <c r="BU2359" s="13"/>
      <c r="BV2359" s="31"/>
      <c r="BW2359" s="31"/>
      <c r="BX2359" s="15"/>
      <c r="BY2359" s="15"/>
      <c r="BZ2359" s="15"/>
      <c r="CA2359" s="15"/>
      <c r="CB2359" s="15"/>
      <c r="CC2359" s="10"/>
      <c r="CD2359" s="10"/>
      <c r="CE2359" s="10"/>
      <c r="CF2359" s="10"/>
      <c r="CG2359" s="8"/>
      <c r="CH2359" s="16"/>
      <c r="CI2359" s="8"/>
      <c r="CJ2359" s="14"/>
      <c r="CK2359" s="14"/>
      <c r="CL2359" s="14"/>
      <c r="CM2359" s="14"/>
      <c r="CN2359" s="14"/>
      <c r="CO2359" s="14"/>
      <c r="CP2359" s="14"/>
      <c r="CQ2359" s="14"/>
      <c r="CR2359" s="17"/>
      <c r="CS2359" s="17"/>
      <c r="CT2359" s="17"/>
      <c r="CU2359" s="17"/>
      <c r="CV2359" s="17"/>
      <c r="CW2359" s="17"/>
      <c r="CX2359" s="17"/>
      <c r="CY2359" s="17"/>
      <c r="CZ2359" s="17"/>
      <c r="DA2359" s="15"/>
      <c r="DB2359" s="14"/>
      <c r="DC2359" s="14"/>
      <c r="DD2359" s="14"/>
      <c r="DE2359" s="14"/>
    </row>
    <row r="2360" spans="1:109" x14ac:dyDescent="0.2">
      <c r="A2360" s="18">
        <v>70000</v>
      </c>
      <c r="B2360" s="19">
        <v>1</v>
      </c>
      <c r="C2360" s="19">
        <v>700000001</v>
      </c>
      <c r="D2360" s="19" t="s">
        <v>4705</v>
      </c>
      <c r="E2360" s="20" t="s">
        <v>1669</v>
      </c>
      <c r="I2360" s="21" t="s">
        <v>1670</v>
      </c>
      <c r="J2360" s="21"/>
      <c r="K2360" s="21"/>
      <c r="L2360" s="21"/>
      <c r="M2360" s="21"/>
      <c r="N2360" s="21" t="s">
        <v>4706</v>
      </c>
      <c r="O2360" s="20" t="s">
        <v>4707</v>
      </c>
      <c r="Q2360" s="20" t="s">
        <v>2041</v>
      </c>
      <c r="T2360" s="20" t="s">
        <v>4704</v>
      </c>
      <c r="U2360" s="118" t="s">
        <v>4708</v>
      </c>
      <c r="V2360" s="20" t="s">
        <v>4745</v>
      </c>
      <c r="W2360" s="20">
        <v>4</v>
      </c>
      <c r="X2360" s="20">
        <v>4</v>
      </c>
      <c r="Y2360" s="23" t="s">
        <v>137</v>
      </c>
      <c r="AA2360" s="21"/>
      <c r="AB2360" s="21"/>
      <c r="AC2360" s="21"/>
      <c r="AD2360" s="21"/>
      <c r="AE2360" s="39"/>
      <c r="AF2360" s="39" t="s">
        <v>2041</v>
      </c>
      <c r="AG2360" s="21"/>
      <c r="AH2360" s="210"/>
      <c r="AK2360" s="27"/>
      <c r="AL2360" s="27"/>
      <c r="AP2360" s="27"/>
      <c r="AQ2360" s="27"/>
      <c r="AW2360" s="27"/>
      <c r="AX2360" s="27"/>
      <c r="AY2360" s="27"/>
      <c r="BC2360" s="111"/>
      <c r="BD2360" s="111"/>
      <c r="BE2360" s="111"/>
      <c r="BF2360" s="111"/>
      <c r="BJ2360" s="27"/>
      <c r="BK2360" s="27"/>
      <c r="BL2360" s="27"/>
      <c r="BP2360" s="111"/>
      <c r="BQ2360" s="111"/>
      <c r="BR2360" s="111"/>
      <c r="BS2360" s="111"/>
      <c r="BW2360" s="27"/>
      <c r="BX2360" s="27"/>
      <c r="BY2360" s="27"/>
      <c r="CC2360" s="111"/>
      <c r="CD2360" s="111"/>
      <c r="CE2360" s="111"/>
      <c r="CF2360" s="111"/>
      <c r="CH2360" s="29"/>
      <c r="CI2360" s="23" t="s">
        <v>3830</v>
      </c>
    </row>
    <row r="2361" spans="1:109" x14ac:dyDescent="0.2">
      <c r="A2361" s="18">
        <v>70000</v>
      </c>
      <c r="B2361" s="19">
        <v>2</v>
      </c>
      <c r="C2361" s="19">
        <v>700000002</v>
      </c>
      <c r="D2361" s="19" t="s">
        <v>4709</v>
      </c>
      <c r="E2361" s="20" t="s">
        <v>4723</v>
      </c>
      <c r="I2361" s="21" t="s">
        <v>1670</v>
      </c>
      <c r="J2361" s="21"/>
      <c r="K2361" s="21"/>
      <c r="L2361" s="21"/>
      <c r="M2361" s="21"/>
      <c r="N2361" s="21" t="s">
        <v>4710</v>
      </c>
      <c r="O2361" s="20" t="s">
        <v>4711</v>
      </c>
      <c r="Q2361" s="20" t="s">
        <v>2041</v>
      </c>
      <c r="T2361" s="20" t="s">
        <v>4704</v>
      </c>
      <c r="U2361" s="118" t="s">
        <v>4712</v>
      </c>
      <c r="V2361" s="20" t="s">
        <v>4746</v>
      </c>
      <c r="W2361" s="20">
        <v>4</v>
      </c>
      <c r="X2361" s="20">
        <v>4</v>
      </c>
      <c r="Y2361" s="23" t="s">
        <v>137</v>
      </c>
      <c r="AA2361" s="21"/>
      <c r="AB2361" s="21"/>
      <c r="AC2361" s="21"/>
      <c r="AD2361" s="21"/>
      <c r="AE2361" s="39"/>
      <c r="AF2361" s="39" t="s">
        <v>2041</v>
      </c>
      <c r="AG2361" s="21"/>
      <c r="AH2361" s="210"/>
      <c r="AK2361" s="27"/>
      <c r="AL2361" s="27"/>
      <c r="AP2361" s="27"/>
      <c r="AQ2361" s="27"/>
      <c r="AW2361" s="27"/>
      <c r="AX2361" s="27"/>
      <c r="AY2361" s="27"/>
      <c r="BC2361" s="111"/>
      <c r="BD2361" s="111"/>
      <c r="BE2361" s="111"/>
      <c r="BF2361" s="111"/>
      <c r="BJ2361" s="27"/>
      <c r="BK2361" s="27"/>
      <c r="BL2361" s="27"/>
      <c r="BP2361" s="111"/>
      <c r="BQ2361" s="111"/>
      <c r="BR2361" s="111"/>
      <c r="BS2361" s="111"/>
      <c r="BW2361" s="27"/>
      <c r="BX2361" s="27"/>
      <c r="BY2361" s="27"/>
      <c r="CC2361" s="111"/>
      <c r="CD2361" s="111"/>
      <c r="CE2361" s="111"/>
      <c r="CF2361" s="111"/>
      <c r="CH2361" s="29"/>
      <c r="CI2361" s="23" t="s">
        <v>3830</v>
      </c>
    </row>
    <row r="2362" spans="1:109" x14ac:dyDescent="0.2">
      <c r="A2362" s="18">
        <v>70000</v>
      </c>
      <c r="B2362" s="19">
        <v>3</v>
      </c>
      <c r="C2362" s="19">
        <v>700000003</v>
      </c>
      <c r="D2362" s="19" t="s">
        <v>4713</v>
      </c>
      <c r="E2362" s="20" t="s">
        <v>694</v>
      </c>
      <c r="I2362" s="21" t="s">
        <v>1670</v>
      </c>
      <c r="J2362" s="21"/>
      <c r="K2362" s="21"/>
      <c r="L2362" s="21"/>
      <c r="M2362" s="21"/>
      <c r="N2362" s="21" t="s">
        <v>4710</v>
      </c>
      <c r="O2362" s="20" t="s">
        <v>4714</v>
      </c>
      <c r="Q2362" s="20" t="s">
        <v>2041</v>
      </c>
      <c r="T2362" s="20" t="s">
        <v>4704</v>
      </c>
      <c r="U2362" s="118" t="s">
        <v>4715</v>
      </c>
      <c r="V2362" s="20" t="s">
        <v>4747</v>
      </c>
      <c r="W2362" s="20">
        <v>4</v>
      </c>
      <c r="X2362" s="20">
        <v>4</v>
      </c>
      <c r="Y2362" s="23" t="s">
        <v>137</v>
      </c>
      <c r="AB2362" s="21"/>
      <c r="AC2362" s="21"/>
      <c r="AD2362" s="21"/>
      <c r="AE2362" s="39"/>
      <c r="AF2362" s="39" t="s">
        <v>2041</v>
      </c>
      <c r="AG2362" s="21"/>
      <c r="AH2362" s="210"/>
      <c r="AK2362" s="27"/>
      <c r="AL2362" s="27"/>
      <c r="AP2362" s="27"/>
      <c r="AQ2362" s="27"/>
      <c r="AW2362" s="27"/>
      <c r="AX2362" s="27"/>
      <c r="AY2362" s="27"/>
      <c r="BC2362" s="111"/>
      <c r="BD2362" s="111"/>
      <c r="BE2362" s="111"/>
      <c r="BF2362" s="111"/>
      <c r="BJ2362" s="27"/>
      <c r="BK2362" s="27"/>
      <c r="BL2362" s="27"/>
      <c r="BP2362" s="111"/>
      <c r="BQ2362" s="111"/>
      <c r="BR2362" s="111"/>
      <c r="BS2362" s="111"/>
      <c r="BW2362" s="27"/>
      <c r="BX2362" s="27"/>
      <c r="BY2362" s="27"/>
      <c r="CC2362" s="111"/>
      <c r="CD2362" s="111"/>
      <c r="CE2362" s="111"/>
      <c r="CF2362" s="111"/>
      <c r="CH2362" s="29"/>
      <c r="CI2362" s="23" t="s">
        <v>3830</v>
      </c>
    </row>
    <row r="2363" spans="1:109" x14ac:dyDescent="0.2">
      <c r="A2363" s="18">
        <v>70000</v>
      </c>
      <c r="B2363" s="19">
        <v>4</v>
      </c>
      <c r="C2363" s="19">
        <v>700000004</v>
      </c>
      <c r="D2363" s="19" t="s">
        <v>4716</v>
      </c>
      <c r="E2363" s="20" t="s">
        <v>547</v>
      </c>
      <c r="I2363" s="21" t="s">
        <v>633</v>
      </c>
      <c r="J2363" s="21"/>
      <c r="K2363" s="21"/>
      <c r="L2363" s="21"/>
      <c r="M2363" s="21"/>
      <c r="N2363" s="21" t="s">
        <v>4710</v>
      </c>
      <c r="O2363" s="20" t="s">
        <v>4717</v>
      </c>
      <c r="Q2363" s="20" t="s">
        <v>2041</v>
      </c>
      <c r="T2363" s="20" t="s">
        <v>4704</v>
      </c>
      <c r="U2363" s="118" t="s">
        <v>4718</v>
      </c>
      <c r="V2363" s="20" t="s">
        <v>4748</v>
      </c>
      <c r="W2363" s="20">
        <v>4</v>
      </c>
      <c r="X2363" s="20">
        <v>4</v>
      </c>
      <c r="Y2363" s="23" t="s">
        <v>137</v>
      </c>
      <c r="AA2363" s="21"/>
      <c r="AB2363" s="21"/>
      <c r="AC2363" s="21"/>
      <c r="AD2363" s="21"/>
      <c r="AE2363" s="39"/>
      <c r="AF2363" s="39" t="s">
        <v>2041</v>
      </c>
      <c r="AG2363" s="21"/>
      <c r="AH2363" s="210"/>
      <c r="AK2363" s="27"/>
      <c r="AL2363" s="27"/>
      <c r="AP2363" s="27"/>
      <c r="AQ2363" s="27"/>
      <c r="AW2363" s="27"/>
      <c r="AX2363" s="27"/>
      <c r="AY2363" s="27"/>
      <c r="BC2363" s="111"/>
      <c r="BD2363" s="111"/>
      <c r="BE2363" s="111"/>
      <c r="BF2363" s="111"/>
      <c r="BJ2363" s="27"/>
      <c r="BK2363" s="27"/>
      <c r="BL2363" s="27"/>
      <c r="BP2363" s="111"/>
      <c r="BQ2363" s="111"/>
      <c r="BR2363" s="111"/>
      <c r="BS2363" s="111"/>
      <c r="BW2363" s="27"/>
      <c r="BX2363" s="27"/>
      <c r="BY2363" s="27"/>
      <c r="CC2363" s="111"/>
      <c r="CD2363" s="111"/>
      <c r="CE2363" s="111"/>
      <c r="CF2363" s="111"/>
      <c r="CH2363" s="29"/>
      <c r="CI2363" s="23" t="s">
        <v>3830</v>
      </c>
    </row>
    <row r="2364" spans="1:109" x14ac:dyDescent="0.2">
      <c r="A2364" s="18">
        <v>70000</v>
      </c>
      <c r="B2364" s="19">
        <v>5</v>
      </c>
      <c r="C2364" s="19">
        <v>700000005</v>
      </c>
      <c r="D2364" s="19" t="s">
        <v>4719</v>
      </c>
      <c r="E2364" s="20" t="s">
        <v>4720</v>
      </c>
      <c r="I2364" s="21" t="s">
        <v>4725</v>
      </c>
      <c r="J2364" s="21"/>
      <c r="K2364" s="21"/>
      <c r="L2364" s="21"/>
      <c r="M2364" s="21"/>
      <c r="N2364" s="21" t="s">
        <v>4710</v>
      </c>
      <c r="O2364" s="20" t="s">
        <v>4721</v>
      </c>
      <c r="Q2364" s="20" t="s">
        <v>2041</v>
      </c>
      <c r="T2364" s="20" t="s">
        <v>4704</v>
      </c>
      <c r="U2364" s="118" t="s">
        <v>4722</v>
      </c>
      <c r="V2364" s="20" t="s">
        <v>4749</v>
      </c>
      <c r="W2364" s="20">
        <v>4</v>
      </c>
      <c r="X2364" s="20">
        <v>4</v>
      </c>
      <c r="Y2364" s="23" t="s">
        <v>137</v>
      </c>
      <c r="AA2364" s="21"/>
      <c r="AB2364" s="21"/>
      <c r="AC2364" s="21"/>
      <c r="AD2364" s="21"/>
      <c r="AE2364" s="39"/>
      <c r="AF2364" s="39" t="s">
        <v>2041</v>
      </c>
      <c r="AG2364" s="21"/>
      <c r="AH2364" s="210"/>
      <c r="AK2364" s="27"/>
      <c r="AL2364" s="27"/>
      <c r="AP2364" s="27"/>
      <c r="AQ2364" s="27">
        <v>5000</v>
      </c>
      <c r="AW2364" s="27"/>
      <c r="AX2364" s="27"/>
      <c r="AY2364" s="27"/>
      <c r="BC2364" s="111"/>
      <c r="BD2364" s="111"/>
      <c r="BE2364" s="111"/>
      <c r="BF2364" s="111"/>
      <c r="BJ2364" s="27"/>
      <c r="BK2364" s="27"/>
      <c r="BL2364" s="27"/>
      <c r="BP2364" s="111"/>
      <c r="BQ2364" s="111"/>
      <c r="BR2364" s="111"/>
      <c r="BS2364" s="111"/>
      <c r="BW2364" s="27"/>
      <c r="BX2364" s="27"/>
      <c r="BY2364" s="27"/>
      <c r="CC2364" s="111"/>
      <c r="CD2364" s="111"/>
      <c r="CE2364" s="111"/>
      <c r="CF2364" s="111"/>
      <c r="CH2364" s="29"/>
      <c r="CI2364" s="23" t="s">
        <v>3830</v>
      </c>
    </row>
  </sheetData>
  <autoFilter ref="A1:DB2364" xr:uid="{00000000-0009-0000-0000-000000000000}"/>
  <phoneticPr fontId="7" type="noConversion"/>
  <conditionalFormatting sqref="AH393:AH439">
    <cfRule type="duplicateValues" dxfId="134" priority="229"/>
  </conditionalFormatting>
  <conditionalFormatting sqref="AP86:AS125">
    <cfRule type="duplicateValues" dxfId="133" priority="222"/>
  </conditionalFormatting>
  <conditionalFormatting sqref="AP126:AS145">
    <cfRule type="duplicateValues" dxfId="132" priority="221"/>
  </conditionalFormatting>
  <conditionalFormatting sqref="AP146:AS165">
    <cfRule type="duplicateValues" dxfId="131" priority="220"/>
  </conditionalFormatting>
  <conditionalFormatting sqref="BC86:BC125">
    <cfRule type="duplicateValues" dxfId="130" priority="215"/>
  </conditionalFormatting>
  <conditionalFormatting sqref="BC126:BC145">
    <cfRule type="duplicateValues" dxfId="129" priority="214"/>
  </conditionalFormatting>
  <conditionalFormatting sqref="BC146:BC165">
    <cfRule type="duplicateValues" dxfId="128" priority="213"/>
  </conditionalFormatting>
  <conditionalFormatting sqref="BP86:BP125">
    <cfRule type="duplicateValues" dxfId="127" priority="208"/>
  </conditionalFormatting>
  <conditionalFormatting sqref="BP126:BP145">
    <cfRule type="duplicateValues" dxfId="126" priority="207"/>
  </conditionalFormatting>
  <conditionalFormatting sqref="BP146:BP165">
    <cfRule type="duplicateValues" dxfId="125" priority="206"/>
  </conditionalFormatting>
  <conditionalFormatting sqref="CC86:CC125">
    <cfRule type="duplicateValues" dxfId="124" priority="201"/>
  </conditionalFormatting>
  <conditionalFormatting sqref="CC126:CC145">
    <cfRule type="duplicateValues" dxfId="123" priority="200"/>
  </conditionalFormatting>
  <conditionalFormatting sqref="CC146:CC165">
    <cfRule type="duplicateValues" dxfId="122" priority="199"/>
  </conditionalFormatting>
  <conditionalFormatting sqref="AP208:AS247">
    <cfRule type="duplicateValues" dxfId="121" priority="194"/>
  </conditionalFormatting>
  <conditionalFormatting sqref="BC208:BC247">
    <cfRule type="duplicateValues" dxfId="120" priority="193"/>
  </conditionalFormatting>
  <conditionalFormatting sqref="BP208:BP247">
    <cfRule type="duplicateValues" dxfId="119" priority="192"/>
  </conditionalFormatting>
  <conditionalFormatting sqref="CC208:CC247">
    <cfRule type="duplicateValues" dxfId="118" priority="191"/>
  </conditionalFormatting>
  <conditionalFormatting sqref="AL1981">
    <cfRule type="duplicateValues" dxfId="117" priority="189"/>
  </conditionalFormatting>
  <conditionalFormatting sqref="AL1982">
    <cfRule type="duplicateValues" dxfId="116" priority="188"/>
  </conditionalFormatting>
  <conditionalFormatting sqref="AL1983">
    <cfRule type="duplicateValues" dxfId="115" priority="187"/>
  </conditionalFormatting>
  <conditionalFormatting sqref="AL1984">
    <cfRule type="duplicateValues" dxfId="114" priority="186"/>
  </conditionalFormatting>
  <conditionalFormatting sqref="AL1985">
    <cfRule type="duplicateValues" dxfId="113" priority="185"/>
  </conditionalFormatting>
  <conditionalFormatting sqref="AL1986">
    <cfRule type="duplicateValues" dxfId="112" priority="184"/>
  </conditionalFormatting>
  <conditionalFormatting sqref="AL1987">
    <cfRule type="duplicateValues" dxfId="111" priority="183"/>
  </conditionalFormatting>
  <conditionalFormatting sqref="AH1981">
    <cfRule type="duplicateValues" dxfId="110" priority="182"/>
  </conditionalFormatting>
  <conditionalFormatting sqref="AH1982">
    <cfRule type="duplicateValues" dxfId="109" priority="181"/>
  </conditionalFormatting>
  <conditionalFormatting sqref="AH1983">
    <cfRule type="duplicateValues" dxfId="108" priority="180"/>
  </conditionalFormatting>
  <conditionalFormatting sqref="AH1984">
    <cfRule type="duplicateValues" dxfId="107" priority="179"/>
  </conditionalFormatting>
  <conditionalFormatting sqref="AH1985">
    <cfRule type="duplicateValues" dxfId="106" priority="178"/>
  </conditionalFormatting>
  <conditionalFormatting sqref="AH1986">
    <cfRule type="duplicateValues" dxfId="105" priority="177"/>
  </conditionalFormatting>
  <conditionalFormatting sqref="AH1987">
    <cfRule type="duplicateValues" dxfId="104" priority="176"/>
  </conditionalFormatting>
  <conditionalFormatting sqref="AH1988:AH1990">
    <cfRule type="duplicateValues" dxfId="103" priority="175"/>
  </conditionalFormatting>
  <conditionalFormatting sqref="AH1991:AH1995">
    <cfRule type="duplicateValues" dxfId="102" priority="230"/>
  </conditionalFormatting>
  <conditionalFormatting sqref="AH1994:AH1995">
    <cfRule type="duplicateValues" dxfId="101" priority="231"/>
  </conditionalFormatting>
  <conditionalFormatting sqref="AL1991:AL2003">
    <cfRule type="duplicateValues" dxfId="100" priority="232"/>
  </conditionalFormatting>
  <conditionalFormatting sqref="AH1996:AH2000">
    <cfRule type="duplicateValues" dxfId="99" priority="144"/>
  </conditionalFormatting>
  <conditionalFormatting sqref="AH1999:AH2000">
    <cfRule type="duplicateValues" dxfId="98" priority="145"/>
  </conditionalFormatting>
  <conditionalFormatting sqref="AH2001:AH2002">
    <cfRule type="duplicateValues" dxfId="97" priority="142"/>
  </conditionalFormatting>
  <conditionalFormatting sqref="AH2001:AH2002">
    <cfRule type="duplicateValues" dxfId="96" priority="143"/>
  </conditionalFormatting>
  <conditionalFormatting sqref="AH2003">
    <cfRule type="duplicateValues" dxfId="95" priority="136"/>
  </conditionalFormatting>
  <conditionalFormatting sqref="AH2003">
    <cfRule type="duplicateValues" dxfId="94" priority="137"/>
  </conditionalFormatting>
  <conditionalFormatting sqref="AL2005:AL2010">
    <cfRule type="duplicateValues" dxfId="93" priority="126"/>
  </conditionalFormatting>
  <conditionalFormatting sqref="AH1973">
    <cfRule type="duplicateValues" dxfId="92" priority="109"/>
  </conditionalFormatting>
  <conditionalFormatting sqref="AH1974">
    <cfRule type="duplicateValues" dxfId="91" priority="108"/>
  </conditionalFormatting>
  <conditionalFormatting sqref="AH1975">
    <cfRule type="duplicateValues" dxfId="90" priority="107"/>
  </conditionalFormatting>
  <conditionalFormatting sqref="AH1976">
    <cfRule type="duplicateValues" dxfId="89" priority="106"/>
  </conditionalFormatting>
  <conditionalFormatting sqref="AH1977">
    <cfRule type="duplicateValues" dxfId="88" priority="105"/>
  </conditionalFormatting>
  <conditionalFormatting sqref="AH1978">
    <cfRule type="duplicateValues" dxfId="87" priority="104"/>
  </conditionalFormatting>
  <conditionalFormatting sqref="AH1979">
    <cfRule type="duplicateValues" dxfId="86" priority="103"/>
  </conditionalFormatting>
  <conditionalFormatting sqref="AH2005">
    <cfRule type="duplicateValues" dxfId="85" priority="102"/>
  </conditionalFormatting>
  <conditionalFormatting sqref="AH2006">
    <cfRule type="duplicateValues" dxfId="84" priority="101"/>
  </conditionalFormatting>
  <conditionalFormatting sqref="AH2007">
    <cfRule type="duplicateValues" dxfId="83" priority="100"/>
  </conditionalFormatting>
  <conditionalFormatting sqref="AH2008">
    <cfRule type="duplicateValues" dxfId="82" priority="99"/>
  </conditionalFormatting>
  <conditionalFormatting sqref="AH2009">
    <cfRule type="duplicateValues" dxfId="81" priority="98"/>
  </conditionalFormatting>
  <conditionalFormatting sqref="AH2010">
    <cfRule type="duplicateValues" dxfId="80" priority="97"/>
  </conditionalFormatting>
  <conditionalFormatting sqref="AH2012">
    <cfRule type="duplicateValues" dxfId="79" priority="96"/>
  </conditionalFormatting>
  <conditionalFormatting sqref="AH2013">
    <cfRule type="duplicateValues" dxfId="78" priority="95"/>
  </conditionalFormatting>
  <conditionalFormatting sqref="AH2014">
    <cfRule type="duplicateValues" dxfId="77" priority="94"/>
  </conditionalFormatting>
  <conditionalFormatting sqref="AH2015">
    <cfRule type="duplicateValues" dxfId="76" priority="93"/>
  </conditionalFormatting>
  <conditionalFormatting sqref="AH2016">
    <cfRule type="duplicateValues" dxfId="75" priority="92"/>
  </conditionalFormatting>
  <conditionalFormatting sqref="AH2017">
    <cfRule type="duplicateValues" dxfId="74" priority="91"/>
  </conditionalFormatting>
  <conditionalFormatting sqref="AH2018">
    <cfRule type="duplicateValues" dxfId="73" priority="90"/>
  </conditionalFormatting>
  <conditionalFormatting sqref="AH2019">
    <cfRule type="duplicateValues" dxfId="72" priority="89"/>
  </conditionalFormatting>
  <conditionalFormatting sqref="AH2020">
    <cfRule type="duplicateValues" dxfId="71" priority="88"/>
  </conditionalFormatting>
  <conditionalFormatting sqref="AL2011:AL2015">
    <cfRule type="duplicateValues" dxfId="70" priority="87"/>
  </conditionalFormatting>
  <conditionalFormatting sqref="AL2016:AL2020">
    <cfRule type="duplicateValues" dxfId="69" priority="86"/>
  </conditionalFormatting>
  <conditionalFormatting sqref="AL2021">
    <cfRule type="duplicateValues" dxfId="68" priority="85"/>
  </conditionalFormatting>
  <conditionalFormatting sqref="AH2011">
    <cfRule type="duplicateValues" dxfId="67" priority="84"/>
  </conditionalFormatting>
  <conditionalFormatting sqref="AH2021">
    <cfRule type="duplicateValues" dxfId="66" priority="83"/>
  </conditionalFormatting>
  <conditionalFormatting sqref="AH2029:AH2033">
    <cfRule type="duplicateValues" dxfId="65" priority="79"/>
  </conditionalFormatting>
  <conditionalFormatting sqref="AH2034">
    <cfRule type="duplicateValues" dxfId="64" priority="77"/>
  </conditionalFormatting>
  <conditionalFormatting sqref="AH2035">
    <cfRule type="duplicateValues" dxfId="63" priority="76"/>
  </conditionalFormatting>
  <conditionalFormatting sqref="AH2036">
    <cfRule type="duplicateValues" dxfId="62" priority="75"/>
  </conditionalFormatting>
  <conditionalFormatting sqref="AH2023">
    <cfRule type="duplicateValues" dxfId="61" priority="74"/>
  </conditionalFormatting>
  <conditionalFormatting sqref="AH2024">
    <cfRule type="duplicateValues" dxfId="60" priority="73"/>
  </conditionalFormatting>
  <conditionalFormatting sqref="AH2025">
    <cfRule type="duplicateValues" dxfId="59" priority="72"/>
  </conditionalFormatting>
  <conditionalFormatting sqref="AH2026">
    <cfRule type="duplicateValues" dxfId="58" priority="71"/>
  </conditionalFormatting>
  <conditionalFormatting sqref="AH2027">
    <cfRule type="duplicateValues" dxfId="57" priority="70"/>
  </conditionalFormatting>
  <conditionalFormatting sqref="AH2028">
    <cfRule type="duplicateValues" dxfId="56" priority="69"/>
  </conditionalFormatting>
  <conditionalFormatting sqref="AL2023">
    <cfRule type="duplicateValues" dxfId="55" priority="68"/>
  </conditionalFormatting>
  <conditionalFormatting sqref="AL2024">
    <cfRule type="duplicateValues" dxfId="54" priority="67"/>
  </conditionalFormatting>
  <conditionalFormatting sqref="AL2025">
    <cfRule type="duplicateValues" dxfId="53" priority="66"/>
  </conditionalFormatting>
  <conditionalFormatting sqref="AL2026">
    <cfRule type="duplicateValues" dxfId="52" priority="65"/>
  </conditionalFormatting>
  <conditionalFormatting sqref="AL2027">
    <cfRule type="duplicateValues" dxfId="51" priority="64"/>
  </conditionalFormatting>
  <conditionalFormatting sqref="AH453:AH457">
    <cfRule type="duplicateValues" dxfId="50" priority="62"/>
  </conditionalFormatting>
  <conditionalFormatting sqref="AH463:AH469">
    <cfRule type="duplicateValues" dxfId="49" priority="63"/>
  </conditionalFormatting>
  <conditionalFormatting sqref="AH458:AH462">
    <cfRule type="duplicateValues" dxfId="48" priority="61"/>
  </conditionalFormatting>
  <conditionalFormatting sqref="BD86:BF125">
    <cfRule type="duplicateValues" dxfId="47" priority="60"/>
  </conditionalFormatting>
  <conditionalFormatting sqref="BD126:BF145">
    <cfRule type="duplicateValues" dxfId="46" priority="59"/>
  </conditionalFormatting>
  <conditionalFormatting sqref="BD146:BF165">
    <cfRule type="duplicateValues" dxfId="45" priority="58"/>
  </conditionalFormatting>
  <conditionalFormatting sqref="BD208:BF247">
    <cfRule type="duplicateValues" dxfId="44" priority="57"/>
  </conditionalFormatting>
  <conditionalFormatting sqref="BQ86:BS125">
    <cfRule type="duplicateValues" dxfId="43" priority="56"/>
  </conditionalFormatting>
  <conditionalFormatting sqref="BQ126:BS145">
    <cfRule type="duplicateValues" dxfId="42" priority="55"/>
  </conditionalFormatting>
  <conditionalFormatting sqref="BQ146:BS165">
    <cfRule type="duplicateValues" dxfId="41" priority="54"/>
  </conditionalFormatting>
  <conditionalFormatting sqref="BQ208:BS247">
    <cfRule type="duplicateValues" dxfId="40" priority="53"/>
  </conditionalFormatting>
  <conditionalFormatting sqref="CD86:CF125">
    <cfRule type="duplicateValues" dxfId="39" priority="52"/>
  </conditionalFormatting>
  <conditionalFormatting sqref="CD126:CF145">
    <cfRule type="duplicateValues" dxfId="38" priority="51"/>
  </conditionalFormatting>
  <conditionalFormatting sqref="CD146:CF165">
    <cfRule type="duplicateValues" dxfId="37" priority="50"/>
  </conditionalFormatting>
  <conditionalFormatting sqref="CD208:CF247">
    <cfRule type="duplicateValues" dxfId="36" priority="49"/>
  </conditionalFormatting>
  <conditionalFormatting sqref="BC2360:BF2363">
    <cfRule type="duplicateValues" dxfId="35" priority="48"/>
  </conditionalFormatting>
  <conditionalFormatting sqref="BP2360:BS2363">
    <cfRule type="duplicateValues" dxfId="34" priority="47"/>
  </conditionalFormatting>
  <conditionalFormatting sqref="CC2360:CF2363">
    <cfRule type="duplicateValues" dxfId="33" priority="46"/>
  </conditionalFormatting>
  <conditionalFormatting sqref="BC2364:BF2364">
    <cfRule type="duplicateValues" dxfId="32" priority="45"/>
  </conditionalFormatting>
  <conditionalFormatting sqref="BP2364:BS2364">
    <cfRule type="duplicateValues" dxfId="31" priority="44"/>
  </conditionalFormatting>
  <conditionalFormatting sqref="CC2364:CF2364">
    <cfRule type="duplicateValues" dxfId="30" priority="43"/>
  </conditionalFormatting>
  <conditionalFormatting sqref="AL1927:AL1929">
    <cfRule type="duplicateValues" dxfId="29" priority="42"/>
  </conditionalFormatting>
  <conditionalFormatting sqref="AH2059">
    <cfRule type="duplicateValues" dxfId="28" priority="37"/>
  </conditionalFormatting>
  <conditionalFormatting sqref="AH2050">
    <cfRule type="duplicateValues" dxfId="27" priority="36"/>
  </conditionalFormatting>
  <conditionalFormatting sqref="AH2051">
    <cfRule type="duplicateValues" dxfId="26" priority="35"/>
  </conditionalFormatting>
  <conditionalFormatting sqref="AH2052">
    <cfRule type="duplicateValues" dxfId="25" priority="34"/>
  </conditionalFormatting>
  <conditionalFormatting sqref="AH2053">
    <cfRule type="duplicateValues" dxfId="24" priority="33"/>
  </conditionalFormatting>
  <conditionalFormatting sqref="AH2054">
    <cfRule type="duplicateValues" dxfId="23" priority="32"/>
  </conditionalFormatting>
  <conditionalFormatting sqref="AH2055">
    <cfRule type="duplicateValues" dxfId="22" priority="31"/>
  </conditionalFormatting>
  <conditionalFormatting sqref="AH2056">
    <cfRule type="duplicateValues" dxfId="21" priority="30"/>
  </conditionalFormatting>
  <conditionalFormatting sqref="AH2057">
    <cfRule type="duplicateValues" dxfId="20" priority="29"/>
  </conditionalFormatting>
  <conditionalFormatting sqref="AH2058">
    <cfRule type="duplicateValues" dxfId="19" priority="28"/>
  </conditionalFormatting>
  <conditionalFormatting sqref="AL2056">
    <cfRule type="duplicateValues" dxfId="18" priority="27"/>
  </conditionalFormatting>
  <conditionalFormatting sqref="AL2057">
    <cfRule type="duplicateValues" dxfId="17" priority="26"/>
  </conditionalFormatting>
  <conditionalFormatting sqref="AL2058">
    <cfRule type="duplicateValues" dxfId="16" priority="25"/>
  </conditionalFormatting>
  <conditionalFormatting sqref="AH2061">
    <cfRule type="duplicateValues" dxfId="15" priority="22"/>
  </conditionalFormatting>
  <conditionalFormatting sqref="AH2062">
    <cfRule type="duplicateValues" dxfId="14" priority="21"/>
  </conditionalFormatting>
  <conditionalFormatting sqref="AH2063">
    <cfRule type="duplicateValues" dxfId="13" priority="20"/>
  </conditionalFormatting>
  <conditionalFormatting sqref="AH2064">
    <cfRule type="duplicateValues" dxfId="12" priority="19"/>
  </conditionalFormatting>
  <conditionalFormatting sqref="AH2065">
    <cfRule type="duplicateValues" dxfId="11" priority="18"/>
  </conditionalFormatting>
  <conditionalFormatting sqref="AH2066">
    <cfRule type="duplicateValues" dxfId="10" priority="17"/>
  </conditionalFormatting>
  <conditionalFormatting sqref="AH2067">
    <cfRule type="duplicateValues" dxfId="9" priority="16"/>
  </conditionalFormatting>
  <conditionalFormatting sqref="AL2066">
    <cfRule type="duplicateValues" dxfId="8" priority="14"/>
  </conditionalFormatting>
  <conditionalFormatting sqref="AL2067">
    <cfRule type="duplicateValues" dxfId="7" priority="13"/>
  </conditionalFormatting>
  <conditionalFormatting sqref="AH2060">
    <cfRule type="duplicateValues" dxfId="6" priority="10"/>
  </conditionalFormatting>
  <conditionalFormatting sqref="AL2060">
    <cfRule type="duplicateValues" dxfId="5" priority="9"/>
  </conditionalFormatting>
  <conditionalFormatting sqref="AL2060">
    <cfRule type="duplicateValues" dxfId="4" priority="8"/>
  </conditionalFormatting>
  <conditionalFormatting sqref="AH2069">
    <cfRule type="duplicateValues" dxfId="3" priority="5"/>
  </conditionalFormatting>
  <conditionalFormatting sqref="AH2068">
    <cfRule type="duplicateValues" dxfId="2" priority="4"/>
  </conditionalFormatting>
  <conditionalFormatting sqref="AH2070:AH2071">
    <cfRule type="duplicateValues" dxfId="1" priority="233"/>
  </conditionalFormatting>
  <conditionalFormatting sqref="AL2068:AL2071">
    <cfRule type="duplicateValues" dxfId="0" priority="234"/>
  </conditionalFormatting>
  <pageMargins left="0.7" right="0.7" top="0.75" bottom="0.75" header="0.3" footer="0.3"/>
  <pageSetup paperSize="9"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CampaignDungeonTable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2021-12-22T03:22:56Z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21c98c2f-86f6-4c7f-aeba-a7d8f1eaa46c</vt:lpwstr>
  </property>
</Properties>
</file>